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HorizontalScroll="0" showVerticalScroll="0" showSheetTabs="0" xWindow="1965" yWindow="3975" windowWidth="11505" windowHeight="2655" tabRatio="721" activeTab="3"/>
  </bookViews>
  <sheets>
    <sheet name="調査表データ" sheetId="1" r:id="rId1"/>
    <sheet name="メッシュデータ入力" sheetId="8" state="hidden" r:id="rId2"/>
    <sheet name="地すべりデータ" sheetId="13" r:id="rId3"/>
    <sheet name="表形式危険度ランク" sheetId="14" r:id="rId4"/>
    <sheet name="市町村コード" sheetId="4" state="hidden" r:id="rId5"/>
    <sheet name="点数表" sheetId="7" state="hidden" r:id="rId6"/>
    <sheet name="メモリ" sheetId="11" state="hidden" r:id="rId7"/>
  </sheets>
  <functionGroups builtInGroupCount="17"/>
  <definedNames>
    <definedName name="table1">表形式危険度ランク!$C$4:$F$11</definedName>
    <definedName name="山崩加算点考慮">メッシュデータ入力!$N$1</definedName>
    <definedName name="山崩表１">点数表!$E$4:$K$24</definedName>
    <definedName name="山崩表１非">点数表!$E$29:$K$49</definedName>
    <definedName name="山崩表２">点数表!$P$3:$P$29</definedName>
    <definedName name="山崩表３">点数表!$V$4:$V$16</definedName>
    <definedName name="市町村リスト">市町村コード!$A$49:$B$1965</definedName>
    <definedName name="都道府県リスト">市町村コード!$A$2:$C$48</definedName>
    <definedName name="崩流表１">点数表!$Z$3:$Z$22</definedName>
  </definedNames>
  <calcPr calcId="145621"/>
</workbook>
</file>

<file path=xl/calcChain.xml><?xml version="1.0" encoding="utf-8"?>
<calcChain xmlns="http://schemas.openxmlformats.org/spreadsheetml/2006/main">
  <c r="O6" i="8" l="1"/>
  <c r="P6" i="8" l="1"/>
  <c r="S6" i="8" s="1"/>
  <c r="F12" i="14"/>
  <c r="N6" i="13" s="1"/>
  <c r="E12" i="14"/>
  <c r="M6" i="13" s="1"/>
  <c r="D12" i="14"/>
  <c r="L6" i="13" s="1"/>
  <c r="C12" i="14"/>
  <c r="G11" i="14"/>
  <c r="J6" i="13" s="1"/>
  <c r="P6" i="13" s="1"/>
  <c r="G10" i="14"/>
  <c r="I6" i="13" s="1"/>
  <c r="G9" i="14"/>
  <c r="H6" i="13" s="1"/>
  <c r="G8" i="14"/>
  <c r="G6" i="13" s="1"/>
  <c r="G7" i="14"/>
  <c r="F6" i="13" s="1"/>
  <c r="G6" i="14"/>
  <c r="E6" i="13" s="1"/>
  <c r="G5" i="14"/>
  <c r="D6" i="13" s="1"/>
  <c r="G4" i="14"/>
  <c r="C6" i="13" s="1"/>
  <c r="G12" i="14" l="1"/>
  <c r="O6" i="13" s="1"/>
  <c r="K6" i="13"/>
  <c r="T6" i="8"/>
  <c r="U6" i="8"/>
</calcChain>
</file>

<file path=xl/comments1.xml><?xml version="1.0" encoding="utf-8"?>
<comments xmlns="http://schemas.openxmlformats.org/spreadsheetml/2006/main">
  <authors>
    <author>soumu</author>
  </authors>
  <commentList>
    <comment ref="K3" authorId="0">
      <text>
        <r>
          <rPr>
            <sz val="9"/>
            <color indexed="81"/>
            <rFont val="ＭＳ Ｐゴシック"/>
            <family val="3"/>
            <charset val="128"/>
          </rPr>
          <t>N　： 針葉樹の混交歩合75%以上
L･NL：針葉樹の混交歩合25%未満及び広葉樹
　　　　ただし竹林はL･NLに含めるものとする。</t>
        </r>
      </text>
    </comment>
    <comment ref="Q5" authorId="0">
      <text>
        <r>
          <rPr>
            <sz val="9"/>
            <color indexed="81"/>
            <rFont val="ＭＳ Ｐゴシック"/>
            <family val="3"/>
            <charset val="128"/>
          </rPr>
          <t xml:space="preserve">地震調査による採点結果が20点以上のとき、または
地震による山腹崩壊が発生したと確認されたときの補正
</t>
        </r>
      </text>
    </comment>
    <comment ref="R5" authorId="0">
      <text>
        <r>
          <rPr>
            <sz val="9"/>
            <color indexed="81"/>
            <rFont val="ＭＳ Ｐゴシック"/>
            <family val="3"/>
            <charset val="128"/>
          </rPr>
          <t xml:space="preserve">落石調査による採点結果が8点以上のとき、または
落石による山腹崩壊が発生したと認められる場合20点を補正
</t>
        </r>
      </text>
    </comment>
  </commentList>
</comments>
</file>

<file path=xl/comments2.xml><?xml version="1.0" encoding="utf-8"?>
<comments xmlns="http://schemas.openxmlformats.org/spreadsheetml/2006/main">
  <authors>
    <author>soumu</author>
  </authors>
  <commentList>
    <comment ref="A1" authorId="0">
      <text>
        <r>
          <rPr>
            <sz val="9"/>
            <color indexed="81"/>
            <rFont val="ＭＳ Ｐゴシック"/>
            <family val="3"/>
            <charset val="128"/>
          </rPr>
          <t>H25.06.02現在</t>
        </r>
      </text>
    </comment>
  </commentList>
</comments>
</file>

<file path=xl/sharedStrings.xml><?xml version="1.0" encoding="utf-8"?>
<sst xmlns="http://schemas.openxmlformats.org/spreadsheetml/2006/main" count="10172" uniqueCount="8547">
  <si>
    <t>コード</t>
  </si>
  <si>
    <t>市区町村名</t>
  </si>
  <si>
    <t>市外局番</t>
  </si>
  <si>
    <t>主要郵便番号上５桁</t>
  </si>
  <si>
    <t>01100</t>
  </si>
  <si>
    <t>札幌市</t>
  </si>
  <si>
    <t>さっぽろし</t>
  </si>
  <si>
    <t>01101</t>
  </si>
  <si>
    <t>札幌市中央区</t>
  </si>
  <si>
    <t>さっぽろしちゅうおうく</t>
  </si>
  <si>
    <t>011</t>
  </si>
  <si>
    <t>060-00 064-08 064-09</t>
  </si>
  <si>
    <t>01102</t>
  </si>
  <si>
    <t>札幌市北区</t>
  </si>
  <si>
    <t>さっぽろしきたく</t>
  </si>
  <si>
    <t>001-00 001-09 002-08 002-80 060-08</t>
  </si>
  <si>
    <t>01103</t>
  </si>
  <si>
    <t>札幌市東区</t>
  </si>
  <si>
    <t>さっぽろしひがしく</t>
  </si>
  <si>
    <t>007-00 007-08 060-09 065-00</t>
  </si>
  <si>
    <t>01104</t>
  </si>
  <si>
    <t>札幌市白石区</t>
  </si>
  <si>
    <t>さっぽろししろいしく</t>
  </si>
  <si>
    <t>003-00 003-08</t>
  </si>
  <si>
    <t>01105</t>
  </si>
  <si>
    <t>札幌市豊平区</t>
  </si>
  <si>
    <t>さっぽろしとよひらく</t>
  </si>
  <si>
    <t>062-00 062-09</t>
  </si>
  <si>
    <t>01106</t>
  </si>
  <si>
    <t>札幌市南区</t>
  </si>
  <si>
    <t>さっぽろしみなみく</t>
  </si>
  <si>
    <t>005-00 005-08 061-22 061-23</t>
  </si>
  <si>
    <t>01107</t>
  </si>
  <si>
    <t>札幌市西区</t>
  </si>
  <si>
    <t>さっぽろしにしく</t>
  </si>
  <si>
    <t>063-00 063-08</t>
  </si>
  <si>
    <t>01108</t>
  </si>
  <si>
    <t>札幌市厚別区</t>
  </si>
  <si>
    <t>さっぽろしあつべつく</t>
  </si>
  <si>
    <t>004-00</t>
  </si>
  <si>
    <t>01109</t>
  </si>
  <si>
    <t>札幌市手稲区</t>
  </si>
  <si>
    <t>さっぽろしていねく</t>
  </si>
  <si>
    <t>006-00 006-08</t>
  </si>
  <si>
    <t>01110</t>
  </si>
  <si>
    <t>札幌市清田区</t>
  </si>
  <si>
    <t>さっぽろしきよたく</t>
  </si>
  <si>
    <t>004-00 004-08</t>
  </si>
  <si>
    <t>01202</t>
  </si>
  <si>
    <t>函館市</t>
  </si>
  <si>
    <t>はこだてし</t>
  </si>
  <si>
    <t>0138</t>
  </si>
  <si>
    <t>040-00 041-02 041-03 041-04 041-05 041-06 041-08 041-16 042-09</t>
  </si>
  <si>
    <t>01203</t>
  </si>
  <si>
    <t>小樽市</t>
  </si>
  <si>
    <t>おたるし</t>
  </si>
  <si>
    <t>0134</t>
  </si>
  <si>
    <t>047-00 047-01 047-02 048-25 048-26 061-32</t>
  </si>
  <si>
    <t>01204</t>
  </si>
  <si>
    <t>旭川市</t>
  </si>
  <si>
    <t>あさひかわし</t>
  </si>
  <si>
    <t>0166</t>
  </si>
  <si>
    <t>070-00 070-08 070-09 070-80 071-01 071-03 071-11 071-81 074-11 078-01 078-12 078-82 078-83 078-88 079-84</t>
  </si>
  <si>
    <t>01205</t>
  </si>
  <si>
    <t>室蘭市</t>
  </si>
  <si>
    <t>むろらんし</t>
  </si>
  <si>
    <t>0143</t>
  </si>
  <si>
    <t>050-00 051-00</t>
  </si>
  <si>
    <t>01206</t>
  </si>
  <si>
    <t>釧路市</t>
  </si>
  <si>
    <t>くしろし</t>
  </si>
  <si>
    <t>0154 01547</t>
  </si>
  <si>
    <t>084-09 085-00 085-02 085-04 085-08 088-01</t>
  </si>
  <si>
    <t>01207</t>
  </si>
  <si>
    <t>帯広市</t>
  </si>
  <si>
    <t>おびひろし</t>
  </si>
  <si>
    <t>0155</t>
  </si>
  <si>
    <t>080-00 080-08 080-21 080-23 080-24 089-11 089-12</t>
  </si>
  <si>
    <t>01208</t>
  </si>
  <si>
    <t>北見市</t>
  </si>
  <si>
    <t>きたみし</t>
  </si>
  <si>
    <t>0157 0152</t>
  </si>
  <si>
    <t>090-00 090-08 091-00 091-01 093-02 093-03 099-08 099-15 099-21 099-22</t>
  </si>
  <si>
    <t>01209</t>
  </si>
  <si>
    <t>夕張市</t>
  </si>
  <si>
    <t>ゆうばりし</t>
  </si>
  <si>
    <t>0123</t>
  </si>
  <si>
    <t>068-04 068-05 068-06 068-07</t>
  </si>
  <si>
    <t>01210</t>
  </si>
  <si>
    <t>岩見沢市</t>
  </si>
  <si>
    <t>いわみざわし</t>
  </si>
  <si>
    <t>0126 01267</t>
  </si>
  <si>
    <t>068-00 068-01 068-08 068-11 068-12 068-31 069-03 079-01</t>
  </si>
  <si>
    <t>01211</t>
  </si>
  <si>
    <t>網走市</t>
  </si>
  <si>
    <t>あばしりし</t>
  </si>
  <si>
    <t>0152</t>
  </si>
  <si>
    <t>093-00 093-01 093-02 099-24 099-31 099-35</t>
  </si>
  <si>
    <t>01212</t>
  </si>
  <si>
    <t>留萌市</t>
  </si>
  <si>
    <t>るもいし</t>
  </si>
  <si>
    <t>0164</t>
  </si>
  <si>
    <t>077-00 078-31</t>
  </si>
  <si>
    <t>01213</t>
  </si>
  <si>
    <t>苫小牧市</t>
  </si>
  <si>
    <t>とまこまいし</t>
  </si>
  <si>
    <t>0144</t>
  </si>
  <si>
    <t>053-00 053-08 059-12 059-13 066-02</t>
  </si>
  <si>
    <t>01214</t>
  </si>
  <si>
    <t>稚内市</t>
  </si>
  <si>
    <t>わっかないし</t>
  </si>
  <si>
    <t>0162</t>
  </si>
  <si>
    <t>097-00 098-45 098-63 098-65 098-66 098-67</t>
  </si>
  <si>
    <t>01215</t>
  </si>
  <si>
    <t>美唄市</t>
  </si>
  <si>
    <t>びばいし</t>
  </si>
  <si>
    <t>0126</t>
  </si>
  <si>
    <t>068-21 072-00 072-08 079-01 079-02</t>
  </si>
  <si>
    <t>01216</t>
  </si>
  <si>
    <t>芦別市</t>
  </si>
  <si>
    <t>あしべつし</t>
  </si>
  <si>
    <t>0124</t>
  </si>
  <si>
    <t>075-00 075-01 075-02 076-00 079-13</t>
  </si>
  <si>
    <t>01217</t>
  </si>
  <si>
    <t>江別市</t>
  </si>
  <si>
    <t>えべつし</t>
  </si>
  <si>
    <t>067-00 069-08</t>
  </si>
  <si>
    <t>01218</t>
  </si>
  <si>
    <t>赤平市</t>
  </si>
  <si>
    <t>あかびらし</t>
  </si>
  <si>
    <t>0125</t>
  </si>
  <si>
    <t>079-11 079-12</t>
  </si>
  <si>
    <t>01219</t>
  </si>
  <si>
    <t>紋別市</t>
  </si>
  <si>
    <t>もんべつし</t>
  </si>
  <si>
    <t>0158</t>
  </si>
  <si>
    <t>094-00 099-51 099-53 099-61 099-62</t>
  </si>
  <si>
    <t>01220</t>
  </si>
  <si>
    <t>士別市</t>
  </si>
  <si>
    <t>しべつし</t>
  </si>
  <si>
    <t>0165</t>
  </si>
  <si>
    <t>095-00 095-01 095-03 095-04 098-04</t>
  </si>
  <si>
    <t>01221</t>
  </si>
  <si>
    <t>名寄市</t>
  </si>
  <si>
    <t>なよろし</t>
  </si>
  <si>
    <t>01654 01655</t>
  </si>
  <si>
    <t>096-00 098-05 098-06 098-21</t>
  </si>
  <si>
    <t>01222</t>
  </si>
  <si>
    <t>三笠市</t>
  </si>
  <si>
    <t>みかさし</t>
  </si>
  <si>
    <t>01267</t>
  </si>
  <si>
    <t>068-21</t>
  </si>
  <si>
    <t>01223</t>
  </si>
  <si>
    <t>根室市</t>
  </si>
  <si>
    <t>ねむろし</t>
  </si>
  <si>
    <t>0153</t>
  </si>
  <si>
    <t>086-00 087-00 087-01 088-17</t>
  </si>
  <si>
    <t>01224</t>
  </si>
  <si>
    <t>千歳市</t>
  </si>
  <si>
    <t>ちとせし</t>
  </si>
  <si>
    <t>066-00 066-02 069-11</t>
  </si>
  <si>
    <t>01225</t>
  </si>
  <si>
    <t>滝川市</t>
  </si>
  <si>
    <t>たきかわし</t>
  </si>
  <si>
    <t>073-00 079-04</t>
  </si>
  <si>
    <t>01226</t>
  </si>
  <si>
    <t>砂川市</t>
  </si>
  <si>
    <t>すながわし</t>
  </si>
  <si>
    <t>073-00 073-01 079-11</t>
  </si>
  <si>
    <t>01227</t>
  </si>
  <si>
    <t>歌志内市</t>
  </si>
  <si>
    <t>うたしないし</t>
  </si>
  <si>
    <t>073-04</t>
  </si>
  <si>
    <t>01228</t>
  </si>
  <si>
    <t>深川市</t>
  </si>
  <si>
    <t>ふかがわし</t>
  </si>
  <si>
    <t>074-00 074-01 074-11 074-12 078-01</t>
  </si>
  <si>
    <t>01229</t>
  </si>
  <si>
    <t>富良野市</t>
  </si>
  <si>
    <t>ふらのし</t>
  </si>
  <si>
    <t>0167</t>
  </si>
  <si>
    <t>076-00 076-01 076-02 079-15 079-21</t>
  </si>
  <si>
    <t>01230</t>
  </si>
  <si>
    <t>登別市</t>
  </si>
  <si>
    <t>のぼりべつし</t>
  </si>
  <si>
    <t>059-00 059-04 059-05</t>
  </si>
  <si>
    <t>01231</t>
  </si>
  <si>
    <t>恵庭市</t>
  </si>
  <si>
    <t>えにわし</t>
  </si>
  <si>
    <t>061-13 061-14</t>
  </si>
  <si>
    <t>01233</t>
  </si>
  <si>
    <t>伊達市</t>
  </si>
  <si>
    <t>だてし</t>
  </si>
  <si>
    <t>0142</t>
  </si>
  <si>
    <t>044-04 052-00 052-03 059-01 059-02</t>
  </si>
  <si>
    <t>01234</t>
  </si>
  <si>
    <t>北広島市</t>
  </si>
  <si>
    <t>きたひろしまし</t>
  </si>
  <si>
    <t>061-11 061-12</t>
  </si>
  <si>
    <t>01235</t>
  </si>
  <si>
    <t>石狩市</t>
  </si>
  <si>
    <t>いしかりし</t>
  </si>
  <si>
    <t>0133</t>
  </si>
  <si>
    <t>061-31 061-32 061-33 061-34 061-35 061-36 077-03</t>
  </si>
  <si>
    <t>01236</t>
  </si>
  <si>
    <t>北斗市</t>
  </si>
  <si>
    <t>ほくとし</t>
  </si>
  <si>
    <t>041-12 049-01 049-02</t>
  </si>
  <si>
    <t>01303</t>
  </si>
  <si>
    <t>石狩郡当別町</t>
  </si>
  <si>
    <t>いしかりぐんとうべつちょう</t>
  </si>
  <si>
    <t>002-80 061-02 061-37</t>
  </si>
  <si>
    <t>01304</t>
  </si>
  <si>
    <t>石狩郡新篠津村</t>
  </si>
  <si>
    <t>いしかりぐんしんしのつむら</t>
  </si>
  <si>
    <t>068-11</t>
  </si>
  <si>
    <t>01331</t>
  </si>
  <si>
    <t>松前郡松前町</t>
  </si>
  <si>
    <t>まつまえぐんまつまえちょう</t>
  </si>
  <si>
    <t>0139</t>
  </si>
  <si>
    <t>049-15 049-16 049-17</t>
  </si>
  <si>
    <t>01332</t>
  </si>
  <si>
    <t>松前郡福島町</t>
  </si>
  <si>
    <t>まつまえぐんふくしまちょう</t>
  </si>
  <si>
    <t>049-13 049-14</t>
  </si>
  <si>
    <t>01333</t>
  </si>
  <si>
    <t>上磯郡知内町</t>
  </si>
  <si>
    <t>かみいそぐんしりうちちょう</t>
  </si>
  <si>
    <t>01392</t>
  </si>
  <si>
    <t>049-11 049-12</t>
  </si>
  <si>
    <t>01334</t>
  </si>
  <si>
    <t>上磯郡木古内町</t>
  </si>
  <si>
    <t>かみいそぐんきこないちょう</t>
  </si>
  <si>
    <t>049-04</t>
  </si>
  <si>
    <t>01337</t>
  </si>
  <si>
    <t>亀田郡七飯町</t>
  </si>
  <si>
    <t>かめだぐんななえちょう</t>
  </si>
  <si>
    <t>041-11 041-13</t>
  </si>
  <si>
    <t>01343</t>
  </si>
  <si>
    <t>茅部郡鹿部町</t>
  </si>
  <si>
    <t>かやべぐんしかべちょう</t>
  </si>
  <si>
    <t>01372</t>
  </si>
  <si>
    <t>041-14 049-22</t>
  </si>
  <si>
    <t>01345</t>
  </si>
  <si>
    <t>茅部郡森町</t>
  </si>
  <si>
    <t>かやべぐんもりまち</t>
  </si>
  <si>
    <t>01374</t>
  </si>
  <si>
    <t>049-21 049-22 049-23 049-24</t>
  </si>
  <si>
    <t>01346</t>
  </si>
  <si>
    <t>二海郡八雲町</t>
  </si>
  <si>
    <t>ふたみぐんやくもちょう</t>
  </si>
  <si>
    <t>0137 01398</t>
  </si>
  <si>
    <t>043-03 043-04 049-25 049-26 049-31 049-33</t>
  </si>
  <si>
    <t>01347</t>
  </si>
  <si>
    <t>山越郡長万部町</t>
  </si>
  <si>
    <t>やまこしぐんおしゃまんべちょう</t>
  </si>
  <si>
    <t>01377</t>
  </si>
  <si>
    <t>049-34 049-35 049-51</t>
  </si>
  <si>
    <t>01361</t>
  </si>
  <si>
    <t>檜山郡江差町</t>
  </si>
  <si>
    <t>ひやまぐんえさしちょう</t>
  </si>
  <si>
    <t>043-00</t>
  </si>
  <si>
    <t>01362</t>
  </si>
  <si>
    <t>檜山郡上ノ国町</t>
  </si>
  <si>
    <t>ひやまぐんかみのくにちょう</t>
  </si>
  <si>
    <t>049-05 049-06 049-07</t>
  </si>
  <si>
    <t>01363</t>
  </si>
  <si>
    <t>檜山郡厚沢部町</t>
  </si>
  <si>
    <t>ひやまぐんあっさぶちょう</t>
  </si>
  <si>
    <t>043-11 043-12 043-13</t>
  </si>
  <si>
    <t>01364</t>
  </si>
  <si>
    <t>爾志郡乙部町</t>
  </si>
  <si>
    <t>にしぐんおとべちょう</t>
  </si>
  <si>
    <t>043-01 043-02</t>
  </si>
  <si>
    <t>01367</t>
  </si>
  <si>
    <t>奥尻郡奥尻町</t>
  </si>
  <si>
    <t>おくしりぐんおくしりちょう</t>
  </si>
  <si>
    <t>01397</t>
  </si>
  <si>
    <t>043-14 043-15</t>
  </si>
  <si>
    <t>01370</t>
  </si>
  <si>
    <t>瀬棚郡今金町</t>
  </si>
  <si>
    <t>せたなぐんいまかねちょう</t>
  </si>
  <si>
    <t>0137</t>
  </si>
  <si>
    <t>049-41 049-43</t>
  </si>
  <si>
    <t>01371</t>
  </si>
  <si>
    <t>久遠郡せたな町</t>
  </si>
  <si>
    <t>くどうぐんせたなちょう</t>
  </si>
  <si>
    <t>01398 0137</t>
  </si>
  <si>
    <t>043-04 043-05 049-44 049-45 049-47 049-48</t>
  </si>
  <si>
    <t>01391</t>
  </si>
  <si>
    <t>島牧郡島牧村</t>
  </si>
  <si>
    <t>しままきぐんしままきむら</t>
  </si>
  <si>
    <t>0136</t>
  </si>
  <si>
    <t>048-06</t>
  </si>
  <si>
    <t>寿都郡寿都町</t>
  </si>
  <si>
    <t>すっつぐんすっつちょう</t>
  </si>
  <si>
    <t>048-03 048-04</t>
  </si>
  <si>
    <t>01393</t>
  </si>
  <si>
    <t>寿都郡黒松内町</t>
  </si>
  <si>
    <t>すっつぐんくろまつないちょう</t>
  </si>
  <si>
    <t>048-01</t>
  </si>
  <si>
    <t>01394</t>
  </si>
  <si>
    <t>磯谷郡蘭越町</t>
  </si>
  <si>
    <t>いそやぐんらんこしちょう</t>
  </si>
  <si>
    <t>048-03 048-12 048-13</t>
  </si>
  <si>
    <t>01395</t>
  </si>
  <si>
    <t>虻田郡ニセコ町</t>
  </si>
  <si>
    <t>あぶたぐんにせこちょう</t>
  </si>
  <si>
    <t>048-15</t>
  </si>
  <si>
    <t>01396</t>
  </si>
  <si>
    <t>虻田郡真狩村</t>
  </si>
  <si>
    <t>あぶたぐんまっかりむら</t>
  </si>
  <si>
    <t>048-16</t>
  </si>
  <si>
    <t>虻田郡留寿都村</t>
  </si>
  <si>
    <t>あぶたぐんるすつむら</t>
  </si>
  <si>
    <t>048-17</t>
  </si>
  <si>
    <t>01398</t>
  </si>
  <si>
    <t>虻田郡喜茂別町</t>
  </si>
  <si>
    <t>あぶたぐんきもべつちょう</t>
  </si>
  <si>
    <t>044-02 044-04</t>
  </si>
  <si>
    <t>01399</t>
  </si>
  <si>
    <t>虻田郡京極町</t>
  </si>
  <si>
    <t>あぶたぐんきょうごくちょう</t>
  </si>
  <si>
    <t>044-01</t>
  </si>
  <si>
    <t>01400</t>
  </si>
  <si>
    <t>虻田郡倶知安町</t>
  </si>
  <si>
    <t>あぶたぐんくっちゃんちょう</t>
  </si>
  <si>
    <t>044-00</t>
  </si>
  <si>
    <t>01401</t>
  </si>
  <si>
    <t>岩内郡共和町</t>
  </si>
  <si>
    <t>いわないぐんきょうわちょう</t>
  </si>
  <si>
    <t>0135</t>
  </si>
  <si>
    <t>045-00 045-01 048-21 048-22</t>
  </si>
  <si>
    <t>01402</t>
  </si>
  <si>
    <t>岩内郡岩内町</t>
  </si>
  <si>
    <t>いわないぐんいわないちょう</t>
  </si>
  <si>
    <t>045-00</t>
  </si>
  <si>
    <t>01403</t>
  </si>
  <si>
    <t>古宇郡泊村</t>
  </si>
  <si>
    <t>ふるうぐんとまりむら</t>
  </si>
  <si>
    <t>045-02</t>
  </si>
  <si>
    <t>01404</t>
  </si>
  <si>
    <t>古宇郡神恵内村</t>
  </si>
  <si>
    <t>ふるうぐんかもえないむら</t>
  </si>
  <si>
    <t>045-03</t>
  </si>
  <si>
    <t>01405</t>
  </si>
  <si>
    <t>積丹郡積丹町</t>
  </si>
  <si>
    <t>しゃこたんぐんしゃこたんちょう</t>
  </si>
  <si>
    <t>046-02 046-03</t>
  </si>
  <si>
    <t>01406</t>
  </si>
  <si>
    <t>古平郡古平町</t>
  </si>
  <si>
    <t>ふるびらぐんふるびらちょう</t>
  </si>
  <si>
    <t>046-01</t>
  </si>
  <si>
    <t>01407</t>
  </si>
  <si>
    <t>余市郡仁木町</t>
  </si>
  <si>
    <t>よいちぐんにきちょう</t>
  </si>
  <si>
    <t>048-23 048-24</t>
  </si>
  <si>
    <t>01408</t>
  </si>
  <si>
    <t>余市郡余市町</t>
  </si>
  <si>
    <t>よいちぐんよいちちょう</t>
  </si>
  <si>
    <t>046-00</t>
  </si>
  <si>
    <t>01409</t>
  </si>
  <si>
    <t>余市郡赤井川村</t>
  </si>
  <si>
    <t>よいちぐんあかいがわむら</t>
  </si>
  <si>
    <t>046-05</t>
  </si>
  <si>
    <t>01423</t>
  </si>
  <si>
    <t>空知郡南幌町</t>
  </si>
  <si>
    <t>そらちぐんなんぽろちょう</t>
  </si>
  <si>
    <t>069-02</t>
  </si>
  <si>
    <t>01424</t>
  </si>
  <si>
    <t>空知郡奈井江町</t>
  </si>
  <si>
    <t>そらちぐんないえちょう</t>
  </si>
  <si>
    <t>079-03</t>
  </si>
  <si>
    <t>01425</t>
  </si>
  <si>
    <t>空知郡上砂川町</t>
  </si>
  <si>
    <t>そらちぐんかみすながわちょう</t>
  </si>
  <si>
    <t>073-02</t>
  </si>
  <si>
    <t>01427</t>
  </si>
  <si>
    <t>夕張郡由仁町</t>
  </si>
  <si>
    <t>ゆうばりぐんゆにちょう</t>
  </si>
  <si>
    <t>069-11 069-12</t>
  </si>
  <si>
    <t>01428</t>
  </si>
  <si>
    <t>夕張郡長沼町</t>
  </si>
  <si>
    <t>ゆうばりぐんながぬまちょう</t>
  </si>
  <si>
    <t>069-13 069-14</t>
  </si>
  <si>
    <t>01429</t>
  </si>
  <si>
    <t>夕張郡栗山町</t>
  </si>
  <si>
    <t>ゆうばりぐんくりやまちょう</t>
  </si>
  <si>
    <t>068-03 069-15</t>
  </si>
  <si>
    <t>01430</t>
  </si>
  <si>
    <t>樺戸郡月形町</t>
  </si>
  <si>
    <t>かばとぐんつきがたちょう</t>
  </si>
  <si>
    <t>061-05 068-12</t>
  </si>
  <si>
    <t>01431</t>
  </si>
  <si>
    <t>樺戸郡浦臼町</t>
  </si>
  <si>
    <t>かばとぐんうらうすちょう</t>
  </si>
  <si>
    <t>061-06</t>
  </si>
  <si>
    <t>01432</t>
  </si>
  <si>
    <t>樺戸郡新十津川町</t>
  </si>
  <si>
    <t>かばとぐんしんとつかわちょう</t>
  </si>
  <si>
    <t>073-01 073-11 073-13 078-26</t>
  </si>
  <si>
    <t>01433</t>
  </si>
  <si>
    <t>雨竜郡妹背牛町</t>
  </si>
  <si>
    <t>うりゅうぐんもせうしちょう</t>
  </si>
  <si>
    <t>079-05</t>
  </si>
  <si>
    <t>01434</t>
  </si>
  <si>
    <t>雨竜郡秩父別町</t>
  </si>
  <si>
    <t>うりゅうぐんちっぷべつちょう</t>
  </si>
  <si>
    <t>078-21</t>
  </si>
  <si>
    <t>01436</t>
  </si>
  <si>
    <t>雨竜郡雨竜町</t>
  </si>
  <si>
    <t>うりゅうぐんうりゅうちょう</t>
  </si>
  <si>
    <t>078-25 078-26</t>
  </si>
  <si>
    <t>01437</t>
  </si>
  <si>
    <t>雨竜郡北竜町</t>
  </si>
  <si>
    <t>うりゅうぐんほくりゅうちょう</t>
  </si>
  <si>
    <t>078-25</t>
  </si>
  <si>
    <t>01438</t>
  </si>
  <si>
    <t>雨竜郡沼田町</t>
  </si>
  <si>
    <t>うりゅうぐんぬまたちょう</t>
  </si>
  <si>
    <t>078-22</t>
  </si>
  <si>
    <t>01452</t>
  </si>
  <si>
    <t>上川郡鷹栖町</t>
  </si>
  <si>
    <t>かみかわぐんたかすちょう</t>
  </si>
  <si>
    <t>071-12</t>
  </si>
  <si>
    <t>01453</t>
  </si>
  <si>
    <t>上川郡東神楽町</t>
  </si>
  <si>
    <t>かみかわぐんひがしかぐらちょう</t>
  </si>
  <si>
    <t>071-03 071-15</t>
  </si>
  <si>
    <t>01454</t>
  </si>
  <si>
    <t>上川郡当麻町</t>
  </si>
  <si>
    <t>かみかわぐんとうまちょう</t>
  </si>
  <si>
    <t>078-13</t>
  </si>
  <si>
    <t>01455</t>
  </si>
  <si>
    <t>上川郡比布町</t>
  </si>
  <si>
    <t>かみかわぐんぴっぷちょう</t>
  </si>
  <si>
    <t>078-03</t>
  </si>
  <si>
    <t>01456</t>
  </si>
  <si>
    <t>上川郡愛別町</t>
  </si>
  <si>
    <t>かみかわぐんあいべつちょう</t>
  </si>
  <si>
    <t>01658</t>
  </si>
  <si>
    <t>078-14 078-16</t>
  </si>
  <si>
    <t>01457</t>
  </si>
  <si>
    <t>上川郡上川町</t>
  </si>
  <si>
    <t>かみかわぐんかみかわちょう</t>
  </si>
  <si>
    <t>078-17</t>
  </si>
  <si>
    <t>01458</t>
  </si>
  <si>
    <t>上川郡東川町</t>
  </si>
  <si>
    <t>かみかわぐんひがしかわちょう</t>
  </si>
  <si>
    <t>071-03 071-14</t>
  </si>
  <si>
    <t>01459</t>
  </si>
  <si>
    <t>上川郡美瑛町</t>
  </si>
  <si>
    <t>かみかわぐんびえいちょう</t>
  </si>
  <si>
    <t>071-01 071-02 071-03 071-04</t>
  </si>
  <si>
    <t>01460</t>
  </si>
  <si>
    <t>空知郡上富良野町</t>
  </si>
  <si>
    <t>そらちぐんかみふらのちょう</t>
  </si>
  <si>
    <t>071-04 071-05</t>
  </si>
  <si>
    <t>01461</t>
  </si>
  <si>
    <t>空知郡中富良野町</t>
  </si>
  <si>
    <t>そらちぐんなかふらのちょう</t>
  </si>
  <si>
    <t>071-07</t>
  </si>
  <si>
    <t>01462</t>
  </si>
  <si>
    <t>空知郡南富良野町</t>
  </si>
  <si>
    <t>そらちぐんみなみふらのちょう</t>
  </si>
  <si>
    <t>079-21 079-24 079-25</t>
  </si>
  <si>
    <t>01463</t>
  </si>
  <si>
    <t>勇払郡占冠村</t>
  </si>
  <si>
    <t>ゆうふつぐんしむかっぷむら</t>
  </si>
  <si>
    <t>079-22</t>
  </si>
  <si>
    <t>01464</t>
  </si>
  <si>
    <t>上川郡和寒町</t>
  </si>
  <si>
    <t>かみかわぐんわっさむちょう</t>
  </si>
  <si>
    <t>098-01</t>
  </si>
  <si>
    <t>01465</t>
  </si>
  <si>
    <t>上川郡剣淵町</t>
  </si>
  <si>
    <t>かみかわぐんけんぶちちょう</t>
  </si>
  <si>
    <t>098-03</t>
  </si>
  <si>
    <t>01468</t>
  </si>
  <si>
    <t>上川郡下川町</t>
  </si>
  <si>
    <t>かみかわぐんしもかわちょう</t>
  </si>
  <si>
    <t>01655</t>
  </si>
  <si>
    <t>098-12 098-13</t>
  </si>
  <si>
    <t>01469</t>
  </si>
  <si>
    <t>中川郡美深町</t>
  </si>
  <si>
    <t>なかがわぐんびふかちょう</t>
  </si>
  <si>
    <t>01656</t>
  </si>
  <si>
    <t>098-22 098-23</t>
  </si>
  <si>
    <t>01470</t>
  </si>
  <si>
    <t>中川郡音威子府村</t>
  </si>
  <si>
    <t>なかがわぐんおといねっぷむら</t>
  </si>
  <si>
    <t>098-25</t>
  </si>
  <si>
    <t>01471</t>
  </si>
  <si>
    <t>中川郡中川町</t>
  </si>
  <si>
    <t>なかがわぐんなかがわちょう</t>
  </si>
  <si>
    <t>098-26 098-28</t>
  </si>
  <si>
    <t>01472</t>
  </si>
  <si>
    <t>うりゅうぐんほろかないちょう</t>
  </si>
  <si>
    <t>074-04 074-07</t>
  </si>
  <si>
    <t>01481</t>
  </si>
  <si>
    <t>増毛郡増毛町</t>
  </si>
  <si>
    <t>ましけぐんましけちょう</t>
  </si>
  <si>
    <t>077-01 077-02 077-03</t>
  </si>
  <si>
    <t>01482</t>
  </si>
  <si>
    <t>留萌郡小平町</t>
  </si>
  <si>
    <t>るもいぐんおびらちょう</t>
  </si>
  <si>
    <t>077-04 078-33 078-34</t>
  </si>
  <si>
    <t>01483</t>
  </si>
  <si>
    <t>苫前郡苫前町</t>
  </si>
  <si>
    <t>とままえぐんとままえちょう</t>
  </si>
  <si>
    <t>078-35 078-36 078-37</t>
  </si>
  <si>
    <t>01484</t>
  </si>
  <si>
    <t>苫前郡羽幌町</t>
  </si>
  <si>
    <t>とままえぐんはぼろちょう</t>
  </si>
  <si>
    <t>0164 01648</t>
  </si>
  <si>
    <t>078-38 078-39 078-41</t>
  </si>
  <si>
    <t>01485</t>
  </si>
  <si>
    <t>苫前郡初山別村</t>
  </si>
  <si>
    <t>とままえぐんしょさんべつむら</t>
  </si>
  <si>
    <t>078-44</t>
  </si>
  <si>
    <t>01486</t>
  </si>
  <si>
    <t>天塩郡遠別町</t>
  </si>
  <si>
    <t>てしおぐんえんべつちょう</t>
  </si>
  <si>
    <t>01632</t>
  </si>
  <si>
    <t>098-33 098-35</t>
  </si>
  <si>
    <t>01487</t>
  </si>
  <si>
    <t>天塩郡天塩町</t>
  </si>
  <si>
    <t>てしおぐんてしおちょう</t>
  </si>
  <si>
    <t>098-29 098-31 098-33</t>
  </si>
  <si>
    <t>01511</t>
  </si>
  <si>
    <t>宗谷郡猿払村</t>
  </si>
  <si>
    <t>そうやぐんさるふつむら</t>
  </si>
  <si>
    <t>01635</t>
  </si>
  <si>
    <t>098-61 098-62 098-63</t>
  </si>
  <si>
    <t>01512</t>
  </si>
  <si>
    <t>枝幸郡浜頓別町</t>
  </si>
  <si>
    <t>えさしぐんはまとんべつちょう</t>
  </si>
  <si>
    <t>01634</t>
  </si>
  <si>
    <t>098-57</t>
  </si>
  <si>
    <t>01513</t>
  </si>
  <si>
    <t>枝幸郡中頓別町</t>
  </si>
  <si>
    <t>えさしぐんなかとんべつちょう</t>
  </si>
  <si>
    <t>098-51 098-55</t>
  </si>
  <si>
    <t>01514</t>
  </si>
  <si>
    <t>枝幸郡枝幸町</t>
  </si>
  <si>
    <t>えさしぐんえさしちょう</t>
  </si>
  <si>
    <t>0163</t>
  </si>
  <si>
    <t>098-51 098-52 098-54 098-58 098-59</t>
  </si>
  <si>
    <t>01516</t>
  </si>
  <si>
    <t>天塩郡豊富町</t>
  </si>
  <si>
    <t>てしおぐんとよとみちょう</t>
  </si>
  <si>
    <t>098-41 098-44</t>
  </si>
  <si>
    <t>01517</t>
  </si>
  <si>
    <t>礼文郡礼文町</t>
  </si>
  <si>
    <t>れぶんぐんれぶんちょう</t>
  </si>
  <si>
    <t>097-11 097-12</t>
  </si>
  <si>
    <t>01518</t>
  </si>
  <si>
    <t>利尻郡利尻町</t>
  </si>
  <si>
    <t>りしりぐんりしりちょう</t>
  </si>
  <si>
    <t>097-03 097-04</t>
  </si>
  <si>
    <t>01519</t>
  </si>
  <si>
    <t>利尻郡利尻富士町</t>
  </si>
  <si>
    <t>りしりぐんりしりふじちょう</t>
  </si>
  <si>
    <t>097-01 097-02</t>
  </si>
  <si>
    <t>01520</t>
  </si>
  <si>
    <t>てしおぐんほろのべちょう</t>
  </si>
  <si>
    <t>098-29 098-31 098-32</t>
  </si>
  <si>
    <t>01543</t>
  </si>
  <si>
    <t>網走郡美幌町</t>
  </si>
  <si>
    <t>あばしりぐんびほろちょう</t>
  </si>
  <si>
    <t>092-00 092-01</t>
  </si>
  <si>
    <t>01544</t>
  </si>
  <si>
    <t>網走郡津別町</t>
  </si>
  <si>
    <t>あばしりぐんつべつちょう</t>
  </si>
  <si>
    <t>092-02 092-03</t>
  </si>
  <si>
    <t>01545</t>
  </si>
  <si>
    <t>斜里郡斜里町</t>
  </si>
  <si>
    <t>しゃりぐんしゃりちょう</t>
  </si>
  <si>
    <t>099-41 099-43</t>
  </si>
  <si>
    <t>01546</t>
  </si>
  <si>
    <t>斜里郡清里町</t>
  </si>
  <si>
    <t>しゃりぐんきよさとちょう</t>
  </si>
  <si>
    <t>099-44 099-45</t>
  </si>
  <si>
    <t>01547</t>
  </si>
  <si>
    <t>斜里郡小清水町</t>
  </si>
  <si>
    <t>しゃりぐんこしみずちょう</t>
  </si>
  <si>
    <t>099-34 099-36</t>
  </si>
  <si>
    <t>01549</t>
  </si>
  <si>
    <t>常呂郡訓子府町</t>
  </si>
  <si>
    <t>ところぐんくんねっぷちょう</t>
  </si>
  <si>
    <t>0157</t>
  </si>
  <si>
    <t>099-14</t>
  </si>
  <si>
    <t>01550</t>
  </si>
  <si>
    <t>常呂郡置戸町</t>
  </si>
  <si>
    <t>ところぐんおけとちょう</t>
  </si>
  <si>
    <t>099-11 099-12 099-13</t>
  </si>
  <si>
    <t>01552</t>
  </si>
  <si>
    <t>常呂郡佐呂間町</t>
  </si>
  <si>
    <t>ところぐんさろまちょう</t>
  </si>
  <si>
    <t>01587</t>
  </si>
  <si>
    <t>091-04 091-05 093-04 093-05 093-06</t>
  </si>
  <si>
    <t>01555</t>
  </si>
  <si>
    <t>紋別郡遠軽町</t>
  </si>
  <si>
    <t>もんべつぐんえんがるちょう</t>
  </si>
  <si>
    <t>099-01 099-02 099-03 099-04 099-06 099-07</t>
  </si>
  <si>
    <t>01559</t>
  </si>
  <si>
    <t>紋別郡湧別町</t>
  </si>
  <si>
    <t>もんべつぐんゆうべつちょう</t>
  </si>
  <si>
    <t>01586</t>
  </si>
  <si>
    <t>093-06 093-07 099-62 099-63 099-64 099-65</t>
  </si>
  <si>
    <t>01560</t>
  </si>
  <si>
    <t>紋別郡滝上町</t>
  </si>
  <si>
    <t>もんべつぐんたきのうえちょう</t>
  </si>
  <si>
    <t>099-55 099-56</t>
  </si>
  <si>
    <t>01561</t>
  </si>
  <si>
    <t>紋別郡興部町</t>
  </si>
  <si>
    <t>もんべつぐんおこっぺちょう</t>
  </si>
  <si>
    <t>098-16 098-19</t>
  </si>
  <si>
    <t>01562</t>
  </si>
  <si>
    <t>紋別郡西興部村</t>
  </si>
  <si>
    <t>もんべつぐんにしおこっぺむら</t>
  </si>
  <si>
    <t>098-14 098-15</t>
  </si>
  <si>
    <t>01563</t>
  </si>
  <si>
    <t>紋別郡雄武町</t>
  </si>
  <si>
    <t>もんべつぐんおうむちょう</t>
  </si>
  <si>
    <t>098-17 098-18</t>
  </si>
  <si>
    <t>01564</t>
  </si>
  <si>
    <t>網走郡大空町</t>
  </si>
  <si>
    <t>あばしりぐんおおぞらちょう</t>
  </si>
  <si>
    <t>099-23 099-32</t>
  </si>
  <si>
    <t>01571</t>
  </si>
  <si>
    <t>虻田郡豊浦町</t>
  </si>
  <si>
    <t>あぶたぐんとようらちょう</t>
  </si>
  <si>
    <t>049-53 049-54</t>
  </si>
  <si>
    <t>01575</t>
  </si>
  <si>
    <t>有珠郡壮瞥町</t>
  </si>
  <si>
    <t>うすぐんそうべつちょう</t>
  </si>
  <si>
    <t>049-57 052-01</t>
  </si>
  <si>
    <t>01578</t>
  </si>
  <si>
    <t>白老郡白老町</t>
  </si>
  <si>
    <t>しらおいぐんしらおいちょう</t>
  </si>
  <si>
    <t>059-06 059-09</t>
  </si>
  <si>
    <t>01581</t>
  </si>
  <si>
    <t>勇払郡厚真町</t>
  </si>
  <si>
    <t>ゆうふつぐんあつまちょう</t>
  </si>
  <si>
    <t>0145</t>
  </si>
  <si>
    <t>059-16 059-17</t>
  </si>
  <si>
    <t>01584</t>
  </si>
  <si>
    <t>虻田郡洞爺湖町</t>
  </si>
  <si>
    <t>あぶたぐんとうやこちょう</t>
  </si>
  <si>
    <t>049-56 049-57 049-58</t>
  </si>
  <si>
    <t>01585</t>
  </si>
  <si>
    <t>勇払郡安平町</t>
  </si>
  <si>
    <t>ゆうふつぐんあびらちょう</t>
  </si>
  <si>
    <t>059-14 059-15 059-19</t>
  </si>
  <si>
    <t>勇払郡むかわ町</t>
  </si>
  <si>
    <t>ゆうふつぐんむかわちょう</t>
  </si>
  <si>
    <t>054-00 054-01 054-02 054-03</t>
  </si>
  <si>
    <t>01601</t>
  </si>
  <si>
    <t>沙流郡日高町</t>
  </si>
  <si>
    <t>さるぐんひだかちょう</t>
  </si>
  <si>
    <t>01457 01456</t>
  </si>
  <si>
    <t>055-00 059-21 059-22 059-23 079-23</t>
  </si>
  <si>
    <t>01602</t>
  </si>
  <si>
    <t>沙流郡平取町</t>
  </si>
  <si>
    <t>さるぐんびらとりちょう</t>
  </si>
  <si>
    <t>055-01 055-03 055-04</t>
  </si>
  <si>
    <t>01604</t>
  </si>
  <si>
    <t>新冠郡新冠町</t>
  </si>
  <si>
    <t>にいかっぷぐんにいかっぷちょう</t>
  </si>
  <si>
    <t>0146 01456</t>
  </si>
  <si>
    <t>059-22 059-23 059-24</t>
  </si>
  <si>
    <t>01607</t>
  </si>
  <si>
    <t>浦河郡浦河町</t>
  </si>
  <si>
    <t>うらかわぐんうらかわちょう</t>
  </si>
  <si>
    <t>0146</t>
  </si>
  <si>
    <t>057-00 057-01 058-00 059-34</t>
  </si>
  <si>
    <t>01608</t>
  </si>
  <si>
    <t>様似郡様似町</t>
  </si>
  <si>
    <t>さまにぐんさまにちょう</t>
  </si>
  <si>
    <t>058-00</t>
  </si>
  <si>
    <t>01609</t>
  </si>
  <si>
    <t>幌泉郡えりも町</t>
  </si>
  <si>
    <t>ほろいずみぐんえりもちょう</t>
  </si>
  <si>
    <t>01466</t>
  </si>
  <si>
    <t>058-02 058-03 058-04</t>
  </si>
  <si>
    <t>01610</t>
  </si>
  <si>
    <t>日高郡新ひだか町</t>
  </si>
  <si>
    <t>ひだかぐんしんひだかちょう</t>
  </si>
  <si>
    <t>056-00 056-01 059-25 059-31 059-32 059-33</t>
  </si>
  <si>
    <t>01631</t>
  </si>
  <si>
    <t>河東郡音更町</t>
  </si>
  <si>
    <t>かとうぐんおとふけちょう</t>
  </si>
  <si>
    <t>080-01 080-02 080-03 080-05</t>
  </si>
  <si>
    <t>河東郡士幌町</t>
  </si>
  <si>
    <t>かとうぐんしほろちょう</t>
  </si>
  <si>
    <t>080-11 080-12</t>
  </si>
  <si>
    <t>01633</t>
  </si>
  <si>
    <t>河東郡上士幌町</t>
  </si>
  <si>
    <t>かとうぐんかみしほろちょう</t>
  </si>
  <si>
    <t>080-14</t>
  </si>
  <si>
    <t>河東郡鹿追町</t>
  </si>
  <si>
    <t>かとうぐんしかおいちょう</t>
  </si>
  <si>
    <t>0156</t>
  </si>
  <si>
    <t>081-02 081-03</t>
  </si>
  <si>
    <t>上川郡新得町</t>
  </si>
  <si>
    <t>かみかわぐんしんとくちょう</t>
  </si>
  <si>
    <t>081-00 081-01</t>
  </si>
  <si>
    <t>01636</t>
  </si>
  <si>
    <t>上川郡清水町</t>
  </si>
  <si>
    <t>かみかわぐんしみずちょう</t>
  </si>
  <si>
    <t>089-01 089-02 089-03</t>
  </si>
  <si>
    <t>01637</t>
  </si>
  <si>
    <t>河西郡芽室町</t>
  </si>
  <si>
    <t>かさいぐんめむろちょう</t>
  </si>
  <si>
    <t>082-00 082-03</t>
  </si>
  <si>
    <t>01638</t>
  </si>
  <si>
    <t>河西郡中札内村</t>
  </si>
  <si>
    <t>かさいぐんなかさつないむら</t>
  </si>
  <si>
    <t>089-13</t>
  </si>
  <si>
    <t>01639</t>
  </si>
  <si>
    <t>河西郡更別村</t>
  </si>
  <si>
    <t>かさいぐんさらべつむら</t>
  </si>
  <si>
    <t>089-15</t>
  </si>
  <si>
    <t>01641</t>
  </si>
  <si>
    <t>広尾郡大樹町</t>
  </si>
  <si>
    <t>ひろおぐんたいきちょう</t>
  </si>
  <si>
    <t>01558</t>
  </si>
  <si>
    <t>089-18 089-21 089-22</t>
  </si>
  <si>
    <t>01642</t>
  </si>
  <si>
    <t>広尾郡広尾町</t>
  </si>
  <si>
    <t>ひろおぐんひろおちょう</t>
  </si>
  <si>
    <t>089-24 089-25 089-26 089-27</t>
  </si>
  <si>
    <t>01643</t>
  </si>
  <si>
    <t>中川郡幕別町</t>
  </si>
  <si>
    <t>なかがわぐんまくべつちょう</t>
  </si>
  <si>
    <t>0155 01558</t>
  </si>
  <si>
    <t>089-05 089-06 089-07 089-17 089-18</t>
  </si>
  <si>
    <t>01644</t>
  </si>
  <si>
    <t>中川郡池田町</t>
  </si>
  <si>
    <t>なかがわぐんいけだちょう</t>
  </si>
  <si>
    <t>015</t>
  </si>
  <si>
    <t>083-00 089-31</t>
  </si>
  <si>
    <t>01645</t>
  </si>
  <si>
    <t>中川郡豊頃町</t>
  </si>
  <si>
    <t>なかがわぐんとよころちょう</t>
  </si>
  <si>
    <t>089-52 089-53 089-54</t>
  </si>
  <si>
    <t>01646</t>
  </si>
  <si>
    <t>中川郡本別町</t>
  </si>
  <si>
    <t>なかがわぐんほんべつちょう</t>
  </si>
  <si>
    <t>089-32 089-33 089-34 089-36 089-37</t>
  </si>
  <si>
    <t>01647</t>
  </si>
  <si>
    <t>足寄郡足寄町</t>
  </si>
  <si>
    <t>あしょろぐんあしょろちょう</t>
  </si>
  <si>
    <t>089-37 089-38 089-39 089-41 089-42</t>
  </si>
  <si>
    <t>01648</t>
  </si>
  <si>
    <t>足寄郡陸別町</t>
  </si>
  <si>
    <t>あしょろぐんりくべつちょう</t>
  </si>
  <si>
    <t>089-42 089-43</t>
  </si>
  <si>
    <t>01649</t>
  </si>
  <si>
    <t>十勝郡浦幌町</t>
  </si>
  <si>
    <t>とかちぐんうらほろちょう</t>
  </si>
  <si>
    <t>088-01 089-35 089-55 089-56 089-58</t>
  </si>
  <si>
    <t>01661</t>
  </si>
  <si>
    <t>釧路郡釧路町</t>
  </si>
  <si>
    <t>くしろぐんくしろちょう</t>
  </si>
  <si>
    <t>0154</t>
  </si>
  <si>
    <t>085-22 088-06 088-08 088-21</t>
  </si>
  <si>
    <t>01662</t>
  </si>
  <si>
    <t>厚岸郡厚岸町</t>
  </si>
  <si>
    <t>あっけしぐんあっけしちょう</t>
  </si>
  <si>
    <t>088-07 088-08 088-11 088-13</t>
  </si>
  <si>
    <t>01663</t>
  </si>
  <si>
    <t>厚岸郡浜中町</t>
  </si>
  <si>
    <t>あっけしぐんはまなかちょう</t>
  </si>
  <si>
    <t>086-00 088-13 088-14 088-15 088-16</t>
  </si>
  <si>
    <t>01664</t>
  </si>
  <si>
    <t>川上郡標茶町</t>
  </si>
  <si>
    <t>かわかみぐんしべちゃちょう</t>
  </si>
  <si>
    <t>085-13 088-22 088-23 088-24 088-31</t>
  </si>
  <si>
    <t>01665</t>
  </si>
  <si>
    <t>川上郡弟子屈町</t>
  </si>
  <si>
    <t>かわかみぐんてしかがちょう</t>
  </si>
  <si>
    <t>088-31 088-32 088-33 088-34</t>
  </si>
  <si>
    <t>01667</t>
  </si>
  <si>
    <t>阿寒郡鶴居村</t>
  </si>
  <si>
    <t>あかんぐんつるいむら</t>
  </si>
  <si>
    <t>085-11 085-12 085-13</t>
  </si>
  <si>
    <t>01668</t>
  </si>
  <si>
    <t>白糠郡白糠町</t>
  </si>
  <si>
    <t>しらぬかぐんしらぬかちょう</t>
  </si>
  <si>
    <t>088-03 088-05</t>
  </si>
  <si>
    <t>01691</t>
  </si>
  <si>
    <t>野付郡別海町</t>
  </si>
  <si>
    <t>のつけぐんべつかいちょう</t>
  </si>
  <si>
    <t>086-01 086-02 086-03 086-05 086-06 086-16 088-25 088-26 088-27</t>
  </si>
  <si>
    <t>01692</t>
  </si>
  <si>
    <t>標津郡中標津町</t>
  </si>
  <si>
    <t>しべつぐんなかしべつちょう</t>
  </si>
  <si>
    <t>086-10 086-11 086-12 088-26</t>
  </si>
  <si>
    <t>01693</t>
  </si>
  <si>
    <t>標津郡標津町</t>
  </si>
  <si>
    <t>しべつぐんしべつちょう</t>
  </si>
  <si>
    <t>086-14 086-16 086-17</t>
  </si>
  <si>
    <t>01694</t>
  </si>
  <si>
    <t>目梨郡羅臼町</t>
  </si>
  <si>
    <t>めなしぐんらうすちょう</t>
  </si>
  <si>
    <t>086-17 086-18</t>
  </si>
  <si>
    <t>02201</t>
  </si>
  <si>
    <t>青森市</t>
  </si>
  <si>
    <t>あおもりし</t>
  </si>
  <si>
    <t>017 0172</t>
  </si>
  <si>
    <t>030-01 030-08 030-09 030-12 038-00 038-13 039-35</t>
  </si>
  <si>
    <t>02202</t>
  </si>
  <si>
    <t>弘前市</t>
  </si>
  <si>
    <t>ひろさきし</t>
  </si>
  <si>
    <t>0172</t>
  </si>
  <si>
    <t>036-00 036-12 036-13 036-14 036-15 036-80 036-81 036-82 036-83 038-36 038-38</t>
  </si>
  <si>
    <t>02203</t>
  </si>
  <si>
    <t>八戸市</t>
  </si>
  <si>
    <t>はちのへし</t>
  </si>
  <si>
    <t>0178</t>
  </si>
  <si>
    <t>031-00 031-01 031-02 031-08 039-11 039-22</t>
  </si>
  <si>
    <t>02204</t>
  </si>
  <si>
    <t>黒石市</t>
  </si>
  <si>
    <t>くろいしし</t>
  </si>
  <si>
    <t>036-03 036-04 036-05</t>
  </si>
  <si>
    <t>02205</t>
  </si>
  <si>
    <t>五所川原市</t>
  </si>
  <si>
    <t>ごしょがわらし</t>
  </si>
  <si>
    <t>0173</t>
  </si>
  <si>
    <t>037-00 037-02 037-04 037-06</t>
  </si>
  <si>
    <t>02206</t>
  </si>
  <si>
    <t>十和田市</t>
  </si>
  <si>
    <t>とわだし</t>
  </si>
  <si>
    <t>0176</t>
  </si>
  <si>
    <t>018-55 034-00 034-01 034-02 034-03</t>
  </si>
  <si>
    <t>02207</t>
  </si>
  <si>
    <t>三沢市</t>
  </si>
  <si>
    <t>みさわし</t>
  </si>
  <si>
    <t>033-00 033-01</t>
  </si>
  <si>
    <t>02208</t>
  </si>
  <si>
    <t>むつ市</t>
  </si>
  <si>
    <t>むつし</t>
  </si>
  <si>
    <t>0175</t>
  </si>
  <si>
    <t>035-00 039-44 039-47 039-52 039-53</t>
  </si>
  <si>
    <t>02209</t>
  </si>
  <si>
    <t>つがる市</t>
  </si>
  <si>
    <t>つがるし</t>
  </si>
  <si>
    <t>037-01 038-28 038-31 038-32 038-33</t>
  </si>
  <si>
    <t>02210</t>
  </si>
  <si>
    <t>平川市</t>
  </si>
  <si>
    <t>ひらかわし</t>
  </si>
  <si>
    <t>036-01 036-02 038-01</t>
  </si>
  <si>
    <t>02301</t>
  </si>
  <si>
    <t>東津軽郡平内町</t>
  </si>
  <si>
    <t>ひがしつがるぐんひらないまち</t>
  </si>
  <si>
    <t>017</t>
  </si>
  <si>
    <t>039-33</t>
  </si>
  <si>
    <t>02303</t>
  </si>
  <si>
    <t>東津軽郡今別町</t>
  </si>
  <si>
    <t>ひがしつがるぐんいまべつまち</t>
  </si>
  <si>
    <t>0174</t>
  </si>
  <si>
    <t>030-15</t>
  </si>
  <si>
    <t>02304</t>
  </si>
  <si>
    <t>東津軽郡蓬田村</t>
  </si>
  <si>
    <t>ひがしつがるぐんよもぎたむら</t>
  </si>
  <si>
    <t>030-12</t>
  </si>
  <si>
    <t>02307</t>
  </si>
  <si>
    <t>東津軽郡外ヶ浜町</t>
  </si>
  <si>
    <t>ひがしつがるぐんそとがはままち</t>
  </si>
  <si>
    <t>030-13 030-14 030-17</t>
  </si>
  <si>
    <t>02321</t>
  </si>
  <si>
    <t>西津軽郡鰺ヶ沢町</t>
  </si>
  <si>
    <t>にしつがるぐんあじがさわまち</t>
  </si>
  <si>
    <t>038-27</t>
  </si>
  <si>
    <t>02323</t>
  </si>
  <si>
    <t>西津軽郡深浦町</t>
  </si>
  <si>
    <t>にしつがるぐんふかうらまち</t>
  </si>
  <si>
    <t>038-22 038-23 038-24 038-25</t>
  </si>
  <si>
    <t>02343</t>
  </si>
  <si>
    <t>中津軽郡西目屋村</t>
  </si>
  <si>
    <t>なかつがるぐんにしめやむら</t>
  </si>
  <si>
    <t>036-14</t>
  </si>
  <si>
    <t>02361</t>
  </si>
  <si>
    <t>南津軽郡藤崎町</t>
  </si>
  <si>
    <t>みなみつがるぐんふじさきまち</t>
  </si>
  <si>
    <t>038-12 038-38</t>
  </si>
  <si>
    <t>02362</t>
  </si>
  <si>
    <t>南津軽郡大鰐町</t>
  </si>
  <si>
    <t>みなみつがるぐんおおわにまち</t>
  </si>
  <si>
    <t>038-02</t>
  </si>
  <si>
    <t>02367</t>
  </si>
  <si>
    <t>南津軽郡田舎館村</t>
  </si>
  <si>
    <t>みなみつがるぐんいなかだてむら</t>
  </si>
  <si>
    <t>038-11</t>
  </si>
  <si>
    <t>02381</t>
  </si>
  <si>
    <t>北津軽郡板柳町</t>
  </si>
  <si>
    <t>きたつがるぐんいたやなぎまち</t>
  </si>
  <si>
    <t>038-36</t>
  </si>
  <si>
    <t>02384</t>
  </si>
  <si>
    <t>北津軽郡鶴田町</t>
  </si>
  <si>
    <t>きたつがるぐんつるたまち</t>
  </si>
  <si>
    <t>038-35</t>
  </si>
  <si>
    <t>02387</t>
  </si>
  <si>
    <t>北津軽郡中泊町</t>
  </si>
  <si>
    <t>きたつがるぐんなかどまりまち</t>
  </si>
  <si>
    <t>030-17 037-03 037-05</t>
  </si>
  <si>
    <t>02401</t>
  </si>
  <si>
    <t>上北郡野辺地町</t>
  </si>
  <si>
    <t>かみきたぐんのへじまち</t>
  </si>
  <si>
    <t>039-31</t>
  </si>
  <si>
    <t>02402</t>
  </si>
  <si>
    <t>上北郡七戸町</t>
  </si>
  <si>
    <t>かみきたぐんしちのへまち</t>
  </si>
  <si>
    <t>039-25 039-27 039-28</t>
  </si>
  <si>
    <t>02405</t>
  </si>
  <si>
    <t>上北郡六戸町</t>
  </si>
  <si>
    <t>かみきたぐんろくのへまち</t>
  </si>
  <si>
    <t>033-00 039-23</t>
  </si>
  <si>
    <t>02406</t>
  </si>
  <si>
    <t>上北郡横浜町</t>
  </si>
  <si>
    <t>かみきたぐんよこはままち</t>
  </si>
  <si>
    <t>039-41</t>
  </si>
  <si>
    <t>02408</t>
  </si>
  <si>
    <t>上北郡東北町</t>
  </si>
  <si>
    <t>かみきたぐんとうほくまち</t>
  </si>
  <si>
    <t>0175 0176</t>
  </si>
  <si>
    <t>039-24 039-26</t>
  </si>
  <si>
    <t>02411</t>
  </si>
  <si>
    <t>上北郡六ヶ所村</t>
  </si>
  <si>
    <t>かみきたぐんろっかしょむら</t>
  </si>
  <si>
    <t>039-32 039-43</t>
  </si>
  <si>
    <t>02412</t>
  </si>
  <si>
    <t>上北郡おいらせ町</t>
  </si>
  <si>
    <t>かみきたぐんおいらせちょう</t>
  </si>
  <si>
    <t>039-21 039-22</t>
  </si>
  <si>
    <t>02423</t>
  </si>
  <si>
    <t>下北郡大間町</t>
  </si>
  <si>
    <t>しもきたぐんおおままち</t>
  </si>
  <si>
    <t>039-46</t>
  </si>
  <si>
    <t>02424</t>
  </si>
  <si>
    <t>下北郡東通村</t>
  </si>
  <si>
    <t>しもきたぐんひがしどおりむら</t>
  </si>
  <si>
    <t>035-00 035-01 039-42</t>
  </si>
  <si>
    <t>02425</t>
  </si>
  <si>
    <t>下北郡風間浦村</t>
  </si>
  <si>
    <t>しもきたぐんかざまうらむら</t>
  </si>
  <si>
    <t>039-45</t>
  </si>
  <si>
    <t>02426</t>
  </si>
  <si>
    <t>下北郡佐井村</t>
  </si>
  <si>
    <t>しもきたぐんさいむら</t>
  </si>
  <si>
    <t>039-47</t>
  </si>
  <si>
    <t>02441</t>
  </si>
  <si>
    <t>三戸郡三戸町</t>
  </si>
  <si>
    <t>さんのへぐんさんのへまち</t>
  </si>
  <si>
    <t>0179</t>
  </si>
  <si>
    <t>039-01 039-04</t>
  </si>
  <si>
    <t>02442</t>
  </si>
  <si>
    <t>三戸郡五戸町</t>
  </si>
  <si>
    <t>さんのへぐんごのへまち</t>
  </si>
  <si>
    <t>039-15 039-17 039-23</t>
  </si>
  <si>
    <t>02443</t>
  </si>
  <si>
    <t>三戸郡田子町</t>
  </si>
  <si>
    <t>さんのへぐんたっこまち</t>
  </si>
  <si>
    <t>039-02 039-03</t>
  </si>
  <si>
    <t>02445</t>
  </si>
  <si>
    <t>三戸郡南部町</t>
  </si>
  <si>
    <t>さんのへぐんなんぶちょう</t>
  </si>
  <si>
    <t>0178 0179</t>
  </si>
  <si>
    <t>039-01 039-05 039-06 039-08</t>
  </si>
  <si>
    <t>02446</t>
  </si>
  <si>
    <t>三戸郡階上町</t>
  </si>
  <si>
    <t>さんのへぐんはしかみちょう</t>
  </si>
  <si>
    <t>039-12</t>
  </si>
  <si>
    <t>02450</t>
  </si>
  <si>
    <t>三戸郡新郷村</t>
  </si>
  <si>
    <t>さんのへぐんしんごうむら</t>
  </si>
  <si>
    <t>039-18</t>
  </si>
  <si>
    <t>03201</t>
  </si>
  <si>
    <t>盛岡市</t>
  </si>
  <si>
    <t>もりおかし</t>
  </si>
  <si>
    <t>019</t>
  </si>
  <si>
    <t>020-00 020-01 020-02 020-03 020-04 020-08 028-27 028-41</t>
  </si>
  <si>
    <t>03202</t>
  </si>
  <si>
    <t>宮古市</t>
  </si>
  <si>
    <t>みやこし</t>
  </si>
  <si>
    <t>0193</t>
  </si>
  <si>
    <t>027-00 027-01 027-02 027-03 028-21 028-23 028-24 025-25 028-26</t>
  </si>
  <si>
    <t>03203</t>
  </si>
  <si>
    <t>大船渡市</t>
  </si>
  <si>
    <t>おおふなとし</t>
  </si>
  <si>
    <t>0192</t>
  </si>
  <si>
    <t>022-00 022-01 022-02</t>
  </si>
  <si>
    <t>03205</t>
  </si>
  <si>
    <t>花巻市</t>
  </si>
  <si>
    <t>はなまきし</t>
  </si>
  <si>
    <t>0198</t>
  </si>
  <si>
    <t>025-00 025-01 025-02 025-03 028-01 028-31 028-32</t>
  </si>
  <si>
    <t>03206</t>
  </si>
  <si>
    <t>北上市</t>
  </si>
  <si>
    <t>きたかみし</t>
  </si>
  <si>
    <t>0197</t>
  </si>
  <si>
    <t>024-00 024-01 024-02 024-03</t>
  </si>
  <si>
    <t>03207</t>
  </si>
  <si>
    <t>久慈市</t>
  </si>
  <si>
    <t>くじし</t>
  </si>
  <si>
    <t>0194</t>
  </si>
  <si>
    <t>028-00 028-78 028-81 028-85 028-86 028-87</t>
  </si>
  <si>
    <t>03208</t>
  </si>
  <si>
    <t>遠野市</t>
  </si>
  <si>
    <t>とおのし</t>
  </si>
  <si>
    <t>028-03 028-04 028-05 028-06 028-07</t>
  </si>
  <si>
    <t>03209</t>
  </si>
  <si>
    <t>一関市</t>
  </si>
  <si>
    <t>いちのせきし</t>
  </si>
  <si>
    <t>0191</t>
  </si>
  <si>
    <t>021-00 021-01 021-02 021-08 021-09 029-01 029-02 029-03 029-04 029-05 029-06 029-07 029-08 029-11 029-12 029-31 029-32</t>
  </si>
  <si>
    <t>03210</t>
  </si>
  <si>
    <t>陸前高田市</t>
  </si>
  <si>
    <t>りくぜんたかたし</t>
  </si>
  <si>
    <t>029-22</t>
  </si>
  <si>
    <t>03211</t>
  </si>
  <si>
    <t>釜石市</t>
  </si>
  <si>
    <t>かまいしし</t>
  </si>
  <si>
    <t>026-00 026-01 026-03 026-04</t>
  </si>
  <si>
    <t>03213</t>
  </si>
  <si>
    <t>二戸市</t>
  </si>
  <si>
    <t>にのへし</t>
  </si>
  <si>
    <t>0195</t>
  </si>
  <si>
    <t>028-57 028-61 028-67 028-68 028-69</t>
  </si>
  <si>
    <t>03214</t>
  </si>
  <si>
    <t>八幡平市</t>
  </si>
  <si>
    <t>はちまんたいし</t>
  </si>
  <si>
    <t>028-71 028-73 028-74 028-75 028-76</t>
  </si>
  <si>
    <t>03215</t>
  </si>
  <si>
    <t>奥州市</t>
  </si>
  <si>
    <t>おうしゅうし</t>
  </si>
  <si>
    <t>023-00 023-01 023-04 023-08 023-11 023-13 023-15 023-17 029-42 029-43 029-44</t>
  </si>
  <si>
    <t>03301</t>
  </si>
  <si>
    <t>岩手郡雫石町</t>
  </si>
  <si>
    <t>いわてぐんしずくいしちょう</t>
  </si>
  <si>
    <t>020-05</t>
  </si>
  <si>
    <t>03302</t>
  </si>
  <si>
    <t>岩手郡葛巻町</t>
  </si>
  <si>
    <t>いわてぐんくずまきまち</t>
  </si>
  <si>
    <t>028-51 028-54</t>
  </si>
  <si>
    <t>03303</t>
  </si>
  <si>
    <t>岩手郡岩手町</t>
  </si>
  <si>
    <t>いわてぐんいわてまち</t>
  </si>
  <si>
    <t>028-42 028-43 028-44</t>
  </si>
  <si>
    <t>03305</t>
  </si>
  <si>
    <t>岩手郡滝沢村</t>
  </si>
  <si>
    <t>いわてぐんたきざわむら</t>
  </si>
  <si>
    <t>020-01</t>
  </si>
  <si>
    <t>03321</t>
  </si>
  <si>
    <t>紫波郡紫波町</t>
  </si>
  <si>
    <t>しわぐんしわちょう</t>
  </si>
  <si>
    <t>028-33 028-34 028-35</t>
  </si>
  <si>
    <t>03322</t>
  </si>
  <si>
    <t>紫波郡矢巾町</t>
  </si>
  <si>
    <t>しわぐんやはばちょう</t>
  </si>
  <si>
    <t>020-08 028-36</t>
  </si>
  <si>
    <t>03366</t>
  </si>
  <si>
    <t>和賀郡西和賀町</t>
  </si>
  <si>
    <t>わがぐんにしわがまち</t>
  </si>
  <si>
    <t>024-03 029-55 029-56 029-57</t>
  </si>
  <si>
    <t>03381</t>
  </si>
  <si>
    <t>胆沢郡金ケ崎町</t>
  </si>
  <si>
    <t>いさわぐんかねがさきちょう</t>
  </si>
  <si>
    <t>029-45</t>
  </si>
  <si>
    <t>03402</t>
  </si>
  <si>
    <t>西磐井郡平泉町</t>
  </si>
  <si>
    <t>にしいわいぐんひらいずみちょう</t>
  </si>
  <si>
    <t>029-41</t>
  </si>
  <si>
    <t>03441</t>
  </si>
  <si>
    <t>気仙郡住田町</t>
  </si>
  <si>
    <t>けせんぐんすみたちょう</t>
  </si>
  <si>
    <t>029-23 029-25</t>
  </si>
  <si>
    <t>03461</t>
  </si>
  <si>
    <t>上閉伊郡大槌町</t>
  </si>
  <si>
    <t>かみへいぐんおおつちちょう</t>
  </si>
  <si>
    <t>028-11</t>
  </si>
  <si>
    <t>03482</t>
  </si>
  <si>
    <t>下閉伊郡山田町</t>
  </si>
  <si>
    <t>しもへいぐんやまだまち</t>
  </si>
  <si>
    <t>028-13</t>
  </si>
  <si>
    <t>03483</t>
  </si>
  <si>
    <t>下閉伊郡岩泉町</t>
  </si>
  <si>
    <t>しもへいぐんいわいずみちょう</t>
  </si>
  <si>
    <t>027-04 027-05 027-06 028-22 028-56</t>
  </si>
  <si>
    <t>03484</t>
  </si>
  <si>
    <t>下閉伊郡田野畑村</t>
  </si>
  <si>
    <t>しもへいぐんたのはたむら</t>
  </si>
  <si>
    <t>028-84</t>
  </si>
  <si>
    <t>03485</t>
  </si>
  <si>
    <t>下閉伊郡普代村</t>
  </si>
  <si>
    <t>しもへいぐんふだいむら</t>
  </si>
  <si>
    <t>028-83</t>
  </si>
  <si>
    <t>03501</t>
  </si>
  <si>
    <t>九戸郡軽米町</t>
  </si>
  <si>
    <t>くのへぐんかるまいまち</t>
  </si>
  <si>
    <t>028-62 028-63 028-64</t>
  </si>
  <si>
    <t>03503</t>
  </si>
  <si>
    <t>九戸郡野田村</t>
  </si>
  <si>
    <t>くのへぐんのだむら</t>
  </si>
  <si>
    <t>028-82</t>
  </si>
  <si>
    <t>03506</t>
  </si>
  <si>
    <t>九戸郡九戸村</t>
  </si>
  <si>
    <t>くのへぐんくのへむら</t>
  </si>
  <si>
    <t>028-65 028-66</t>
  </si>
  <si>
    <t>03507</t>
  </si>
  <si>
    <t>九戸郡洋野町</t>
  </si>
  <si>
    <t>くのへぐんひろのちょう</t>
  </si>
  <si>
    <t>028-79 028-88</t>
  </si>
  <si>
    <t>03524</t>
  </si>
  <si>
    <t>二戸郡一戸町</t>
  </si>
  <si>
    <t>にのへぐんいちのへまち</t>
  </si>
  <si>
    <t>028-51 028-52 028-53</t>
  </si>
  <si>
    <t>04100</t>
  </si>
  <si>
    <t>仙台市</t>
  </si>
  <si>
    <t>せんだいし</t>
  </si>
  <si>
    <t>04101</t>
  </si>
  <si>
    <t>仙台市青葉区</t>
  </si>
  <si>
    <t>せんだいしあおばく</t>
  </si>
  <si>
    <t>022</t>
  </si>
  <si>
    <t>980-00 980-08 980-60 980-61 981-09 982-02 989-31 989-32 989-34</t>
  </si>
  <si>
    <t>04102</t>
  </si>
  <si>
    <t>仙台市宮城野区</t>
  </si>
  <si>
    <t>せんだいしみやぎのく</t>
  </si>
  <si>
    <t>983-00 983-08 985-09</t>
  </si>
  <si>
    <t>04103</t>
  </si>
  <si>
    <t>仙台市若林区</t>
  </si>
  <si>
    <t>せんだいしわかばやしく</t>
  </si>
  <si>
    <t>984-00 984-08</t>
  </si>
  <si>
    <t>04104</t>
  </si>
  <si>
    <t>仙台市太白区</t>
  </si>
  <si>
    <t>せんだいしたいはくく</t>
  </si>
  <si>
    <t>981-11 982-00 982-02 982-08</t>
  </si>
  <si>
    <t>04105</t>
  </si>
  <si>
    <t>仙台市泉区</t>
  </si>
  <si>
    <t>せんだいしいずみく</t>
  </si>
  <si>
    <t>981-31 981-32 981-80</t>
  </si>
  <si>
    <t>04202</t>
  </si>
  <si>
    <t>石巻市</t>
  </si>
  <si>
    <t>いしのまきし</t>
  </si>
  <si>
    <t>0225</t>
  </si>
  <si>
    <t>986-00 986-01 986-02 986-03 986-08 986-11 986-13 986-21 986-23 986-24 986-25 987-11 987-12</t>
  </si>
  <si>
    <t>04203</t>
  </si>
  <si>
    <t>塩竈市</t>
  </si>
  <si>
    <t>しおがまし</t>
  </si>
  <si>
    <t>985-00 985-01</t>
  </si>
  <si>
    <t>04205</t>
  </si>
  <si>
    <t>気仙沼市</t>
  </si>
  <si>
    <t>けせんぬまし</t>
  </si>
  <si>
    <t>0226</t>
  </si>
  <si>
    <t>988-00 988-01 988-02 988-03 988-05 988-06 988-08 988-09</t>
  </si>
  <si>
    <t>04206</t>
  </si>
  <si>
    <t>白石市</t>
  </si>
  <si>
    <t>しろいしし</t>
  </si>
  <si>
    <t>0224</t>
  </si>
  <si>
    <t>989-01 989-02 989-07 989-11</t>
  </si>
  <si>
    <t>04207</t>
  </si>
  <si>
    <t>名取市</t>
  </si>
  <si>
    <t>なとりし</t>
  </si>
  <si>
    <t>022 0223</t>
  </si>
  <si>
    <t>981-12 989-24</t>
  </si>
  <si>
    <t>04208</t>
  </si>
  <si>
    <t>角田市</t>
  </si>
  <si>
    <t>かくだし</t>
  </si>
  <si>
    <t>981-15</t>
  </si>
  <si>
    <t>04209</t>
  </si>
  <si>
    <t>多賀城市</t>
  </si>
  <si>
    <t>たがじょうし</t>
  </si>
  <si>
    <t>985-00 985-08</t>
  </si>
  <si>
    <t>04211</t>
  </si>
  <si>
    <t>岩沼市</t>
  </si>
  <si>
    <t>いわぬまし</t>
  </si>
  <si>
    <t>0223</t>
  </si>
  <si>
    <t>989-24</t>
  </si>
  <si>
    <t>04212</t>
  </si>
  <si>
    <t>登米市</t>
  </si>
  <si>
    <t>とめし</t>
  </si>
  <si>
    <t>0220 0225 0228</t>
  </si>
  <si>
    <t>986-04 987-03 987-04 987-05 987-06 987-07 987-09 989-46 989-47</t>
  </si>
  <si>
    <t>04213</t>
  </si>
  <si>
    <t>栗原市</t>
  </si>
  <si>
    <t>くりはらし</t>
  </si>
  <si>
    <t>0228</t>
  </si>
  <si>
    <t>987-20 987-21 987-22 987-23 987-25 989-45 989-48 989-51 989-53 989-54 989-55 989-56 989-67</t>
  </si>
  <si>
    <t>04214</t>
  </si>
  <si>
    <t>東松島市</t>
  </si>
  <si>
    <t>ひがしまつしまし</t>
  </si>
  <si>
    <t>981-03 981-04 981-05</t>
  </si>
  <si>
    <t>04215</t>
  </si>
  <si>
    <t>大崎市</t>
  </si>
  <si>
    <t>おおさきし</t>
  </si>
  <si>
    <t>0229</t>
  </si>
  <si>
    <t>987-13 989-41 989-43 989-44 989-61 989-62 989-63 989-64 989-67 989-68 989-69</t>
  </si>
  <si>
    <t>04301</t>
  </si>
  <si>
    <t>刈田郡蔵王町</t>
  </si>
  <si>
    <t>かったぐんざおうまち</t>
  </si>
  <si>
    <t>989-07 989-08 989-09</t>
  </si>
  <si>
    <t>04302</t>
  </si>
  <si>
    <t>刈田郡七ケ宿町</t>
  </si>
  <si>
    <t>かったぐんしちかしゅくまち</t>
  </si>
  <si>
    <t>989-05 989-06</t>
  </si>
  <si>
    <t>04321</t>
  </si>
  <si>
    <t>柴田郡大河原町</t>
  </si>
  <si>
    <t>しばたぐんおおがわらまち</t>
  </si>
  <si>
    <t>989-12</t>
  </si>
  <si>
    <t>04322</t>
  </si>
  <si>
    <t>柴田郡村田町</t>
  </si>
  <si>
    <t>しばたぐんむらたまち</t>
  </si>
  <si>
    <t>989-13 989-15</t>
  </si>
  <si>
    <t>04323</t>
  </si>
  <si>
    <t>柴田郡柴田町</t>
  </si>
  <si>
    <t>しばたぐんしばたまち</t>
  </si>
  <si>
    <t>989-16 989-17</t>
  </si>
  <si>
    <t>04324</t>
  </si>
  <si>
    <t>柴田郡川崎町</t>
  </si>
  <si>
    <t>しばたぐんかわさきまち</t>
  </si>
  <si>
    <t>989-09 989-15</t>
  </si>
  <si>
    <t>04341</t>
  </si>
  <si>
    <t>伊具郡丸森町</t>
  </si>
  <si>
    <t>いぐぐんまるもりまち</t>
  </si>
  <si>
    <t>981-21 981-22 981-23 981-24 981-25</t>
  </si>
  <si>
    <t>04361</t>
  </si>
  <si>
    <t>亘理郡亘理町</t>
  </si>
  <si>
    <t>わたりぐんわたりちょう</t>
  </si>
  <si>
    <t>989-23</t>
  </si>
  <si>
    <t>04362</t>
  </si>
  <si>
    <t>亘理郡山元町</t>
  </si>
  <si>
    <t>わたりぐんやまもとちょう</t>
  </si>
  <si>
    <t>989-21 989-22</t>
  </si>
  <si>
    <t>04401</t>
  </si>
  <si>
    <t>宮城郡松島町</t>
  </si>
  <si>
    <t>みやぎぐんまつしままち</t>
  </si>
  <si>
    <t>981-02</t>
  </si>
  <si>
    <t>04404</t>
  </si>
  <si>
    <t>宮城郡七ヶ浜町</t>
  </si>
  <si>
    <t>みやぎぐんしちがはままち</t>
  </si>
  <si>
    <t>04406</t>
  </si>
  <si>
    <t>宮城郡利府町</t>
  </si>
  <si>
    <t>みやぎぐんりふちょう</t>
  </si>
  <si>
    <t>981-01</t>
  </si>
  <si>
    <t>04421</t>
  </si>
  <si>
    <t>黒川郡大和町</t>
  </si>
  <si>
    <t>くろかわぐんたいわちょう</t>
  </si>
  <si>
    <t>981-32 981-34 981-36</t>
  </si>
  <si>
    <t>04422</t>
  </si>
  <si>
    <t>黒川郡大郷町</t>
  </si>
  <si>
    <t>くろかわぐんおおさとちょう</t>
  </si>
  <si>
    <t>981-35</t>
  </si>
  <si>
    <t>04423</t>
  </si>
  <si>
    <t>黒川郡富谷町</t>
  </si>
  <si>
    <t>くろかわぐんとみやまち</t>
  </si>
  <si>
    <t>981-33</t>
  </si>
  <si>
    <t>04424</t>
  </si>
  <si>
    <t>黒川郡大衡村</t>
  </si>
  <si>
    <t>くろかわぐんおおひらむら</t>
  </si>
  <si>
    <t>981-36</t>
  </si>
  <si>
    <t>04444</t>
  </si>
  <si>
    <t>加美郡色麻町</t>
  </si>
  <si>
    <t>かみぐんしかまちょう</t>
  </si>
  <si>
    <t>981-41</t>
  </si>
  <si>
    <t>04445</t>
  </si>
  <si>
    <t>加美郡加美町</t>
  </si>
  <si>
    <t>かみぐんかみまち</t>
  </si>
  <si>
    <t>981-42 981-43 981-44</t>
  </si>
  <si>
    <t>04501</t>
  </si>
  <si>
    <t>遠田郡涌谷町</t>
  </si>
  <si>
    <t>とおだぐんわくやちょう</t>
  </si>
  <si>
    <t>987-01 987-02</t>
  </si>
  <si>
    <t>04505</t>
  </si>
  <si>
    <t>遠田郡美里町</t>
  </si>
  <si>
    <t>とおだぐんみさとまち</t>
  </si>
  <si>
    <t>987-00 989-42</t>
  </si>
  <si>
    <t>04581</t>
  </si>
  <si>
    <t>牡鹿郡女川町</t>
  </si>
  <si>
    <t>おしかぐんおながわちょう</t>
  </si>
  <si>
    <t>986-22</t>
  </si>
  <si>
    <t>04606</t>
  </si>
  <si>
    <t>本吉郡南三陸町</t>
  </si>
  <si>
    <t>もとよしぐんみなみさんりくちょう</t>
  </si>
  <si>
    <t>986-07 988-04</t>
  </si>
  <si>
    <t>05201</t>
  </si>
  <si>
    <t>秋田市</t>
  </si>
  <si>
    <t>あきたし</t>
  </si>
  <si>
    <t>018</t>
  </si>
  <si>
    <t>010-00 010-01 010-08 010-09 010-11 010-12 010-13 010-14 010-15 010-16 011-09 019-26 019-27</t>
  </si>
  <si>
    <t>05202</t>
  </si>
  <si>
    <t>能代市</t>
  </si>
  <si>
    <t>のしろし</t>
  </si>
  <si>
    <t>0185</t>
  </si>
  <si>
    <t>016-00 016-01 016-08 018-28 018-31</t>
  </si>
  <si>
    <t>05203</t>
  </si>
  <si>
    <t>横手市</t>
  </si>
  <si>
    <t>よこてし</t>
  </si>
  <si>
    <t>0182</t>
  </si>
  <si>
    <t>013-00 013-01 013-02 013-03 013-04 013-05 013-08 019-05 019-07 019-11</t>
  </si>
  <si>
    <t>05204</t>
  </si>
  <si>
    <t>大館市</t>
  </si>
  <si>
    <t>おおだてし</t>
  </si>
  <si>
    <t>0186</t>
  </si>
  <si>
    <t>017-00 017-08 018-35 018-56 018-57 018-58</t>
  </si>
  <si>
    <t>05206</t>
  </si>
  <si>
    <t>男鹿市</t>
  </si>
  <si>
    <t>おがし</t>
  </si>
  <si>
    <t>010-03 010-04 010-05 010-06</t>
  </si>
  <si>
    <t>05207</t>
  </si>
  <si>
    <t>湯沢市</t>
  </si>
  <si>
    <t>ゆざわし</t>
  </si>
  <si>
    <t>0183</t>
  </si>
  <si>
    <t>012-00 012-01 012-08 019-01 019-02 019-03 019-04</t>
  </si>
  <si>
    <t>05209</t>
  </si>
  <si>
    <t>鹿角市</t>
  </si>
  <si>
    <t>かづのし</t>
  </si>
  <si>
    <t>018-51 018-52 018-53 018-54</t>
  </si>
  <si>
    <t>05210</t>
  </si>
  <si>
    <t>由利本荘市</t>
  </si>
  <si>
    <t>ゆりほんじょうし</t>
  </si>
  <si>
    <t>0184</t>
  </si>
  <si>
    <t>015-00 015-02 015-03 015-04 015-05 015-07 015-08 018-06 018-07 018-08 018-09 018-12 018-13</t>
  </si>
  <si>
    <t>05211</t>
  </si>
  <si>
    <t>潟上市</t>
  </si>
  <si>
    <t>かたがみし</t>
  </si>
  <si>
    <t>010-01 010-02 018-14 018-15</t>
  </si>
  <si>
    <t>05212</t>
  </si>
  <si>
    <t>大仙市</t>
  </si>
  <si>
    <t>だいせんし</t>
  </si>
  <si>
    <t>0187 018</t>
  </si>
  <si>
    <t>014-00 014-01 014-02 014-07 014-08 014-14 019-16 019-17 019-18 019-19 019-21 019-22 019-23 019-24 019-25</t>
  </si>
  <si>
    <t>05213</t>
  </si>
  <si>
    <t>北秋田市</t>
  </si>
  <si>
    <t>きたあきたし</t>
  </si>
  <si>
    <t>018-33 018-34 018-42 018-43 018-45 018-46 018-47</t>
  </si>
  <si>
    <t>05214</t>
  </si>
  <si>
    <t>にかほ市</t>
  </si>
  <si>
    <t>にかほし</t>
  </si>
  <si>
    <t>018-01 018-03 018-04</t>
  </si>
  <si>
    <t>05215</t>
  </si>
  <si>
    <t>仙北市</t>
  </si>
  <si>
    <t>せんぼくし</t>
  </si>
  <si>
    <t>0187</t>
  </si>
  <si>
    <t>014-03 014-05 014-06 014-11 014-12</t>
  </si>
  <si>
    <t>05303</t>
  </si>
  <si>
    <t>鹿角郡小坂町</t>
  </si>
  <si>
    <t>かづのぐんこさかまち</t>
  </si>
  <si>
    <t>0186 0176</t>
  </si>
  <si>
    <t>017-02 018-55</t>
  </si>
  <si>
    <t>05327</t>
  </si>
  <si>
    <t>北秋田郡上小阿仁村</t>
  </si>
  <si>
    <t>きたあきたぐんかみこあにむら</t>
  </si>
  <si>
    <t>018-44</t>
  </si>
  <si>
    <t>05346</t>
  </si>
  <si>
    <t>山本郡藤里町</t>
  </si>
  <si>
    <t>やまもとぐんふじさとまち</t>
  </si>
  <si>
    <t>018-32</t>
  </si>
  <si>
    <t>05348</t>
  </si>
  <si>
    <t>山本郡三種町</t>
  </si>
  <si>
    <t>やまもとぐんみたねちょう</t>
  </si>
  <si>
    <t>018-21 018-23 018-24</t>
  </si>
  <si>
    <t>05349</t>
  </si>
  <si>
    <t>山本郡八峰町</t>
  </si>
  <si>
    <t>やまもとぐんはっぽうちょう</t>
  </si>
  <si>
    <t>018-25 018-26</t>
  </si>
  <si>
    <t>05361</t>
  </si>
  <si>
    <t>南秋田郡五城目町</t>
  </si>
  <si>
    <t>みなみあきたぐんごじょうめまち</t>
  </si>
  <si>
    <t>018-17 018-18</t>
  </si>
  <si>
    <t>05363</t>
  </si>
  <si>
    <t>南秋田郡八郎潟町</t>
  </si>
  <si>
    <t>みなみあきたぐんはちろうがたまち</t>
  </si>
  <si>
    <t>018-16</t>
  </si>
  <si>
    <t>05366</t>
  </si>
  <si>
    <t>南秋田郡井川町</t>
  </si>
  <si>
    <t>みなみあきたぐんいかわまち</t>
  </si>
  <si>
    <t>018-15</t>
  </si>
  <si>
    <t>05368</t>
  </si>
  <si>
    <t>南秋田郡大潟村</t>
  </si>
  <si>
    <t>みなみあきたぐんおおがたむら</t>
  </si>
  <si>
    <t>010-04</t>
  </si>
  <si>
    <t>05434</t>
  </si>
  <si>
    <t>仙北郡美郷町</t>
  </si>
  <si>
    <t>せんぼくぐんみさとちょう</t>
  </si>
  <si>
    <t>0187 0182</t>
  </si>
  <si>
    <t>019-12 019-13 019-14 019-15</t>
  </si>
  <si>
    <t>05463</t>
  </si>
  <si>
    <t>雄勝郡羽後町</t>
  </si>
  <si>
    <t>おがちぐんうごまち</t>
  </si>
  <si>
    <t>012-11 012-12 012-13</t>
  </si>
  <si>
    <t>05464</t>
  </si>
  <si>
    <t>雄勝郡東成瀬村</t>
  </si>
  <si>
    <t>おがちぐんひがしなるせむら</t>
  </si>
  <si>
    <t>019-08</t>
  </si>
  <si>
    <t>06201</t>
  </si>
  <si>
    <t>山形市</t>
  </si>
  <si>
    <t>やまがたし</t>
  </si>
  <si>
    <t>023</t>
  </si>
  <si>
    <t>990-00 990-08 990-21 990-22 990-23 990-24 999-33</t>
  </si>
  <si>
    <t>06202</t>
  </si>
  <si>
    <t>米沢市</t>
  </si>
  <si>
    <t>よねざわし</t>
  </si>
  <si>
    <t>0238</t>
  </si>
  <si>
    <t>992-00 992-01 992-11 992-12 992-13 992-14 992-15</t>
  </si>
  <si>
    <t>06203</t>
  </si>
  <si>
    <t>鶴岡市</t>
  </si>
  <si>
    <t>つるおかし</t>
  </si>
  <si>
    <t>0235</t>
  </si>
  <si>
    <t>997-00 997-01 997-02 997-03 997-04 997-05 997-06 997-07 997-08 997-11 997-12 999-66 999-71 999-72 999-73 999-74 999-75 999-76</t>
  </si>
  <si>
    <t>06204</t>
  </si>
  <si>
    <t>酒田市</t>
  </si>
  <si>
    <t>さかたし</t>
  </si>
  <si>
    <t>0234</t>
  </si>
  <si>
    <t>998-00 998-01 998-02 998-08 999-67 999-68 999-77 999-81 999-82 999-84</t>
  </si>
  <si>
    <t>06205</t>
  </si>
  <si>
    <t>新庄市</t>
  </si>
  <si>
    <t>しんじょうし</t>
  </si>
  <si>
    <t>0233</t>
  </si>
  <si>
    <t>996-00 996-01 999-51</t>
  </si>
  <si>
    <t>06206</t>
  </si>
  <si>
    <t>寒河江市</t>
  </si>
  <si>
    <t>さがえし</t>
  </si>
  <si>
    <t>0237</t>
  </si>
  <si>
    <t>990-05 991-00</t>
  </si>
  <si>
    <t>06207</t>
  </si>
  <si>
    <t>上山市</t>
  </si>
  <si>
    <t>かみのやまし</t>
  </si>
  <si>
    <t>999-31 999-32</t>
  </si>
  <si>
    <t>06208</t>
  </si>
  <si>
    <t>村山市</t>
  </si>
  <si>
    <t>むらやまし</t>
  </si>
  <si>
    <t>995-00 995-01 995-02</t>
  </si>
  <si>
    <t>06209</t>
  </si>
  <si>
    <t>長井市</t>
  </si>
  <si>
    <t>ながいし</t>
  </si>
  <si>
    <t>993-00</t>
  </si>
  <si>
    <t>06210</t>
  </si>
  <si>
    <t>天童市</t>
  </si>
  <si>
    <t>てんどうし</t>
  </si>
  <si>
    <t>994-00 994-01</t>
  </si>
  <si>
    <t>06211</t>
  </si>
  <si>
    <t>東根市</t>
  </si>
  <si>
    <t>ひがしねし</t>
  </si>
  <si>
    <t>999-37</t>
  </si>
  <si>
    <t>06212</t>
  </si>
  <si>
    <t>尾花沢市</t>
  </si>
  <si>
    <t>おばなざわし</t>
  </si>
  <si>
    <t>999-42 999-43 999-44 999-45</t>
  </si>
  <si>
    <t>06213</t>
  </si>
  <si>
    <t>南陽市</t>
  </si>
  <si>
    <t>なんようし</t>
  </si>
  <si>
    <t>992-04 992-05 999-22</t>
  </si>
  <si>
    <t>06301</t>
  </si>
  <si>
    <t>東村山郡山辺町</t>
  </si>
  <si>
    <t>ひがしむらやまぐんやまのべまち</t>
  </si>
  <si>
    <t>990-03</t>
  </si>
  <si>
    <t>06302</t>
  </si>
  <si>
    <t>東村山郡中山町</t>
  </si>
  <si>
    <t>ひがしむらやまぐんなかやままち</t>
  </si>
  <si>
    <t>990-04</t>
  </si>
  <si>
    <t>06321</t>
  </si>
  <si>
    <t>西村山郡河北町</t>
  </si>
  <si>
    <t>にしむらやまぐんかほくちょう</t>
  </si>
  <si>
    <t>999-35</t>
  </si>
  <si>
    <t>06322</t>
  </si>
  <si>
    <t>西村山郡西川町</t>
  </si>
  <si>
    <t>にしむらやまぐんにしかわまち</t>
  </si>
  <si>
    <t>990-07</t>
  </si>
  <si>
    <t>06323</t>
  </si>
  <si>
    <t>西村山郡朝日町</t>
  </si>
  <si>
    <t>にしむらやまぐんあさひまち</t>
  </si>
  <si>
    <t>990-13 990-14 990-15</t>
  </si>
  <si>
    <t>06324</t>
  </si>
  <si>
    <t>西村山郡大江町</t>
  </si>
  <si>
    <t>にしむらやまぐんおおえまち</t>
  </si>
  <si>
    <t>990-11 990-12 991-08</t>
  </si>
  <si>
    <t>06341</t>
  </si>
  <si>
    <t>北村山郡大石田町</t>
  </si>
  <si>
    <t>きたむらやまぐんおおいしだまち</t>
  </si>
  <si>
    <t>999-41 999-45</t>
  </si>
  <si>
    <t>06361</t>
  </si>
  <si>
    <t>最上郡金山町</t>
  </si>
  <si>
    <t>もがみぐんかねやままち</t>
  </si>
  <si>
    <t>999-54</t>
  </si>
  <si>
    <t>06362</t>
  </si>
  <si>
    <t>最上郡最上町</t>
  </si>
  <si>
    <t>もがみぐんもがみまち</t>
  </si>
  <si>
    <t>999-61 999-62</t>
  </si>
  <si>
    <t>06363</t>
  </si>
  <si>
    <t>最上郡舟形町</t>
  </si>
  <si>
    <t>もがみぐんふながたまち</t>
  </si>
  <si>
    <t>999-46</t>
  </si>
  <si>
    <t>06364</t>
  </si>
  <si>
    <t>最上郡真室川町</t>
  </si>
  <si>
    <t>もがみぐんまむろがわまち</t>
  </si>
  <si>
    <t>999-53 999-55 999-56</t>
  </si>
  <si>
    <t>06365</t>
  </si>
  <si>
    <t>最上郡大蔵村</t>
  </si>
  <si>
    <t>もがみぐんおおくらむら</t>
  </si>
  <si>
    <t>996-02 996-03</t>
  </si>
  <si>
    <t>06366</t>
  </si>
  <si>
    <t>最上郡鮭川村</t>
  </si>
  <si>
    <t>もがみぐんさけがわむら</t>
  </si>
  <si>
    <t>999-52</t>
  </si>
  <si>
    <t>06367</t>
  </si>
  <si>
    <t>最上郡戸沢村</t>
  </si>
  <si>
    <t>もがみぐんとざわむら</t>
  </si>
  <si>
    <t>999-63 999-64 999-68</t>
  </si>
  <si>
    <t>06381</t>
  </si>
  <si>
    <t>東置賜郡高畠町</t>
  </si>
  <si>
    <t>ひがしおきたまぐんたかはたまち</t>
  </si>
  <si>
    <t>992-02 992-03 999-21</t>
  </si>
  <si>
    <t>06382</t>
  </si>
  <si>
    <t>東置賜郡川西町</t>
  </si>
  <si>
    <t>ひがしおきたまぐんかわにしまち</t>
  </si>
  <si>
    <t>992-06 999-01 999-02 999-03</t>
  </si>
  <si>
    <t>06401</t>
  </si>
  <si>
    <t>西置賜郡小国町</t>
  </si>
  <si>
    <t>にしおきたまぐんおぐにまち</t>
  </si>
  <si>
    <t>999-12 999-13 999-14 999-15</t>
  </si>
  <si>
    <t>06402</t>
  </si>
  <si>
    <t>西置賜郡白鷹町</t>
  </si>
  <si>
    <t>にしおきたまぐんしらたかまち</t>
  </si>
  <si>
    <t>992-07 992-08</t>
  </si>
  <si>
    <t>06403</t>
  </si>
  <si>
    <t>西置賜郡飯豊町</t>
  </si>
  <si>
    <t>にしおきたまぐんいいでまち</t>
  </si>
  <si>
    <t>999-04 999-06 999-11</t>
  </si>
  <si>
    <t>06426</t>
  </si>
  <si>
    <t>東田川郡三川町</t>
  </si>
  <si>
    <t>ひがしたがわぐんみかわまち</t>
  </si>
  <si>
    <t>997-13</t>
  </si>
  <si>
    <t>06428</t>
  </si>
  <si>
    <t>東田川郡庄内町</t>
  </si>
  <si>
    <t>ひがしたがわぐんしょうないまち</t>
  </si>
  <si>
    <t>999-66 999-77</t>
  </si>
  <si>
    <t>06461</t>
  </si>
  <si>
    <t>飽海郡遊佐町</t>
  </si>
  <si>
    <t>あくみぐんゆざまち</t>
  </si>
  <si>
    <t>999-83 999-84 999-85</t>
  </si>
  <si>
    <t>07201</t>
  </si>
  <si>
    <t>福島市</t>
  </si>
  <si>
    <t>ふくしまし</t>
  </si>
  <si>
    <t>024 0243</t>
  </si>
  <si>
    <t>960-00 960-01 960-02 960-08 960-11 960-12 960-13 960-21 960-22 960-80 960-81 960-82</t>
  </si>
  <si>
    <t>07202</t>
  </si>
  <si>
    <t>会津若松市</t>
  </si>
  <si>
    <t>あいづわかまつし</t>
  </si>
  <si>
    <t>0242</t>
  </si>
  <si>
    <t>965-00 965-01 965-02 965-08 969-34 969-51 969-60 969-61</t>
  </si>
  <si>
    <t>07203</t>
  </si>
  <si>
    <t>郡山市</t>
  </si>
  <si>
    <t>こおりやまし</t>
  </si>
  <si>
    <t>024</t>
  </si>
  <si>
    <t>963-00 963-01 963-02 963-05 963-06 963-07 963-08 963-09 963-11 963-12 963-13 963-14 963-15 963-16 963-80 963-88</t>
  </si>
  <si>
    <t>07204</t>
  </si>
  <si>
    <t>いわき市</t>
  </si>
  <si>
    <t>いわきし</t>
  </si>
  <si>
    <t>0246</t>
  </si>
  <si>
    <t>970-00 970-01 970-02 970-03 970-11 970-12 970-13 970-80 971-81 972-01 972-02 972-83 973-84 974-01 974-02 974-82 979-01 979-02 979-03 979-31 979-32</t>
  </si>
  <si>
    <t>07205</t>
  </si>
  <si>
    <t>白河市</t>
  </si>
  <si>
    <t>しらかわし</t>
  </si>
  <si>
    <t>0248</t>
  </si>
  <si>
    <t>961-00 961-03 961-04 961-08 961-09 961-80 969-03</t>
  </si>
  <si>
    <t>07207</t>
  </si>
  <si>
    <t>須賀川市</t>
  </si>
  <si>
    <t>すかがわし</t>
  </si>
  <si>
    <t>962-00 962-01 962-02 962-03 962-04 962-07 962-08</t>
  </si>
  <si>
    <t>07208</t>
  </si>
  <si>
    <t>喜多方市</t>
  </si>
  <si>
    <t>きたかたし</t>
  </si>
  <si>
    <t>0241 0242</t>
  </si>
  <si>
    <t>966-00 966-01 966-08 966-09 969-35 969-41 969-43</t>
  </si>
  <si>
    <t>07209</t>
  </si>
  <si>
    <t>相馬市</t>
  </si>
  <si>
    <t>そうまし</t>
  </si>
  <si>
    <t>0244</t>
  </si>
  <si>
    <t>976-00 976-01 979-25</t>
  </si>
  <si>
    <t>07210</t>
  </si>
  <si>
    <t>二本松市</t>
  </si>
  <si>
    <t>にほんまつし</t>
  </si>
  <si>
    <t>0243</t>
  </si>
  <si>
    <t>964-00 964-01 964-02 964-03 964-04 964-08 964-09 969-14 969-15</t>
  </si>
  <si>
    <t>07211</t>
  </si>
  <si>
    <t>田村市</t>
  </si>
  <si>
    <t>たむらし</t>
  </si>
  <si>
    <t>0247</t>
  </si>
  <si>
    <t>963-36 963-41 963-42 963-43 963-44 963-45 963-46 963-47</t>
  </si>
  <si>
    <t>07212</t>
  </si>
  <si>
    <t>南相馬市</t>
  </si>
  <si>
    <t>みなみそうまし</t>
  </si>
  <si>
    <t>975-00 979-21 979-23 979-24</t>
  </si>
  <si>
    <t>07213</t>
  </si>
  <si>
    <t>960-04 960-05 960-06 960-07 960-08 960-09</t>
  </si>
  <si>
    <t>07214</t>
  </si>
  <si>
    <t>本宮市</t>
  </si>
  <si>
    <t>もとみやし</t>
  </si>
  <si>
    <t>969-11 969-12</t>
  </si>
  <si>
    <t>07301</t>
  </si>
  <si>
    <t>伊達郡桑折町</t>
  </si>
  <si>
    <t>だてぐんこおりまち</t>
  </si>
  <si>
    <t>969-16</t>
  </si>
  <si>
    <t>07303</t>
  </si>
  <si>
    <t>伊達郡国見町</t>
  </si>
  <si>
    <t>だてぐんくにみまち</t>
  </si>
  <si>
    <t>969-17</t>
  </si>
  <si>
    <t>07308</t>
  </si>
  <si>
    <t>伊達郡川俣町</t>
  </si>
  <si>
    <t>だてぐんかわまたまち</t>
  </si>
  <si>
    <t>960-14 960-15</t>
  </si>
  <si>
    <t>07322</t>
  </si>
  <si>
    <t>安達郡大玉村</t>
  </si>
  <si>
    <t>あだちぐんおおたまむら</t>
  </si>
  <si>
    <t>964-00 969-13</t>
  </si>
  <si>
    <t>07342</t>
  </si>
  <si>
    <t>岩瀬郡鏡石町</t>
  </si>
  <si>
    <t>いわせぐんかがみいしまち</t>
  </si>
  <si>
    <t>969-04</t>
  </si>
  <si>
    <t>07344</t>
  </si>
  <si>
    <t>岩瀬郡天栄村</t>
  </si>
  <si>
    <t>いわせぐんてんえいむら</t>
  </si>
  <si>
    <t>962-05 962-06</t>
  </si>
  <si>
    <t>07362</t>
  </si>
  <si>
    <t>南会津郡下郷町</t>
  </si>
  <si>
    <t>みなみあいづぐんしもごうまち</t>
  </si>
  <si>
    <t>0241</t>
  </si>
  <si>
    <t>969-52 969-53</t>
  </si>
  <si>
    <t>07364</t>
  </si>
  <si>
    <t>南会津郡檜枝岐村</t>
  </si>
  <si>
    <t>みなみあいづぐんひのえまたむら</t>
  </si>
  <si>
    <t>967-05</t>
  </si>
  <si>
    <t>07367</t>
  </si>
  <si>
    <t>南会津郡只見町</t>
  </si>
  <si>
    <t>みなみあいづぐんただみまち</t>
  </si>
  <si>
    <t>968-04 968-06</t>
  </si>
  <si>
    <t>07368</t>
  </si>
  <si>
    <t>南会津郡南会津町</t>
  </si>
  <si>
    <t>みなみあいづぐんみなみあいづまち</t>
  </si>
  <si>
    <t>967-00 967-03 967-05 967-06</t>
  </si>
  <si>
    <t>07402</t>
  </si>
  <si>
    <t>耶麻郡北塩原村</t>
  </si>
  <si>
    <t>やまぐんきたしおばらむら</t>
  </si>
  <si>
    <t>966-04 966-05 969-27</t>
  </si>
  <si>
    <t>07405</t>
  </si>
  <si>
    <t>耶麻郡西会津町</t>
  </si>
  <si>
    <t>やまぐんにしあいづまち</t>
  </si>
  <si>
    <t>969-44 969-45 969-46 969-47</t>
  </si>
  <si>
    <t>07407</t>
  </si>
  <si>
    <t>耶麻郡磐梯町</t>
  </si>
  <si>
    <t>やまぐんばんだいまち</t>
  </si>
  <si>
    <t>969-33</t>
  </si>
  <si>
    <t>07408</t>
  </si>
  <si>
    <t>耶麻郡猪苗代町</t>
  </si>
  <si>
    <t>やまぐんいなわしろまち</t>
  </si>
  <si>
    <t>969-22 969-26 969-27 969-31 969-32</t>
  </si>
  <si>
    <t>07421</t>
  </si>
  <si>
    <t>河沼郡会津坂下町</t>
  </si>
  <si>
    <t>かわぬまぐんあいづばんげまち</t>
  </si>
  <si>
    <t>969-65</t>
  </si>
  <si>
    <t>07422</t>
  </si>
  <si>
    <t>河沼郡湯川村</t>
  </si>
  <si>
    <t>かわぬまぐんゆがわむら</t>
  </si>
  <si>
    <t>969-35</t>
  </si>
  <si>
    <t>07423</t>
  </si>
  <si>
    <t>河沼郡柳津町</t>
  </si>
  <si>
    <t>かわぬまぐんやないづまち</t>
  </si>
  <si>
    <t>969-72 969-73</t>
  </si>
  <si>
    <t>07444</t>
  </si>
  <si>
    <t>大沼郡三島町</t>
  </si>
  <si>
    <t>おおぬまぐんみしままち</t>
  </si>
  <si>
    <t>969-74 969-75</t>
  </si>
  <si>
    <t>07445</t>
  </si>
  <si>
    <t>大沼郡金山町</t>
  </si>
  <si>
    <t>おおぬまぐんかねやままち</t>
  </si>
  <si>
    <t>968-00 968-03</t>
  </si>
  <si>
    <t>07446</t>
  </si>
  <si>
    <t>大沼郡昭和村</t>
  </si>
  <si>
    <t>おおぬまぐんしょうわむら</t>
  </si>
  <si>
    <t>968-01 968-02</t>
  </si>
  <si>
    <t>07447</t>
  </si>
  <si>
    <t>大沼郡会津美里町</t>
  </si>
  <si>
    <t>おおぬまぐんあいづみさとまち</t>
  </si>
  <si>
    <t>969-60 969-61 969-62 969-63 969-64</t>
  </si>
  <si>
    <t>07461</t>
  </si>
  <si>
    <t>西白河郡西郷村</t>
  </si>
  <si>
    <t>にししらかわぐんにしごうむら</t>
  </si>
  <si>
    <t>961-00 961-80</t>
  </si>
  <si>
    <t>07464</t>
  </si>
  <si>
    <t>西白河郡泉崎村</t>
  </si>
  <si>
    <t>にししらかわぐんいずみざきむら</t>
  </si>
  <si>
    <t>969-01</t>
  </si>
  <si>
    <t>07465</t>
  </si>
  <si>
    <t>西白河郡中島村</t>
  </si>
  <si>
    <t>にししらかわぐんなかじまむら</t>
  </si>
  <si>
    <t>961-01</t>
  </si>
  <si>
    <t>07466</t>
  </si>
  <si>
    <t>西白河郡矢吹町</t>
  </si>
  <si>
    <t>にししらかわぐんやぶきまち</t>
  </si>
  <si>
    <t>969-02</t>
  </si>
  <si>
    <t>07481</t>
  </si>
  <si>
    <t>東白川郡棚倉町</t>
  </si>
  <si>
    <t>ひがししらかわぐんたなぐらまち</t>
  </si>
  <si>
    <t>963-56 963-61</t>
  </si>
  <si>
    <t>07482</t>
  </si>
  <si>
    <t>東白川郡矢祭町</t>
  </si>
  <si>
    <t>ひがししらかわぐんやまつりまち</t>
  </si>
  <si>
    <t>963-51 963-52 963-53</t>
  </si>
  <si>
    <t>07483</t>
  </si>
  <si>
    <t>東白川郡塙町</t>
  </si>
  <si>
    <t>ひがししらかわぐんはなわまち</t>
  </si>
  <si>
    <t>963-53 963-54 963-55</t>
  </si>
  <si>
    <t>07484</t>
  </si>
  <si>
    <t>東白川郡鮫川村</t>
  </si>
  <si>
    <t>ひがししらかわぐんさめがわむら</t>
  </si>
  <si>
    <t>963-55 963-84</t>
  </si>
  <si>
    <t>07501</t>
  </si>
  <si>
    <t>石川郡石川町</t>
  </si>
  <si>
    <t>いしかわぐんいしかわまち</t>
  </si>
  <si>
    <t>963-78</t>
  </si>
  <si>
    <t>07502</t>
  </si>
  <si>
    <t>石川郡玉川村</t>
  </si>
  <si>
    <t>いしかわぐんたまかわむら</t>
  </si>
  <si>
    <t>963-63</t>
  </si>
  <si>
    <t>07503</t>
  </si>
  <si>
    <t>石川郡平田村</t>
  </si>
  <si>
    <t>いしかわぐんひらたむら</t>
  </si>
  <si>
    <t>963-81 963-82</t>
  </si>
  <si>
    <t>07504</t>
  </si>
  <si>
    <t>石川郡浅川町</t>
  </si>
  <si>
    <t>いしかわぐんあさかわまち</t>
  </si>
  <si>
    <t>963-62</t>
  </si>
  <si>
    <t>07505</t>
  </si>
  <si>
    <t>石川郡古殿町</t>
  </si>
  <si>
    <t>いしかわぐんふるどのまち</t>
  </si>
  <si>
    <t>963-83</t>
  </si>
  <si>
    <t>07521</t>
  </si>
  <si>
    <t>田村郡三春町</t>
  </si>
  <si>
    <t>たむらぐんみはるまち</t>
  </si>
  <si>
    <t>0247 024</t>
  </si>
  <si>
    <t>963-77</t>
  </si>
  <si>
    <t>07522</t>
  </si>
  <si>
    <t>田村郡小野町</t>
  </si>
  <si>
    <t>たむらぐんおのまち</t>
  </si>
  <si>
    <t>963-33 963-34 963-35</t>
  </si>
  <si>
    <t>07541</t>
  </si>
  <si>
    <t>双葉郡広野町</t>
  </si>
  <si>
    <t>ふたばぐんひろのまち</t>
  </si>
  <si>
    <t>0240</t>
  </si>
  <si>
    <t>979-04</t>
  </si>
  <si>
    <t>07542</t>
  </si>
  <si>
    <t>双葉郡楢葉町</t>
  </si>
  <si>
    <t>ふたばぐんならはまち</t>
  </si>
  <si>
    <t>979-05 979-06</t>
  </si>
  <si>
    <t>07543</t>
  </si>
  <si>
    <t>双葉郡富岡町</t>
  </si>
  <si>
    <t>ふたばぐんとみおかまち</t>
  </si>
  <si>
    <t>979-06 979-11</t>
  </si>
  <si>
    <t>07544</t>
  </si>
  <si>
    <t>双葉郡川内村</t>
  </si>
  <si>
    <t>ふたばぐんかわうちむら</t>
  </si>
  <si>
    <t>979-12</t>
  </si>
  <si>
    <t>07545</t>
  </si>
  <si>
    <t>双葉郡大熊町</t>
  </si>
  <si>
    <t>ふたばぐんおおくままち</t>
  </si>
  <si>
    <t>979-13</t>
  </si>
  <si>
    <t>07546</t>
  </si>
  <si>
    <t>双葉郡双葉町</t>
  </si>
  <si>
    <t>ふたばぐんふたばまち</t>
  </si>
  <si>
    <t>979-14</t>
  </si>
  <si>
    <t>07547</t>
  </si>
  <si>
    <t>双葉郡浪江町</t>
  </si>
  <si>
    <t>ふたばぐんなみえまち</t>
  </si>
  <si>
    <t>979-15 979-17</t>
  </si>
  <si>
    <t>07548</t>
  </si>
  <si>
    <t>双葉郡葛尾村</t>
  </si>
  <si>
    <t>ふたばぐんかつらおむら</t>
  </si>
  <si>
    <t>979-16</t>
  </si>
  <si>
    <t>07561</t>
  </si>
  <si>
    <t>相馬郡新地町</t>
  </si>
  <si>
    <t>そうまぐんしんちまち</t>
  </si>
  <si>
    <t>979-26 979-27</t>
  </si>
  <si>
    <t>07564</t>
  </si>
  <si>
    <t>相馬郡飯舘村</t>
  </si>
  <si>
    <t>そうまぐんいいたてむら</t>
  </si>
  <si>
    <t>960-16 960-17 960-18</t>
  </si>
  <si>
    <t>08201</t>
  </si>
  <si>
    <t>水戸市</t>
  </si>
  <si>
    <t>みとし</t>
  </si>
  <si>
    <t>029</t>
  </si>
  <si>
    <t>310-00 310-08 310-09 311-11 311-41 311-42 319-03</t>
  </si>
  <si>
    <t>08202</t>
  </si>
  <si>
    <t>日立市</t>
  </si>
  <si>
    <t>ひたちし</t>
  </si>
  <si>
    <t>0294</t>
  </si>
  <si>
    <t>311-04 316-00 317-00 319-12 319-13 319-14</t>
  </si>
  <si>
    <t>08203</t>
  </si>
  <si>
    <t>土浦市</t>
  </si>
  <si>
    <t>つちうらし</t>
  </si>
  <si>
    <t>300-00 300-08 300-41</t>
  </si>
  <si>
    <t>08204</t>
  </si>
  <si>
    <t>古河市</t>
  </si>
  <si>
    <t>こがし</t>
  </si>
  <si>
    <t>0280</t>
  </si>
  <si>
    <t>306-00 306-01 306-02</t>
  </si>
  <si>
    <t>08205</t>
  </si>
  <si>
    <t>石岡市</t>
  </si>
  <si>
    <t>いしおかし</t>
  </si>
  <si>
    <t>0299</t>
  </si>
  <si>
    <t>315-00 315-01</t>
  </si>
  <si>
    <t>08207</t>
  </si>
  <si>
    <t>結城市</t>
  </si>
  <si>
    <t>ゆうきし</t>
  </si>
  <si>
    <t>0296</t>
  </si>
  <si>
    <t>307-00</t>
  </si>
  <si>
    <t>08208</t>
  </si>
  <si>
    <t>龍ケ崎市</t>
  </si>
  <si>
    <t>りゅうがさきし</t>
  </si>
  <si>
    <t>0297</t>
  </si>
  <si>
    <t>301-00 301-08</t>
  </si>
  <si>
    <t>08210</t>
  </si>
  <si>
    <t>下妻市</t>
  </si>
  <si>
    <t>しもつまし</t>
  </si>
  <si>
    <t>304-00 304-08</t>
  </si>
  <si>
    <t>08211</t>
  </si>
  <si>
    <t>常総市</t>
  </si>
  <si>
    <t>じょうそうし</t>
  </si>
  <si>
    <t>300-25 300-27 303-00</t>
  </si>
  <si>
    <t>08212</t>
  </si>
  <si>
    <t>常陸太田市</t>
  </si>
  <si>
    <t>ひたちおおたし</t>
  </si>
  <si>
    <t>311-03 311-05 313-00 313-01 313-02 313-03</t>
  </si>
  <si>
    <t>08214</t>
  </si>
  <si>
    <t>高萩市</t>
  </si>
  <si>
    <t>たかはぎし</t>
  </si>
  <si>
    <t>0293</t>
  </si>
  <si>
    <t>318-00 318-01</t>
  </si>
  <si>
    <t>08215</t>
  </si>
  <si>
    <t>北茨城市</t>
  </si>
  <si>
    <t>きたいばらきし</t>
  </si>
  <si>
    <t>319-15 319-17</t>
  </si>
  <si>
    <t>08216</t>
  </si>
  <si>
    <t>笠間市</t>
  </si>
  <si>
    <t>かさまし</t>
  </si>
  <si>
    <t>0296 0299</t>
  </si>
  <si>
    <t>309-16 309-17 319-02</t>
  </si>
  <si>
    <t>08217</t>
  </si>
  <si>
    <t>取手市</t>
  </si>
  <si>
    <t>とりでし</t>
  </si>
  <si>
    <t>300-15 302-00</t>
  </si>
  <si>
    <t>08219</t>
  </si>
  <si>
    <t>牛久市</t>
  </si>
  <si>
    <t>うしくし</t>
  </si>
  <si>
    <t>300-12</t>
  </si>
  <si>
    <t>08220</t>
  </si>
  <si>
    <t>つくば市</t>
  </si>
  <si>
    <t>つくばし</t>
  </si>
  <si>
    <t>300-12 300-26 300-32 300-42 300-43 305-00 305-08 305-09</t>
  </si>
  <si>
    <t>08221</t>
  </si>
  <si>
    <t>ひたちなか市</t>
  </si>
  <si>
    <t>ひたちなかし</t>
  </si>
  <si>
    <t>311-12 312-00</t>
  </si>
  <si>
    <t>08222</t>
  </si>
  <si>
    <t>鹿嶋市</t>
  </si>
  <si>
    <t>かしまし</t>
  </si>
  <si>
    <t>311-22 314-00</t>
  </si>
  <si>
    <t>08223</t>
  </si>
  <si>
    <t>潮来市</t>
  </si>
  <si>
    <t>いたこし</t>
  </si>
  <si>
    <t>311-24</t>
  </si>
  <si>
    <t>08224</t>
  </si>
  <si>
    <t>守谷市</t>
  </si>
  <si>
    <t>もりやし</t>
  </si>
  <si>
    <t>302-01</t>
  </si>
  <si>
    <t>08225</t>
  </si>
  <si>
    <t>常陸大宮市</t>
  </si>
  <si>
    <t>ひたちおおみやし</t>
  </si>
  <si>
    <t>0295</t>
  </si>
  <si>
    <t>311-45 311-46 319-21 319-22 319-24 319-25 319-26 319-31</t>
  </si>
  <si>
    <t>08226</t>
  </si>
  <si>
    <t>那珂市</t>
  </si>
  <si>
    <t>なかし</t>
  </si>
  <si>
    <t>311-01 319-21</t>
  </si>
  <si>
    <t>08227</t>
  </si>
  <si>
    <t>筑西市</t>
  </si>
  <si>
    <t>ちくせいし</t>
  </si>
  <si>
    <t>300-45 308-00 308-01 308-08 309-11</t>
  </si>
  <si>
    <t>08228</t>
  </si>
  <si>
    <t>坂東市</t>
  </si>
  <si>
    <t>ばんどうし</t>
  </si>
  <si>
    <t>0297 0280</t>
  </si>
  <si>
    <t>306-05 306-06</t>
  </si>
  <si>
    <t>08229</t>
  </si>
  <si>
    <t>稲敷市</t>
  </si>
  <si>
    <t>いなしきし</t>
  </si>
  <si>
    <t>029 0297 0299</t>
  </si>
  <si>
    <t>300-05 300-06 300-07 300-14 301-09</t>
  </si>
  <si>
    <t>08230</t>
  </si>
  <si>
    <t>かすみがうら市</t>
  </si>
  <si>
    <t>かすみがうらし</t>
  </si>
  <si>
    <t>029 0299</t>
  </si>
  <si>
    <t>300-01 300-02 315-00</t>
  </si>
  <si>
    <t>08231</t>
  </si>
  <si>
    <t>桜川市</t>
  </si>
  <si>
    <t>さくらがわし</t>
  </si>
  <si>
    <t>300-44 309-12 309-13 309-14</t>
  </si>
  <si>
    <t>08232</t>
  </si>
  <si>
    <t>神栖市</t>
  </si>
  <si>
    <t>かみすし</t>
  </si>
  <si>
    <t>0299 0479</t>
  </si>
  <si>
    <t>314-00 314-01 314-02 314-03 314-04</t>
  </si>
  <si>
    <t>08233</t>
  </si>
  <si>
    <t>行方市</t>
  </si>
  <si>
    <t>なめがたし</t>
  </si>
  <si>
    <t>0299 0291</t>
  </si>
  <si>
    <t>311-17 311-35 311-38</t>
  </si>
  <si>
    <t>08234</t>
  </si>
  <si>
    <t>鉾田市</t>
  </si>
  <si>
    <t>ほこたし</t>
  </si>
  <si>
    <t>0291</t>
  </si>
  <si>
    <t>311-14 311-15 311-21</t>
  </si>
  <si>
    <t>08235</t>
  </si>
  <si>
    <t>つくばみらい市</t>
  </si>
  <si>
    <t>つくばみらいし</t>
  </si>
  <si>
    <t>300-23 300-24</t>
  </si>
  <si>
    <t>08236</t>
  </si>
  <si>
    <t>小美玉市</t>
  </si>
  <si>
    <t>おみたまし</t>
  </si>
  <si>
    <t>311-34 319-01</t>
  </si>
  <si>
    <t>08302</t>
  </si>
  <si>
    <t>東茨城郡茨城町</t>
  </si>
  <si>
    <t>ひがしいばらきぐんいばらきまち</t>
  </si>
  <si>
    <t>311-31</t>
  </si>
  <si>
    <t>08309</t>
  </si>
  <si>
    <t>東茨城郡大洗町</t>
  </si>
  <si>
    <t>ひがしいばらきぐんおおあらいまち</t>
  </si>
  <si>
    <t>311-13</t>
  </si>
  <si>
    <t>08310</t>
  </si>
  <si>
    <t>東茨城郡城里町</t>
  </si>
  <si>
    <t>ひがしいばらきぐんしろさとまち</t>
  </si>
  <si>
    <t>029 0296</t>
  </si>
  <si>
    <t>311-43 311-44</t>
  </si>
  <si>
    <t>08341</t>
  </si>
  <si>
    <t>那珂郡東海村</t>
  </si>
  <si>
    <t>なかぐんとうかいむら</t>
  </si>
  <si>
    <t>319-11</t>
  </si>
  <si>
    <t>08364</t>
  </si>
  <si>
    <t>久慈郡大子町</t>
  </si>
  <si>
    <t>くじぐんだいごまち</t>
  </si>
  <si>
    <t>319-33 319-35 319-37</t>
  </si>
  <si>
    <t>08442</t>
  </si>
  <si>
    <t>稲敷郡美浦村</t>
  </si>
  <si>
    <t>いなしきぐんみほむら</t>
  </si>
  <si>
    <t>300-04</t>
  </si>
  <si>
    <t>08443</t>
  </si>
  <si>
    <t>稲敷郡阿見町</t>
  </si>
  <si>
    <t>いなしきぐんあみまち</t>
  </si>
  <si>
    <t>300-03 300-11</t>
  </si>
  <si>
    <t>08447</t>
  </si>
  <si>
    <t>稲敷郡河内町</t>
  </si>
  <si>
    <t>いなしきぐんかわちまち</t>
  </si>
  <si>
    <t>300-13 300-14</t>
  </si>
  <si>
    <t>08521</t>
  </si>
  <si>
    <t>結城郡八千代町</t>
  </si>
  <si>
    <t>ゆうきぐんやちよまち</t>
  </si>
  <si>
    <t>300-35</t>
  </si>
  <si>
    <t>08542</t>
  </si>
  <si>
    <t>猿島郡五霞町</t>
  </si>
  <si>
    <t>さしまぐんごかまち</t>
  </si>
  <si>
    <t>306-03</t>
  </si>
  <si>
    <t>08546</t>
  </si>
  <si>
    <t>猿島郡境町</t>
  </si>
  <si>
    <t>さしまぐんさかいまち</t>
  </si>
  <si>
    <t>306-04</t>
  </si>
  <si>
    <t>08564</t>
  </si>
  <si>
    <t>北相馬郡利根町</t>
  </si>
  <si>
    <t>きたそうまぐんとねまち</t>
  </si>
  <si>
    <t>300-16</t>
  </si>
  <si>
    <t>09201</t>
  </si>
  <si>
    <t>宇都宮市</t>
  </si>
  <si>
    <t>うつのみやし</t>
  </si>
  <si>
    <t>028</t>
  </si>
  <si>
    <t>320-00 320-08 321-00 321-01 321-03 321-04 321-09 321-21 321-32 329-11</t>
  </si>
  <si>
    <t>09202</t>
  </si>
  <si>
    <t>足利市</t>
  </si>
  <si>
    <t>あしかがし</t>
  </si>
  <si>
    <t>0284</t>
  </si>
  <si>
    <t>326-00 326-01 326-03 326-08 329-42</t>
  </si>
  <si>
    <t>09203</t>
  </si>
  <si>
    <t>栃木市</t>
  </si>
  <si>
    <t>とちぎし</t>
  </si>
  <si>
    <t>0282</t>
  </si>
  <si>
    <t>323-11 328-00 328-01 328-02 329-03 329-44 349-12</t>
  </si>
  <si>
    <t>09204</t>
  </si>
  <si>
    <t>佐野市</t>
  </si>
  <si>
    <t>さのし</t>
  </si>
  <si>
    <t>0283</t>
  </si>
  <si>
    <t>327-00 327-01 327-02 327-03 327-05 327-08 328-02</t>
  </si>
  <si>
    <t>09205</t>
  </si>
  <si>
    <t>鹿沼市</t>
  </si>
  <si>
    <t>かぬまし</t>
  </si>
  <si>
    <t>0289</t>
  </si>
  <si>
    <t>321-11 322-00 322-01 322-02 322-03 322-04 322-05 328-02</t>
  </si>
  <si>
    <t>09206</t>
  </si>
  <si>
    <t>日光市</t>
  </si>
  <si>
    <t>にっこうし</t>
  </si>
  <si>
    <t>0288</t>
  </si>
  <si>
    <t>321-11 321-12 321-13 321-14 321-15 321-16 321-23 321-24 321-25 321-26 321-27 321-28</t>
  </si>
  <si>
    <t>09208</t>
  </si>
  <si>
    <t>小山市</t>
  </si>
  <si>
    <t>おやまし</t>
  </si>
  <si>
    <t>0285 0280 0282 0296</t>
  </si>
  <si>
    <t>323-00 323-01 323-08 329-02</t>
  </si>
  <si>
    <t>09209</t>
  </si>
  <si>
    <t>真岡市</t>
  </si>
  <si>
    <t>もおかし</t>
  </si>
  <si>
    <t>0285</t>
  </si>
  <si>
    <t>321-43 321-44 321-45</t>
  </si>
  <si>
    <t>09210</t>
  </si>
  <si>
    <t>大田原市</t>
  </si>
  <si>
    <t>おおたわらし</t>
  </si>
  <si>
    <t>0287</t>
  </si>
  <si>
    <t>324-00 324-02 324-04</t>
  </si>
  <si>
    <t>09211</t>
  </si>
  <si>
    <t>矢板市</t>
  </si>
  <si>
    <t>やいたし</t>
  </si>
  <si>
    <t>329-15 329-21 329-25</t>
  </si>
  <si>
    <t>09213</t>
  </si>
  <si>
    <t>那須塩原市</t>
  </si>
  <si>
    <t>なすしおばらし</t>
  </si>
  <si>
    <t>325-00 325-01 329-27 329-28 329-29 329-31</t>
  </si>
  <si>
    <t>09214</t>
  </si>
  <si>
    <t>さくら市</t>
  </si>
  <si>
    <t>さくらし</t>
  </si>
  <si>
    <t>329-13 329-14</t>
  </si>
  <si>
    <t>09215</t>
  </si>
  <si>
    <t>那須烏山市</t>
  </si>
  <si>
    <t>なすからすやまし</t>
  </si>
  <si>
    <t>321-05 321-06</t>
  </si>
  <si>
    <t>09216</t>
  </si>
  <si>
    <t>下野市</t>
  </si>
  <si>
    <t>しもつけし</t>
  </si>
  <si>
    <t>323-01 329-04 329-05</t>
  </si>
  <si>
    <t>09301</t>
  </si>
  <si>
    <t>河内郡上三川町</t>
  </si>
  <si>
    <t>かわちぐんかみのかわまち</t>
  </si>
  <si>
    <t>329-05 329-06</t>
  </si>
  <si>
    <t>09342</t>
  </si>
  <si>
    <t>芳賀郡益子町</t>
  </si>
  <si>
    <t>はがぐんましこまち</t>
  </si>
  <si>
    <t>321-41 321-42</t>
  </si>
  <si>
    <t>09343</t>
  </si>
  <si>
    <t>芳賀郡茂木町</t>
  </si>
  <si>
    <t>はがぐんもてぎまち</t>
  </si>
  <si>
    <t>311-44 321-35 321-36 321-37</t>
  </si>
  <si>
    <t>09344</t>
  </si>
  <si>
    <t>芳賀郡市貝町</t>
  </si>
  <si>
    <t>はがぐんいちかいまち</t>
  </si>
  <si>
    <t>321-34</t>
  </si>
  <si>
    <t>09345</t>
  </si>
  <si>
    <t>芳賀郡芳賀町</t>
  </si>
  <si>
    <t>はがぐんはがまち</t>
  </si>
  <si>
    <t>321-33</t>
  </si>
  <si>
    <t>09361</t>
  </si>
  <si>
    <t>下都賀郡壬生町</t>
  </si>
  <si>
    <t>しもつがぐんみぶまち</t>
  </si>
  <si>
    <t>321-02</t>
  </si>
  <si>
    <t>09364</t>
  </si>
  <si>
    <t>下都賀郡野木町</t>
  </si>
  <si>
    <t>しもつがぐんのぎまち</t>
  </si>
  <si>
    <t>329-01</t>
  </si>
  <si>
    <t>09367</t>
  </si>
  <si>
    <t>下都賀郡岩舟町</t>
  </si>
  <si>
    <t>しもつがぐんいわふねまち</t>
  </si>
  <si>
    <t>329-43</t>
  </si>
  <si>
    <t>09384</t>
  </si>
  <si>
    <t>塩谷郡塩谷町</t>
  </si>
  <si>
    <t>しおやぐんしおやまち</t>
  </si>
  <si>
    <t>321-25 329-22 329-23 329-24</t>
  </si>
  <si>
    <t>09386</t>
  </si>
  <si>
    <t>塩谷郡高根沢町</t>
  </si>
  <si>
    <t>しおやぐんたかねざわまち</t>
  </si>
  <si>
    <t>329-12</t>
  </si>
  <si>
    <t>09407</t>
  </si>
  <si>
    <t>那須郡那須町</t>
  </si>
  <si>
    <t>なすぐんなすまち</t>
  </si>
  <si>
    <t>325-00 325-03 329-32 329-34</t>
  </si>
  <si>
    <t>09411</t>
  </si>
  <si>
    <t>那須郡那珂川町</t>
  </si>
  <si>
    <t>なすぐんなかがわまち</t>
  </si>
  <si>
    <t>324-05 324-06</t>
  </si>
  <si>
    <t>10201</t>
  </si>
  <si>
    <t>前橋市</t>
  </si>
  <si>
    <t>まえばしし</t>
  </si>
  <si>
    <t>027</t>
  </si>
  <si>
    <t>370-35 371-00 371-01 371-02 371-08 379-21</t>
  </si>
  <si>
    <t>10202</t>
  </si>
  <si>
    <t>高崎市</t>
  </si>
  <si>
    <t>たかさきし</t>
  </si>
  <si>
    <t>027 0274</t>
  </si>
  <si>
    <t>370-00 370-08 370-12 370-13 370-21 370-31 370-33 370-34 370-35</t>
  </si>
  <si>
    <t>10203</t>
  </si>
  <si>
    <t>桐生市</t>
  </si>
  <si>
    <t>きりゅうし</t>
  </si>
  <si>
    <t>0277</t>
  </si>
  <si>
    <t>376-00 376-01 376-06</t>
  </si>
  <si>
    <t>10204</t>
  </si>
  <si>
    <t>伊勢崎市</t>
  </si>
  <si>
    <t>いせさきし</t>
  </si>
  <si>
    <t>0270</t>
  </si>
  <si>
    <t>370-01 372-00 372-08 379-22</t>
  </si>
  <si>
    <t>10205</t>
  </si>
  <si>
    <t>太田市</t>
  </si>
  <si>
    <t>おおたし</t>
  </si>
  <si>
    <t>0276 0284 0277</t>
  </si>
  <si>
    <t>370-03 370-04 373-00 373-08 379-23</t>
  </si>
  <si>
    <t>10206</t>
  </si>
  <si>
    <t>沼田市</t>
  </si>
  <si>
    <t>ぬまたし</t>
  </si>
  <si>
    <t>0278</t>
  </si>
  <si>
    <t>378-00 378-01 378-03</t>
  </si>
  <si>
    <t>10207</t>
  </si>
  <si>
    <t>館林市</t>
  </si>
  <si>
    <t>たてばやしし</t>
  </si>
  <si>
    <t>0276</t>
  </si>
  <si>
    <t>374-00</t>
  </si>
  <si>
    <t>10208</t>
  </si>
  <si>
    <t>渋川市</t>
  </si>
  <si>
    <t>しぶかわし</t>
  </si>
  <si>
    <t>0279</t>
  </si>
  <si>
    <t>377-00 377-01 377-02 377-03 379-11</t>
  </si>
  <si>
    <t>10209</t>
  </si>
  <si>
    <t>藤岡市</t>
  </si>
  <si>
    <t>ふじおかし</t>
  </si>
  <si>
    <t>0274</t>
  </si>
  <si>
    <t>370-14 375-00</t>
  </si>
  <si>
    <t>10210</t>
  </si>
  <si>
    <t>富岡市</t>
  </si>
  <si>
    <t>とみおかし</t>
  </si>
  <si>
    <t>370-23 370-24 379-02</t>
  </si>
  <si>
    <t>10211</t>
  </si>
  <si>
    <t>安中市</t>
  </si>
  <si>
    <t>あんなかし</t>
  </si>
  <si>
    <t>379-01 379-02 379-03 389-01</t>
  </si>
  <si>
    <t>10212</t>
  </si>
  <si>
    <t>みどり市</t>
  </si>
  <si>
    <t>みどりし</t>
  </si>
  <si>
    <t>376-01 376-03 379-23</t>
  </si>
  <si>
    <t>10344</t>
  </si>
  <si>
    <t>北群馬郡榛東村</t>
  </si>
  <si>
    <t>きたぐんまぐんしんとうむら</t>
  </si>
  <si>
    <t>370-35</t>
  </si>
  <si>
    <t>10345</t>
  </si>
  <si>
    <t>北群馬郡吉岡町</t>
  </si>
  <si>
    <t>きたぐんまぐんよしおかまち</t>
  </si>
  <si>
    <t>370-36</t>
  </si>
  <si>
    <t>10366</t>
  </si>
  <si>
    <t>多野郡上野村</t>
  </si>
  <si>
    <t>たのぐんうえのむら</t>
  </si>
  <si>
    <t>370-16</t>
  </si>
  <si>
    <t>10367</t>
  </si>
  <si>
    <t>多野郡神流町</t>
  </si>
  <si>
    <t>たのぐんかんなまち</t>
  </si>
  <si>
    <t>370-15 370-16</t>
  </si>
  <si>
    <t>10382</t>
  </si>
  <si>
    <t>甘楽郡下仁田町</t>
  </si>
  <si>
    <t>かんらぐんしもにたまち</t>
  </si>
  <si>
    <t>370-26</t>
  </si>
  <si>
    <t>10383</t>
  </si>
  <si>
    <t>甘楽郡南牧村</t>
  </si>
  <si>
    <t>かんらぐんなんもくむら</t>
  </si>
  <si>
    <t>370-28</t>
  </si>
  <si>
    <t>10384</t>
  </si>
  <si>
    <t>甘楽郡甘楽町</t>
  </si>
  <si>
    <t>かんらぐんかんらまち</t>
  </si>
  <si>
    <t>370-22</t>
  </si>
  <si>
    <t>10421</t>
  </si>
  <si>
    <t>吾妻郡中之条町</t>
  </si>
  <si>
    <t>あがつまぐんなかのじょうまち</t>
  </si>
  <si>
    <t>377-04 377-05 377-06 377-13 377-17</t>
  </si>
  <si>
    <t>10424</t>
  </si>
  <si>
    <t>吾妻郡長野原町</t>
  </si>
  <si>
    <t>あがつまぐんながのはらまち</t>
  </si>
  <si>
    <t>377-13 377-14</t>
  </si>
  <si>
    <t>10425</t>
  </si>
  <si>
    <t>吾妻郡嬬恋村</t>
  </si>
  <si>
    <t>あがつまぐんつまごいむら</t>
  </si>
  <si>
    <t>377-14 377-15 377-16 384-00</t>
  </si>
  <si>
    <t>10426</t>
  </si>
  <si>
    <t>吾妻郡草津町</t>
  </si>
  <si>
    <t>あがつまぐんくさつまち</t>
  </si>
  <si>
    <t>377-17</t>
  </si>
  <si>
    <t>10428</t>
  </si>
  <si>
    <t>吾妻郡高山村</t>
  </si>
  <si>
    <t>あがつまぐんたかやまむら</t>
  </si>
  <si>
    <t>377-07</t>
  </si>
  <si>
    <t>10429</t>
  </si>
  <si>
    <t>吾妻郡東吾妻町</t>
  </si>
  <si>
    <t>あがつまぐんひがしあがつままち</t>
  </si>
  <si>
    <t>370-33 377-03 377-08 377-09</t>
  </si>
  <si>
    <t>10443</t>
  </si>
  <si>
    <t>利根郡片品村</t>
  </si>
  <si>
    <t>とねぐんかたしなむら</t>
  </si>
  <si>
    <t>378-04</t>
  </si>
  <si>
    <t>10444</t>
  </si>
  <si>
    <t>利根郡川場村</t>
  </si>
  <si>
    <t>とねぐんかわばむら</t>
  </si>
  <si>
    <t>378-01</t>
  </si>
  <si>
    <t>10448</t>
  </si>
  <si>
    <t>利根郡昭和村</t>
  </si>
  <si>
    <t>とねぐんしょうわむら</t>
  </si>
  <si>
    <t>379-12</t>
  </si>
  <si>
    <t>10449</t>
  </si>
  <si>
    <t>利根郡みなかみ町</t>
  </si>
  <si>
    <t>とねぐんみなかみまち</t>
  </si>
  <si>
    <t>379-13 379-14 379-16 379-17</t>
  </si>
  <si>
    <t>10464</t>
  </si>
  <si>
    <t>佐波郡玉村町</t>
  </si>
  <si>
    <t>さわぐんたまむらまち</t>
  </si>
  <si>
    <t>370-11</t>
  </si>
  <si>
    <t>10521</t>
  </si>
  <si>
    <t>邑楽郡板倉町</t>
  </si>
  <si>
    <t>おうらぐんいたくらまち</t>
  </si>
  <si>
    <t>374-01</t>
  </si>
  <si>
    <t>10522</t>
  </si>
  <si>
    <t>邑楽郡明和町</t>
  </si>
  <si>
    <t>おうらぐんめいわまち</t>
  </si>
  <si>
    <t>370-07</t>
  </si>
  <si>
    <t>10523</t>
  </si>
  <si>
    <t>邑楽郡千代田町</t>
  </si>
  <si>
    <t>おうらぐんちよだまち</t>
  </si>
  <si>
    <t>370-05 370-07</t>
  </si>
  <si>
    <t>10524</t>
  </si>
  <si>
    <t>邑楽郡大泉町</t>
  </si>
  <si>
    <t>おうらぐんおおいずみまち</t>
  </si>
  <si>
    <t>370-05</t>
  </si>
  <si>
    <t>10525</t>
  </si>
  <si>
    <t>邑楽郡邑楽町</t>
  </si>
  <si>
    <t>おうらぐんおうらまち</t>
  </si>
  <si>
    <t>370-06</t>
  </si>
  <si>
    <t>11100</t>
  </si>
  <si>
    <t>さいたま市</t>
  </si>
  <si>
    <t>さいたまし</t>
  </si>
  <si>
    <t>11101</t>
  </si>
  <si>
    <t>さいたま市西区</t>
  </si>
  <si>
    <t>さいたましにしく</t>
  </si>
  <si>
    <t>048</t>
  </si>
  <si>
    <t>331-00</t>
  </si>
  <si>
    <t>11102</t>
  </si>
  <si>
    <t>さいたま市北区</t>
  </si>
  <si>
    <t>さいたましきたく</t>
  </si>
  <si>
    <t>331-08</t>
  </si>
  <si>
    <t>11103</t>
  </si>
  <si>
    <t>さいたま市大宮区</t>
  </si>
  <si>
    <t>さいたましおおみやく</t>
  </si>
  <si>
    <t>330-08</t>
  </si>
  <si>
    <t>11104</t>
  </si>
  <si>
    <t>さいたま市見沼区</t>
  </si>
  <si>
    <t>さいたましみぬまく</t>
  </si>
  <si>
    <t>337-00</t>
  </si>
  <si>
    <t>11105</t>
  </si>
  <si>
    <t>さいたま市中央区</t>
  </si>
  <si>
    <t>さいたましちゅうおうく</t>
  </si>
  <si>
    <t>330-00 330-60 338-00</t>
  </si>
  <si>
    <t>11106</t>
  </si>
  <si>
    <t>さいたま市桜区</t>
  </si>
  <si>
    <t>さいたましさくらく</t>
  </si>
  <si>
    <t>338-08</t>
  </si>
  <si>
    <t>11107</t>
  </si>
  <si>
    <t>さいたま市浦和区</t>
  </si>
  <si>
    <t>さいたましうらわく</t>
  </si>
  <si>
    <t>330-00</t>
  </si>
  <si>
    <t>11108</t>
  </si>
  <si>
    <t>さいたま市南区</t>
  </si>
  <si>
    <t>さいたましみなみく</t>
  </si>
  <si>
    <t>336-00</t>
  </si>
  <si>
    <t>11109</t>
  </si>
  <si>
    <t>さいたま市緑区</t>
  </si>
  <si>
    <t>さいたましみどりく</t>
  </si>
  <si>
    <t>336-09</t>
  </si>
  <si>
    <t>11110</t>
  </si>
  <si>
    <t>さいたま市岩槻区</t>
  </si>
  <si>
    <t>さいたましいわつきく</t>
  </si>
  <si>
    <t>339-00</t>
  </si>
  <si>
    <t>11201</t>
  </si>
  <si>
    <t>川越市</t>
  </si>
  <si>
    <t>かわごえし</t>
  </si>
  <si>
    <t>049</t>
  </si>
  <si>
    <t>350-00 350-08 350-11</t>
  </si>
  <si>
    <t>11202</t>
  </si>
  <si>
    <t>熊谷市</t>
  </si>
  <si>
    <t>くまがやし</t>
  </si>
  <si>
    <t>048 0493 0276</t>
  </si>
  <si>
    <t>360-00 360-01 360-02 360-08 369-01</t>
  </si>
  <si>
    <t>11203</t>
  </si>
  <si>
    <t>川口市</t>
  </si>
  <si>
    <t>かわぐちし</t>
  </si>
  <si>
    <t>332-00 333-08 334-00</t>
  </si>
  <si>
    <t>11206</t>
  </si>
  <si>
    <t>行田市</t>
  </si>
  <si>
    <t>ぎょうだし</t>
  </si>
  <si>
    <t>361-00</t>
  </si>
  <si>
    <t>11207</t>
  </si>
  <si>
    <t>秩父市</t>
  </si>
  <si>
    <t>ちちぶし</t>
  </si>
  <si>
    <t>0494</t>
  </si>
  <si>
    <t>368-00 369-15 369-18 369-19</t>
  </si>
  <si>
    <t>11208</t>
  </si>
  <si>
    <t>所沢市</t>
  </si>
  <si>
    <t>ところざわし</t>
  </si>
  <si>
    <t>04</t>
  </si>
  <si>
    <t>359-00 359-11</t>
  </si>
  <si>
    <t>11209</t>
  </si>
  <si>
    <t>飯能市</t>
  </si>
  <si>
    <t>はんのうし</t>
  </si>
  <si>
    <t>042</t>
  </si>
  <si>
    <t>357-00 357-01 357-02</t>
  </si>
  <si>
    <t>11210</t>
  </si>
  <si>
    <t>加須市</t>
  </si>
  <si>
    <t>かぞし</t>
  </si>
  <si>
    <t>0480 0280</t>
  </si>
  <si>
    <t>347-00 347-01 349-11 349-12</t>
  </si>
  <si>
    <t>11211</t>
  </si>
  <si>
    <t>本庄市</t>
  </si>
  <si>
    <t>ほんじょうし</t>
  </si>
  <si>
    <t>0495</t>
  </si>
  <si>
    <t>367-00 367-02</t>
  </si>
  <si>
    <t>11212</t>
  </si>
  <si>
    <t>東松山市</t>
  </si>
  <si>
    <t>ひがしまつやまし</t>
  </si>
  <si>
    <t>0493</t>
  </si>
  <si>
    <t>355-00</t>
  </si>
  <si>
    <t>11214</t>
  </si>
  <si>
    <t>春日部市</t>
  </si>
  <si>
    <t>かすかべし</t>
  </si>
  <si>
    <t>344-00 344-01</t>
  </si>
  <si>
    <t>11215</t>
  </si>
  <si>
    <t>狭山市</t>
  </si>
  <si>
    <t>さやまし</t>
  </si>
  <si>
    <t>350-13</t>
  </si>
  <si>
    <t>11216</t>
  </si>
  <si>
    <t>羽生市</t>
  </si>
  <si>
    <t>はにゅうし</t>
  </si>
  <si>
    <t>348-00</t>
  </si>
  <si>
    <t>11217</t>
  </si>
  <si>
    <t>鴻巣市</t>
  </si>
  <si>
    <t>こうのすし</t>
  </si>
  <si>
    <t>365-00 369-01</t>
  </si>
  <si>
    <t>11218</t>
  </si>
  <si>
    <t>深谷市</t>
  </si>
  <si>
    <t>ふかやし</t>
  </si>
  <si>
    <t>366-00 366-08 369-02 369-11 369-12</t>
  </si>
  <si>
    <t>11219</t>
  </si>
  <si>
    <t>上尾市</t>
  </si>
  <si>
    <t>あげおし</t>
  </si>
  <si>
    <t>362-00</t>
  </si>
  <si>
    <t>11221</t>
  </si>
  <si>
    <t>草加市</t>
  </si>
  <si>
    <t>そうかし</t>
  </si>
  <si>
    <t>340-00</t>
  </si>
  <si>
    <t>11222</t>
  </si>
  <si>
    <t>越谷市</t>
  </si>
  <si>
    <t>こしがやし</t>
  </si>
  <si>
    <t>343-00 343-08</t>
  </si>
  <si>
    <t>11223</t>
  </si>
  <si>
    <t>蕨市</t>
  </si>
  <si>
    <t>わらびし</t>
  </si>
  <si>
    <t>335-00</t>
  </si>
  <si>
    <t>11224</t>
  </si>
  <si>
    <t>戸田市</t>
  </si>
  <si>
    <t>とだし</t>
  </si>
  <si>
    <t>11225</t>
  </si>
  <si>
    <t>入間市</t>
  </si>
  <si>
    <t>いるまし</t>
  </si>
  <si>
    <t>358-00</t>
  </si>
  <si>
    <t>11227</t>
  </si>
  <si>
    <t>朝霞市</t>
  </si>
  <si>
    <t>あさかし</t>
  </si>
  <si>
    <t>351-00</t>
  </si>
  <si>
    <t>11228</t>
  </si>
  <si>
    <t>志木市</t>
  </si>
  <si>
    <t>しきし</t>
  </si>
  <si>
    <t>353-00</t>
  </si>
  <si>
    <t>11229</t>
  </si>
  <si>
    <t>和光市</t>
  </si>
  <si>
    <t>わこうし</t>
  </si>
  <si>
    <t>351-01</t>
  </si>
  <si>
    <t>11230</t>
  </si>
  <si>
    <t>新座市</t>
  </si>
  <si>
    <t>にいざし</t>
  </si>
  <si>
    <t>048 042</t>
  </si>
  <si>
    <t>352-00</t>
  </si>
  <si>
    <t>11231</t>
  </si>
  <si>
    <t>桶川市</t>
  </si>
  <si>
    <t>おけがわし</t>
  </si>
  <si>
    <t>363-00</t>
  </si>
  <si>
    <t>11232</t>
  </si>
  <si>
    <t>久喜市</t>
  </si>
  <si>
    <t>くきし</t>
  </si>
  <si>
    <t>0480</t>
  </si>
  <si>
    <t>346-00</t>
  </si>
  <si>
    <t>11233</t>
  </si>
  <si>
    <t>北本市</t>
  </si>
  <si>
    <t>きたもとし</t>
  </si>
  <si>
    <t>364-00</t>
  </si>
  <si>
    <t>11234</t>
  </si>
  <si>
    <t>八潮市</t>
  </si>
  <si>
    <t>やしおし</t>
  </si>
  <si>
    <t>340-08</t>
  </si>
  <si>
    <t>11235</t>
  </si>
  <si>
    <t>富士見市</t>
  </si>
  <si>
    <t>ふじみし</t>
  </si>
  <si>
    <t>049 048</t>
  </si>
  <si>
    <t>354-00</t>
  </si>
  <si>
    <t>11237</t>
  </si>
  <si>
    <t>三郷市</t>
  </si>
  <si>
    <t>みさとし</t>
  </si>
  <si>
    <t>341-00</t>
  </si>
  <si>
    <t>11238</t>
  </si>
  <si>
    <t>蓮田市</t>
  </si>
  <si>
    <t>はすだし</t>
  </si>
  <si>
    <t>349-01</t>
  </si>
  <si>
    <t>11239</t>
  </si>
  <si>
    <t>坂戸市</t>
  </si>
  <si>
    <t>さかどし</t>
  </si>
  <si>
    <t>350-02</t>
  </si>
  <si>
    <t>11240</t>
  </si>
  <si>
    <t>幸手市</t>
  </si>
  <si>
    <t>さってし</t>
  </si>
  <si>
    <t>340-01</t>
  </si>
  <si>
    <t>11241</t>
  </si>
  <si>
    <t>鶴ヶ島市</t>
  </si>
  <si>
    <t>つるがしまし</t>
  </si>
  <si>
    <t>350-22</t>
  </si>
  <si>
    <t>11242</t>
  </si>
  <si>
    <t>日高市</t>
  </si>
  <si>
    <t>ひだかし</t>
  </si>
  <si>
    <t>350-12</t>
  </si>
  <si>
    <t>11243</t>
  </si>
  <si>
    <t>吉川市</t>
  </si>
  <si>
    <t>よしかわし</t>
  </si>
  <si>
    <t>342-00</t>
  </si>
  <si>
    <t>11245</t>
  </si>
  <si>
    <t>ふじみ野市</t>
  </si>
  <si>
    <t>ふじみのし</t>
  </si>
  <si>
    <t>356-00</t>
  </si>
  <si>
    <t>11246</t>
  </si>
  <si>
    <t>白岡市</t>
  </si>
  <si>
    <t>しらおかし</t>
  </si>
  <si>
    <t>349-02</t>
  </si>
  <si>
    <t>11301</t>
  </si>
  <si>
    <t>北足立郡伊奈町</t>
  </si>
  <si>
    <t>きたあだちぐんいなまち</t>
  </si>
  <si>
    <t>362-08</t>
  </si>
  <si>
    <t>11324</t>
  </si>
  <si>
    <t>入間郡三芳町</t>
  </si>
  <si>
    <t>いるまぐんみよしまち</t>
  </si>
  <si>
    <t>11326</t>
  </si>
  <si>
    <t>入間郡毛呂山町</t>
  </si>
  <si>
    <t>いるまぐんもろやままち</t>
  </si>
  <si>
    <t>350-04</t>
  </si>
  <si>
    <t>11327</t>
  </si>
  <si>
    <t>入間郡越生町</t>
  </si>
  <si>
    <t>いるまぐんおごせまち</t>
  </si>
  <si>
    <t>11341</t>
  </si>
  <si>
    <t>比企郡滑川町</t>
  </si>
  <si>
    <t>ひきぐんなめがわまち</t>
  </si>
  <si>
    <t>355-08</t>
  </si>
  <si>
    <t>11342</t>
  </si>
  <si>
    <t>比企郡嵐山町</t>
  </si>
  <si>
    <t>ひきぐんらんざんまち</t>
  </si>
  <si>
    <t>355-02</t>
  </si>
  <si>
    <t>11343</t>
  </si>
  <si>
    <t>比企郡小川町</t>
  </si>
  <si>
    <t>ひきぐんおがわまち</t>
  </si>
  <si>
    <t>355-03</t>
  </si>
  <si>
    <t>11346</t>
  </si>
  <si>
    <t>比企郡川島町</t>
  </si>
  <si>
    <t>ひきぐんかわじままち</t>
  </si>
  <si>
    <t>350-01</t>
  </si>
  <si>
    <t>11347</t>
  </si>
  <si>
    <t>比企郡吉見町</t>
  </si>
  <si>
    <t>ひきぐんよしみまち</t>
  </si>
  <si>
    <t>355-01</t>
  </si>
  <si>
    <t>11348</t>
  </si>
  <si>
    <t>比企郡鳩山町</t>
  </si>
  <si>
    <t>ひきぐんはとやままち</t>
  </si>
  <si>
    <t>350-03</t>
  </si>
  <si>
    <t>11349</t>
  </si>
  <si>
    <t>比企郡ときがわ町</t>
  </si>
  <si>
    <t>ひきぐんときがわまち</t>
  </si>
  <si>
    <t>11361</t>
  </si>
  <si>
    <t>秩父郡横瀬町</t>
  </si>
  <si>
    <t>ちちぶぐんよこぜまち</t>
  </si>
  <si>
    <t>368-00</t>
  </si>
  <si>
    <t>11362</t>
  </si>
  <si>
    <t>秩父郡皆野町</t>
  </si>
  <si>
    <t>ちちぶぐんみなのまち</t>
  </si>
  <si>
    <t>369-14 369-16</t>
  </si>
  <si>
    <t>11363</t>
  </si>
  <si>
    <t>秩父郡長瀞町</t>
  </si>
  <si>
    <t>ちちぶぐんながとろまち</t>
  </si>
  <si>
    <t>369-13</t>
  </si>
  <si>
    <t>11365</t>
  </si>
  <si>
    <t>秩父郡小鹿野町</t>
  </si>
  <si>
    <t>ちちぶぐんおがのまち</t>
  </si>
  <si>
    <t>368-01 368-02</t>
  </si>
  <si>
    <t>11369</t>
  </si>
  <si>
    <t>秩父郡東秩父村</t>
  </si>
  <si>
    <t>ちちぶぐんひがしちちぶむら</t>
  </si>
  <si>
    <t>11381</t>
  </si>
  <si>
    <t>児玉郡美里町</t>
  </si>
  <si>
    <t>こだまぐんみさとまち</t>
  </si>
  <si>
    <t>367-01</t>
  </si>
  <si>
    <t>11383</t>
  </si>
  <si>
    <t>児玉郡神川町</t>
  </si>
  <si>
    <t>こだまぐんかみかわまち</t>
  </si>
  <si>
    <t>0495 0274</t>
  </si>
  <si>
    <t>367-02 367-03</t>
  </si>
  <si>
    <t>11385</t>
  </si>
  <si>
    <t>児玉郡上里町</t>
  </si>
  <si>
    <t>こだまぐんかみさとまち</t>
  </si>
  <si>
    <t>369-03</t>
  </si>
  <si>
    <t>11408</t>
  </si>
  <si>
    <t>大里郡寄居町</t>
  </si>
  <si>
    <t>おおさとぐんよりいまち</t>
  </si>
  <si>
    <t>369-12</t>
  </si>
  <si>
    <t>11442</t>
  </si>
  <si>
    <t>南埼玉郡宮代町</t>
  </si>
  <si>
    <t>みなみさいたまぐんみやしろまち</t>
  </si>
  <si>
    <t>345-00 345-08</t>
  </si>
  <si>
    <t>11464</t>
  </si>
  <si>
    <t>北葛飾郡杉戸町</t>
  </si>
  <si>
    <t>きたかつしかぐんすぎとまち</t>
  </si>
  <si>
    <t>345-00</t>
  </si>
  <si>
    <t>11465</t>
  </si>
  <si>
    <t>北葛飾郡松伏町</t>
  </si>
  <si>
    <t>きたかつしかぐんまつぶしまち</t>
  </si>
  <si>
    <t>343-01</t>
  </si>
  <si>
    <t>12100</t>
  </si>
  <si>
    <t>千葉市</t>
  </si>
  <si>
    <t>ちばし</t>
  </si>
  <si>
    <t>12101</t>
  </si>
  <si>
    <t>千葉市中央区</t>
  </si>
  <si>
    <t>ちばしちゅうおうく</t>
  </si>
  <si>
    <t>043</t>
  </si>
  <si>
    <t>260-00 260-08</t>
  </si>
  <si>
    <t>12102</t>
  </si>
  <si>
    <t>千葉市花見川区</t>
  </si>
  <si>
    <t>ちばしはなみがわく</t>
  </si>
  <si>
    <t>043 047</t>
  </si>
  <si>
    <t>262-00</t>
  </si>
  <si>
    <t>12103</t>
  </si>
  <si>
    <t>千葉市稲毛区</t>
  </si>
  <si>
    <t>ちばしいなげく</t>
  </si>
  <si>
    <t>263-00</t>
  </si>
  <si>
    <t>12104</t>
  </si>
  <si>
    <t>千葉市若葉区</t>
  </si>
  <si>
    <t>ちばしわかばく</t>
  </si>
  <si>
    <t>264-00 265-00</t>
  </si>
  <si>
    <t>12105</t>
  </si>
  <si>
    <t>千葉市緑区</t>
  </si>
  <si>
    <t>ちばしみどりく</t>
  </si>
  <si>
    <t>266-00 267-00</t>
  </si>
  <si>
    <t>12106</t>
  </si>
  <si>
    <t>千葉市美浜区</t>
  </si>
  <si>
    <t>ちばしみはまく</t>
  </si>
  <si>
    <t>261-00 261-71</t>
  </si>
  <si>
    <t>12202</t>
  </si>
  <si>
    <t>銚子市</t>
  </si>
  <si>
    <t>ちょうしし</t>
  </si>
  <si>
    <t>0479</t>
  </si>
  <si>
    <t>288-00 288-08</t>
  </si>
  <si>
    <t>12203</t>
  </si>
  <si>
    <t>市川市</t>
  </si>
  <si>
    <t>いちかわし</t>
  </si>
  <si>
    <t>047</t>
  </si>
  <si>
    <t>272-00 272-01 272-08</t>
  </si>
  <si>
    <t>12204</t>
  </si>
  <si>
    <t>船橋市</t>
  </si>
  <si>
    <t>ふなばしし</t>
  </si>
  <si>
    <t>270-14 273-00 273-08 274-00 274-08</t>
  </si>
  <si>
    <t>12205</t>
  </si>
  <si>
    <t>館山市</t>
  </si>
  <si>
    <t>たてやまし</t>
  </si>
  <si>
    <t>0470</t>
  </si>
  <si>
    <t>294-00 294-02 294-03</t>
  </si>
  <si>
    <t>12206</t>
  </si>
  <si>
    <t>木更津市</t>
  </si>
  <si>
    <t>きさらづし</t>
  </si>
  <si>
    <t>0438</t>
  </si>
  <si>
    <t>292-00 292-02 292-08 299-02</t>
  </si>
  <si>
    <t>12207</t>
  </si>
  <si>
    <t>松戸市</t>
  </si>
  <si>
    <t>まつどし</t>
  </si>
  <si>
    <t>270-00 270-22 271-00</t>
  </si>
  <si>
    <t>12208</t>
  </si>
  <si>
    <t>野田市</t>
  </si>
  <si>
    <t>のだし</t>
  </si>
  <si>
    <t>270-02 278-00</t>
  </si>
  <si>
    <t>12210</t>
  </si>
  <si>
    <t>茂原市</t>
  </si>
  <si>
    <t>もばらし</t>
  </si>
  <si>
    <t>0475</t>
  </si>
  <si>
    <t>297-00 299-41</t>
  </si>
  <si>
    <t>12211</t>
  </si>
  <si>
    <t>成田市</t>
  </si>
  <si>
    <t>なりたし</t>
  </si>
  <si>
    <t>0476</t>
  </si>
  <si>
    <t>282-00 286-00 286-01 286-08 287-02 289-01</t>
  </si>
  <si>
    <t>12212</t>
  </si>
  <si>
    <t>佐倉市</t>
  </si>
  <si>
    <t>285-00 285-08</t>
  </si>
  <si>
    <t>12213</t>
  </si>
  <si>
    <t>東金市</t>
  </si>
  <si>
    <t>とうがねし</t>
  </si>
  <si>
    <t>283-00 283-08</t>
  </si>
  <si>
    <t>12215</t>
  </si>
  <si>
    <t>旭市</t>
  </si>
  <si>
    <t>あさひし</t>
  </si>
  <si>
    <t>289-05 289-25 289-26 289-27</t>
  </si>
  <si>
    <t>12216</t>
  </si>
  <si>
    <t>習志野市</t>
  </si>
  <si>
    <t>ならしのし</t>
  </si>
  <si>
    <t>275-00</t>
  </si>
  <si>
    <t>12217</t>
  </si>
  <si>
    <t>柏市</t>
  </si>
  <si>
    <t>かしわし</t>
  </si>
  <si>
    <t>270-14 277-00 277-08 277-09</t>
  </si>
  <si>
    <t>12218</t>
  </si>
  <si>
    <t>勝浦市</t>
  </si>
  <si>
    <t>かつうらし</t>
  </si>
  <si>
    <t>299-52</t>
  </si>
  <si>
    <t>12219</t>
  </si>
  <si>
    <t>市原市</t>
  </si>
  <si>
    <t>いちはらし</t>
  </si>
  <si>
    <t>0436</t>
  </si>
  <si>
    <t>290-00 290-01 290-02 290-05 299-01</t>
  </si>
  <si>
    <t>12220</t>
  </si>
  <si>
    <t>流山市</t>
  </si>
  <si>
    <t>ながれやまし</t>
  </si>
  <si>
    <t>270-01</t>
  </si>
  <si>
    <t>12221</t>
  </si>
  <si>
    <t>八千代市</t>
  </si>
  <si>
    <t>やちよし</t>
  </si>
  <si>
    <t>276-00</t>
  </si>
  <si>
    <t>12222</t>
  </si>
  <si>
    <t>我孫子市</t>
  </si>
  <si>
    <t>あびこし</t>
  </si>
  <si>
    <t>270-11</t>
  </si>
  <si>
    <t>12223</t>
  </si>
  <si>
    <t>鴨川市</t>
  </si>
  <si>
    <t>かもがわし</t>
  </si>
  <si>
    <t>296-00 296-01 296-02 299-28 299-55</t>
  </si>
  <si>
    <t>12224</t>
  </si>
  <si>
    <t>鎌ケ谷市</t>
  </si>
  <si>
    <t>かまがやし</t>
  </si>
  <si>
    <t>273-01</t>
  </si>
  <si>
    <t>12225</t>
  </si>
  <si>
    <t>君津市</t>
  </si>
  <si>
    <t>きみつし</t>
  </si>
  <si>
    <t>0439</t>
  </si>
  <si>
    <t>292-04 292-05 292-11 299-11</t>
  </si>
  <si>
    <t>12226</t>
  </si>
  <si>
    <t>富津市</t>
  </si>
  <si>
    <t>ふっつし</t>
  </si>
  <si>
    <t>293-00 299-16 299-17 299-18</t>
  </si>
  <si>
    <t>12227</t>
  </si>
  <si>
    <t>浦安市</t>
  </si>
  <si>
    <t>うらやすし</t>
  </si>
  <si>
    <t>279-00</t>
  </si>
  <si>
    <t>12228</t>
  </si>
  <si>
    <t>四街道市</t>
  </si>
  <si>
    <t>よつかいどうし</t>
  </si>
  <si>
    <t>284-00</t>
  </si>
  <si>
    <t>12229</t>
  </si>
  <si>
    <t>袖ケ浦市</t>
  </si>
  <si>
    <t>そでがうらし</t>
  </si>
  <si>
    <t>299-02</t>
  </si>
  <si>
    <t>12230</t>
  </si>
  <si>
    <t>八街市</t>
  </si>
  <si>
    <t>やちまたし</t>
  </si>
  <si>
    <t>289-11</t>
  </si>
  <si>
    <t>12231</t>
  </si>
  <si>
    <t>印西市</t>
  </si>
  <si>
    <t>いんざいし</t>
  </si>
  <si>
    <t>270-13 270-16 270-23</t>
  </si>
  <si>
    <t>12232</t>
  </si>
  <si>
    <t>白井市</t>
  </si>
  <si>
    <t>しろいし</t>
  </si>
  <si>
    <t>270-14</t>
  </si>
  <si>
    <t>12233</t>
  </si>
  <si>
    <t>富里市</t>
  </si>
  <si>
    <t>とみさとし</t>
  </si>
  <si>
    <t>286-02</t>
  </si>
  <si>
    <t>12234</t>
  </si>
  <si>
    <t>南房総市</t>
  </si>
  <si>
    <t>みなみぼうそうし</t>
  </si>
  <si>
    <t>294-08 295-00 295-01 299-22 299-24 299-25 299-27</t>
  </si>
  <si>
    <t>12235</t>
  </si>
  <si>
    <t>匝瑳市</t>
  </si>
  <si>
    <t>そうさし</t>
  </si>
  <si>
    <t>289-21 289-31</t>
  </si>
  <si>
    <t>12236</t>
  </si>
  <si>
    <t>香取市</t>
  </si>
  <si>
    <t>かとりし</t>
  </si>
  <si>
    <t>0478</t>
  </si>
  <si>
    <t>287-00 287-01 287-08 289-03 289-04</t>
  </si>
  <si>
    <t>12237</t>
  </si>
  <si>
    <t>山武市</t>
  </si>
  <si>
    <t>さんむし</t>
  </si>
  <si>
    <t>0475 0479</t>
  </si>
  <si>
    <t>289-12 289-13 289-15 289-18</t>
  </si>
  <si>
    <t>12238</t>
  </si>
  <si>
    <t>いすみ市</t>
  </si>
  <si>
    <t>いすみし</t>
  </si>
  <si>
    <t>298-00 298-01 299-45 299-46</t>
  </si>
  <si>
    <t>12239</t>
  </si>
  <si>
    <t>大網白里市</t>
  </si>
  <si>
    <t>おおあみしらさとし</t>
  </si>
  <si>
    <t>299-32</t>
  </si>
  <si>
    <t>12322</t>
  </si>
  <si>
    <t>印旛郡酒々井町</t>
  </si>
  <si>
    <t>いんばぐんしすいまち</t>
  </si>
  <si>
    <t>285-09</t>
  </si>
  <si>
    <t>12329</t>
  </si>
  <si>
    <t>印旛郡栄町</t>
  </si>
  <si>
    <t>いんばぐんさかえまち</t>
  </si>
  <si>
    <t>270-15</t>
  </si>
  <si>
    <t>12342</t>
  </si>
  <si>
    <t>香取郡神崎町</t>
  </si>
  <si>
    <t>かとりぐんこうざきまち</t>
  </si>
  <si>
    <t>289-01 289-02</t>
  </si>
  <si>
    <t>12347</t>
  </si>
  <si>
    <t>香取郡多古町</t>
  </si>
  <si>
    <t>かとりぐんたこまち</t>
  </si>
  <si>
    <t>289-22 289-23</t>
  </si>
  <si>
    <t>12349</t>
  </si>
  <si>
    <t>香取郡東庄町</t>
  </si>
  <si>
    <t>かとりぐんとうのしょうまち</t>
  </si>
  <si>
    <t>289-06</t>
  </si>
  <si>
    <t>12403</t>
  </si>
  <si>
    <t>山武郡九十九里町</t>
  </si>
  <si>
    <t>さんぶぐんくじゅうくりまち</t>
  </si>
  <si>
    <t>283-01</t>
  </si>
  <si>
    <t>12409</t>
  </si>
  <si>
    <t>山武郡芝山町</t>
  </si>
  <si>
    <t>さんぶぐんしばやままち</t>
  </si>
  <si>
    <t>289-16</t>
  </si>
  <si>
    <t>12410</t>
  </si>
  <si>
    <t>山武郡横芝光町</t>
  </si>
  <si>
    <t>さんぶぐんよこしばひかりまち</t>
  </si>
  <si>
    <t>289-17</t>
  </si>
  <si>
    <t>12421</t>
  </si>
  <si>
    <t>長生郡一宮町</t>
  </si>
  <si>
    <t>ちょうせいぐんいちのみやまち</t>
  </si>
  <si>
    <t>299-43</t>
  </si>
  <si>
    <t>12422</t>
  </si>
  <si>
    <t>長生郡睦沢町</t>
  </si>
  <si>
    <t>ちょうせいぐんむつざわまち</t>
  </si>
  <si>
    <t>299-44</t>
  </si>
  <si>
    <t>12423</t>
  </si>
  <si>
    <t>長生郡長生村</t>
  </si>
  <si>
    <t>ちょうせいぐんちょうせいむら</t>
  </si>
  <si>
    <t>12424</t>
  </si>
  <si>
    <t>長生郡白子町</t>
  </si>
  <si>
    <t>ちょうせいぐんしらこまち</t>
  </si>
  <si>
    <t>299-42</t>
  </si>
  <si>
    <t>12426</t>
  </si>
  <si>
    <t>長生郡長柄町</t>
  </si>
  <si>
    <t>ちょうせいぐんながらまち</t>
  </si>
  <si>
    <t>297-02</t>
  </si>
  <si>
    <t>12427</t>
  </si>
  <si>
    <t>長生郡長南町</t>
  </si>
  <si>
    <t>ちょうせいぐんちょうなんまち</t>
  </si>
  <si>
    <t>297-01</t>
  </si>
  <si>
    <t>12441</t>
  </si>
  <si>
    <t>夷隅郡大多喜町</t>
  </si>
  <si>
    <t>いすみぐんおおたきまち</t>
  </si>
  <si>
    <t>298-02</t>
  </si>
  <si>
    <t>12443</t>
  </si>
  <si>
    <t>夷隅郡御宿町</t>
  </si>
  <si>
    <t>いすみぐんおんじゅくまち</t>
  </si>
  <si>
    <t>299-51</t>
  </si>
  <si>
    <t>12463</t>
  </si>
  <si>
    <t>安房郡鋸南町</t>
  </si>
  <si>
    <t>あわぐんきょなんまち</t>
  </si>
  <si>
    <t>299-19 299-21</t>
  </si>
  <si>
    <t>13101</t>
  </si>
  <si>
    <t>千代田区</t>
  </si>
  <si>
    <t>ちよだく</t>
  </si>
  <si>
    <t>03</t>
  </si>
  <si>
    <t>100-00 100-60 100-62 100-63 100-64 101-00 102-00</t>
  </si>
  <si>
    <t>13102</t>
  </si>
  <si>
    <t>中央区</t>
  </si>
  <si>
    <t>ちゅうおうく</t>
  </si>
  <si>
    <t>103-00 104-00 104-60 104-61 104-62</t>
  </si>
  <si>
    <t>13103</t>
  </si>
  <si>
    <t>港区</t>
  </si>
  <si>
    <t>みなとく</t>
  </si>
  <si>
    <t>105-00 105-60 105-61 105-62 105-70 105-71 105-72 105-73 105-74 106-00 106-60 106-61 107-00 107-60 107-61 108-00 108-60 108-61 108-62 108-63 135-00</t>
  </si>
  <si>
    <t>13104</t>
  </si>
  <si>
    <t>新宿区</t>
  </si>
  <si>
    <t>しんじゅくく</t>
  </si>
  <si>
    <t>160-00 161-00 162-00 162-08 163-02 163-04 163-05 163-06 163-07 163-08 163-09 163-10 163-11 163-13 163-14 163-15 163-60 169-00</t>
  </si>
  <si>
    <t>13105</t>
  </si>
  <si>
    <t>文京区</t>
  </si>
  <si>
    <t>ぶんきょうく</t>
  </si>
  <si>
    <t>112-00 113-00</t>
  </si>
  <si>
    <t>13106</t>
  </si>
  <si>
    <t>台東区</t>
  </si>
  <si>
    <t>たいとうく</t>
  </si>
  <si>
    <t>110-00 111-00</t>
  </si>
  <si>
    <t>13107</t>
  </si>
  <si>
    <t>墨田区</t>
  </si>
  <si>
    <t>すみだく</t>
  </si>
  <si>
    <t>130-00 131-00</t>
  </si>
  <si>
    <t>13108</t>
  </si>
  <si>
    <t>江東区</t>
  </si>
  <si>
    <t>こうとうく</t>
  </si>
  <si>
    <t>135-00 135-60 136-00</t>
  </si>
  <si>
    <t>13109</t>
  </si>
  <si>
    <t>品川区</t>
  </si>
  <si>
    <t>しながわく</t>
  </si>
  <si>
    <t>135-00 140-00 141-00 142-00</t>
  </si>
  <si>
    <t>13110</t>
  </si>
  <si>
    <t>目黒区</t>
  </si>
  <si>
    <t>めぐろく</t>
  </si>
  <si>
    <t>152-00 153-00</t>
  </si>
  <si>
    <t>13111</t>
  </si>
  <si>
    <t>大田区</t>
  </si>
  <si>
    <t>おおたく</t>
  </si>
  <si>
    <t>143-00 144-00 145-00 146-00</t>
  </si>
  <si>
    <t>13112</t>
  </si>
  <si>
    <t>世田谷区</t>
  </si>
  <si>
    <t>せたがやく</t>
  </si>
  <si>
    <t>154-00 155-00 156-00 157-00 158-00</t>
  </si>
  <si>
    <t>13113</t>
  </si>
  <si>
    <t>渋谷区</t>
  </si>
  <si>
    <t>しぶやく</t>
  </si>
  <si>
    <t>150-00 150-60 151-00</t>
  </si>
  <si>
    <t>13114</t>
  </si>
  <si>
    <t>中野区</t>
  </si>
  <si>
    <t>なかのく</t>
  </si>
  <si>
    <t>164-00 165-00</t>
  </si>
  <si>
    <t>13115</t>
  </si>
  <si>
    <t>杉並区</t>
  </si>
  <si>
    <t>すぎなみく</t>
  </si>
  <si>
    <t>166-00 167-00 168-00</t>
  </si>
  <si>
    <t>13116</t>
  </si>
  <si>
    <t>豊島区</t>
  </si>
  <si>
    <t>としまく</t>
  </si>
  <si>
    <t>170-00 170-60 171-00</t>
  </si>
  <si>
    <t>13117</t>
  </si>
  <si>
    <t>北区</t>
  </si>
  <si>
    <t>きたく</t>
  </si>
  <si>
    <t>114-00 115-00</t>
  </si>
  <si>
    <t>13118</t>
  </si>
  <si>
    <t>荒川区</t>
  </si>
  <si>
    <t>あらかわく</t>
  </si>
  <si>
    <t>116-00</t>
  </si>
  <si>
    <t>13119</t>
  </si>
  <si>
    <t>板橋区</t>
  </si>
  <si>
    <t>いたばしく</t>
  </si>
  <si>
    <t>173-00 174-00 175-00</t>
  </si>
  <si>
    <t>13120</t>
  </si>
  <si>
    <t>練馬区</t>
  </si>
  <si>
    <t>ねりまく</t>
  </si>
  <si>
    <t>176-00 177-00 178-00 179-00</t>
  </si>
  <si>
    <t>13121</t>
  </si>
  <si>
    <t>足立区</t>
  </si>
  <si>
    <t>あだちく</t>
  </si>
  <si>
    <t>120-00 121-00 121-08 123-08</t>
  </si>
  <si>
    <t>13122</t>
  </si>
  <si>
    <t>葛飾区</t>
  </si>
  <si>
    <t>かつしかく</t>
  </si>
  <si>
    <t>124-00 125-00</t>
  </si>
  <si>
    <t>13123</t>
  </si>
  <si>
    <t>江戸川区</t>
  </si>
  <si>
    <t>えどがわく</t>
  </si>
  <si>
    <t>132-00 133-00 134-00</t>
  </si>
  <si>
    <t>13201</t>
  </si>
  <si>
    <t>八王子市</t>
  </si>
  <si>
    <t>はちおうじし</t>
  </si>
  <si>
    <t>192-00 192-01 192-03 192-09 193-08 193-09</t>
  </si>
  <si>
    <t>13202</t>
  </si>
  <si>
    <t>立川市</t>
  </si>
  <si>
    <t>たちかわし</t>
  </si>
  <si>
    <t>190-00</t>
  </si>
  <si>
    <t>13203</t>
  </si>
  <si>
    <t>武蔵野市</t>
  </si>
  <si>
    <t>むさしのし</t>
  </si>
  <si>
    <t>0422</t>
  </si>
  <si>
    <t>180-00</t>
  </si>
  <si>
    <t>13204</t>
  </si>
  <si>
    <t>三鷹市</t>
  </si>
  <si>
    <t>みたかし</t>
  </si>
  <si>
    <t>0422 03</t>
  </si>
  <si>
    <t>181-00</t>
  </si>
  <si>
    <t>13205</t>
  </si>
  <si>
    <t>青梅市</t>
  </si>
  <si>
    <t>おうめし</t>
  </si>
  <si>
    <t>0428</t>
  </si>
  <si>
    <t>198-00 198-01</t>
  </si>
  <si>
    <t>13206</t>
  </si>
  <si>
    <t>府中市</t>
  </si>
  <si>
    <t>ふちゅうし</t>
  </si>
  <si>
    <t>183-00</t>
  </si>
  <si>
    <t>13207</t>
  </si>
  <si>
    <t>昭島市</t>
  </si>
  <si>
    <t>あきしまし</t>
  </si>
  <si>
    <t>196-00</t>
  </si>
  <si>
    <t>13208</t>
  </si>
  <si>
    <t>調布市</t>
  </si>
  <si>
    <t>ちょうふし</t>
  </si>
  <si>
    <t>042 03 0422</t>
  </si>
  <si>
    <t>182-00</t>
  </si>
  <si>
    <t>13209</t>
  </si>
  <si>
    <t>町田市</t>
  </si>
  <si>
    <t>まちだし</t>
  </si>
  <si>
    <t>042 044</t>
  </si>
  <si>
    <t>194-00 194-02 195-00</t>
  </si>
  <si>
    <t>13210</t>
  </si>
  <si>
    <t>小金井市</t>
  </si>
  <si>
    <t>こがねいし</t>
  </si>
  <si>
    <t>042 0422</t>
  </si>
  <si>
    <t>184-00</t>
  </si>
  <si>
    <t>13211</t>
  </si>
  <si>
    <t>小平市</t>
  </si>
  <si>
    <t>こだいらし</t>
  </si>
  <si>
    <t>187-00</t>
  </si>
  <si>
    <t>13212</t>
  </si>
  <si>
    <t>日野市</t>
  </si>
  <si>
    <t>ひのし</t>
  </si>
  <si>
    <t>191-00</t>
  </si>
  <si>
    <t>13213</t>
  </si>
  <si>
    <t>東村山市</t>
  </si>
  <si>
    <t>ひがしむらやまし</t>
  </si>
  <si>
    <t>189-00</t>
  </si>
  <si>
    <t>13214</t>
  </si>
  <si>
    <t>国分寺市</t>
  </si>
  <si>
    <t>こくぶんじし</t>
  </si>
  <si>
    <t>185-00</t>
  </si>
  <si>
    <t>13215</t>
  </si>
  <si>
    <t>国立市</t>
  </si>
  <si>
    <t>くにたちし</t>
  </si>
  <si>
    <t>186-00</t>
  </si>
  <si>
    <t>13218</t>
  </si>
  <si>
    <t>福生市</t>
  </si>
  <si>
    <t>ふっさし</t>
  </si>
  <si>
    <t>197-00</t>
  </si>
  <si>
    <t>13219</t>
  </si>
  <si>
    <t>狛江市</t>
  </si>
  <si>
    <t>こまえし</t>
  </si>
  <si>
    <t>03 042</t>
  </si>
  <si>
    <t>201-00</t>
  </si>
  <si>
    <t>13220</t>
  </si>
  <si>
    <t>東大和市</t>
  </si>
  <si>
    <t>ひがしやまとし</t>
  </si>
  <si>
    <t>207-00</t>
  </si>
  <si>
    <t>13221</t>
  </si>
  <si>
    <t>清瀬市</t>
  </si>
  <si>
    <t>きよせし</t>
  </si>
  <si>
    <t>204-00</t>
  </si>
  <si>
    <t>13222</t>
  </si>
  <si>
    <t>東久留米市</t>
  </si>
  <si>
    <t>ひがしくるめし</t>
  </si>
  <si>
    <t>203-00</t>
  </si>
  <si>
    <t>13223</t>
  </si>
  <si>
    <t>武蔵村山市</t>
  </si>
  <si>
    <t>むさしむらやまし</t>
  </si>
  <si>
    <t>208-00</t>
  </si>
  <si>
    <t>13224</t>
  </si>
  <si>
    <t>多摩市</t>
  </si>
  <si>
    <t>たまし</t>
  </si>
  <si>
    <t>206-00</t>
  </si>
  <si>
    <t>13225</t>
  </si>
  <si>
    <t>稲城市</t>
  </si>
  <si>
    <t>いなぎし</t>
  </si>
  <si>
    <t>206-00 206-08</t>
  </si>
  <si>
    <t>13227</t>
  </si>
  <si>
    <t>羽村市</t>
  </si>
  <si>
    <t>はむらし</t>
  </si>
  <si>
    <t>205-00</t>
  </si>
  <si>
    <t>13228</t>
  </si>
  <si>
    <t>あきる野市</t>
  </si>
  <si>
    <t>あきるのし</t>
  </si>
  <si>
    <t>190-01 197-08</t>
  </si>
  <si>
    <t>13229</t>
  </si>
  <si>
    <t>西東京市</t>
  </si>
  <si>
    <t>にしとうきょうし</t>
  </si>
  <si>
    <t>188-00 202-00</t>
  </si>
  <si>
    <t>13303</t>
  </si>
  <si>
    <t>西多摩郡瑞穂町</t>
  </si>
  <si>
    <t>にしたまぐんみずほまち</t>
  </si>
  <si>
    <t>190-12</t>
  </si>
  <si>
    <t>13305</t>
  </si>
  <si>
    <t>西多摩郡日の出町</t>
  </si>
  <si>
    <t>にしたまぐんひのでまち</t>
  </si>
  <si>
    <t>190-01</t>
  </si>
  <si>
    <t>13307</t>
  </si>
  <si>
    <t>西多摩郡檜原村</t>
  </si>
  <si>
    <t>にしたまぐんひのはらむら</t>
  </si>
  <si>
    <t>190-02</t>
  </si>
  <si>
    <t>13308</t>
  </si>
  <si>
    <t>西多摩郡奥多摩町</t>
  </si>
  <si>
    <t>にしたまぐんおくたままち</t>
  </si>
  <si>
    <t>198-00 198-01 198-02</t>
  </si>
  <si>
    <t>13361</t>
  </si>
  <si>
    <t>大島町</t>
  </si>
  <si>
    <t>おおしままち</t>
  </si>
  <si>
    <t>04992</t>
  </si>
  <si>
    <t>100-01 100-02</t>
  </si>
  <si>
    <t>13362</t>
  </si>
  <si>
    <t>利島村</t>
  </si>
  <si>
    <t>としまむら</t>
  </si>
  <si>
    <t>100-03</t>
  </si>
  <si>
    <t>13363</t>
  </si>
  <si>
    <t>新島村</t>
  </si>
  <si>
    <t>にいじまむら</t>
  </si>
  <si>
    <t>100-04 100-05</t>
  </si>
  <si>
    <t>13364</t>
  </si>
  <si>
    <t>神津島村</t>
  </si>
  <si>
    <t>こうづしまむら</t>
  </si>
  <si>
    <t>100-06</t>
  </si>
  <si>
    <t>13381</t>
  </si>
  <si>
    <t>三宅村</t>
  </si>
  <si>
    <t>みやけむら</t>
  </si>
  <si>
    <t>04994</t>
  </si>
  <si>
    <t>100-11 100-12</t>
  </si>
  <si>
    <t>13382</t>
  </si>
  <si>
    <t>御蔵島村</t>
  </si>
  <si>
    <t>みくらじまむら</t>
  </si>
  <si>
    <t>100-13</t>
  </si>
  <si>
    <t>13401</t>
  </si>
  <si>
    <t>八丈町</t>
  </si>
  <si>
    <t>はちじょうまち</t>
  </si>
  <si>
    <t>04996</t>
  </si>
  <si>
    <t>100-14 100-15 100-16</t>
  </si>
  <si>
    <t>13402</t>
  </si>
  <si>
    <t>青ヶ島村</t>
  </si>
  <si>
    <t>あおがしまむら</t>
  </si>
  <si>
    <t>100-17</t>
  </si>
  <si>
    <t>13421</t>
  </si>
  <si>
    <t>小笠原村</t>
  </si>
  <si>
    <t>おがさわらむら</t>
  </si>
  <si>
    <t>04998</t>
  </si>
  <si>
    <t>100-21 100-22</t>
  </si>
  <si>
    <t>14100</t>
  </si>
  <si>
    <t>横浜市</t>
  </si>
  <si>
    <t>よこはまし</t>
  </si>
  <si>
    <t>14101</t>
  </si>
  <si>
    <t>横浜市鶴見区</t>
  </si>
  <si>
    <t>よこはましつるみく</t>
  </si>
  <si>
    <t>045</t>
  </si>
  <si>
    <t>230-00</t>
  </si>
  <si>
    <t>14102</t>
  </si>
  <si>
    <t>横浜市神奈川区</t>
  </si>
  <si>
    <t>よこはましかながわく</t>
  </si>
  <si>
    <t>221-00 221-08</t>
  </si>
  <si>
    <t>14103</t>
  </si>
  <si>
    <t>横浜市西区</t>
  </si>
  <si>
    <t>よこはましにしく</t>
  </si>
  <si>
    <t>220-00 220-60 220-61 220-62 220-81</t>
  </si>
  <si>
    <t>14104</t>
  </si>
  <si>
    <t>横浜市中区</t>
  </si>
  <si>
    <t>よこはましなかく</t>
  </si>
  <si>
    <t>231-00 231-08</t>
  </si>
  <si>
    <t>14105</t>
  </si>
  <si>
    <t>横浜市南区</t>
  </si>
  <si>
    <t>よこはましみなみく</t>
  </si>
  <si>
    <t>232-00</t>
  </si>
  <si>
    <t>14106</t>
  </si>
  <si>
    <t>横浜市保土ケ谷区</t>
  </si>
  <si>
    <t>よこはましほどがやく</t>
  </si>
  <si>
    <t>240-00</t>
  </si>
  <si>
    <t>14107</t>
  </si>
  <si>
    <t>横浜市磯子区</t>
  </si>
  <si>
    <t>よこはましいそごく</t>
  </si>
  <si>
    <t>235-00</t>
  </si>
  <si>
    <t>14108</t>
  </si>
  <si>
    <t>横浜市金沢区</t>
  </si>
  <si>
    <t>よこはましかなざわく</t>
  </si>
  <si>
    <t>236-00</t>
  </si>
  <si>
    <t>14109</t>
  </si>
  <si>
    <t>横浜市港北区</t>
  </si>
  <si>
    <t>よこはましこうほくく</t>
  </si>
  <si>
    <t>222-00 223-00</t>
  </si>
  <si>
    <t>14110</t>
  </si>
  <si>
    <t>横浜市戸塚区</t>
  </si>
  <si>
    <t>よこはましとつかく</t>
  </si>
  <si>
    <t>244-00 244-08 245-00</t>
  </si>
  <si>
    <t>14111</t>
  </si>
  <si>
    <t>横浜市港南区</t>
  </si>
  <si>
    <t>よこはましこうなんく</t>
  </si>
  <si>
    <t>233-00 234-00</t>
  </si>
  <si>
    <t>14112</t>
  </si>
  <si>
    <t>横浜市旭区</t>
  </si>
  <si>
    <t>よこはましあさひく</t>
  </si>
  <si>
    <t>241-00 241-08</t>
  </si>
  <si>
    <t>14113</t>
  </si>
  <si>
    <t>横浜市緑区</t>
  </si>
  <si>
    <t>よこはましみどりく</t>
  </si>
  <si>
    <t>226-00</t>
  </si>
  <si>
    <t>14114</t>
  </si>
  <si>
    <t>横浜市瀬谷区</t>
  </si>
  <si>
    <t>よこはましせやく</t>
  </si>
  <si>
    <t>246-00</t>
  </si>
  <si>
    <t>14115</t>
  </si>
  <si>
    <t>横浜市栄区</t>
  </si>
  <si>
    <t>よこはましさかえく</t>
  </si>
  <si>
    <t>244-08 247-00</t>
  </si>
  <si>
    <t>14116</t>
  </si>
  <si>
    <t>横浜市泉区</t>
  </si>
  <si>
    <t>よこはましいずみく</t>
  </si>
  <si>
    <t>245-00</t>
  </si>
  <si>
    <t>14117</t>
  </si>
  <si>
    <t>横浜市青葉区</t>
  </si>
  <si>
    <t>よこはましあおばく</t>
  </si>
  <si>
    <t>225-00 227-00</t>
  </si>
  <si>
    <t>14118</t>
  </si>
  <si>
    <t>横浜市都筑区</t>
  </si>
  <si>
    <t>よこはましつづきく</t>
  </si>
  <si>
    <t>224-00</t>
  </si>
  <si>
    <t>14130</t>
  </si>
  <si>
    <t>川崎市</t>
  </si>
  <si>
    <t>かわさきし</t>
  </si>
  <si>
    <t>14131</t>
  </si>
  <si>
    <t>川崎市川崎区</t>
  </si>
  <si>
    <t>かわさきしかわさきく</t>
  </si>
  <si>
    <t>044</t>
  </si>
  <si>
    <t>210-00 210-08</t>
  </si>
  <si>
    <t>14132</t>
  </si>
  <si>
    <t>川崎市幸区</t>
  </si>
  <si>
    <t>かわさきしさいわいく</t>
  </si>
  <si>
    <t>212-00</t>
  </si>
  <si>
    <t>14133</t>
  </si>
  <si>
    <t>川崎市中原区</t>
  </si>
  <si>
    <t>かわさきしなかはらく</t>
  </si>
  <si>
    <t>211-00</t>
  </si>
  <si>
    <t>14134</t>
  </si>
  <si>
    <t>川崎市高津区</t>
  </si>
  <si>
    <t>かわさきしたかつく</t>
  </si>
  <si>
    <t>213-00</t>
  </si>
  <si>
    <t>14135</t>
  </si>
  <si>
    <t>川崎市多摩区</t>
  </si>
  <si>
    <t>かわさきしたまく</t>
  </si>
  <si>
    <t>214-00</t>
  </si>
  <si>
    <t>14136</t>
  </si>
  <si>
    <t>川崎市宮前区</t>
  </si>
  <si>
    <t>かわさきしみやまえく</t>
  </si>
  <si>
    <t>216-00</t>
  </si>
  <si>
    <t>14137</t>
  </si>
  <si>
    <t>川崎市麻生区</t>
  </si>
  <si>
    <t>かわさきしあさおく</t>
  </si>
  <si>
    <t>215-00</t>
  </si>
  <si>
    <t>14150</t>
  </si>
  <si>
    <t>相模原市</t>
  </si>
  <si>
    <t>さがみはらし</t>
  </si>
  <si>
    <t>14151</t>
  </si>
  <si>
    <t>相模原市緑区</t>
  </si>
  <si>
    <t>さがみはらしみどりく</t>
  </si>
  <si>
    <t>252-01</t>
  </si>
  <si>
    <t>14152</t>
  </si>
  <si>
    <t>相模原市中央区</t>
  </si>
  <si>
    <t>さがみはらしちゅうおうく</t>
  </si>
  <si>
    <t>252-02</t>
  </si>
  <si>
    <t>14153</t>
  </si>
  <si>
    <t>相模原市南区</t>
  </si>
  <si>
    <t>さがみはらしみなみく</t>
  </si>
  <si>
    <t>042 046</t>
  </si>
  <si>
    <t>252-03</t>
  </si>
  <si>
    <t>14201</t>
  </si>
  <si>
    <t>横須賀市</t>
  </si>
  <si>
    <t>よこすかし</t>
  </si>
  <si>
    <t>046</t>
  </si>
  <si>
    <t>237-00 238-00 238-03 239-08 240-01</t>
  </si>
  <si>
    <t>14203</t>
  </si>
  <si>
    <t>平塚市</t>
  </si>
  <si>
    <t>ひらつかし</t>
  </si>
  <si>
    <t>0463</t>
  </si>
  <si>
    <t>254-00 254-08 254-09 259-12</t>
  </si>
  <si>
    <t>14204</t>
  </si>
  <si>
    <t>鎌倉市</t>
  </si>
  <si>
    <t>かまくらし</t>
  </si>
  <si>
    <t>0467</t>
  </si>
  <si>
    <t>247-00 248-00</t>
  </si>
  <si>
    <t>14205</t>
  </si>
  <si>
    <t>藤沢市</t>
  </si>
  <si>
    <t>ふじさわし</t>
  </si>
  <si>
    <t>0466</t>
  </si>
  <si>
    <t>251-00 251-08 252-08</t>
  </si>
  <si>
    <t>14206</t>
  </si>
  <si>
    <t>小田原市</t>
  </si>
  <si>
    <t>おだわらし</t>
  </si>
  <si>
    <t>0465</t>
  </si>
  <si>
    <t>250-00 250-02 250-08 256-08</t>
  </si>
  <si>
    <t>14207</t>
  </si>
  <si>
    <t>茅ヶ崎市</t>
  </si>
  <si>
    <t>ちがさきし</t>
  </si>
  <si>
    <t>253-00</t>
  </si>
  <si>
    <t>14208</t>
  </si>
  <si>
    <t>逗子市</t>
  </si>
  <si>
    <t>ずしし</t>
  </si>
  <si>
    <t>046 0467</t>
  </si>
  <si>
    <t>249-00</t>
  </si>
  <si>
    <t>14210</t>
  </si>
  <si>
    <t>三浦市</t>
  </si>
  <si>
    <t>みうらし</t>
  </si>
  <si>
    <t>238-01 238-02</t>
  </si>
  <si>
    <t>14211</t>
  </si>
  <si>
    <t>秦野市</t>
  </si>
  <si>
    <t>はだのし</t>
  </si>
  <si>
    <t>257-00 259-13</t>
  </si>
  <si>
    <t>14212</t>
  </si>
  <si>
    <t>厚木市</t>
  </si>
  <si>
    <t>あつぎし</t>
  </si>
  <si>
    <t>243-00 243-01 243-02 243-08</t>
  </si>
  <si>
    <t>14213</t>
  </si>
  <si>
    <t>大和市</t>
  </si>
  <si>
    <t>やまとし</t>
  </si>
  <si>
    <t>242-00</t>
  </si>
  <si>
    <t>14214</t>
  </si>
  <si>
    <t>伊勢原市</t>
  </si>
  <si>
    <t>いせはらし</t>
  </si>
  <si>
    <t>259-11</t>
  </si>
  <si>
    <t>14215</t>
  </si>
  <si>
    <t>海老名市</t>
  </si>
  <si>
    <t>えびなし</t>
  </si>
  <si>
    <t>243-04</t>
  </si>
  <si>
    <t>14216</t>
  </si>
  <si>
    <t>座間市</t>
  </si>
  <si>
    <t>ざまし</t>
  </si>
  <si>
    <t>046 042</t>
  </si>
  <si>
    <t>228-00</t>
  </si>
  <si>
    <t>14217</t>
  </si>
  <si>
    <t>南足柄市</t>
  </si>
  <si>
    <t>みなみあしがらし</t>
  </si>
  <si>
    <t>250-01</t>
  </si>
  <si>
    <t>14218</t>
  </si>
  <si>
    <t>綾瀬市</t>
  </si>
  <si>
    <t>あやせし</t>
  </si>
  <si>
    <t>252-11</t>
  </si>
  <si>
    <t>14301</t>
  </si>
  <si>
    <t>三浦郡葉山町</t>
  </si>
  <si>
    <t>みうらぐんはやままち</t>
  </si>
  <si>
    <t>240-01</t>
  </si>
  <si>
    <t>14321</t>
  </si>
  <si>
    <t>高座郡寒川町</t>
  </si>
  <si>
    <t>こうざぐんさむかわまち</t>
  </si>
  <si>
    <t>253-01</t>
  </si>
  <si>
    <t>14341</t>
  </si>
  <si>
    <t>中郡大磯町</t>
  </si>
  <si>
    <t>なかぐんおおいそまち</t>
  </si>
  <si>
    <t>255-00 259-01</t>
  </si>
  <si>
    <t>14342</t>
  </si>
  <si>
    <t>中郡二宮町</t>
  </si>
  <si>
    <t>なかぐんにのみやまち</t>
  </si>
  <si>
    <t>259-01</t>
  </si>
  <si>
    <t>14361</t>
  </si>
  <si>
    <t>足柄上郡中井町</t>
  </si>
  <si>
    <t>あしがらかみぐんなかいまち</t>
  </si>
  <si>
    <t>14362</t>
  </si>
  <si>
    <t>足柄上郡大井町</t>
  </si>
  <si>
    <t>あしがらかみぐんおおいまち</t>
  </si>
  <si>
    <t>258-00</t>
  </si>
  <si>
    <t>14363</t>
  </si>
  <si>
    <t>足柄上郡松田町</t>
  </si>
  <si>
    <t>あしがらかみぐんまつだまち</t>
  </si>
  <si>
    <t>14364</t>
  </si>
  <si>
    <t>足柄上郡山北町</t>
  </si>
  <si>
    <t>あしがらかみぐんやまきたまち</t>
  </si>
  <si>
    <t>258-01 258-02</t>
  </si>
  <si>
    <t>14366</t>
  </si>
  <si>
    <t>足柄上郡開成町</t>
  </si>
  <si>
    <t>あしがらかみぐんかいせいまち</t>
  </si>
  <si>
    <t>14382</t>
  </si>
  <si>
    <t>足柄下郡箱根町</t>
  </si>
  <si>
    <t>あしがらしもぐんはこねまち</t>
  </si>
  <si>
    <t>0460</t>
  </si>
  <si>
    <t>250-03 250-04 250-05 250-06</t>
  </si>
  <si>
    <t>14383</t>
  </si>
  <si>
    <t>足柄下郡真鶴町</t>
  </si>
  <si>
    <t>あしがらしもぐんまなつるまち</t>
  </si>
  <si>
    <t>259-02</t>
  </si>
  <si>
    <t>14384</t>
  </si>
  <si>
    <t>足柄下郡湯河原町</t>
  </si>
  <si>
    <t>あしがらしもぐんゆがわらまち</t>
  </si>
  <si>
    <t>259-03</t>
  </si>
  <si>
    <t>14401</t>
  </si>
  <si>
    <t>愛甲郡愛川町</t>
  </si>
  <si>
    <t>あいこうぐんあいかわまち</t>
  </si>
  <si>
    <t>243-03</t>
  </si>
  <si>
    <t>14402</t>
  </si>
  <si>
    <t>愛甲郡清川村</t>
  </si>
  <si>
    <t>あいこうぐんきよかわむら</t>
  </si>
  <si>
    <t>243-01 257-00</t>
  </si>
  <si>
    <t>15100</t>
  </si>
  <si>
    <t>新潟市</t>
  </si>
  <si>
    <t>にいがたし</t>
  </si>
  <si>
    <t>15101</t>
  </si>
  <si>
    <t>新潟市北区</t>
  </si>
  <si>
    <t>にいがたしきたく</t>
  </si>
  <si>
    <t>025</t>
  </si>
  <si>
    <t>950-00 950-01 950-02 950-31 950-33</t>
  </si>
  <si>
    <t>15102</t>
  </si>
  <si>
    <t>新潟市東区</t>
  </si>
  <si>
    <t>にいがたしひがしく</t>
  </si>
  <si>
    <t>950-00 950-01 950-08 950-09</t>
  </si>
  <si>
    <t>15103</t>
  </si>
  <si>
    <t>新潟市中央区</t>
  </si>
  <si>
    <t>にいがたしちゅうおうく</t>
  </si>
  <si>
    <t>950-00 950-01 950-08 950-09 950-11 951-80 951-81</t>
  </si>
  <si>
    <t>15104</t>
  </si>
  <si>
    <t>新潟市江南区</t>
  </si>
  <si>
    <t>にいがたしこうなんく</t>
  </si>
  <si>
    <t>950-00 950-01 950-02 950-03 950-08 950-09 950-11</t>
  </si>
  <si>
    <t>15105</t>
  </si>
  <si>
    <t>新潟市秋葉区</t>
  </si>
  <si>
    <t>にいがたしあきはく</t>
  </si>
  <si>
    <t>0250 025</t>
  </si>
  <si>
    <t>956-00 956-01 956-08</t>
  </si>
  <si>
    <t>15106</t>
  </si>
  <si>
    <t>新潟市南区</t>
  </si>
  <si>
    <t>にいがたしみなみく</t>
  </si>
  <si>
    <t>950-11 950-12 950-13 950-14</t>
  </si>
  <si>
    <t>15107</t>
  </si>
  <si>
    <t>新潟市西区</t>
  </si>
  <si>
    <t>にいがたしにしく</t>
  </si>
  <si>
    <t>950-00 950-11 950-20 950-21 950-22 951-81 959-04</t>
  </si>
  <si>
    <t>15108</t>
  </si>
  <si>
    <t>新潟市西蒲区</t>
  </si>
  <si>
    <t>にいがたしにしかんく</t>
  </si>
  <si>
    <t>0256 025</t>
  </si>
  <si>
    <t>950-00 950-12 950-13 953-00 953-01 959-04 959-05</t>
  </si>
  <si>
    <t>15202</t>
  </si>
  <si>
    <t>長岡市</t>
  </si>
  <si>
    <t>ながおかし</t>
  </si>
  <si>
    <t>0258 0256</t>
  </si>
  <si>
    <t>940-00 940-01 940-02 940-08 940-11 940-20 940-21 940-23 940-24 940-25 947-02 949-45 949-51 949-52 949-53 949-54　949-75 949-87 954-01 954-02 959-01</t>
  </si>
  <si>
    <t>15204</t>
  </si>
  <si>
    <t>三条市</t>
  </si>
  <si>
    <t>さんじょうし</t>
  </si>
  <si>
    <t>0256</t>
  </si>
  <si>
    <t>955-00 955-01 955-08 959-11</t>
  </si>
  <si>
    <t>15205</t>
  </si>
  <si>
    <t>柏崎市</t>
  </si>
  <si>
    <t>かしわざきし</t>
  </si>
  <si>
    <t>0257</t>
  </si>
  <si>
    <t>945-00 945-01 945-02 945-04 945-08 945-11 945-12 945-13 945-14 945-15 949-36 949-37 949-41 949-42</t>
  </si>
  <si>
    <t>15206</t>
  </si>
  <si>
    <t>新発田市</t>
  </si>
  <si>
    <t>しばたし</t>
  </si>
  <si>
    <t>0254</t>
  </si>
  <si>
    <t>957-00 957-02 957-03 957-04 959-23 959-24 959-25</t>
  </si>
  <si>
    <t>15208</t>
  </si>
  <si>
    <t>小千谷市</t>
  </si>
  <si>
    <t>おぢやし</t>
  </si>
  <si>
    <t>0258</t>
  </si>
  <si>
    <t>947-00 947-01 947-02 949-87</t>
  </si>
  <si>
    <t>15209</t>
  </si>
  <si>
    <t>加茂市</t>
  </si>
  <si>
    <t>かもし</t>
  </si>
  <si>
    <t>959-13</t>
  </si>
  <si>
    <t>15210</t>
  </si>
  <si>
    <t>十日町市</t>
  </si>
  <si>
    <t>とおかまちし</t>
  </si>
  <si>
    <t>942-13 942-14 942-15 948-00 948-01 948-02 948-03 949-84 949-85 949-86</t>
  </si>
  <si>
    <t>15211</t>
  </si>
  <si>
    <t>見附市</t>
  </si>
  <si>
    <t>みつけし</t>
  </si>
  <si>
    <t>954-00 954-01</t>
  </si>
  <si>
    <t>15212</t>
  </si>
  <si>
    <t>村上市</t>
  </si>
  <si>
    <t>むらかみし</t>
  </si>
  <si>
    <t>958-00 958-02 958-08 959-31 959-34 959-36 959-39</t>
  </si>
  <si>
    <t>15213</t>
  </si>
  <si>
    <t>燕市</t>
  </si>
  <si>
    <t>つばめし</t>
  </si>
  <si>
    <t>959-01 959-02 959-12</t>
  </si>
  <si>
    <t>15216</t>
  </si>
  <si>
    <t>糸魚川市</t>
  </si>
  <si>
    <t>いといがわし</t>
  </si>
  <si>
    <t>941-00 949-01 949-03 949-04 949-05 949-12 949-13</t>
  </si>
  <si>
    <t>15217</t>
  </si>
  <si>
    <t>妙高市</t>
  </si>
  <si>
    <t>みょうこうし</t>
  </si>
  <si>
    <t>0255</t>
  </si>
  <si>
    <t>389-22 944-00 944-02 944-03 949-21 949-22</t>
  </si>
  <si>
    <t>15218</t>
  </si>
  <si>
    <t>五泉市</t>
  </si>
  <si>
    <t>ごせんし</t>
  </si>
  <si>
    <t>0250</t>
  </si>
  <si>
    <t>959-16 959-17 959-18</t>
  </si>
  <si>
    <t>15222</t>
  </si>
  <si>
    <t>上越市</t>
  </si>
  <si>
    <t>じょうえつし</t>
  </si>
  <si>
    <t>025 0255</t>
  </si>
  <si>
    <t>942-00 942-01 942-02 942-03 942-04 942-05 942-11 942-12 943-00 943-01 943-02 943-03 943-04 943-05 943-06 943-08 944-01 949-16 949-17 949-23 949-31 949-32 949-33 949-34 949-35</t>
  </si>
  <si>
    <t>15223</t>
  </si>
  <si>
    <t>阿賀野市</t>
  </si>
  <si>
    <t>あがのし</t>
  </si>
  <si>
    <t>959-19 959-20 959-21 959-22</t>
  </si>
  <si>
    <t>15224</t>
  </si>
  <si>
    <t>佐渡市</t>
  </si>
  <si>
    <t>さどし</t>
  </si>
  <si>
    <t>0259</t>
  </si>
  <si>
    <t>952-00 952-01 952-02 952-03 952-04 952-05 952-06 952-07 952-08 952-12 952-13 952-14 952-15 952-16 952-21 952-22 952-31 952-32 952-34 952-35</t>
  </si>
  <si>
    <t>15225</t>
  </si>
  <si>
    <t>魚沼市</t>
  </si>
  <si>
    <t>うおぬまし</t>
  </si>
  <si>
    <t>946-00 946-01 946-02 946-03 949-74</t>
  </si>
  <si>
    <t>15226</t>
  </si>
  <si>
    <t>南魚沼市</t>
  </si>
  <si>
    <t>みなみうおぬまし</t>
  </si>
  <si>
    <t>949-63 949-64 949-65 949-66 949-67 949-71 949-72 949-73</t>
  </si>
  <si>
    <t>15227</t>
  </si>
  <si>
    <t>胎内市</t>
  </si>
  <si>
    <t>たいないし</t>
  </si>
  <si>
    <t>959-26 959-27 959-28</t>
  </si>
  <si>
    <t>15307</t>
  </si>
  <si>
    <t>北蒲原郡聖籠町</t>
  </si>
  <si>
    <t>きたかんばらぐんせいろうまち</t>
  </si>
  <si>
    <t>0254 025</t>
  </si>
  <si>
    <t>957-01</t>
  </si>
  <si>
    <t>15342</t>
  </si>
  <si>
    <t>西蒲原郡弥彦村</t>
  </si>
  <si>
    <t>にしかんばらぐんやひこむら</t>
  </si>
  <si>
    <t>959-03</t>
  </si>
  <si>
    <t>15361</t>
  </si>
  <si>
    <t>南蒲原郡田上町</t>
  </si>
  <si>
    <t>みなみかんばらぐんたがみまち</t>
  </si>
  <si>
    <t>959-15</t>
  </si>
  <si>
    <t>15385</t>
  </si>
  <si>
    <t>東蒲原郡阿賀町</t>
  </si>
  <si>
    <t>ひがしかんばらぐんあがまち</t>
  </si>
  <si>
    <t>959-43 959-44 959-45 959-46</t>
  </si>
  <si>
    <t>15405</t>
  </si>
  <si>
    <t>三島郡出雲崎町</t>
  </si>
  <si>
    <t>さんとうぐんいずもざきまち</t>
  </si>
  <si>
    <t>949-43</t>
  </si>
  <si>
    <t>15461</t>
  </si>
  <si>
    <t>南魚沼郡湯沢町</t>
  </si>
  <si>
    <t>みなみうおぬまぐんゆざわまち</t>
  </si>
  <si>
    <t>949-61 949-62</t>
  </si>
  <si>
    <t>15482</t>
  </si>
  <si>
    <t>中魚沼郡津南町</t>
  </si>
  <si>
    <t>なかうおぬまぐんつなんまち</t>
  </si>
  <si>
    <t>949-81 949-82 949-83</t>
  </si>
  <si>
    <t>15504</t>
  </si>
  <si>
    <t>刈羽郡刈羽村</t>
  </si>
  <si>
    <t>かりわぐんかりわむら</t>
  </si>
  <si>
    <t>945-03</t>
  </si>
  <si>
    <t>15581</t>
  </si>
  <si>
    <t>岩船郡関川村</t>
  </si>
  <si>
    <t>いわふねぐんせきかわむら</t>
  </si>
  <si>
    <t>959-32</t>
  </si>
  <si>
    <t>15586</t>
  </si>
  <si>
    <t>岩船郡粟島浦村</t>
  </si>
  <si>
    <t>いわふねぐんあわしまうらむら</t>
  </si>
  <si>
    <t>958-00</t>
  </si>
  <si>
    <t>16201</t>
  </si>
  <si>
    <t>富山市</t>
  </si>
  <si>
    <t>とやまし</t>
  </si>
  <si>
    <t>076</t>
  </si>
  <si>
    <t>930-00 930-01 930-08 930-09 930-12 930-13 930-14 930-21 930-22 931-83 931-84 939-00 939-05 939-21 939-22 939-23 939-24 939-26 939-27 939-35 939-80 939-81 939-82</t>
  </si>
  <si>
    <t>16202</t>
  </si>
  <si>
    <t>高岡市</t>
  </si>
  <si>
    <t>たかおかし</t>
  </si>
  <si>
    <t>0766</t>
  </si>
  <si>
    <t>933-00 933-01 933-03 933-08 933-09 934-00 939-01 939-11 939-12</t>
  </si>
  <si>
    <t>16204</t>
  </si>
  <si>
    <t>魚津市</t>
  </si>
  <si>
    <t>うおづし</t>
  </si>
  <si>
    <t>0765</t>
  </si>
  <si>
    <t>937-00 937-08</t>
  </si>
  <si>
    <t>16205</t>
  </si>
  <si>
    <t>氷見市</t>
  </si>
  <si>
    <t>ひみし</t>
  </si>
  <si>
    <t>935-00 935-01 935-02 935-03 935-04</t>
  </si>
  <si>
    <t>16206</t>
  </si>
  <si>
    <t>滑川市</t>
  </si>
  <si>
    <t>なめりかわし</t>
  </si>
  <si>
    <t>936-00 936-08</t>
  </si>
  <si>
    <t>16207</t>
  </si>
  <si>
    <t>黒部市</t>
  </si>
  <si>
    <t>くろべし</t>
  </si>
  <si>
    <t>938-00 938-01 938-02 938-08</t>
  </si>
  <si>
    <t>16208</t>
  </si>
  <si>
    <t>砺波市</t>
  </si>
  <si>
    <t>となみし</t>
  </si>
  <si>
    <t>0763</t>
  </si>
  <si>
    <t>932-03 939-13 939-14</t>
  </si>
  <si>
    <t>16209</t>
  </si>
  <si>
    <t>小矢部市</t>
  </si>
  <si>
    <t>おやべし</t>
  </si>
  <si>
    <t>932-00 932-01 932-08</t>
  </si>
  <si>
    <t>16210</t>
  </si>
  <si>
    <t>南砺市</t>
  </si>
  <si>
    <t>なんとし</t>
  </si>
  <si>
    <t>932-02 932-03 939-15 939-16 939-17 939-18 939-19 939-25</t>
  </si>
  <si>
    <t>16211</t>
  </si>
  <si>
    <t>射水市</t>
  </si>
  <si>
    <t>いみずし</t>
  </si>
  <si>
    <t>933-00 933-02 934-00 939-02 939-03 939-04</t>
  </si>
  <si>
    <t>16321</t>
  </si>
  <si>
    <t>中新川郡舟橋村</t>
  </si>
  <si>
    <t>なかにいかわぐんふなはしむら</t>
  </si>
  <si>
    <t>930-02</t>
  </si>
  <si>
    <t>16322</t>
  </si>
  <si>
    <t>中新川郡上市町</t>
  </si>
  <si>
    <t>なかにいかわぐんかみいちまち</t>
  </si>
  <si>
    <t>930-03 930-04 936-08</t>
  </si>
  <si>
    <t>16323</t>
  </si>
  <si>
    <t>中新川郡立山町</t>
  </si>
  <si>
    <t>なかにいかわぐんたてやままち</t>
  </si>
  <si>
    <t>930-02 930-13 930-14 930-32</t>
  </si>
  <si>
    <t>16342</t>
  </si>
  <si>
    <t>下新川郡入善町</t>
  </si>
  <si>
    <t>しもにいかわぐんにゅうぜんまち</t>
  </si>
  <si>
    <t>938-01 939-06</t>
  </si>
  <si>
    <t>16343</t>
  </si>
  <si>
    <t>下新川郡朝日町</t>
  </si>
  <si>
    <t>しもにいかわぐんあさひまち</t>
  </si>
  <si>
    <t>938-01 939-07</t>
  </si>
  <si>
    <t>17201</t>
  </si>
  <si>
    <t>金沢市</t>
  </si>
  <si>
    <t>かなざわし</t>
  </si>
  <si>
    <t>920-00 920-01 920-02 920-03 920-08 920-09 920-11 920-13 920-31 920-82 921-80 921-81</t>
  </si>
  <si>
    <t>17202</t>
  </si>
  <si>
    <t>七尾市</t>
  </si>
  <si>
    <t>ななおし</t>
  </si>
  <si>
    <t>0767</t>
  </si>
  <si>
    <t>926-00 926-01 926-02 926-03 926-08 929-21 929-22</t>
  </si>
  <si>
    <t>17203</t>
  </si>
  <si>
    <t>小松市</t>
  </si>
  <si>
    <t>こまつし</t>
  </si>
  <si>
    <t>0761</t>
  </si>
  <si>
    <t>923-00 923-01 923-03 923-08 923-09</t>
  </si>
  <si>
    <t>17204</t>
  </si>
  <si>
    <t>輪島市</t>
  </si>
  <si>
    <t>わじまし</t>
  </si>
  <si>
    <t>0768</t>
  </si>
  <si>
    <t>927-21 927-22 927-23 928-00 928-02 929-23</t>
  </si>
  <si>
    <t>17205</t>
  </si>
  <si>
    <t>珠洲市</t>
  </si>
  <si>
    <t>すずし</t>
  </si>
  <si>
    <t>927-12 927-13 927-14</t>
  </si>
  <si>
    <t>17206</t>
  </si>
  <si>
    <t>加賀市</t>
  </si>
  <si>
    <t>かがし</t>
  </si>
  <si>
    <t>922-00 922-01 922-02 922-03 922-04 922-05 922-06 922-08</t>
  </si>
  <si>
    <t>17207</t>
  </si>
  <si>
    <t>羽咋市</t>
  </si>
  <si>
    <t>はくいし</t>
  </si>
  <si>
    <t>925-00 925-06 929-15</t>
  </si>
  <si>
    <t>17209</t>
  </si>
  <si>
    <t>かほく市</t>
  </si>
  <si>
    <t>かほくし</t>
  </si>
  <si>
    <t>929-11 929-12</t>
  </si>
  <si>
    <t>17210</t>
  </si>
  <si>
    <t>白山市</t>
  </si>
  <si>
    <t>はくさんし</t>
  </si>
  <si>
    <t>920-21 920-23 920-25 924-00 924-08 929-02</t>
  </si>
  <si>
    <t>17211</t>
  </si>
  <si>
    <t>能美市</t>
  </si>
  <si>
    <t>のみし</t>
  </si>
  <si>
    <t>923-11 923-12 929-01</t>
  </si>
  <si>
    <t>17212</t>
  </si>
  <si>
    <t>野々市市</t>
  </si>
  <si>
    <t>ののいちし</t>
  </si>
  <si>
    <t>921-00 921-88</t>
  </si>
  <si>
    <t>17324</t>
  </si>
  <si>
    <t>能美郡川北町</t>
  </si>
  <si>
    <t>のみぐんかわきたまち</t>
  </si>
  <si>
    <t>923-12</t>
  </si>
  <si>
    <t>17361</t>
  </si>
  <si>
    <t>河北郡津幡町</t>
  </si>
  <si>
    <t>かほくぐんつばたまち</t>
  </si>
  <si>
    <t>929-03 929-04</t>
  </si>
  <si>
    <t>17365</t>
  </si>
  <si>
    <t>河北郡内灘町</t>
  </si>
  <si>
    <t>かほくぐんうちなだまち</t>
  </si>
  <si>
    <t>920-02</t>
  </si>
  <si>
    <t>17384</t>
  </si>
  <si>
    <t>羽咋郡志賀町</t>
  </si>
  <si>
    <t>はくいぐんしかまち</t>
  </si>
  <si>
    <t>925-01 925-02 925-03 925-04 925-05</t>
  </si>
  <si>
    <t>17386</t>
  </si>
  <si>
    <t>羽咋郡宝達志水町</t>
  </si>
  <si>
    <t>はくいぐんほうだつしみずちょう</t>
  </si>
  <si>
    <t>929-13 929-14 939-01</t>
  </si>
  <si>
    <t>17407</t>
  </si>
  <si>
    <t>鹿島郡中能登町</t>
  </si>
  <si>
    <t>かしまぐんなかのとまち</t>
  </si>
  <si>
    <t>929-15 929-16 929-17 929-18</t>
  </si>
  <si>
    <t>17461</t>
  </si>
  <si>
    <t>鳳珠郡穴水町</t>
  </si>
  <si>
    <t>ほうすぐんあなみずまち</t>
  </si>
  <si>
    <t>927-00 927-02</t>
  </si>
  <si>
    <t>17463</t>
  </si>
  <si>
    <t>鳳珠郡能登町</t>
  </si>
  <si>
    <t>ほうすぐんのとちょう</t>
  </si>
  <si>
    <t>927-03 927-04 927-05 927-06 928-03</t>
  </si>
  <si>
    <t>18201</t>
  </si>
  <si>
    <t>福井市</t>
  </si>
  <si>
    <t>ふくいし</t>
  </si>
  <si>
    <t>0776 07797</t>
  </si>
  <si>
    <t>910-00 910-01 910-08 910-21 910-22 910-23 910-24 910-31 910-32 910-33 910-34 910-35 910-36 918-00 918-80 918-81 918-82 919-03</t>
  </si>
  <si>
    <t>18202</t>
  </si>
  <si>
    <t>敦賀市</t>
  </si>
  <si>
    <t>つるがし</t>
  </si>
  <si>
    <t>0770</t>
  </si>
  <si>
    <t>914-00 914-01 914-02 914-03 914-08 919-12</t>
  </si>
  <si>
    <t>18204</t>
  </si>
  <si>
    <t>小浜市</t>
  </si>
  <si>
    <t>おばまし</t>
  </si>
  <si>
    <t>917-00 917-01 917-02 917-03</t>
  </si>
  <si>
    <t>18205</t>
  </si>
  <si>
    <t>大野市</t>
  </si>
  <si>
    <t>おおのし</t>
  </si>
  <si>
    <t>0779</t>
  </si>
  <si>
    <t>912-00 912-01 912-02 912-04 912-08</t>
  </si>
  <si>
    <t>18206</t>
  </si>
  <si>
    <t>勝山市</t>
  </si>
  <si>
    <t>かつやまし</t>
  </si>
  <si>
    <t>911-00 911-08</t>
  </si>
  <si>
    <t>18207</t>
  </si>
  <si>
    <t>鯖江市</t>
  </si>
  <si>
    <t>さばえし</t>
  </si>
  <si>
    <t>0778</t>
  </si>
  <si>
    <t>916-00 916-11 916-12</t>
  </si>
  <si>
    <t>18208</t>
  </si>
  <si>
    <t>あわら市</t>
  </si>
  <si>
    <t>あわらし</t>
  </si>
  <si>
    <t>0776</t>
  </si>
  <si>
    <t>910-41 910-42 919-06 919-07 919-08 922-06</t>
  </si>
  <si>
    <t>18209</t>
  </si>
  <si>
    <t>越前市</t>
  </si>
  <si>
    <t>えちぜんし</t>
  </si>
  <si>
    <t>915-00 915-02 915-08 915-12</t>
  </si>
  <si>
    <t>18210</t>
  </si>
  <si>
    <t>坂井市</t>
  </si>
  <si>
    <t>さかいし</t>
  </si>
  <si>
    <t>910-02 910-03 913-00 919-04 919-05</t>
  </si>
  <si>
    <t>18322</t>
  </si>
  <si>
    <t>吉田郡永平寺町</t>
  </si>
  <si>
    <t>よしだぐんえいへいじちょう</t>
  </si>
  <si>
    <t>910-11 910-12 910-13</t>
  </si>
  <si>
    <t>18382</t>
  </si>
  <si>
    <t>今立郡池田町</t>
  </si>
  <si>
    <t>いまだてぐんいけだちょう</t>
  </si>
  <si>
    <t>910-25</t>
  </si>
  <si>
    <t>18404</t>
  </si>
  <si>
    <t>南条郡南越前町</t>
  </si>
  <si>
    <t>なんじょうぐんみなみえちぜんちょう</t>
  </si>
  <si>
    <t>915-11 919-01 919-02</t>
  </si>
  <si>
    <t>18423</t>
  </si>
  <si>
    <t>丹生郡越前町</t>
  </si>
  <si>
    <t>にゅうぐんえちぜんちょう</t>
  </si>
  <si>
    <t>916-01 916-02 916-03 916-04</t>
  </si>
  <si>
    <t>18442</t>
  </si>
  <si>
    <t>三方郡美浜町</t>
  </si>
  <si>
    <t>みかたぐんみはまちょう</t>
  </si>
  <si>
    <t>919-11 919-12</t>
  </si>
  <si>
    <t>18481</t>
  </si>
  <si>
    <t>大飯郡高浜町</t>
  </si>
  <si>
    <t>おおいぐんたかはまちょう</t>
  </si>
  <si>
    <t>919-22 919-23</t>
  </si>
  <si>
    <t>18483</t>
  </si>
  <si>
    <t>大飯郡おおい町</t>
  </si>
  <si>
    <t>おおいぐんおおいちょう</t>
  </si>
  <si>
    <t>917-03 919-21</t>
  </si>
  <si>
    <t>18501</t>
  </si>
  <si>
    <t>三方上中郡若狭町</t>
  </si>
  <si>
    <t>みかたかみなかぐんわかさちょう</t>
  </si>
  <si>
    <t>919-13 919-14 919-15</t>
  </si>
  <si>
    <t>19201</t>
  </si>
  <si>
    <t>甲府市</t>
  </si>
  <si>
    <t>こうふし</t>
  </si>
  <si>
    <t>055 0555</t>
  </si>
  <si>
    <t>400-00 400-08 400-11 400-12 400-15 409-37</t>
  </si>
  <si>
    <t>19202</t>
  </si>
  <si>
    <t>富士吉田市</t>
  </si>
  <si>
    <t>ふじよしだし</t>
  </si>
  <si>
    <t>0555</t>
  </si>
  <si>
    <t>403-00</t>
  </si>
  <si>
    <t>19204</t>
  </si>
  <si>
    <t>都留市</t>
  </si>
  <si>
    <t>つるし</t>
  </si>
  <si>
    <t>0554</t>
  </si>
  <si>
    <t>402-00</t>
  </si>
  <si>
    <t>19205</t>
  </si>
  <si>
    <t>山梨市</t>
  </si>
  <si>
    <t>やまなしし</t>
  </si>
  <si>
    <t>0553</t>
  </si>
  <si>
    <t>404-00 404-02 405-00</t>
  </si>
  <si>
    <t>19206</t>
  </si>
  <si>
    <t>大月市</t>
  </si>
  <si>
    <t>おおつきし</t>
  </si>
  <si>
    <t>401-00 409-05 409-06</t>
  </si>
  <si>
    <t>19207</t>
  </si>
  <si>
    <t>韮崎市</t>
  </si>
  <si>
    <t>にらさきし</t>
  </si>
  <si>
    <t>0551</t>
  </si>
  <si>
    <t>407-00 407-01 407-02</t>
  </si>
  <si>
    <t>19208</t>
  </si>
  <si>
    <t>南アルプス市</t>
  </si>
  <si>
    <t>みなみあるぷすし</t>
  </si>
  <si>
    <t>055</t>
  </si>
  <si>
    <t>400-02 400-03 400-04</t>
  </si>
  <si>
    <t>19209</t>
  </si>
  <si>
    <t>北杜市</t>
  </si>
  <si>
    <t>407-03 408-00 408-01 408-02 408-03 409-15</t>
  </si>
  <si>
    <t>19210</t>
  </si>
  <si>
    <t>甲斐市</t>
  </si>
  <si>
    <t>かいし</t>
  </si>
  <si>
    <t>055 0551</t>
  </si>
  <si>
    <t>400-01 400-11 400-12 407-01</t>
  </si>
  <si>
    <t>19211</t>
  </si>
  <si>
    <t>笛吹市</t>
  </si>
  <si>
    <t>ふえふきし</t>
  </si>
  <si>
    <t>0553 055</t>
  </si>
  <si>
    <t>405-00 406-00 406-08 409-37</t>
  </si>
  <si>
    <t>19212</t>
  </si>
  <si>
    <t>上野原市</t>
  </si>
  <si>
    <t>うえのはらし</t>
  </si>
  <si>
    <t>401-02 409-01</t>
  </si>
  <si>
    <t>19213</t>
  </si>
  <si>
    <t>甲州市</t>
  </si>
  <si>
    <t>こうしゅうし</t>
  </si>
  <si>
    <t>404-00 404-02 409-12 409-13</t>
  </si>
  <si>
    <t>19214</t>
  </si>
  <si>
    <t>中央市</t>
  </si>
  <si>
    <t>ちゅうおうし</t>
  </si>
  <si>
    <t>400-15 409-38</t>
  </si>
  <si>
    <t>19346</t>
  </si>
  <si>
    <t>西八代郡市川三郷町</t>
  </si>
  <si>
    <t>にしやつしろぐんいちかわみさとちょう</t>
  </si>
  <si>
    <t>055 0556</t>
  </si>
  <si>
    <t>409-32 409-36 409-37</t>
  </si>
  <si>
    <t>19364</t>
  </si>
  <si>
    <t>南巨摩郡早川町</t>
  </si>
  <si>
    <t>みなみこまぐんはやかわちょう</t>
  </si>
  <si>
    <t>0556</t>
  </si>
  <si>
    <t>409-27</t>
  </si>
  <si>
    <t>19365</t>
  </si>
  <si>
    <t>南巨摩郡身延町</t>
  </si>
  <si>
    <t>みなみこまぐんみのぶちょう</t>
  </si>
  <si>
    <t>409-24 409-25 409-29 409-31 409-33 409-34</t>
  </si>
  <si>
    <t>19366</t>
  </si>
  <si>
    <t>南巨摩郡南部町</t>
  </si>
  <si>
    <t>みなみこまぐんなんぶちょう</t>
  </si>
  <si>
    <t>409-21 409-22 409-23</t>
  </si>
  <si>
    <t>19368</t>
  </si>
  <si>
    <t>南巨摩郡富士川町</t>
  </si>
  <si>
    <t>みなみこまぐんふじかわちょう</t>
  </si>
  <si>
    <t>400-05 400-06</t>
  </si>
  <si>
    <t>19384</t>
  </si>
  <si>
    <t>中巨摩郡昭和町</t>
  </si>
  <si>
    <t>なかこまぐんしょうわちょう</t>
  </si>
  <si>
    <t>409-38</t>
  </si>
  <si>
    <t>19422</t>
  </si>
  <si>
    <t>南都留郡道志村</t>
  </si>
  <si>
    <t>みなみつるぐんどうしむら</t>
  </si>
  <si>
    <t>402-02</t>
  </si>
  <si>
    <t>19423</t>
  </si>
  <si>
    <t>南都留郡西桂町</t>
  </si>
  <si>
    <t>みなみつるぐんにしかつらちょう</t>
  </si>
  <si>
    <t>19424</t>
  </si>
  <si>
    <t>南都留郡忍野村</t>
  </si>
  <si>
    <t>みなみつるぐんおしのむら</t>
  </si>
  <si>
    <t>401-05</t>
  </si>
  <si>
    <t>19425</t>
  </si>
  <si>
    <t>南都留郡山中湖村</t>
  </si>
  <si>
    <t>みなみつるぐんやまなかこむら</t>
  </si>
  <si>
    <t>19429</t>
  </si>
  <si>
    <t>南都留郡鳴沢村</t>
  </si>
  <si>
    <t>みなみつるぐんなるさわむら</t>
  </si>
  <si>
    <t>401-03</t>
  </si>
  <si>
    <t>19430</t>
  </si>
  <si>
    <t>南都留郡富士河口湖町</t>
  </si>
  <si>
    <t>みなみつるぐんふじかわぐちこまち</t>
  </si>
  <si>
    <t>401-03 409-37</t>
  </si>
  <si>
    <t>19442</t>
  </si>
  <si>
    <t>北都留郡小菅村</t>
  </si>
  <si>
    <t>きたつるぐんこすげむら</t>
  </si>
  <si>
    <t>409-01 409-02</t>
  </si>
  <si>
    <t>19443</t>
  </si>
  <si>
    <t>北都留郡丹波山村</t>
  </si>
  <si>
    <t>きたつるぐんたばやまむら</t>
  </si>
  <si>
    <t>409-03</t>
  </si>
  <si>
    <t>20201</t>
  </si>
  <si>
    <t>長野市</t>
  </si>
  <si>
    <t>ながのし</t>
  </si>
  <si>
    <t>026</t>
  </si>
  <si>
    <t>380-08 380-09 381-00 381-01 381-12 381-22 381-23 381-24 381-27 381-31 381-32 381-41 381-43 388-80 389-11</t>
  </si>
  <si>
    <t>20202</t>
  </si>
  <si>
    <t>松本市</t>
  </si>
  <si>
    <t>まつもとし</t>
  </si>
  <si>
    <t>0263</t>
  </si>
  <si>
    <t>390-02 390-03 390-08 390-11 390-12 390-14 390-15 390-16 390-17 399-00 399-74 399-82</t>
  </si>
  <si>
    <t>20203</t>
  </si>
  <si>
    <t>上田市</t>
  </si>
  <si>
    <t>うえだし</t>
  </si>
  <si>
    <t>0268</t>
  </si>
  <si>
    <t>386-00 386-01 386-03 386-04 386-05 386-11 386-12 386-13 386-14 386-15 386-22</t>
  </si>
  <si>
    <t>20204</t>
  </si>
  <si>
    <t>岡谷市</t>
  </si>
  <si>
    <t>おかやし</t>
  </si>
  <si>
    <t>0266</t>
  </si>
  <si>
    <t>394-00</t>
  </si>
  <si>
    <t>20205</t>
  </si>
  <si>
    <t>飯田市</t>
  </si>
  <si>
    <t>いいだし</t>
  </si>
  <si>
    <t>0265 0260</t>
  </si>
  <si>
    <t>395-00 395-01 395-02 395-08 399-12 399-13 399-14 399-22 399-24 399-25 399-26</t>
  </si>
  <si>
    <t>20206</t>
  </si>
  <si>
    <t>諏訪市</t>
  </si>
  <si>
    <t>すわし</t>
  </si>
  <si>
    <t>392-00 392-01</t>
  </si>
  <si>
    <t>20207</t>
  </si>
  <si>
    <t>須坂市</t>
  </si>
  <si>
    <t>すざかし</t>
  </si>
  <si>
    <t>382-00 386-22</t>
  </si>
  <si>
    <t>20208</t>
  </si>
  <si>
    <t>小諸市</t>
  </si>
  <si>
    <t>こもろし</t>
  </si>
  <si>
    <t>0267</t>
  </si>
  <si>
    <t>384-00 384-08</t>
  </si>
  <si>
    <t>20209</t>
  </si>
  <si>
    <t>伊那市</t>
  </si>
  <si>
    <t>いなし</t>
  </si>
  <si>
    <t>0265</t>
  </si>
  <si>
    <t>396-00 396-01 396-02 396-03 396-04 396-06 399-44 399-45</t>
  </si>
  <si>
    <t>20210</t>
  </si>
  <si>
    <t>駒ヶ根市</t>
  </si>
  <si>
    <t>こまがねし</t>
  </si>
  <si>
    <t>399-41 399-42 399-43</t>
  </si>
  <si>
    <t>20211</t>
  </si>
  <si>
    <t>中野市</t>
  </si>
  <si>
    <t>なかのし</t>
  </si>
  <si>
    <t>0269</t>
  </si>
  <si>
    <t>383-00 389-21 389-23</t>
  </si>
  <si>
    <t>20212</t>
  </si>
  <si>
    <t>大町市</t>
  </si>
  <si>
    <t>おおまちし</t>
  </si>
  <si>
    <t>0261</t>
  </si>
  <si>
    <t>398-00 399-73 399-91</t>
  </si>
  <si>
    <t>20213</t>
  </si>
  <si>
    <t>飯山市</t>
  </si>
  <si>
    <t>いいやまし</t>
  </si>
  <si>
    <t>389-22 389-23 389-24 389-26</t>
  </si>
  <si>
    <t>20214</t>
  </si>
  <si>
    <t>茅野市</t>
  </si>
  <si>
    <t>ちのし</t>
  </si>
  <si>
    <t>391-00 391-02 391-03</t>
  </si>
  <si>
    <t>20215</t>
  </si>
  <si>
    <t>塩尻市</t>
  </si>
  <si>
    <t>しおじりし</t>
  </si>
  <si>
    <t>0263 0264</t>
  </si>
  <si>
    <t>399-00 399-06 399-07 399-63 399-64</t>
  </si>
  <si>
    <t>20217</t>
  </si>
  <si>
    <t>佐久市</t>
  </si>
  <si>
    <t>さくし</t>
  </si>
  <si>
    <t>384-03 384-04 384-06 384-21 384-22 385-00</t>
  </si>
  <si>
    <t>20218</t>
  </si>
  <si>
    <t>千曲市</t>
  </si>
  <si>
    <t>ちくまし</t>
  </si>
  <si>
    <t>387-00 389-08</t>
  </si>
  <si>
    <t>20219</t>
  </si>
  <si>
    <t>東御市</t>
  </si>
  <si>
    <t>とうみし</t>
  </si>
  <si>
    <t>389-04 389-05</t>
  </si>
  <si>
    <t>20220</t>
  </si>
  <si>
    <t>安曇野市</t>
  </si>
  <si>
    <t>あづみのし</t>
  </si>
  <si>
    <t>399-71 399-81 399-82 399-83</t>
  </si>
  <si>
    <t>20303</t>
  </si>
  <si>
    <t>南佐久郡小海町</t>
  </si>
  <si>
    <t>みなみさくぐんこうみまち</t>
  </si>
  <si>
    <t>384-11</t>
  </si>
  <si>
    <t>20304</t>
  </si>
  <si>
    <t>南佐久郡川上村</t>
  </si>
  <si>
    <t>みなみさくぐんかわかみむら</t>
  </si>
  <si>
    <t>384-14</t>
  </si>
  <si>
    <t>20305</t>
  </si>
  <si>
    <t>南佐久郡南牧村</t>
  </si>
  <si>
    <t>みなみさくぐんみなみまきむら</t>
  </si>
  <si>
    <t>384-13</t>
  </si>
  <si>
    <t>20306</t>
  </si>
  <si>
    <t>南佐久郡南相木村</t>
  </si>
  <si>
    <t>みなみさくぐんみなみあいきむら</t>
  </si>
  <si>
    <t>384-12</t>
  </si>
  <si>
    <t>20307</t>
  </si>
  <si>
    <t>南佐久郡北相木村</t>
  </si>
  <si>
    <t>みなみさくぐんきたあいきむら</t>
  </si>
  <si>
    <t>20309</t>
  </si>
  <si>
    <t>南佐久郡佐久穂町</t>
  </si>
  <si>
    <t>みなみさくぐんさくほまち</t>
  </si>
  <si>
    <t>384-05 384-06 384-07</t>
  </si>
  <si>
    <t>20321</t>
  </si>
  <si>
    <t>北佐久郡軽井沢町</t>
  </si>
  <si>
    <t>きたさくぐんかるいざわまち</t>
  </si>
  <si>
    <t>389-01</t>
  </si>
  <si>
    <t>20323</t>
  </si>
  <si>
    <t>北佐久郡御代田町</t>
  </si>
  <si>
    <t>きたさくぐんみよたまち</t>
  </si>
  <si>
    <t>389-02</t>
  </si>
  <si>
    <t>20324</t>
  </si>
  <si>
    <t>北佐久郡立科町</t>
  </si>
  <si>
    <t>きたさくぐんたてしなまち</t>
  </si>
  <si>
    <t>384-22 384-23 391-03</t>
  </si>
  <si>
    <t>20349</t>
  </si>
  <si>
    <t>小県郡青木村</t>
  </si>
  <si>
    <t>ちいさがたぐんあおきむら</t>
  </si>
  <si>
    <t>386-16</t>
  </si>
  <si>
    <t>20350</t>
  </si>
  <si>
    <t>小県郡長和町</t>
  </si>
  <si>
    <t>ちいさがたぐんながわまち</t>
  </si>
  <si>
    <t>386-06 386-07</t>
  </si>
  <si>
    <t>20361</t>
  </si>
  <si>
    <t>諏訪郡下諏訪町</t>
  </si>
  <si>
    <t>すわぐんしもすわまち</t>
  </si>
  <si>
    <t>393-00</t>
  </si>
  <si>
    <t>20362</t>
  </si>
  <si>
    <t>諏訪郡富士見町</t>
  </si>
  <si>
    <t>すわぐんふじみまち</t>
  </si>
  <si>
    <t>391-00 399-01 399-02</t>
  </si>
  <si>
    <t>20363</t>
  </si>
  <si>
    <t>諏訪郡原村</t>
  </si>
  <si>
    <t>すわぐんはらむら</t>
  </si>
  <si>
    <t>391-01</t>
  </si>
  <si>
    <t>20382</t>
  </si>
  <si>
    <t>上伊那郡辰野町</t>
  </si>
  <si>
    <t>かみいなぐんたつのまち</t>
  </si>
  <si>
    <t>399-04 399-05 399-06</t>
  </si>
  <si>
    <t>20383</t>
  </si>
  <si>
    <t>上伊那郡箕輪町</t>
  </si>
  <si>
    <t>かみいなぐんみのわまち</t>
  </si>
  <si>
    <t>399-46</t>
  </si>
  <si>
    <t>20384</t>
  </si>
  <si>
    <t>上伊那郡飯島町</t>
  </si>
  <si>
    <t>かみいなぐんいいじままち</t>
  </si>
  <si>
    <t>399-37</t>
  </si>
  <si>
    <t>20385</t>
  </si>
  <si>
    <t>上伊那郡南箕輪村</t>
  </si>
  <si>
    <t>かみいなぐんみなみみのわむら</t>
  </si>
  <si>
    <t>399-45</t>
  </si>
  <si>
    <t>20386</t>
  </si>
  <si>
    <t>上伊那郡中川村</t>
  </si>
  <si>
    <t>かみいなぐんなかがわむら</t>
  </si>
  <si>
    <t>399-38</t>
  </si>
  <si>
    <t>20388</t>
  </si>
  <si>
    <t>上伊那郡宮田村</t>
  </si>
  <si>
    <t>かみいなぐんみやだむら</t>
  </si>
  <si>
    <t>399-43</t>
  </si>
  <si>
    <t>20402</t>
  </si>
  <si>
    <t>下伊那郡松川町</t>
  </si>
  <si>
    <t>しもいなぐんまつかわまち</t>
  </si>
  <si>
    <t>399-33</t>
  </si>
  <si>
    <t>20403</t>
  </si>
  <si>
    <t>下伊那郡高森町</t>
  </si>
  <si>
    <t>しもいなぐんたかもりまち</t>
  </si>
  <si>
    <t>399-31</t>
  </si>
  <si>
    <t>20404</t>
  </si>
  <si>
    <t>下伊那郡阿南町</t>
  </si>
  <si>
    <t>しもいなぐんあなんちょう</t>
  </si>
  <si>
    <t>0260</t>
  </si>
  <si>
    <t>399-15 399-16</t>
  </si>
  <si>
    <t>20407</t>
  </si>
  <si>
    <t>下伊那郡阿智村</t>
  </si>
  <si>
    <t>しもいなぐんあちむら</t>
  </si>
  <si>
    <t>395-03 395-04 395-05</t>
  </si>
  <si>
    <t>20409</t>
  </si>
  <si>
    <t>下伊那郡平谷村</t>
  </si>
  <si>
    <t>しもいなぐんひらやむら</t>
  </si>
  <si>
    <t>395-06</t>
  </si>
  <si>
    <t>20410</t>
  </si>
  <si>
    <t>下伊那郡根羽村</t>
  </si>
  <si>
    <t>しもいなぐんねばむら</t>
  </si>
  <si>
    <t>395-07</t>
  </si>
  <si>
    <t>20411</t>
  </si>
  <si>
    <t>下伊那郡下條村</t>
  </si>
  <si>
    <t>しもいなぐんしもじょうむら</t>
  </si>
  <si>
    <t>399-21</t>
  </si>
  <si>
    <t>20412</t>
  </si>
  <si>
    <t>下伊那郡売木村</t>
  </si>
  <si>
    <t>しもいなぐんうるぎむら</t>
  </si>
  <si>
    <t>399-16</t>
  </si>
  <si>
    <t>20413</t>
  </si>
  <si>
    <t>下伊那郡天龍村</t>
  </si>
  <si>
    <t>しもいなぐんてんりゅうむら</t>
  </si>
  <si>
    <t>399-12</t>
  </si>
  <si>
    <t>20414</t>
  </si>
  <si>
    <t>下伊那郡泰阜村</t>
  </si>
  <si>
    <t>しもいなぐんやすおかむら</t>
  </si>
  <si>
    <t>399-18</t>
  </si>
  <si>
    <t>20415</t>
  </si>
  <si>
    <t>下伊那郡喬木村</t>
  </si>
  <si>
    <t>しもいなぐんたかぎむら</t>
  </si>
  <si>
    <t>395-11</t>
  </si>
  <si>
    <t>20416</t>
  </si>
  <si>
    <t>下伊那郡豊丘村</t>
  </si>
  <si>
    <t>しもいなぐんとよおかむら</t>
  </si>
  <si>
    <t>399-32 399-33</t>
  </si>
  <si>
    <t>20417</t>
  </si>
  <si>
    <t>下伊那郡大鹿村</t>
  </si>
  <si>
    <t>しもいなぐんおおしかむら</t>
  </si>
  <si>
    <t>399-35</t>
  </si>
  <si>
    <t>20422</t>
  </si>
  <si>
    <t>木曽郡上松町</t>
  </si>
  <si>
    <t>きそぐんあげまつまち</t>
  </si>
  <si>
    <t>0264</t>
  </si>
  <si>
    <t>399-56</t>
  </si>
  <si>
    <t>20423</t>
  </si>
  <si>
    <t>木曽郡南木曽町</t>
  </si>
  <si>
    <t>きそぐんなぎそまち</t>
  </si>
  <si>
    <t>0264 0573</t>
  </si>
  <si>
    <t>399-53</t>
  </si>
  <si>
    <t>20425</t>
  </si>
  <si>
    <t>木曽郡木祖村</t>
  </si>
  <si>
    <t>きそぐんきそむら</t>
  </si>
  <si>
    <t>399-62</t>
  </si>
  <si>
    <t>20429</t>
  </si>
  <si>
    <t>木曽郡王滝村</t>
  </si>
  <si>
    <t>きそぐんおうたきむら</t>
  </si>
  <si>
    <t>397-02</t>
  </si>
  <si>
    <t>20430</t>
  </si>
  <si>
    <t>木曽郡大桑村</t>
  </si>
  <si>
    <t>きそぐんおおくわむら</t>
  </si>
  <si>
    <t>399-55</t>
  </si>
  <si>
    <t>20432</t>
  </si>
  <si>
    <t>木曽郡木曽町</t>
  </si>
  <si>
    <t>きそぐんきそまち</t>
  </si>
  <si>
    <t>397-00 397-01 397-03 399-61</t>
  </si>
  <si>
    <t>20446</t>
  </si>
  <si>
    <t>東筑摩郡麻績村</t>
  </si>
  <si>
    <t>ひがしちくまぐんおみむら</t>
  </si>
  <si>
    <t>399-77</t>
  </si>
  <si>
    <t>20448</t>
  </si>
  <si>
    <t>東筑摩郡生坂村</t>
  </si>
  <si>
    <t>ひがしちくまぐんいくさかむら</t>
  </si>
  <si>
    <t>399-72 399-73</t>
  </si>
  <si>
    <t>20450</t>
  </si>
  <si>
    <t>東筑摩郡山形村</t>
  </si>
  <si>
    <t>ひがしちくまぐんやまがたむら</t>
  </si>
  <si>
    <t>390-13</t>
  </si>
  <si>
    <t>20451</t>
  </si>
  <si>
    <t>東筑摩郡朝日村</t>
  </si>
  <si>
    <t>ひがしちくまぐんあさひむら</t>
  </si>
  <si>
    <t>390-11</t>
  </si>
  <si>
    <t>20452</t>
  </si>
  <si>
    <t>東筑摩郡筑北村</t>
  </si>
  <si>
    <t>ひがしちくまぐんちくほくむら</t>
  </si>
  <si>
    <t>399-75 399-76 399-77</t>
  </si>
  <si>
    <t>20481</t>
  </si>
  <si>
    <t>北安曇郡池田町</t>
  </si>
  <si>
    <t>きたあづみぐんいけだまち</t>
  </si>
  <si>
    <t>399-86</t>
  </si>
  <si>
    <t>20482</t>
  </si>
  <si>
    <t>北安曇郡松川村</t>
  </si>
  <si>
    <t>きたあづみぐんまつかわむら</t>
  </si>
  <si>
    <t>399-85</t>
  </si>
  <si>
    <t>20485</t>
  </si>
  <si>
    <t>北安曇郡白馬村</t>
  </si>
  <si>
    <t>きたあづみぐんはくばむら</t>
  </si>
  <si>
    <t>399-92 399-93</t>
  </si>
  <si>
    <t>20486</t>
  </si>
  <si>
    <t>北安曇郡小谷村</t>
  </si>
  <si>
    <t>きたあづみぐんおたりむら</t>
  </si>
  <si>
    <t>399-94 399-95 399-96</t>
  </si>
  <si>
    <t>20521</t>
  </si>
  <si>
    <t>埴科郡坂城町</t>
  </si>
  <si>
    <t>はにしなぐんさかきまち</t>
  </si>
  <si>
    <t>389-06</t>
  </si>
  <si>
    <t>20541</t>
  </si>
  <si>
    <t>上高井郡小布施町</t>
  </si>
  <si>
    <t>かみたかいぐんおぶせまち</t>
  </si>
  <si>
    <t>381-02</t>
  </si>
  <si>
    <t>20543</t>
  </si>
  <si>
    <t>上高井郡高山村</t>
  </si>
  <si>
    <t>かみたかいぐんたかやまむら</t>
  </si>
  <si>
    <t>382-08</t>
  </si>
  <si>
    <t>20561</t>
  </si>
  <si>
    <t>下高井郡山ノ内町</t>
  </si>
  <si>
    <t>しもたかいぐんやまのうちまち</t>
  </si>
  <si>
    <t>381-04</t>
  </si>
  <si>
    <t>20562</t>
  </si>
  <si>
    <t>下高井郡木島平村</t>
  </si>
  <si>
    <t>しもたかいぐんきじまだいらむら</t>
  </si>
  <si>
    <t>389-23</t>
  </si>
  <si>
    <t>20563</t>
  </si>
  <si>
    <t>下高井郡野沢温泉村</t>
  </si>
  <si>
    <t>しもたかいぐんのざわおんせんむら</t>
  </si>
  <si>
    <t>389-25 389-26</t>
  </si>
  <si>
    <t>20583</t>
  </si>
  <si>
    <t>上水内郡信濃町</t>
  </si>
  <si>
    <t>かみみのちぐんしなのまち</t>
  </si>
  <si>
    <t>389-13</t>
  </si>
  <si>
    <t>20588</t>
  </si>
  <si>
    <t>上水内郡小川村</t>
  </si>
  <si>
    <t>かみみのちぐんおがわむら</t>
  </si>
  <si>
    <t>381-33</t>
  </si>
  <si>
    <t>20590</t>
  </si>
  <si>
    <t>上水内郡飯綱町</t>
  </si>
  <si>
    <t>かみみのちぐんいいづなまち</t>
  </si>
  <si>
    <t>389-12</t>
  </si>
  <si>
    <t>20602</t>
  </si>
  <si>
    <t>下水内郡栄村</t>
  </si>
  <si>
    <t>しもみのちぐんさかえむら</t>
  </si>
  <si>
    <t>389-27 949-83</t>
  </si>
  <si>
    <t>21201</t>
  </si>
  <si>
    <t>岐阜市</t>
  </si>
  <si>
    <t>ぎふし</t>
  </si>
  <si>
    <t>058</t>
  </si>
  <si>
    <t>500-00 500-80 500-81 500-82 500-83 500-84 500-88 501-01 501-11 501-25 501-31 501-61 502-00 502-08 502-09</t>
  </si>
  <si>
    <t>21202</t>
  </si>
  <si>
    <t>大垣市</t>
  </si>
  <si>
    <t>おおがきし</t>
  </si>
  <si>
    <t>0584</t>
  </si>
  <si>
    <t>503-00 503-01 503-08 503-09 503-16 503-22</t>
  </si>
  <si>
    <t>21203</t>
  </si>
  <si>
    <t>高山市</t>
  </si>
  <si>
    <t>たかやまし</t>
  </si>
  <si>
    <t>0577 0578 05769</t>
  </si>
  <si>
    <t>501-54 506-00 506-01 506-02 506-08 506-13 506-14 506-21 506-22 509-27 509-32 509-33 509-34 509-35 509-41</t>
  </si>
  <si>
    <t>21204</t>
  </si>
  <si>
    <t>多治見市</t>
  </si>
  <si>
    <t>たじみし</t>
  </si>
  <si>
    <t>0572</t>
  </si>
  <si>
    <t>507-00 507-08 507-09</t>
  </si>
  <si>
    <t>21205</t>
  </si>
  <si>
    <t>関市</t>
  </si>
  <si>
    <t>せきし</t>
  </si>
  <si>
    <t>0575 0581</t>
  </si>
  <si>
    <t>501-26 501-28 501-29 501-32 501-35 501-36 501-38 501-39</t>
  </si>
  <si>
    <t>21206</t>
  </si>
  <si>
    <t>中津川市</t>
  </si>
  <si>
    <t>なかつがわし</t>
  </si>
  <si>
    <t>0573 0264</t>
  </si>
  <si>
    <t>508-00 508-01 508-02 508-03 508-04 508-05 509-73 509-83 509-91 509-92</t>
  </si>
  <si>
    <t>21207</t>
  </si>
  <si>
    <t>美濃市</t>
  </si>
  <si>
    <t>みのし</t>
  </si>
  <si>
    <t>0575</t>
  </si>
  <si>
    <t>501-37</t>
  </si>
  <si>
    <t>21208</t>
  </si>
  <si>
    <t>瑞浪市</t>
  </si>
  <si>
    <t>みずなみし</t>
  </si>
  <si>
    <t>509-61 509-62 509-63 509-64</t>
  </si>
  <si>
    <t>21209</t>
  </si>
  <si>
    <t>羽島市</t>
  </si>
  <si>
    <t>はしまし</t>
  </si>
  <si>
    <t>501-62 501-63</t>
  </si>
  <si>
    <t>21210</t>
  </si>
  <si>
    <t>恵那市</t>
  </si>
  <si>
    <t>えなし</t>
  </si>
  <si>
    <t>0573 0572</t>
  </si>
  <si>
    <t>509-71 509-72 509-74 509-75 509-76 509-77 509-78 509-82</t>
  </si>
  <si>
    <t>21211</t>
  </si>
  <si>
    <t>美濃加茂市</t>
  </si>
  <si>
    <t>みのかもし</t>
  </si>
  <si>
    <t>0574</t>
  </si>
  <si>
    <t>505-00</t>
  </si>
  <si>
    <t>21212</t>
  </si>
  <si>
    <t>土岐市</t>
  </si>
  <si>
    <t>ときし</t>
  </si>
  <si>
    <t>509-51 509-52 509-53 509-54</t>
  </si>
  <si>
    <t>21213</t>
  </si>
  <si>
    <t>各務原市</t>
  </si>
  <si>
    <t>かかみがはらし</t>
  </si>
  <si>
    <t>058 0586</t>
  </si>
  <si>
    <t>501-60 504-00 504-08 504-09 509-01</t>
  </si>
  <si>
    <t>21214</t>
  </si>
  <si>
    <t>可児市</t>
  </si>
  <si>
    <t>かにし</t>
  </si>
  <si>
    <t>505-01 509-02</t>
  </si>
  <si>
    <t>21215</t>
  </si>
  <si>
    <t>山県市</t>
  </si>
  <si>
    <t>0581</t>
  </si>
  <si>
    <t>501-21 501-22 501-23</t>
  </si>
  <si>
    <t>21216</t>
  </si>
  <si>
    <t>瑞穂市</t>
  </si>
  <si>
    <t>みずほし</t>
  </si>
  <si>
    <t>058 0584</t>
  </si>
  <si>
    <t>501-02 501-03</t>
  </si>
  <si>
    <t>21217</t>
  </si>
  <si>
    <t>飛騨市</t>
  </si>
  <si>
    <t>ひだし</t>
  </si>
  <si>
    <t>0577 0578</t>
  </si>
  <si>
    <t>506-02 506-11 506-12 509-42 509-43 509-44 509-45</t>
  </si>
  <si>
    <t>21218</t>
  </si>
  <si>
    <t>本巣市</t>
  </si>
  <si>
    <t>もとすし</t>
  </si>
  <si>
    <t>058 0581</t>
  </si>
  <si>
    <t>501-04 501-12 501-15</t>
  </si>
  <si>
    <t>21219</t>
  </si>
  <si>
    <t>郡上市</t>
  </si>
  <si>
    <t>ぐじょうし</t>
  </si>
  <si>
    <t>501-41 501-42 501-43 501-44 501-45 501-46 501-51 501-52 501-53</t>
  </si>
  <si>
    <t>21220</t>
  </si>
  <si>
    <t>下呂市</t>
  </si>
  <si>
    <t>げろし</t>
  </si>
  <si>
    <t>0576</t>
  </si>
  <si>
    <t>509-16 509-21 509-22 509-23 509-24 509-25 509-26 509-31</t>
  </si>
  <si>
    <t>21221</t>
  </si>
  <si>
    <t>海津市</t>
  </si>
  <si>
    <t>かいづし</t>
  </si>
  <si>
    <t>503-03 503-04 503-05 503-06</t>
  </si>
  <si>
    <t>21302</t>
  </si>
  <si>
    <t>羽島郡岐南町</t>
  </si>
  <si>
    <t>はしまぐんぎなんちょう</t>
  </si>
  <si>
    <t>501-60 501-61</t>
  </si>
  <si>
    <t>21303</t>
  </si>
  <si>
    <t>羽島郡笠松町</t>
  </si>
  <si>
    <t>はしまぐんかさまつちょう</t>
  </si>
  <si>
    <t>21341</t>
  </si>
  <si>
    <t>養老郡養老町</t>
  </si>
  <si>
    <t>ようろうぐんようろうちょう</t>
  </si>
  <si>
    <t>503-12 503-13</t>
  </si>
  <si>
    <t>21361</t>
  </si>
  <si>
    <t>不破郡垂井町</t>
  </si>
  <si>
    <t>ふわぐんたるいちょう</t>
  </si>
  <si>
    <t>503-21</t>
  </si>
  <si>
    <t>21362</t>
  </si>
  <si>
    <t>不破郡関ケ原町</t>
  </si>
  <si>
    <t>ふわぐんせきがはらちょう</t>
  </si>
  <si>
    <t>503-15</t>
  </si>
  <si>
    <t>21381</t>
  </si>
  <si>
    <t>安八郡神戸町</t>
  </si>
  <si>
    <t>あんぱちぐんごうどちょう</t>
  </si>
  <si>
    <t>503-23</t>
  </si>
  <si>
    <t>21382</t>
  </si>
  <si>
    <t>安八郡輪之内町</t>
  </si>
  <si>
    <t>あんぱちぐんわのうちちょう</t>
  </si>
  <si>
    <t>503-02</t>
  </si>
  <si>
    <t>21383</t>
  </si>
  <si>
    <t>安八郡安八町</t>
  </si>
  <si>
    <t>あんぱちぐんあんぱちちょう</t>
  </si>
  <si>
    <t>503-01</t>
  </si>
  <si>
    <t>21401</t>
  </si>
  <si>
    <t>揖斐郡揖斐川町</t>
  </si>
  <si>
    <t>いびぐんいびがわちょう</t>
  </si>
  <si>
    <t>0585 0581</t>
  </si>
  <si>
    <t>501-06 501-07 501-08 501-09 501-13 503-25</t>
  </si>
  <si>
    <t>21403</t>
  </si>
  <si>
    <t>揖斐郡大野町</t>
  </si>
  <si>
    <t>いびぐんおおのちょう</t>
  </si>
  <si>
    <t>0585</t>
  </si>
  <si>
    <t>501-05</t>
  </si>
  <si>
    <t>21404</t>
  </si>
  <si>
    <t>揖斐郡池田町</t>
  </si>
  <si>
    <t>いびぐんいけだちょう</t>
  </si>
  <si>
    <t>0585 0584</t>
  </si>
  <si>
    <t>503-24</t>
  </si>
  <si>
    <t>21421</t>
  </si>
  <si>
    <t>本巣郡北方町</t>
  </si>
  <si>
    <t>もとすぐんきたがたちょう</t>
  </si>
  <si>
    <t>501-04</t>
  </si>
  <si>
    <t>21501</t>
  </si>
  <si>
    <t>加茂郡坂祝町</t>
  </si>
  <si>
    <t>かもぐんさかほぎちょう</t>
  </si>
  <si>
    <t>21502</t>
  </si>
  <si>
    <t>加茂郡富加町</t>
  </si>
  <si>
    <t>かもぐんとみかちょう</t>
  </si>
  <si>
    <t>501-33</t>
  </si>
  <si>
    <t>21503</t>
  </si>
  <si>
    <t>加茂郡川辺町</t>
  </si>
  <si>
    <t>かもぐんかわべちょう</t>
  </si>
  <si>
    <t>509-03</t>
  </si>
  <si>
    <t>21504</t>
  </si>
  <si>
    <t>加茂郡七宗町</t>
  </si>
  <si>
    <t>かもぐんひちそうちょう</t>
  </si>
  <si>
    <t>509-04 509-05</t>
  </si>
  <si>
    <t>21505</t>
  </si>
  <si>
    <t>加茂郡八百津町</t>
  </si>
  <si>
    <t>かもぐんやおつちょう</t>
  </si>
  <si>
    <t>505-03 505-04 505-05</t>
  </si>
  <si>
    <t>21506</t>
  </si>
  <si>
    <t>加茂郡白川町</t>
  </si>
  <si>
    <t>かもぐんしらかわちょう</t>
  </si>
  <si>
    <t>509-11 509-12 509-14</t>
  </si>
  <si>
    <t>21507</t>
  </si>
  <si>
    <t>加茂郡東白川村</t>
  </si>
  <si>
    <t>かもぐんひがししらかわむら</t>
  </si>
  <si>
    <t>509-13</t>
  </si>
  <si>
    <t>21521</t>
  </si>
  <si>
    <t>可児郡御嵩町</t>
  </si>
  <si>
    <t>かにぐんみたけちょう</t>
  </si>
  <si>
    <t>505-01</t>
  </si>
  <si>
    <t>21604</t>
  </si>
  <si>
    <t>大野郡白川村</t>
  </si>
  <si>
    <t>おおのぐんしらかわむら</t>
  </si>
  <si>
    <t>05769</t>
  </si>
  <si>
    <t>501-55 501-56</t>
  </si>
  <si>
    <t>22100</t>
  </si>
  <si>
    <t>静岡市</t>
  </si>
  <si>
    <t>しずおかし</t>
  </si>
  <si>
    <t>22101</t>
  </si>
  <si>
    <t>静岡市葵区</t>
  </si>
  <si>
    <t>しずおかしあおいく</t>
  </si>
  <si>
    <t>054</t>
  </si>
  <si>
    <t>420-00 420-08 420-09 421-12 421-13 421-14 421-21 421-22 421-23 422-00 428-05</t>
  </si>
  <si>
    <t>22102</t>
  </si>
  <si>
    <t>静岡市駿河区</t>
  </si>
  <si>
    <t>しずおかしするがく</t>
  </si>
  <si>
    <t>421-01 422-00 422-80</t>
  </si>
  <si>
    <t>22103</t>
  </si>
  <si>
    <t>静岡市清水区</t>
  </si>
  <si>
    <t>しずおかししみずく</t>
  </si>
  <si>
    <t>421-31 421-32 422-00 424-00 424-01 424-02 424-03 424-04 424-08 424-09</t>
  </si>
  <si>
    <t>22130</t>
  </si>
  <si>
    <t>浜松市</t>
  </si>
  <si>
    <t>はままつし</t>
  </si>
  <si>
    <t>22131</t>
  </si>
  <si>
    <t>浜松市中区</t>
  </si>
  <si>
    <t>はままつしなかく</t>
  </si>
  <si>
    <t>053</t>
  </si>
  <si>
    <t>430-08 430-09 430-77 432-00 432-80 433-81 435-00</t>
  </si>
  <si>
    <t>22132</t>
  </si>
  <si>
    <t>浜松市東区</t>
  </si>
  <si>
    <t>はままつしひがしく</t>
  </si>
  <si>
    <t>430-08 431-31 432-00 435-00</t>
  </si>
  <si>
    <t>22133</t>
  </si>
  <si>
    <t>浜松市西区</t>
  </si>
  <si>
    <t>はままつしにしく</t>
  </si>
  <si>
    <t>431-01 431-02 431-11 431-12 432-00 432-80</t>
  </si>
  <si>
    <t>22134</t>
  </si>
  <si>
    <t>浜松市南区</t>
  </si>
  <si>
    <t>はままつしみなみく</t>
  </si>
  <si>
    <t>430-08 432-00 432-80 435-00</t>
  </si>
  <si>
    <t>22135</t>
  </si>
  <si>
    <t>浜松市北区</t>
  </si>
  <si>
    <t>はままつしきたく</t>
  </si>
  <si>
    <t>431-13 431-14 431-21 431-22 431-25 432-00 433-81</t>
  </si>
  <si>
    <t>22136</t>
  </si>
  <si>
    <t>浜松市浜北区</t>
  </si>
  <si>
    <t>はままつしはまきたく</t>
  </si>
  <si>
    <t>434-00</t>
  </si>
  <si>
    <t>22137</t>
  </si>
  <si>
    <t>浜松市天竜区</t>
  </si>
  <si>
    <t>はままつしてんりゅうく</t>
  </si>
  <si>
    <t>431-33 431-34 431-35 431-36 431-37 431-38 431-39 431-41 432-00 437-06</t>
  </si>
  <si>
    <t>22203</t>
  </si>
  <si>
    <t>沼津市</t>
  </si>
  <si>
    <t>ぬまづし</t>
  </si>
  <si>
    <t>055 0558</t>
  </si>
  <si>
    <t>410-00 410-01 410-02 410-03 410-08 410-34</t>
  </si>
  <si>
    <t>22205</t>
  </si>
  <si>
    <t>熱海市</t>
  </si>
  <si>
    <t>あたみし</t>
  </si>
  <si>
    <t>0557 0465</t>
  </si>
  <si>
    <t>413-00 413-01</t>
  </si>
  <si>
    <t>22206</t>
  </si>
  <si>
    <t>三島市</t>
  </si>
  <si>
    <t>みしまし</t>
  </si>
  <si>
    <t>411-00 411-08</t>
  </si>
  <si>
    <t>22207</t>
  </si>
  <si>
    <t>富士宮市</t>
  </si>
  <si>
    <t>ふじのみやし</t>
  </si>
  <si>
    <t>0544</t>
  </si>
  <si>
    <t>418-00 418-01 419-03</t>
  </si>
  <si>
    <t>22208</t>
  </si>
  <si>
    <t>伊東市</t>
  </si>
  <si>
    <t>いとうし</t>
  </si>
  <si>
    <t>0557</t>
  </si>
  <si>
    <t>413-01 413-02 414-00</t>
  </si>
  <si>
    <t>22209</t>
  </si>
  <si>
    <t>島田市</t>
  </si>
  <si>
    <t>しまだし</t>
  </si>
  <si>
    <t>0547</t>
  </si>
  <si>
    <t>427-00 427-01 427-02 428-00 428-01 428-02</t>
  </si>
  <si>
    <t>22210</t>
  </si>
  <si>
    <t>富士市</t>
  </si>
  <si>
    <t>ふじし</t>
  </si>
  <si>
    <t>0545</t>
  </si>
  <si>
    <t>416-09 417-00 417-08 419-02 421-33</t>
  </si>
  <si>
    <t>22211</t>
  </si>
  <si>
    <t>磐田市</t>
  </si>
  <si>
    <t>いわたし</t>
  </si>
  <si>
    <t>0538 0539</t>
  </si>
  <si>
    <t>437-12 438-00 438-01 438-02 438-08</t>
  </si>
  <si>
    <t>22212</t>
  </si>
  <si>
    <t>焼津市</t>
  </si>
  <si>
    <t>やいづし</t>
  </si>
  <si>
    <t>421-02 425-00</t>
  </si>
  <si>
    <t>22213</t>
  </si>
  <si>
    <t>掛川市</t>
  </si>
  <si>
    <t>かけがわし</t>
  </si>
  <si>
    <t>0537</t>
  </si>
  <si>
    <t>436-00 436-01 436-02 436-03 437-13 437-14</t>
  </si>
  <si>
    <t>22214</t>
  </si>
  <si>
    <t>藤枝市</t>
  </si>
  <si>
    <t>ふじえだし</t>
  </si>
  <si>
    <t>421-11 426-00 426-01 426-02</t>
  </si>
  <si>
    <t>22215</t>
  </si>
  <si>
    <t>御殿場市</t>
  </si>
  <si>
    <t>ごてんばし</t>
  </si>
  <si>
    <t>0550</t>
  </si>
  <si>
    <t>412-00</t>
  </si>
  <si>
    <t>22216</t>
  </si>
  <si>
    <t>袋井市</t>
  </si>
  <si>
    <t>ふくろいし</t>
  </si>
  <si>
    <t>0538</t>
  </si>
  <si>
    <t>437-00 437-01 437-11 437-13</t>
  </si>
  <si>
    <t>22219</t>
  </si>
  <si>
    <t>下田市</t>
  </si>
  <si>
    <t>しもだし</t>
  </si>
  <si>
    <t>0558</t>
  </si>
  <si>
    <t>413-07 415-00</t>
  </si>
  <si>
    <t>22220</t>
  </si>
  <si>
    <t>裾野市</t>
  </si>
  <si>
    <t>すそのし</t>
  </si>
  <si>
    <t>055 0460</t>
  </si>
  <si>
    <t>410-11 410-12</t>
  </si>
  <si>
    <t>22221</t>
  </si>
  <si>
    <t>湖西市</t>
  </si>
  <si>
    <t>こさいし</t>
  </si>
  <si>
    <t>431-03 431-04</t>
  </si>
  <si>
    <t>22222</t>
  </si>
  <si>
    <t>伊豆市</t>
  </si>
  <si>
    <t>いずし</t>
  </si>
  <si>
    <t>0558 0557</t>
  </si>
  <si>
    <t>410-24 410-25 410-32 410-33</t>
  </si>
  <si>
    <t>22223</t>
  </si>
  <si>
    <t>御前崎市</t>
  </si>
  <si>
    <t>おまえざきし</t>
  </si>
  <si>
    <t>0548 0537</t>
  </si>
  <si>
    <t>421-06 437-16</t>
  </si>
  <si>
    <t>22224</t>
  </si>
  <si>
    <t>菊川市</t>
  </si>
  <si>
    <t>きくがわし</t>
  </si>
  <si>
    <t>0537 0548</t>
  </si>
  <si>
    <t>437-15 439-00</t>
  </si>
  <si>
    <t>22225</t>
  </si>
  <si>
    <t>伊豆の国市</t>
  </si>
  <si>
    <t>いずのくにし</t>
  </si>
  <si>
    <t>410-21 410-22 410-23</t>
  </si>
  <si>
    <t>22226</t>
  </si>
  <si>
    <t>牧之原市</t>
  </si>
  <si>
    <t>まきのはらし</t>
  </si>
  <si>
    <t>0548</t>
  </si>
  <si>
    <t>421-04 421-05</t>
  </si>
  <si>
    <t>22301</t>
  </si>
  <si>
    <t>賀茂郡東伊豆町</t>
  </si>
  <si>
    <t>かもぐんひがしいずちょう</t>
  </si>
  <si>
    <t>413-03 413-04</t>
  </si>
  <si>
    <t>22302</t>
  </si>
  <si>
    <t>賀茂郡河津町</t>
  </si>
  <si>
    <t>かもぐんかわづちょう</t>
  </si>
  <si>
    <t>413-05</t>
  </si>
  <si>
    <t>22304</t>
  </si>
  <si>
    <t>賀茂郡南伊豆町</t>
  </si>
  <si>
    <t>かもぐんみなみいずちょう</t>
  </si>
  <si>
    <t>415-01 415-03 415-05</t>
  </si>
  <si>
    <t>22305</t>
  </si>
  <si>
    <t>賀茂郡松崎町</t>
  </si>
  <si>
    <t>かもぐんまつざきちょう</t>
  </si>
  <si>
    <t>410-36</t>
  </si>
  <si>
    <t>22306</t>
  </si>
  <si>
    <t>賀茂郡西伊豆町</t>
  </si>
  <si>
    <t>かもぐんにしいずちょう</t>
  </si>
  <si>
    <t>410-35</t>
  </si>
  <si>
    <t>22325</t>
  </si>
  <si>
    <t>田方郡函南町</t>
  </si>
  <si>
    <t>たがたぐんかんなみちょう</t>
  </si>
  <si>
    <t>411-00 419-01</t>
  </si>
  <si>
    <t>22341</t>
  </si>
  <si>
    <t>駿東郡清水町</t>
  </si>
  <si>
    <t>すんとうぐんしみずちょう</t>
  </si>
  <si>
    <t>411-00 411-09</t>
  </si>
  <si>
    <t>22342</t>
  </si>
  <si>
    <t>駿東郡長泉町</t>
  </si>
  <si>
    <t>すんとうぐんながいずみちょう</t>
  </si>
  <si>
    <t>22344</t>
  </si>
  <si>
    <t>駿東郡小山町</t>
  </si>
  <si>
    <t>すんとうぐんおやまちょう</t>
  </si>
  <si>
    <t>410-13 410-14</t>
  </si>
  <si>
    <t>22424</t>
  </si>
  <si>
    <t>榛原郡吉田町</t>
  </si>
  <si>
    <t>はいばらぐんよしだちょう</t>
  </si>
  <si>
    <t>421-03</t>
  </si>
  <si>
    <t>22429</t>
  </si>
  <si>
    <t>榛原郡川根本町</t>
  </si>
  <si>
    <t>はいばらぐんかわねほんちょう</t>
  </si>
  <si>
    <t>428-03 428-04</t>
  </si>
  <si>
    <t>22461</t>
  </si>
  <si>
    <t>周智郡森町</t>
  </si>
  <si>
    <t>しゅうちぐんもりまち</t>
  </si>
  <si>
    <t>437-02</t>
  </si>
  <si>
    <t>23100</t>
  </si>
  <si>
    <t>名古屋市</t>
  </si>
  <si>
    <t>なごやし</t>
  </si>
  <si>
    <t>23101</t>
  </si>
  <si>
    <t>名古屋市千種区</t>
  </si>
  <si>
    <t>なごやしちくさく</t>
  </si>
  <si>
    <t>052</t>
  </si>
  <si>
    <t>464-00 464-08 468-08</t>
  </si>
  <si>
    <t>23102</t>
  </si>
  <si>
    <t>名古屋市東区</t>
  </si>
  <si>
    <t>なごやしひがしく</t>
  </si>
  <si>
    <t>461-00</t>
  </si>
  <si>
    <t>23103</t>
  </si>
  <si>
    <t>名古屋市北区</t>
  </si>
  <si>
    <t>なごやしきたく</t>
  </si>
  <si>
    <t>462-00 462-08</t>
  </si>
  <si>
    <t>23104</t>
  </si>
  <si>
    <t>名古屋市西区</t>
  </si>
  <si>
    <t>なごやしにしく</t>
  </si>
  <si>
    <t>451-00 452-08</t>
  </si>
  <si>
    <t>23105</t>
  </si>
  <si>
    <t>名古屋市中村区</t>
  </si>
  <si>
    <t>なごやしなかむらく</t>
  </si>
  <si>
    <t>450-00 450-60 453-00 453-08</t>
  </si>
  <si>
    <t>23106</t>
  </si>
  <si>
    <t>名古屋市中区</t>
  </si>
  <si>
    <t>なごやしなかく</t>
  </si>
  <si>
    <t>460-00</t>
  </si>
  <si>
    <t>23107</t>
  </si>
  <si>
    <t>名古屋市昭和区</t>
  </si>
  <si>
    <t>なごやししょうわく</t>
  </si>
  <si>
    <t>466-00 466-08</t>
  </si>
  <si>
    <t>23108</t>
  </si>
  <si>
    <t>名古屋市瑞穂区</t>
  </si>
  <si>
    <t>なごやしみずほく</t>
  </si>
  <si>
    <t>467-00 467-08</t>
  </si>
  <si>
    <t>23109</t>
  </si>
  <si>
    <t>名古屋市熱田区</t>
  </si>
  <si>
    <t>なごやしあつたく</t>
  </si>
  <si>
    <t>456-00</t>
  </si>
  <si>
    <t>23110</t>
  </si>
  <si>
    <t>名古屋市中川区</t>
  </si>
  <si>
    <t>なごやしなかがわく</t>
  </si>
  <si>
    <t>454-00 454-08 454-09</t>
  </si>
  <si>
    <t>23111</t>
  </si>
  <si>
    <t>名古屋市港区</t>
  </si>
  <si>
    <t>なごやしみなとく</t>
  </si>
  <si>
    <t>455-00 455-08</t>
  </si>
  <si>
    <t>23112</t>
  </si>
  <si>
    <t>名古屋市南区</t>
  </si>
  <si>
    <t>なごやしみなみく</t>
  </si>
  <si>
    <t>457-00 457-08</t>
  </si>
  <si>
    <t>23113</t>
  </si>
  <si>
    <t>名古屋市守山区</t>
  </si>
  <si>
    <t>なごやしもりやまく</t>
  </si>
  <si>
    <t>463-00 463-08</t>
  </si>
  <si>
    <t>23114</t>
  </si>
  <si>
    <t>名古屋市緑区</t>
  </si>
  <si>
    <t>なごやしみどりく</t>
  </si>
  <si>
    <t>458-00 458-08 458-09 459-80</t>
  </si>
  <si>
    <t>23115</t>
  </si>
  <si>
    <t>名古屋市名東区</t>
  </si>
  <si>
    <t>なごやしめいとうく</t>
  </si>
  <si>
    <t>465-00</t>
  </si>
  <si>
    <t>23116</t>
  </si>
  <si>
    <t>名古屋市天白区</t>
  </si>
  <si>
    <t>なごやしてんぱくく</t>
  </si>
  <si>
    <t>468-00 468-08</t>
  </si>
  <si>
    <t>23201</t>
  </si>
  <si>
    <t>豊橋市</t>
  </si>
  <si>
    <t>とよはしし</t>
  </si>
  <si>
    <t>0532</t>
  </si>
  <si>
    <t>440-00 440-08 441-00 441-01 441-11 441-31 441-32 441-33 441-80 441-81</t>
  </si>
  <si>
    <t>23202</t>
  </si>
  <si>
    <t>岡崎市</t>
  </si>
  <si>
    <t>おかざきし</t>
  </si>
  <si>
    <t>0564</t>
  </si>
  <si>
    <t>444-00 444-02 444-08 444-09 444-21 444-31 444-33 444-34 444-35 444-36</t>
  </si>
  <si>
    <t>23203</t>
  </si>
  <si>
    <t>一宮市</t>
  </si>
  <si>
    <t>いちのみやし</t>
  </si>
  <si>
    <t>0586</t>
  </si>
  <si>
    <t>491-00 491-01 491-02 491-03 491-08 491-09 493-00 493-80 494-00</t>
  </si>
  <si>
    <t>23204</t>
  </si>
  <si>
    <t>瀬戸市</t>
  </si>
  <si>
    <t>せとし</t>
  </si>
  <si>
    <t>0561</t>
  </si>
  <si>
    <t>480-00 480-12 489-00 489-08 489-09</t>
  </si>
  <si>
    <t>23205</t>
  </si>
  <si>
    <t>半田市</t>
  </si>
  <si>
    <t>はんだし</t>
  </si>
  <si>
    <t>0569</t>
  </si>
  <si>
    <t>475-00 475-08 475-09</t>
  </si>
  <si>
    <t>23206</t>
  </si>
  <si>
    <t>春日井市</t>
  </si>
  <si>
    <t>かすがいし</t>
  </si>
  <si>
    <t>0568</t>
  </si>
  <si>
    <t>480-03 486-00 486-08 486-09 487-00</t>
  </si>
  <si>
    <t>23207</t>
  </si>
  <si>
    <t>豊川市</t>
  </si>
  <si>
    <t>とよかわし</t>
  </si>
  <si>
    <t>0533</t>
  </si>
  <si>
    <t>441-01 441-02 441-03 441-12 442-00 442-08</t>
  </si>
  <si>
    <t>23208</t>
  </si>
  <si>
    <t>津島市</t>
  </si>
  <si>
    <t>つしまし</t>
  </si>
  <si>
    <t>0567</t>
  </si>
  <si>
    <t>496-00 496-08</t>
  </si>
  <si>
    <t>23209</t>
  </si>
  <si>
    <t>碧南市</t>
  </si>
  <si>
    <t>へきなんし</t>
  </si>
  <si>
    <t>0566</t>
  </si>
  <si>
    <t>447-00 447-08</t>
  </si>
  <si>
    <t>23210</t>
  </si>
  <si>
    <t>刈谷市</t>
  </si>
  <si>
    <t>かりやし</t>
  </si>
  <si>
    <t>448-00 448-08</t>
  </si>
  <si>
    <t>23211</t>
  </si>
  <si>
    <t>豊田市</t>
  </si>
  <si>
    <t>とよたし</t>
  </si>
  <si>
    <t>0565 0564 0536</t>
  </si>
  <si>
    <t>441-25 444-22 444-23 444-24 444-25 444-26 444-28 444-32 470-03 470-04 470-05 470-12 471-00 471-08 473-09</t>
  </si>
  <si>
    <t>23212</t>
  </si>
  <si>
    <t>安城市</t>
  </si>
  <si>
    <t>あんじょうし</t>
  </si>
  <si>
    <t>444-11 444-12 446-00</t>
  </si>
  <si>
    <t>23213</t>
  </si>
  <si>
    <t>西尾市</t>
  </si>
  <si>
    <t>にしおし</t>
  </si>
  <si>
    <t>0563</t>
  </si>
  <si>
    <t>444-03 444-04 444-05 444-07 445-00 445-08</t>
  </si>
  <si>
    <t>23214</t>
  </si>
  <si>
    <t>蒲郡市</t>
  </si>
  <si>
    <t>がまごおりし</t>
  </si>
  <si>
    <t>443-00 443-01</t>
  </si>
  <si>
    <t>23215</t>
  </si>
  <si>
    <t>犬山市</t>
  </si>
  <si>
    <t>いぬやまし</t>
  </si>
  <si>
    <t>484-00 484-08 484-09</t>
  </si>
  <si>
    <t>23216</t>
  </si>
  <si>
    <t>常滑市</t>
  </si>
  <si>
    <t>とこなめし</t>
  </si>
  <si>
    <t>479-00 479-08</t>
  </si>
  <si>
    <t>23217</t>
  </si>
  <si>
    <t>江南市</t>
  </si>
  <si>
    <t>こうなんし</t>
  </si>
  <si>
    <t>0587</t>
  </si>
  <si>
    <t>483-00 483-80 483-81 483-82 483-83 483-84</t>
  </si>
  <si>
    <t>23219</t>
  </si>
  <si>
    <t>小牧市</t>
  </si>
  <si>
    <t>こまきし</t>
  </si>
  <si>
    <t>485-00 485-08</t>
  </si>
  <si>
    <t>23220</t>
  </si>
  <si>
    <t>稲沢市</t>
  </si>
  <si>
    <t>いなざわし</t>
  </si>
  <si>
    <t>0587 0586</t>
  </si>
  <si>
    <t>490-13 492-00 492-80 492-81 492-82 492-83 492-84 495-00</t>
  </si>
  <si>
    <t>23221</t>
  </si>
  <si>
    <t>新城市</t>
  </si>
  <si>
    <t>しんしろし</t>
  </si>
  <si>
    <t>0536</t>
  </si>
  <si>
    <t>441-13 441-14 441-15 441-16 441-19</t>
  </si>
  <si>
    <t>23222</t>
  </si>
  <si>
    <t>東海市</t>
  </si>
  <si>
    <t>とうかいし</t>
  </si>
  <si>
    <t>052 0562</t>
  </si>
  <si>
    <t>476-00 477-00</t>
  </si>
  <si>
    <t>23223</t>
  </si>
  <si>
    <t>大府市</t>
  </si>
  <si>
    <t>おおぶし</t>
  </si>
  <si>
    <t>0562</t>
  </si>
  <si>
    <t>474-00</t>
  </si>
  <si>
    <t>23224</t>
  </si>
  <si>
    <t>知多市</t>
  </si>
  <si>
    <t>ちたし</t>
  </si>
  <si>
    <t>0562 0569</t>
  </si>
  <si>
    <t>478-00</t>
  </si>
  <si>
    <t>23225</t>
  </si>
  <si>
    <t>知立市</t>
  </si>
  <si>
    <t>ちりゅうし</t>
  </si>
  <si>
    <t>472-00</t>
  </si>
  <si>
    <t>23226</t>
  </si>
  <si>
    <t>尾張旭市</t>
  </si>
  <si>
    <t>おわりあさひし</t>
  </si>
  <si>
    <t>0561 052</t>
  </si>
  <si>
    <t>488-00 488-08</t>
  </si>
  <si>
    <t>23227</t>
  </si>
  <si>
    <t>高浜市</t>
  </si>
  <si>
    <t>たかはまし</t>
  </si>
  <si>
    <t>444-13</t>
  </si>
  <si>
    <t>23228</t>
  </si>
  <si>
    <t>岩倉市</t>
  </si>
  <si>
    <t>いわくらし</t>
  </si>
  <si>
    <t>482-00</t>
  </si>
  <si>
    <t>23229</t>
  </si>
  <si>
    <t>豊明市</t>
  </si>
  <si>
    <t>とよあけし</t>
  </si>
  <si>
    <t>470-11</t>
  </si>
  <si>
    <t>23230</t>
  </si>
  <si>
    <t>日進市</t>
  </si>
  <si>
    <t>にっしんし</t>
  </si>
  <si>
    <t>470-01</t>
  </si>
  <si>
    <t>23231</t>
  </si>
  <si>
    <t>田原市</t>
  </si>
  <si>
    <t>たはらし</t>
  </si>
  <si>
    <t>0531</t>
  </si>
  <si>
    <t>441-34 441-35 441-36</t>
  </si>
  <si>
    <t>23232</t>
  </si>
  <si>
    <t>愛西市</t>
  </si>
  <si>
    <t>あいさいし</t>
  </si>
  <si>
    <t>496-00 496-09 496-80</t>
  </si>
  <si>
    <t>23233</t>
  </si>
  <si>
    <t>清須市</t>
  </si>
  <si>
    <t>きよすし</t>
  </si>
  <si>
    <t>452-00 452-09</t>
  </si>
  <si>
    <t>23234</t>
  </si>
  <si>
    <t>北名古屋市</t>
  </si>
  <si>
    <t>きたなごやし</t>
  </si>
  <si>
    <t>481-00</t>
  </si>
  <si>
    <t>23235</t>
  </si>
  <si>
    <t>弥富市</t>
  </si>
  <si>
    <t>やとみし</t>
  </si>
  <si>
    <t>490-14 498-00</t>
  </si>
  <si>
    <t>23236</t>
  </si>
  <si>
    <t>みよし市</t>
  </si>
  <si>
    <t>みよしし</t>
  </si>
  <si>
    <t>470-02</t>
  </si>
  <si>
    <t>23237</t>
  </si>
  <si>
    <t>あま市</t>
  </si>
  <si>
    <t>あまし</t>
  </si>
  <si>
    <t>490-11 490-12 497-00</t>
  </si>
  <si>
    <t>23238</t>
  </si>
  <si>
    <t>長久手市</t>
  </si>
  <si>
    <t>ながくてし</t>
  </si>
  <si>
    <t>480-00 480-11</t>
  </si>
  <si>
    <t>23302</t>
  </si>
  <si>
    <t>愛知郡東郷町</t>
  </si>
  <si>
    <t>あいちぐんとうごうちょう</t>
  </si>
  <si>
    <t>23342</t>
  </si>
  <si>
    <t>西春日井郡豊山町</t>
  </si>
  <si>
    <t>にしかすがいぐんとよやまちょう</t>
  </si>
  <si>
    <t>480-02</t>
  </si>
  <si>
    <t>23361</t>
  </si>
  <si>
    <t>丹羽郡大口町</t>
  </si>
  <si>
    <t>にわぐんおおぐちちょう</t>
  </si>
  <si>
    <t>480-01</t>
  </si>
  <si>
    <t>23362</t>
  </si>
  <si>
    <t>丹羽郡扶桑町</t>
  </si>
  <si>
    <t>にわぐんふそうちょう</t>
  </si>
  <si>
    <t>23424</t>
  </si>
  <si>
    <t>海部郡大治町</t>
  </si>
  <si>
    <t>あまぐんおおはるちょう</t>
  </si>
  <si>
    <t>490-11</t>
  </si>
  <si>
    <t>23425</t>
  </si>
  <si>
    <t>海部郡蟹江町</t>
  </si>
  <si>
    <t>あまぐんかにえちょう</t>
  </si>
  <si>
    <t>497-00</t>
  </si>
  <si>
    <t>23427</t>
  </si>
  <si>
    <t>海部郡飛島村</t>
  </si>
  <si>
    <t>あまぐんとびしまむら</t>
  </si>
  <si>
    <t>490-14</t>
  </si>
  <si>
    <t>23441</t>
  </si>
  <si>
    <t>知多郡阿久比町</t>
  </si>
  <si>
    <t>ちたぐんあぐいちょう</t>
  </si>
  <si>
    <t>470-22</t>
  </si>
  <si>
    <t>23442</t>
  </si>
  <si>
    <t>知多郡東浦町</t>
  </si>
  <si>
    <t>ちたぐんひがしうらちょう</t>
  </si>
  <si>
    <t>470-21</t>
  </si>
  <si>
    <t>23445</t>
  </si>
  <si>
    <t>知多郡南知多町</t>
  </si>
  <si>
    <t>ちたぐんみなみちたちょう</t>
  </si>
  <si>
    <t>470-33 470-34 470-35</t>
  </si>
  <si>
    <t>23446</t>
  </si>
  <si>
    <t>知多郡美浜町</t>
  </si>
  <si>
    <t>ちたぐんみはまちょう</t>
  </si>
  <si>
    <t>470-24 470-32</t>
  </si>
  <si>
    <t>23447</t>
  </si>
  <si>
    <t>知多郡武豊町</t>
  </si>
  <si>
    <t>ちたぐんたけとよちょう</t>
  </si>
  <si>
    <t>470-23 470-25</t>
  </si>
  <si>
    <t>23501</t>
  </si>
  <si>
    <t>額田郡幸田町</t>
  </si>
  <si>
    <t>ぬかたぐんこうたちょう</t>
  </si>
  <si>
    <t>444-01</t>
  </si>
  <si>
    <t>23561</t>
  </si>
  <si>
    <t>北設楽郡設楽町</t>
  </si>
  <si>
    <t>きたしたらぐんしたらちょう</t>
  </si>
  <si>
    <t>441-22 441-23 441-24 441-25 441-26</t>
  </si>
  <si>
    <t>23562</t>
  </si>
  <si>
    <t>北設楽郡東栄町</t>
  </si>
  <si>
    <t>きたしたらぐんとうえいちょう</t>
  </si>
  <si>
    <t>449-02</t>
  </si>
  <si>
    <t>23563</t>
  </si>
  <si>
    <t>北設楽郡豊根村</t>
  </si>
  <si>
    <t>きたしたらぐんとよねむら</t>
  </si>
  <si>
    <t>431-41 449-04</t>
  </si>
  <si>
    <t>24201</t>
  </si>
  <si>
    <t>津市</t>
  </si>
  <si>
    <t>つし</t>
  </si>
  <si>
    <t>059</t>
  </si>
  <si>
    <t>510-03 514-00 514-01 514-03 514-08 514-11 514-12 514-21 514-22 514-23 515-25 515-26 515-31 515-32 515-33 515-34 515-35</t>
  </si>
  <si>
    <t>24202</t>
  </si>
  <si>
    <t>四日市市</t>
  </si>
  <si>
    <t>よっかいちし</t>
  </si>
  <si>
    <t>510-00 510-01 510-08 510-09 510-80 512-03 512-09 512-11 512-12 512-13 512-80</t>
  </si>
  <si>
    <t>24203</t>
  </si>
  <si>
    <t>伊勢市</t>
  </si>
  <si>
    <t>いせし</t>
  </si>
  <si>
    <t>0596</t>
  </si>
  <si>
    <t>515-05 516-00 516-08 516-11 517-00 519-05 519-06</t>
  </si>
  <si>
    <t>24204</t>
  </si>
  <si>
    <t>松阪市</t>
  </si>
  <si>
    <t>まつさかし</t>
  </si>
  <si>
    <t>0598</t>
  </si>
  <si>
    <t>515-00 515-01 515-02 515-08 515-11 515-12 515-13 515-14 515-15 515-16 515-17 515-21 515-23 515-24 519-21</t>
  </si>
  <si>
    <t>24205</t>
  </si>
  <si>
    <t>桑名市</t>
  </si>
  <si>
    <t>くわなし</t>
  </si>
  <si>
    <t>0594</t>
  </si>
  <si>
    <t>511-00 511-01 511-08 511-09 511-11</t>
  </si>
  <si>
    <t>24207</t>
  </si>
  <si>
    <t>鈴鹿市</t>
  </si>
  <si>
    <t>すずかし</t>
  </si>
  <si>
    <t>510-02 513-00 513-08 513-11 519-02 519-03</t>
  </si>
  <si>
    <t>24208</t>
  </si>
  <si>
    <t>名張市</t>
  </si>
  <si>
    <t>なばりし</t>
  </si>
  <si>
    <t>0595</t>
  </si>
  <si>
    <t>518-04 518-05 518-06 518-07</t>
  </si>
  <si>
    <t>24209</t>
  </si>
  <si>
    <t>尾鷲市</t>
  </si>
  <si>
    <t>おわせし</t>
  </si>
  <si>
    <t>0597</t>
  </si>
  <si>
    <t>519-34 519-36 519-37 519-38 519-39</t>
  </si>
  <si>
    <t>24210</t>
  </si>
  <si>
    <t>亀山市</t>
  </si>
  <si>
    <t>かめやまし</t>
  </si>
  <si>
    <t>519-01 519-02 519-11</t>
  </si>
  <si>
    <t>24211</t>
  </si>
  <si>
    <t>鳥羽市</t>
  </si>
  <si>
    <t>とばし</t>
  </si>
  <si>
    <t>0599</t>
  </si>
  <si>
    <t>517-00</t>
  </si>
  <si>
    <t>24212</t>
  </si>
  <si>
    <t>熊野市</t>
  </si>
  <si>
    <t>くまのし</t>
  </si>
  <si>
    <t>0597 05979</t>
  </si>
  <si>
    <t>519-42 519-43 519-44 519-45 519-46 519-54 647-13</t>
  </si>
  <si>
    <t>24214</t>
  </si>
  <si>
    <t>いなべ市</t>
  </si>
  <si>
    <t>いなべし</t>
  </si>
  <si>
    <t>511-02 511-04 511-05</t>
  </si>
  <si>
    <t>24215</t>
  </si>
  <si>
    <t>志摩市</t>
  </si>
  <si>
    <t>しまし</t>
  </si>
  <si>
    <t>517-02 517-04 517-05 517-06 517-07</t>
  </si>
  <si>
    <t>24216</t>
  </si>
  <si>
    <t>伊賀市</t>
  </si>
  <si>
    <t>いがし</t>
  </si>
  <si>
    <t>518-00 518-01 518-02 518-08 518-11 518-13 518-14 519-14 519-17</t>
  </si>
  <si>
    <t>24303</t>
  </si>
  <si>
    <t>桑名郡木曽岬町</t>
  </si>
  <si>
    <t>くわなぐんきそさきちょう</t>
  </si>
  <si>
    <t>498-00 498-08</t>
  </si>
  <si>
    <t>24324</t>
  </si>
  <si>
    <t>員弁郡東員町</t>
  </si>
  <si>
    <t>いなべぐんとういんちょう</t>
  </si>
  <si>
    <t>511-02</t>
  </si>
  <si>
    <t>24341</t>
  </si>
  <si>
    <t>三重郡菰野町</t>
  </si>
  <si>
    <t>みえぐんこものちょう</t>
  </si>
  <si>
    <t>510-12 510-13</t>
  </si>
  <si>
    <t>24343</t>
  </si>
  <si>
    <t>三重郡朝日町</t>
  </si>
  <si>
    <t>みえぐんあさひちょう</t>
  </si>
  <si>
    <t>510-00 510-81</t>
  </si>
  <si>
    <t>24344</t>
  </si>
  <si>
    <t>三重郡川越町</t>
  </si>
  <si>
    <t>みえぐんかわごえちょう</t>
  </si>
  <si>
    <t>24441</t>
  </si>
  <si>
    <t>多気郡多気町</t>
  </si>
  <si>
    <t>たきぐんたきちょう</t>
  </si>
  <si>
    <t>519-21 519-22</t>
  </si>
  <si>
    <t>24442</t>
  </si>
  <si>
    <t>多気郡明和町</t>
  </si>
  <si>
    <t>たきぐんめいわちょう</t>
  </si>
  <si>
    <t>515-03</t>
  </si>
  <si>
    <t>24443</t>
  </si>
  <si>
    <t>多気郡大台町</t>
  </si>
  <si>
    <t>たきぐんおおだいちょう</t>
  </si>
  <si>
    <t>519-24 519-25 519-26</t>
  </si>
  <si>
    <t>24461</t>
  </si>
  <si>
    <t>度会郡玉城町</t>
  </si>
  <si>
    <t>わたらいぐんたまきちょう</t>
  </si>
  <si>
    <t>519-04</t>
  </si>
  <si>
    <t>24470</t>
  </si>
  <si>
    <t>度会郡度会町</t>
  </si>
  <si>
    <t>わたらいぐんわたらいちょう</t>
  </si>
  <si>
    <t>516-12 516-21</t>
  </si>
  <si>
    <t>24471</t>
  </si>
  <si>
    <t>度会郡大紀町</t>
  </si>
  <si>
    <t>わたらいぐんたいきちょう</t>
  </si>
  <si>
    <t>519-27 519-28 519-29 519-31</t>
  </si>
  <si>
    <t>24472</t>
  </si>
  <si>
    <t>度会郡南伊勢町</t>
  </si>
  <si>
    <t>わたらいぐんみなみいせちょう</t>
  </si>
  <si>
    <t>0596 0599</t>
  </si>
  <si>
    <t>516-01 516-02 516-13 516-14 516-15</t>
  </si>
  <si>
    <t>24543</t>
  </si>
  <si>
    <t>北牟婁郡紀北町</t>
  </si>
  <si>
    <t>きたむろぐんきほくちょう</t>
  </si>
  <si>
    <t>05974 0597</t>
  </si>
  <si>
    <t>519-32 519-34</t>
  </si>
  <si>
    <t>24561</t>
  </si>
  <si>
    <t>南牟婁郡御浜町</t>
  </si>
  <si>
    <t>みなみむろぐんみはまちょう</t>
  </si>
  <si>
    <t>05979</t>
  </si>
  <si>
    <t>519-52 519-53</t>
  </si>
  <si>
    <t>24562</t>
  </si>
  <si>
    <t>南牟婁郡紀宝町</t>
  </si>
  <si>
    <t>みなみむろぐんきほうちょう</t>
  </si>
  <si>
    <t>0735</t>
  </si>
  <si>
    <t>519-57 519-58</t>
  </si>
  <si>
    <t>25201</t>
  </si>
  <si>
    <t>大津市</t>
  </si>
  <si>
    <t>おおつし</t>
  </si>
  <si>
    <t>077</t>
  </si>
  <si>
    <t>520-00 520-01 520-02 520-03 520-04 520-05 520-08 520-21 520-22</t>
  </si>
  <si>
    <t>25202</t>
  </si>
  <si>
    <t>彦根市</t>
  </si>
  <si>
    <t>ひこねし</t>
  </si>
  <si>
    <t>0749</t>
  </si>
  <si>
    <t>521-11 522-00 522-02 529-11</t>
  </si>
  <si>
    <t>25203</t>
  </si>
  <si>
    <t>長浜市</t>
  </si>
  <si>
    <t>ながはまし</t>
  </si>
  <si>
    <t>526-00 526-01 526-02 526-08 529-01 529-02 529-03 529-04 529-05 529-07</t>
  </si>
  <si>
    <t>25204</t>
  </si>
  <si>
    <t>近江八幡市</t>
  </si>
  <si>
    <t>おうみはちまんし</t>
  </si>
  <si>
    <t>0748</t>
  </si>
  <si>
    <t>521-13 523-00 523-08</t>
  </si>
  <si>
    <t>25206</t>
  </si>
  <si>
    <t>草津市</t>
  </si>
  <si>
    <t>くさつし</t>
  </si>
  <si>
    <t>525-00</t>
  </si>
  <si>
    <t>25207</t>
  </si>
  <si>
    <t>守山市</t>
  </si>
  <si>
    <t>もりやまし</t>
  </si>
  <si>
    <t>524-00 524-01 524-02</t>
  </si>
  <si>
    <t>25208</t>
  </si>
  <si>
    <t>栗東市</t>
  </si>
  <si>
    <t>りっとうし</t>
  </si>
  <si>
    <t>520-30</t>
  </si>
  <si>
    <t>25209</t>
  </si>
  <si>
    <t>甲賀市</t>
  </si>
  <si>
    <t>こうかし</t>
  </si>
  <si>
    <t>520-33 520-34 528-00 528-02 529-18</t>
  </si>
  <si>
    <t>25210</t>
  </si>
  <si>
    <t>野洲市</t>
  </si>
  <si>
    <t>やすし</t>
  </si>
  <si>
    <t>520-23 520-24 524-02</t>
  </si>
  <si>
    <t>25211</t>
  </si>
  <si>
    <t>湖南市</t>
  </si>
  <si>
    <t>こなんし</t>
  </si>
  <si>
    <t>520-31 520-32</t>
  </si>
  <si>
    <t>25212</t>
  </si>
  <si>
    <t>高島市</t>
  </si>
  <si>
    <t>たかしまし</t>
  </si>
  <si>
    <t>0740</t>
  </si>
  <si>
    <t>520-11 520-12 520-14 520-15 520-16 520-18</t>
  </si>
  <si>
    <t>25213</t>
  </si>
  <si>
    <t>東近江市</t>
  </si>
  <si>
    <t>ひがしおうみし</t>
  </si>
  <si>
    <t>0748 0749</t>
  </si>
  <si>
    <t>521-12 527-00 527-01 527-02 529-14 529-15</t>
  </si>
  <si>
    <t>25214</t>
  </si>
  <si>
    <t>米原市</t>
  </si>
  <si>
    <t>まいばらし</t>
  </si>
  <si>
    <t>521-00 521-02 521-03</t>
  </si>
  <si>
    <t>25383</t>
  </si>
  <si>
    <t>蒲生郡日野町</t>
  </si>
  <si>
    <t>がもうぐんひのちょう</t>
  </si>
  <si>
    <t>529-16</t>
  </si>
  <si>
    <t>25384</t>
  </si>
  <si>
    <t>蒲生郡竜王町</t>
  </si>
  <si>
    <t>がもうぐんりゅうおうちょう</t>
  </si>
  <si>
    <t>520-25</t>
  </si>
  <si>
    <t>25425</t>
  </si>
  <si>
    <t>愛知郡愛荘町</t>
  </si>
  <si>
    <t>えちぐんあいしょうちょう</t>
  </si>
  <si>
    <t>529-12 529-13</t>
  </si>
  <si>
    <t>25441</t>
  </si>
  <si>
    <t>犬上郡豊郷町</t>
  </si>
  <si>
    <t>いぬかみぐんとよさとちょう</t>
  </si>
  <si>
    <t>529-11</t>
  </si>
  <si>
    <t>25442</t>
  </si>
  <si>
    <t>犬上郡甲良町</t>
  </si>
  <si>
    <t>いぬかみぐんこうらちょう</t>
  </si>
  <si>
    <t>522-02</t>
  </si>
  <si>
    <t>25443</t>
  </si>
  <si>
    <t>犬上郡多賀町</t>
  </si>
  <si>
    <t>いぬかみぐんたがちょう</t>
  </si>
  <si>
    <t>522-03</t>
  </si>
  <si>
    <t>26100</t>
  </si>
  <si>
    <t>京都市</t>
  </si>
  <si>
    <t>きょうとし</t>
  </si>
  <si>
    <t>26101</t>
  </si>
  <si>
    <t>京都市北区</t>
  </si>
  <si>
    <t>きょうとしきたく</t>
  </si>
  <si>
    <t>075</t>
  </si>
  <si>
    <t>601-01 603-00 603-80 603-81 603-82 603-83 603-84 603-88</t>
  </si>
  <si>
    <t>26102</t>
  </si>
  <si>
    <t>京都市上京区</t>
  </si>
  <si>
    <t>きょうとしかみぎょうく</t>
  </si>
  <si>
    <t>602-00 602-08 602-09 602-80 602-81 602-82 602-83 602-84</t>
  </si>
  <si>
    <t>26103</t>
  </si>
  <si>
    <t>京都市左京区</t>
  </si>
  <si>
    <t>きょうとしさきょうく</t>
  </si>
  <si>
    <t>520-04 601-11 601-12 606-00 606-08 606-09 606-80 606-81 606-82 606-83 606-84</t>
  </si>
  <si>
    <t>26104</t>
  </si>
  <si>
    <t>京都市中京区</t>
  </si>
  <si>
    <t>きょうとしなかぎょうく</t>
  </si>
  <si>
    <t>604-00 604-08 604-09 604-80 604-81 604-82 604-83 604-84 604-88</t>
  </si>
  <si>
    <t>26105</t>
  </si>
  <si>
    <t>京都市東山区</t>
  </si>
  <si>
    <t>きょうとしひがしやまく</t>
  </si>
  <si>
    <t>605-00 605-08 605-09</t>
  </si>
  <si>
    <t>26106</t>
  </si>
  <si>
    <t>京都市下京区</t>
  </si>
  <si>
    <t>きょうとししもぎょうく</t>
  </si>
  <si>
    <t>600-00 600-80 600-81 600-82 600-83 600-84 600-88</t>
  </si>
  <si>
    <t>26107</t>
  </si>
  <si>
    <t>京都市南区</t>
  </si>
  <si>
    <t>きょうとしみなみく</t>
  </si>
  <si>
    <t>601-00 601-80 601-81 601-82 601-83 601-84</t>
  </si>
  <si>
    <t>26108</t>
  </si>
  <si>
    <t>京都市右京区</t>
  </si>
  <si>
    <t>きょうとしうきょうく</t>
  </si>
  <si>
    <t>075 0771</t>
  </si>
  <si>
    <t>601-02 601-03 601-04 601-05 615-00 615-08 615-09 616-00 616-80 616-81 616-82 616-83 616-84</t>
  </si>
  <si>
    <t>26109</t>
  </si>
  <si>
    <t>京都市伏見区</t>
  </si>
  <si>
    <t>きょうとしふしみく</t>
  </si>
  <si>
    <t>075 077</t>
  </si>
  <si>
    <t>601-13 601-14 612-00 612-08 612-80 612-81 612-82 612-83 612-84 613-09</t>
  </si>
  <si>
    <t>26110</t>
  </si>
  <si>
    <t>京都市山科区</t>
  </si>
  <si>
    <t>きょうとしやましなく</t>
  </si>
  <si>
    <t>607-00 607-80 607-81 607-82 607-83 607-84</t>
  </si>
  <si>
    <t>26111</t>
  </si>
  <si>
    <t>京都市西京区</t>
  </si>
  <si>
    <t>きょうとしにしきょうく</t>
  </si>
  <si>
    <t>610-00 610-11 615-80 615-81 615-82 615-83 616-00</t>
  </si>
  <si>
    <t>26201</t>
  </si>
  <si>
    <t>福知山市</t>
  </si>
  <si>
    <t>ふくちやまし</t>
  </si>
  <si>
    <t>0773</t>
  </si>
  <si>
    <t>620-00 620-02 620-03 620-08 620-09 620-13 620-14 629-13</t>
  </si>
  <si>
    <t>26202</t>
  </si>
  <si>
    <t>舞鶴市</t>
  </si>
  <si>
    <t>まいづるし</t>
  </si>
  <si>
    <t>624-01 624-08 624-09 625-00 625-01</t>
  </si>
  <si>
    <t>26203</t>
  </si>
  <si>
    <t>綾部市</t>
  </si>
  <si>
    <t>あやべし</t>
  </si>
  <si>
    <t>623-00 623-01 623-02 623-03 623-11 629-12</t>
  </si>
  <si>
    <t>26204</t>
  </si>
  <si>
    <t>宇治市</t>
  </si>
  <si>
    <t>うじし</t>
  </si>
  <si>
    <t>0774</t>
  </si>
  <si>
    <t>601-13 611-00</t>
  </si>
  <si>
    <t>26205</t>
  </si>
  <si>
    <t>宮津市</t>
  </si>
  <si>
    <t>みやづし</t>
  </si>
  <si>
    <t>0772</t>
  </si>
  <si>
    <t>626-00 626-02 629-22</t>
  </si>
  <si>
    <t>26206</t>
  </si>
  <si>
    <t>亀岡市</t>
  </si>
  <si>
    <t>かめおかし</t>
  </si>
  <si>
    <t>0771</t>
  </si>
  <si>
    <t>621-00 621-01 621-02 621-08</t>
  </si>
  <si>
    <t>26207</t>
  </si>
  <si>
    <t>城陽市</t>
  </si>
  <si>
    <t>じょうようし</t>
  </si>
  <si>
    <t>610-01</t>
  </si>
  <si>
    <t>26208</t>
  </si>
  <si>
    <t>向日市</t>
  </si>
  <si>
    <t>むこうし</t>
  </si>
  <si>
    <t>617-00</t>
  </si>
  <si>
    <t>26209</t>
  </si>
  <si>
    <t>長岡京市</t>
  </si>
  <si>
    <t>ながおかきょうし</t>
  </si>
  <si>
    <t>617-00 617-08</t>
  </si>
  <si>
    <t>26210</t>
  </si>
  <si>
    <t>八幡市</t>
  </si>
  <si>
    <t>やわたし</t>
  </si>
  <si>
    <t>613-08 614-00 614-80 614-81 614-82 614-83</t>
  </si>
  <si>
    <t>26211</t>
  </si>
  <si>
    <t>京田辺市</t>
  </si>
  <si>
    <t>きょうたなべし</t>
  </si>
  <si>
    <t>610-03</t>
  </si>
  <si>
    <t>26212</t>
  </si>
  <si>
    <t>京丹後市</t>
  </si>
  <si>
    <t>きょうたんごし</t>
  </si>
  <si>
    <t>627-00 627-01 627-02 629-25 629-31 629-32 629-34 629-35</t>
  </si>
  <si>
    <t>26213</t>
  </si>
  <si>
    <t>南丹市</t>
  </si>
  <si>
    <t>なんたんし</t>
  </si>
  <si>
    <t>601-07 622-00 629-01 629-02 629-03</t>
  </si>
  <si>
    <t>26214</t>
  </si>
  <si>
    <t>木津川市</t>
  </si>
  <si>
    <t>きづがわし</t>
  </si>
  <si>
    <t>619-02 619-11</t>
  </si>
  <si>
    <t>26303</t>
  </si>
  <si>
    <t>乙訓郡大山崎町</t>
  </si>
  <si>
    <t>おとくにぐんおおやまざきちょう</t>
  </si>
  <si>
    <t>618-00</t>
  </si>
  <si>
    <t>26322</t>
  </si>
  <si>
    <t>久世郡久御山町</t>
  </si>
  <si>
    <t>くせぐんくみやまちょう</t>
  </si>
  <si>
    <t>075 0774</t>
  </si>
  <si>
    <t>613-00</t>
  </si>
  <si>
    <t>26343</t>
  </si>
  <si>
    <t>綴喜郡井手町</t>
  </si>
  <si>
    <t>つづきぐんいでちょう</t>
  </si>
  <si>
    <t>26344</t>
  </si>
  <si>
    <t>綴喜郡宇治田原町</t>
  </si>
  <si>
    <t>つづきぐんうじたわらちょう</t>
  </si>
  <si>
    <t>610-02</t>
  </si>
  <si>
    <t>26364</t>
  </si>
  <si>
    <t>相楽郡笠置町</t>
  </si>
  <si>
    <t>そうらくぐんかさぎちょう</t>
  </si>
  <si>
    <t>0743</t>
  </si>
  <si>
    <t>619-13</t>
  </si>
  <si>
    <t>26365</t>
  </si>
  <si>
    <t>相楽郡和束町</t>
  </si>
  <si>
    <t>そうらくぐんわづかちょう</t>
  </si>
  <si>
    <t>619-12</t>
  </si>
  <si>
    <t>26366</t>
  </si>
  <si>
    <t>相楽郡精華町</t>
  </si>
  <si>
    <t>そうらくぐんせいかちょう</t>
  </si>
  <si>
    <t>619-02</t>
  </si>
  <si>
    <t>26367</t>
  </si>
  <si>
    <t>相楽郡南山城村</t>
  </si>
  <si>
    <t>そうらくぐんみなみやましろむら</t>
  </si>
  <si>
    <t>619-14</t>
  </si>
  <si>
    <t>26407</t>
  </si>
  <si>
    <t>船井郡京丹波町</t>
  </si>
  <si>
    <t>ふないぐんきょうたんばちょう</t>
  </si>
  <si>
    <t>622-02 622-03 622-04 629-11</t>
  </si>
  <si>
    <t>26463</t>
  </si>
  <si>
    <t>与謝郡伊根町</t>
  </si>
  <si>
    <t>よさぐんいねちょう</t>
  </si>
  <si>
    <t>626-04</t>
  </si>
  <si>
    <t>26465</t>
  </si>
  <si>
    <t>与謝郡与謝野町</t>
  </si>
  <si>
    <t>よさぐんよさのちょう</t>
  </si>
  <si>
    <t>629-22 629-23 629-24</t>
  </si>
  <si>
    <t>27100</t>
  </si>
  <si>
    <t>大阪市</t>
  </si>
  <si>
    <t>おおさかし</t>
  </si>
  <si>
    <t>27102</t>
  </si>
  <si>
    <t>大阪市都島区</t>
  </si>
  <si>
    <t>おおさかしみやこじまく</t>
  </si>
  <si>
    <t>06</t>
  </si>
  <si>
    <t>534-00</t>
  </si>
  <si>
    <t>27103</t>
  </si>
  <si>
    <t>大阪市福島区</t>
  </si>
  <si>
    <t>おおさかしふくしまく</t>
  </si>
  <si>
    <t>553-00</t>
  </si>
  <si>
    <t>27104</t>
  </si>
  <si>
    <t>大阪市此花区</t>
  </si>
  <si>
    <t>おおさかしこのはなく</t>
  </si>
  <si>
    <t>554-00</t>
  </si>
  <si>
    <t>27106</t>
  </si>
  <si>
    <t>大阪市西区</t>
  </si>
  <si>
    <t>おおさかしにしく</t>
  </si>
  <si>
    <t>550-00</t>
  </si>
  <si>
    <t>27107</t>
  </si>
  <si>
    <t>大阪市港区</t>
  </si>
  <si>
    <t>おおさかしみなとく</t>
  </si>
  <si>
    <t>552-00</t>
  </si>
  <si>
    <t>27108</t>
  </si>
  <si>
    <t>大阪市大正区</t>
  </si>
  <si>
    <t>おおさかしたいしょうく</t>
  </si>
  <si>
    <t>551-00</t>
  </si>
  <si>
    <t>27109</t>
  </si>
  <si>
    <t>大阪市天王寺区</t>
  </si>
  <si>
    <t>おおさかしてんのうじく</t>
  </si>
  <si>
    <t>543-00</t>
  </si>
  <si>
    <t>27111</t>
  </si>
  <si>
    <t>大阪市浪速区</t>
  </si>
  <si>
    <t>おおさかしなにわく</t>
  </si>
  <si>
    <t>556-00</t>
  </si>
  <si>
    <t>27113</t>
  </si>
  <si>
    <t>大阪市西淀川区</t>
  </si>
  <si>
    <t>おおさかしにしよどがわく</t>
  </si>
  <si>
    <t>555-00</t>
  </si>
  <si>
    <t>27114</t>
  </si>
  <si>
    <t>大阪市東淀川区</t>
  </si>
  <si>
    <t>おおさかしひがしよどがわく</t>
  </si>
  <si>
    <t>533-00</t>
  </si>
  <si>
    <t>27115</t>
  </si>
  <si>
    <t>大阪市東成区</t>
  </si>
  <si>
    <t>おおさかしひがしなりく</t>
  </si>
  <si>
    <t>537-00</t>
  </si>
  <si>
    <t>27116</t>
  </si>
  <si>
    <t>大阪市生野区</t>
  </si>
  <si>
    <t>おおさかしいくのく</t>
  </si>
  <si>
    <t>544-00</t>
  </si>
  <si>
    <t>27117</t>
  </si>
  <si>
    <t>大阪市旭区</t>
  </si>
  <si>
    <t>おおさかしあさひく</t>
  </si>
  <si>
    <t>535-00</t>
  </si>
  <si>
    <t>27118</t>
  </si>
  <si>
    <t>大阪市城東区</t>
  </si>
  <si>
    <t>おおさかしじょうとうく</t>
  </si>
  <si>
    <t>536-00</t>
  </si>
  <si>
    <t>27119</t>
  </si>
  <si>
    <t>大阪市阿倍野区</t>
  </si>
  <si>
    <t>おおさかしあべのく</t>
  </si>
  <si>
    <t>545-00</t>
  </si>
  <si>
    <t>27120</t>
  </si>
  <si>
    <t>大阪市住吉区</t>
  </si>
  <si>
    <t>おおさかしすみよしく</t>
  </si>
  <si>
    <t>558-00</t>
  </si>
  <si>
    <t>27121</t>
  </si>
  <si>
    <t>大阪市東住吉区</t>
  </si>
  <si>
    <t>おおさかしひがしすみよしく</t>
  </si>
  <si>
    <t>06 072</t>
  </si>
  <si>
    <t>546-00</t>
  </si>
  <si>
    <t>27122</t>
  </si>
  <si>
    <t>大阪市西成区</t>
  </si>
  <si>
    <t>おおさかしにしなりく</t>
  </si>
  <si>
    <t>557-00</t>
  </si>
  <si>
    <t>27123</t>
  </si>
  <si>
    <t>大阪市淀川区</t>
  </si>
  <si>
    <t>おおさかしよどがわく</t>
  </si>
  <si>
    <t>532-00</t>
  </si>
  <si>
    <t>27124</t>
  </si>
  <si>
    <t>大阪市鶴見区</t>
  </si>
  <si>
    <t>おおさかしつるみく</t>
  </si>
  <si>
    <t>538-00</t>
  </si>
  <si>
    <t>27125</t>
  </si>
  <si>
    <t>大阪市住之江区</t>
  </si>
  <si>
    <t>おおさかしすみのえく</t>
  </si>
  <si>
    <t>559-00</t>
  </si>
  <si>
    <t>27126</t>
  </si>
  <si>
    <t>大阪市平野区</t>
  </si>
  <si>
    <t>おおさかしひらのく</t>
  </si>
  <si>
    <t>547-00</t>
  </si>
  <si>
    <t>27127</t>
  </si>
  <si>
    <t>大阪市北区</t>
  </si>
  <si>
    <t>おおさかしきたく</t>
  </si>
  <si>
    <t>530-00 530-60 531-00 531-60 531-61</t>
  </si>
  <si>
    <t>27128</t>
  </si>
  <si>
    <t>大阪市中央区</t>
  </si>
  <si>
    <t>おおさかしちゅうおうく</t>
  </si>
  <si>
    <t>539-00 540-00 540-60 540-61 540-62 540-63 541-00 542-00</t>
  </si>
  <si>
    <t>27140</t>
  </si>
  <si>
    <t>堺市</t>
  </si>
  <si>
    <t>27141</t>
  </si>
  <si>
    <t>堺市堺区</t>
  </si>
  <si>
    <t>さかいしさかいく</t>
  </si>
  <si>
    <t>072</t>
  </si>
  <si>
    <t>590-00 590-08 590-09</t>
  </si>
  <si>
    <t>27142</t>
  </si>
  <si>
    <t>堺市中区</t>
  </si>
  <si>
    <t>さかいしなかく</t>
  </si>
  <si>
    <t>590-01 599-00 599-82</t>
  </si>
  <si>
    <t>27143</t>
  </si>
  <si>
    <t>堺市東区</t>
  </si>
  <si>
    <t>さかいしひがしく</t>
  </si>
  <si>
    <t>599-00 599-81</t>
  </si>
  <si>
    <t>27144</t>
  </si>
  <si>
    <t>堺市西区</t>
  </si>
  <si>
    <t>さかいしにしく</t>
  </si>
  <si>
    <t>592-83 593-00 593-83</t>
  </si>
  <si>
    <t>27145</t>
  </si>
  <si>
    <t>堺市南区</t>
  </si>
  <si>
    <t>さかいしみなみく</t>
  </si>
  <si>
    <t>590-01</t>
  </si>
  <si>
    <t>27146</t>
  </si>
  <si>
    <t>堺市北区</t>
  </si>
  <si>
    <t>さかいしきたく</t>
  </si>
  <si>
    <t>591-00 591-80</t>
  </si>
  <si>
    <t>27147</t>
  </si>
  <si>
    <t>堺市美原区</t>
  </si>
  <si>
    <t>さかいしみはらく</t>
  </si>
  <si>
    <t>587-00</t>
  </si>
  <si>
    <t>27202</t>
  </si>
  <si>
    <t>岸和田市</t>
  </si>
  <si>
    <t>きしわだし</t>
  </si>
  <si>
    <t>596-00 596-01 596-08</t>
  </si>
  <si>
    <t>27203</t>
  </si>
  <si>
    <t>豊中市</t>
  </si>
  <si>
    <t>とよなかし</t>
  </si>
  <si>
    <t>560-00 561-08</t>
  </si>
  <si>
    <t>27204</t>
  </si>
  <si>
    <t>池田市</t>
  </si>
  <si>
    <t>いけだし</t>
  </si>
  <si>
    <t>072 06</t>
  </si>
  <si>
    <t>563-00</t>
  </si>
  <si>
    <t>27205</t>
  </si>
  <si>
    <t>吹田市</t>
  </si>
  <si>
    <t>すいたし</t>
  </si>
  <si>
    <t>564-00 565-08</t>
  </si>
  <si>
    <t>27206</t>
  </si>
  <si>
    <t>泉大津市</t>
  </si>
  <si>
    <t>いずみおおつし</t>
  </si>
  <si>
    <t>0725</t>
  </si>
  <si>
    <t>595-00</t>
  </si>
  <si>
    <t>27207</t>
  </si>
  <si>
    <t>高槻市</t>
  </si>
  <si>
    <t>たかつきし</t>
  </si>
  <si>
    <t>569-00 569-08 569-10 569-11</t>
  </si>
  <si>
    <t>27208</t>
  </si>
  <si>
    <t>貝塚市</t>
  </si>
  <si>
    <t>かいづかし</t>
  </si>
  <si>
    <t>590-04 596-09 597-00 597-01</t>
  </si>
  <si>
    <t>27209</t>
  </si>
  <si>
    <t>守口市</t>
  </si>
  <si>
    <t>もりぐちし</t>
  </si>
  <si>
    <t>570-00</t>
  </si>
  <si>
    <t>27210</t>
  </si>
  <si>
    <t>枚方市</t>
  </si>
  <si>
    <t>ひらかたし</t>
  </si>
  <si>
    <t>573-00 573-01 573-11</t>
  </si>
  <si>
    <t>27211</t>
  </si>
  <si>
    <t>茨木市</t>
  </si>
  <si>
    <t>いばらきし</t>
  </si>
  <si>
    <t>567-00 567-08 568-00</t>
  </si>
  <si>
    <t>27212</t>
  </si>
  <si>
    <t>八尾市</t>
  </si>
  <si>
    <t>やおし</t>
  </si>
  <si>
    <t>581-00 581-08</t>
  </si>
  <si>
    <t>27213</t>
  </si>
  <si>
    <t>泉佐野市</t>
  </si>
  <si>
    <t>いずみさのし</t>
  </si>
  <si>
    <t>549-00 598-00</t>
  </si>
  <si>
    <t>27214</t>
  </si>
  <si>
    <t>富田林市</t>
  </si>
  <si>
    <t>とんだばやしし</t>
  </si>
  <si>
    <t>0721 072</t>
  </si>
  <si>
    <t>584-00</t>
  </si>
  <si>
    <t>27215</t>
  </si>
  <si>
    <t>寝屋川市</t>
  </si>
  <si>
    <t>ねやがわし</t>
  </si>
  <si>
    <t>572-00 572-08</t>
  </si>
  <si>
    <t>27216</t>
  </si>
  <si>
    <t>河内長野市</t>
  </si>
  <si>
    <t>かわちながのし</t>
  </si>
  <si>
    <t>0721</t>
  </si>
  <si>
    <t>586-00</t>
  </si>
  <si>
    <t>27217</t>
  </si>
  <si>
    <t>松原市</t>
  </si>
  <si>
    <t>まつばらし</t>
  </si>
  <si>
    <t>580-00</t>
  </si>
  <si>
    <t>27218</t>
  </si>
  <si>
    <t>大東市</t>
  </si>
  <si>
    <t>だいとうし</t>
  </si>
  <si>
    <t>574-00</t>
  </si>
  <si>
    <t>27219</t>
  </si>
  <si>
    <t>和泉市</t>
  </si>
  <si>
    <t>いずみし</t>
  </si>
  <si>
    <t>594-00 594-11</t>
  </si>
  <si>
    <t>27220</t>
  </si>
  <si>
    <t>箕面市</t>
  </si>
  <si>
    <t>みのおし</t>
  </si>
  <si>
    <t>562-00 563-02</t>
  </si>
  <si>
    <t>27221</t>
  </si>
  <si>
    <t>柏原市</t>
  </si>
  <si>
    <t>かしわらし</t>
  </si>
  <si>
    <t>582-00</t>
  </si>
  <si>
    <t>27222</t>
  </si>
  <si>
    <t>羽曳野市</t>
  </si>
  <si>
    <t>はびきのし</t>
  </si>
  <si>
    <t>583-00 583-08</t>
  </si>
  <si>
    <t>27223</t>
  </si>
  <si>
    <t>門真市</t>
  </si>
  <si>
    <t>かどまし</t>
  </si>
  <si>
    <t>571-00</t>
  </si>
  <si>
    <t>27224</t>
  </si>
  <si>
    <t>摂津市</t>
  </si>
  <si>
    <t>せっつし</t>
  </si>
  <si>
    <t>566-00</t>
  </si>
  <si>
    <t>27225</t>
  </si>
  <si>
    <t>高石市</t>
  </si>
  <si>
    <t>たかいしし</t>
  </si>
  <si>
    <t>592-00 595-00</t>
  </si>
  <si>
    <t>27226</t>
  </si>
  <si>
    <t>藤井寺市</t>
  </si>
  <si>
    <t>ふじいでらし</t>
  </si>
  <si>
    <t>583-00</t>
  </si>
  <si>
    <t>27227</t>
  </si>
  <si>
    <t>東大阪市</t>
  </si>
  <si>
    <t>ひがしおおさかし</t>
  </si>
  <si>
    <t>577-00 577-08 578-09 579-80 630-02</t>
  </si>
  <si>
    <t>27228</t>
  </si>
  <si>
    <t>泉南市</t>
  </si>
  <si>
    <t>せんなんし</t>
  </si>
  <si>
    <t>549-00 590-05</t>
  </si>
  <si>
    <t>27229</t>
  </si>
  <si>
    <t>四條畷市</t>
  </si>
  <si>
    <t>しじょうなわてし</t>
  </si>
  <si>
    <t>072 0743</t>
  </si>
  <si>
    <t>575-00</t>
  </si>
  <si>
    <t>27230</t>
  </si>
  <si>
    <t>交野市</t>
  </si>
  <si>
    <t>かたのし</t>
  </si>
  <si>
    <t>576-00</t>
  </si>
  <si>
    <t>27231</t>
  </si>
  <si>
    <t>大阪狭山市</t>
  </si>
  <si>
    <t>おおさかさやまし</t>
  </si>
  <si>
    <t>589-00</t>
  </si>
  <si>
    <t>27232</t>
  </si>
  <si>
    <t>阪南市</t>
  </si>
  <si>
    <t>はんなんし</t>
  </si>
  <si>
    <t>599-02</t>
  </si>
  <si>
    <t>27301</t>
  </si>
  <si>
    <t>三島郡島本町</t>
  </si>
  <si>
    <t>みしまぐんしまもとちょう</t>
  </si>
  <si>
    <t>27321</t>
  </si>
  <si>
    <t>豊能郡豊能町</t>
  </si>
  <si>
    <t>とよのぐんとよのちょう</t>
  </si>
  <si>
    <t>563-01 563-02</t>
  </si>
  <si>
    <t>27322</t>
  </si>
  <si>
    <t>豊能郡能勢町</t>
  </si>
  <si>
    <t>とよのぐんのせちょう</t>
  </si>
  <si>
    <t>563-01 563-03</t>
  </si>
  <si>
    <t>27341</t>
  </si>
  <si>
    <t>泉北郡忠岡町</t>
  </si>
  <si>
    <t>せんぼくぐんただおかちょう</t>
  </si>
  <si>
    <t>0725 072</t>
  </si>
  <si>
    <t>595-00 595-08</t>
  </si>
  <si>
    <t>27361</t>
  </si>
  <si>
    <t>泉南郡熊取町</t>
  </si>
  <si>
    <t>せんなんぐんくまとりちょう</t>
  </si>
  <si>
    <t>590-04</t>
  </si>
  <si>
    <t>27362</t>
  </si>
  <si>
    <t>泉南郡田尻町</t>
  </si>
  <si>
    <t>せんなんぐんたじりちょう</t>
  </si>
  <si>
    <t>27366</t>
  </si>
  <si>
    <t>泉南郡岬町</t>
  </si>
  <si>
    <t>せんなんぐんみさきちょう</t>
  </si>
  <si>
    <t>599-03</t>
  </si>
  <si>
    <t>27381</t>
  </si>
  <si>
    <t>南河内郡太子町</t>
  </si>
  <si>
    <t>みなみかわちぐんたいしちょう</t>
  </si>
  <si>
    <t>583-00 583-09</t>
  </si>
  <si>
    <t>27382</t>
  </si>
  <si>
    <t>南河内郡河南町</t>
  </si>
  <si>
    <t>みなみかわちぐんかなんちょう</t>
  </si>
  <si>
    <t>585-00</t>
  </si>
  <si>
    <t>27383</t>
  </si>
  <si>
    <t>南河内郡千早赤阪村</t>
  </si>
  <si>
    <t>みなみかわちぐんちはやあかさかむら</t>
  </si>
  <si>
    <t>28100</t>
  </si>
  <si>
    <t>神戸市</t>
  </si>
  <si>
    <t>こうべし</t>
  </si>
  <si>
    <t>28101</t>
  </si>
  <si>
    <t>神戸市東灘区</t>
  </si>
  <si>
    <t>こうべしひがしなだく</t>
  </si>
  <si>
    <t>078</t>
  </si>
  <si>
    <t>657-01 658-00</t>
  </si>
  <si>
    <t>28102</t>
  </si>
  <si>
    <t>神戸市灘区</t>
  </si>
  <si>
    <t>こうべしなだく</t>
  </si>
  <si>
    <t>657-00 657-01 657-08</t>
  </si>
  <si>
    <t>28105</t>
  </si>
  <si>
    <t>神戸市兵庫区</t>
  </si>
  <si>
    <t>こうべしひょうごく</t>
  </si>
  <si>
    <t>652-00 652-08</t>
  </si>
  <si>
    <t>28106</t>
  </si>
  <si>
    <t>神戸市長田区</t>
  </si>
  <si>
    <t>こうべしながたく</t>
  </si>
  <si>
    <t>653-00 653-08</t>
  </si>
  <si>
    <t>28107</t>
  </si>
  <si>
    <t>神戸市須磨区</t>
  </si>
  <si>
    <t>こうべしすまく</t>
  </si>
  <si>
    <t>654-00 654-01</t>
  </si>
  <si>
    <t>28108</t>
  </si>
  <si>
    <t>神戸市垂水区</t>
  </si>
  <si>
    <t>こうべしたるみく</t>
  </si>
  <si>
    <t>655-00 655-08</t>
  </si>
  <si>
    <t>28109</t>
  </si>
  <si>
    <t>神戸市北区</t>
  </si>
  <si>
    <t>こうべしきたく</t>
  </si>
  <si>
    <t>651-11 651-12 651-13 651-14 651-15 651-16 652-00 669-11</t>
  </si>
  <si>
    <t>28110</t>
  </si>
  <si>
    <t>神戸市中央区</t>
  </si>
  <si>
    <t>こうべしちゅうおうく</t>
  </si>
  <si>
    <t>650-00 651-00</t>
  </si>
  <si>
    <t>28111</t>
  </si>
  <si>
    <t>神戸市西区</t>
  </si>
  <si>
    <t>こうべしにしく</t>
  </si>
  <si>
    <t>650-00 651-21 651-22 651-23 651-24</t>
  </si>
  <si>
    <t>28201</t>
  </si>
  <si>
    <t>姫路市</t>
  </si>
  <si>
    <t>ひめじし</t>
  </si>
  <si>
    <t>079 0790</t>
  </si>
  <si>
    <t>670-00 670-08 670-09 671-01 671-02 671-11 671-12 671-21 671-22 671-24 672-01 672-80 679-21 679-42</t>
  </si>
  <si>
    <t>28202</t>
  </si>
  <si>
    <t>尼崎市</t>
  </si>
  <si>
    <t>あまがさきし</t>
  </si>
  <si>
    <t>660-00 660-08 661-00 661-09</t>
  </si>
  <si>
    <t>28203</t>
  </si>
  <si>
    <t>明石市</t>
  </si>
  <si>
    <t>あかしし</t>
  </si>
  <si>
    <t>673-00 673-08 674-00</t>
  </si>
  <si>
    <t>28204</t>
  </si>
  <si>
    <t>西宮市</t>
  </si>
  <si>
    <t>にしのみやし</t>
  </si>
  <si>
    <t>0798 078 0797</t>
  </si>
  <si>
    <t>651-14 662-00 662-08 662-09 663-80 663-81 663-82 669-11 669-12</t>
  </si>
  <si>
    <t>28205</t>
  </si>
  <si>
    <t>洲本市</t>
  </si>
  <si>
    <t>すもとし</t>
  </si>
  <si>
    <t>0799</t>
  </si>
  <si>
    <t>656-00 656-01 656-13 656-21 656-25</t>
  </si>
  <si>
    <t>28206</t>
  </si>
  <si>
    <t>芦屋市</t>
  </si>
  <si>
    <t>あしやし</t>
  </si>
  <si>
    <t>0797</t>
  </si>
  <si>
    <t>659-00</t>
  </si>
  <si>
    <t>28207</t>
  </si>
  <si>
    <t>伊丹市</t>
  </si>
  <si>
    <t>いたみし</t>
  </si>
  <si>
    <t>563-08 664-00 664-08</t>
  </si>
  <si>
    <t>28208</t>
  </si>
  <si>
    <t>相生市</t>
  </si>
  <si>
    <t>あいおいし</t>
  </si>
  <si>
    <t>0791</t>
  </si>
  <si>
    <t>678-00 678-01</t>
  </si>
  <si>
    <t>28209</t>
  </si>
  <si>
    <t>豊岡市</t>
  </si>
  <si>
    <t>とよおかし</t>
  </si>
  <si>
    <t>0796</t>
  </si>
  <si>
    <t>668-00 668-02 668-03 668-08 669-53 669-61 669-62 669-63</t>
  </si>
  <si>
    <t>28210</t>
  </si>
  <si>
    <t>加古川市</t>
  </si>
  <si>
    <t>かこがわし</t>
  </si>
  <si>
    <t>079 078</t>
  </si>
  <si>
    <t>675-00 675-01 675-03 675-12</t>
  </si>
  <si>
    <t>28212</t>
  </si>
  <si>
    <t>赤穂市</t>
  </si>
  <si>
    <t>あこうし</t>
  </si>
  <si>
    <t>678-01 678-02 678-11</t>
  </si>
  <si>
    <t>28213</t>
  </si>
  <si>
    <t>西脇市</t>
  </si>
  <si>
    <t>にしわきし</t>
  </si>
  <si>
    <t>0795</t>
  </si>
  <si>
    <t>677-00 679-03</t>
  </si>
  <si>
    <t>28214</t>
  </si>
  <si>
    <t>宝塚市</t>
  </si>
  <si>
    <t>たからづかし</t>
  </si>
  <si>
    <t>0797 072 0798</t>
  </si>
  <si>
    <t>665-00 665-08 666-01 669-12</t>
  </si>
  <si>
    <t>28215</t>
  </si>
  <si>
    <t>三木市</t>
  </si>
  <si>
    <t>みきし</t>
  </si>
  <si>
    <t>0794</t>
  </si>
  <si>
    <t>673-04 673-05 673-07 673-11 673-12</t>
  </si>
  <si>
    <t>28216</t>
  </si>
  <si>
    <t>高砂市</t>
  </si>
  <si>
    <t>たかさごし</t>
  </si>
  <si>
    <t>079</t>
  </si>
  <si>
    <t>671-01 676-00 676-08</t>
  </si>
  <si>
    <t>28217</t>
  </si>
  <si>
    <t>川西市</t>
  </si>
  <si>
    <t>かわにしし</t>
  </si>
  <si>
    <t>665-08 666-00 666-01</t>
  </si>
  <si>
    <t>28218</t>
  </si>
  <si>
    <t>小野市</t>
  </si>
  <si>
    <t>おのし</t>
  </si>
  <si>
    <t>675-13</t>
  </si>
  <si>
    <t>28219</t>
  </si>
  <si>
    <t>三田市</t>
  </si>
  <si>
    <t>さんだし</t>
  </si>
  <si>
    <t>669-13 669-14 669-15</t>
  </si>
  <si>
    <t>28220</t>
  </si>
  <si>
    <t>加西市</t>
  </si>
  <si>
    <t>かさいし</t>
  </si>
  <si>
    <t>0790</t>
  </si>
  <si>
    <t>675-00 675-21 675-22 675-23 675-24 679-01</t>
  </si>
  <si>
    <t>28221</t>
  </si>
  <si>
    <t>篠山市</t>
  </si>
  <si>
    <t>ささやまし</t>
  </si>
  <si>
    <t>669-21 669-22 669-23 669-24 669-25 669-26 669-27 669-28</t>
  </si>
  <si>
    <t>28222</t>
  </si>
  <si>
    <t>養父市</t>
  </si>
  <si>
    <t>やぶし</t>
  </si>
  <si>
    <t>667-00 667-01 667-03 667-04 667-11</t>
  </si>
  <si>
    <t>28223</t>
  </si>
  <si>
    <t>丹波市</t>
  </si>
  <si>
    <t>たんばし</t>
  </si>
  <si>
    <t>669-31 669-33 669-34 669-35 669-36 669-38 669-41 669-42 669-43</t>
  </si>
  <si>
    <t>28224</t>
  </si>
  <si>
    <t>南あわじ市</t>
  </si>
  <si>
    <t>みなみあわじし</t>
  </si>
  <si>
    <t>656-01 656-03 656-04 656-05 656-06 656-09</t>
  </si>
  <si>
    <t>28225</t>
  </si>
  <si>
    <t>朝来市</t>
  </si>
  <si>
    <t>あさごし</t>
  </si>
  <si>
    <t>669-51 669-52 679-33 679-34</t>
  </si>
  <si>
    <t>28226</t>
  </si>
  <si>
    <t>淡路市</t>
  </si>
  <si>
    <t>あわじし</t>
  </si>
  <si>
    <t>656-15 656-16 656-17 656-21 656-22 656-23 656-24</t>
  </si>
  <si>
    <t>28227</t>
  </si>
  <si>
    <t>宍粟市</t>
  </si>
  <si>
    <t>しそうし</t>
  </si>
  <si>
    <t>671-25 671-32 671-41 671-42</t>
  </si>
  <si>
    <t>28228</t>
  </si>
  <si>
    <t>加東市</t>
  </si>
  <si>
    <t>かとうし</t>
  </si>
  <si>
    <t>673-13 673-14 679-02</t>
  </si>
  <si>
    <t>28229</t>
  </si>
  <si>
    <t>たつの市</t>
  </si>
  <si>
    <t>たつのし</t>
  </si>
  <si>
    <t>0791 079</t>
  </si>
  <si>
    <t>671-13 671-16 679-40 679-41 679-43 679-51</t>
  </si>
  <si>
    <t>28301</t>
  </si>
  <si>
    <t>川辺郡猪名川町</t>
  </si>
  <si>
    <t>かわべぐんいながわちょう</t>
  </si>
  <si>
    <t>666-02</t>
  </si>
  <si>
    <t>28365</t>
  </si>
  <si>
    <t>多可郡多可町</t>
  </si>
  <si>
    <t>たかぐんたかちょう</t>
  </si>
  <si>
    <t>677-01 679-11 679-12 679-13</t>
  </si>
  <si>
    <t>28381</t>
  </si>
  <si>
    <t>加古郡稲美町</t>
  </si>
  <si>
    <t>かこぐんいなみちょう</t>
  </si>
  <si>
    <t>675-11</t>
  </si>
  <si>
    <t>28382</t>
  </si>
  <si>
    <t>加古郡播磨町</t>
  </si>
  <si>
    <t>かこぐんはりまちょう</t>
  </si>
  <si>
    <t>675-01</t>
  </si>
  <si>
    <t>28442</t>
  </si>
  <si>
    <t>神崎郡市川町</t>
  </si>
  <si>
    <t>かんざきぐんいちかわちょう</t>
  </si>
  <si>
    <t>679-23</t>
  </si>
  <si>
    <t>28443</t>
  </si>
  <si>
    <t>神崎郡福崎町</t>
  </si>
  <si>
    <t>かんざきぐんふくさきちょう</t>
  </si>
  <si>
    <t>679-22</t>
  </si>
  <si>
    <t>28446</t>
  </si>
  <si>
    <t>神崎郡神河町</t>
  </si>
  <si>
    <t>かんざきぐんかみかわちょう</t>
  </si>
  <si>
    <t>679-24 679-31</t>
  </si>
  <si>
    <t>28464</t>
  </si>
  <si>
    <t>揖保郡太子町</t>
  </si>
  <si>
    <t>いぼぐんたいしちょう</t>
  </si>
  <si>
    <t>671-15</t>
  </si>
  <si>
    <t>28481</t>
  </si>
  <si>
    <t>赤穂郡上郡町</t>
  </si>
  <si>
    <t>あこうぐんかみごおりちょう</t>
  </si>
  <si>
    <t>678-12</t>
  </si>
  <si>
    <t>28501</t>
  </si>
  <si>
    <t>佐用郡佐用町</t>
  </si>
  <si>
    <t>さようぐんさようちょう</t>
  </si>
  <si>
    <t>679-51 679-52 679-53 679-55 679-56</t>
  </si>
  <si>
    <t>28585</t>
  </si>
  <si>
    <t>美方郡香美町</t>
  </si>
  <si>
    <t>みかたぐんかみちょう</t>
  </si>
  <si>
    <t>667-13 667-15 669-64 669-65 669-66</t>
  </si>
  <si>
    <t>28586</t>
  </si>
  <si>
    <t>美方郡新温泉町</t>
  </si>
  <si>
    <t>みかたぐんしんおんせんちょう</t>
  </si>
  <si>
    <t>669-67 669-68 669-69</t>
  </si>
  <si>
    <t>29201</t>
  </si>
  <si>
    <t>奈良市</t>
  </si>
  <si>
    <t>ならし</t>
  </si>
  <si>
    <t>0742 0743</t>
  </si>
  <si>
    <t>630-00 630-11 630-12 630-21 630-23 630-80 630-81 630-82 630-83 630-84 631-00 631-08 632-01 632-02</t>
  </si>
  <si>
    <t>29202</t>
  </si>
  <si>
    <t>大和高田市</t>
  </si>
  <si>
    <t>やまとたかだし</t>
  </si>
  <si>
    <t>0745</t>
  </si>
  <si>
    <t>635-00</t>
  </si>
  <si>
    <t>29203</t>
  </si>
  <si>
    <t>大和郡山市</t>
  </si>
  <si>
    <t>やまとこおりやまし</t>
  </si>
  <si>
    <t>639-10 639-11</t>
  </si>
  <si>
    <t>29204</t>
  </si>
  <si>
    <t>天理市</t>
  </si>
  <si>
    <t>てんりし</t>
  </si>
  <si>
    <t>632-00 632-01</t>
  </si>
  <si>
    <t>29205</t>
  </si>
  <si>
    <t>橿原市</t>
  </si>
  <si>
    <t>かしはらし</t>
  </si>
  <si>
    <t>0744</t>
  </si>
  <si>
    <t>634-00 634-08</t>
  </si>
  <si>
    <t>29206</t>
  </si>
  <si>
    <t>桜井市</t>
  </si>
  <si>
    <t>さくらいし</t>
  </si>
  <si>
    <t>633-00 633-01</t>
  </si>
  <si>
    <t>29207</t>
  </si>
  <si>
    <t>五條市</t>
  </si>
  <si>
    <t>ごじょうし</t>
  </si>
  <si>
    <t>0747</t>
  </si>
  <si>
    <t>637-00 637-01 637-02 637-04 638-06</t>
  </si>
  <si>
    <t>29208</t>
  </si>
  <si>
    <t>御所市</t>
  </si>
  <si>
    <t>ごせし</t>
  </si>
  <si>
    <t>639-22 639-23</t>
  </si>
  <si>
    <t>29209</t>
  </si>
  <si>
    <t>生駒市</t>
  </si>
  <si>
    <t>いこまし</t>
  </si>
  <si>
    <t>630-01 630-02</t>
  </si>
  <si>
    <t>29210</t>
  </si>
  <si>
    <t>香芝市</t>
  </si>
  <si>
    <t>かしばし</t>
  </si>
  <si>
    <t>639-02</t>
  </si>
  <si>
    <t>29211</t>
  </si>
  <si>
    <t>葛城市</t>
  </si>
  <si>
    <t>かつらぎし</t>
  </si>
  <si>
    <t>639-02 639-21</t>
  </si>
  <si>
    <t>29212</t>
  </si>
  <si>
    <t>宇陀市</t>
  </si>
  <si>
    <t>うだし</t>
  </si>
  <si>
    <t>0745 0743</t>
  </si>
  <si>
    <t>632-02 633-02 633-03 633-04 633-21 633-22</t>
  </si>
  <si>
    <t>29322</t>
  </si>
  <si>
    <t>山辺郡山添村</t>
  </si>
  <si>
    <t>やまべぐんやまぞえむら</t>
  </si>
  <si>
    <t>630-00 630-22 630-23</t>
  </si>
  <si>
    <t>29342</t>
  </si>
  <si>
    <t>生駒郡平群町</t>
  </si>
  <si>
    <t>いこまぐんへぐりちょう</t>
  </si>
  <si>
    <t>636-00 636-09</t>
  </si>
  <si>
    <t>29343</t>
  </si>
  <si>
    <t>生駒郡三郷町</t>
  </si>
  <si>
    <t>いこまぐんさんごうちょう</t>
  </si>
  <si>
    <t>636-00 636-08</t>
  </si>
  <si>
    <t>29344</t>
  </si>
  <si>
    <t>生駒郡斑鳩町</t>
  </si>
  <si>
    <t>いこまぐんいかるがちょう</t>
  </si>
  <si>
    <t>636-01</t>
  </si>
  <si>
    <t>29345</t>
  </si>
  <si>
    <t>生駒郡安堵町</t>
  </si>
  <si>
    <t>いこまぐんあんどちょう</t>
  </si>
  <si>
    <t>29361</t>
  </si>
  <si>
    <t>磯城郡川西町</t>
  </si>
  <si>
    <t>しきぐんかわにしちょう</t>
  </si>
  <si>
    <t>636-02 636-03</t>
  </si>
  <si>
    <t>29362</t>
  </si>
  <si>
    <t>磯城郡三宅町</t>
  </si>
  <si>
    <t>しきぐんみやけちょう</t>
  </si>
  <si>
    <t>29363</t>
  </si>
  <si>
    <t>磯城郡田原本町</t>
  </si>
  <si>
    <t>しきぐんたわらもとちょう</t>
  </si>
  <si>
    <t>29385</t>
  </si>
  <si>
    <t>宇陀郡曽爾村</t>
  </si>
  <si>
    <t>うだぐんそにむら</t>
  </si>
  <si>
    <t>633-12</t>
  </si>
  <si>
    <t>29386</t>
  </si>
  <si>
    <t>宇陀郡御杖村</t>
  </si>
  <si>
    <t>うだぐんみつえむら</t>
  </si>
  <si>
    <t>633-13</t>
  </si>
  <si>
    <t>29401</t>
  </si>
  <si>
    <t>高市郡高取町</t>
  </si>
  <si>
    <t>たかいちぐんたかとりちょう</t>
  </si>
  <si>
    <t>0744 0745</t>
  </si>
  <si>
    <t>635-01</t>
  </si>
  <si>
    <t>29402</t>
  </si>
  <si>
    <t>高市郡明日香村</t>
  </si>
  <si>
    <t>たかいちぐんあすかむら</t>
  </si>
  <si>
    <t>634-01</t>
  </si>
  <si>
    <t>29424</t>
  </si>
  <si>
    <t>北葛城郡上牧町</t>
  </si>
  <si>
    <t>きたかつらぎぐんかんまきちょう</t>
  </si>
  <si>
    <t>29425</t>
  </si>
  <si>
    <t>北葛城郡王寺町</t>
  </si>
  <si>
    <t>きたかつらぎぐんおうじちょう</t>
  </si>
  <si>
    <t>636-00</t>
  </si>
  <si>
    <t>29426</t>
  </si>
  <si>
    <t>北葛城郡広陵町</t>
  </si>
  <si>
    <t>きたかつらぎぐんこうりょうちょう</t>
  </si>
  <si>
    <t>635-00 635-08</t>
  </si>
  <si>
    <t>29427</t>
  </si>
  <si>
    <t>北葛城郡河合町</t>
  </si>
  <si>
    <t>きたかつらぎぐんかわいちょう</t>
  </si>
  <si>
    <t>29441</t>
  </si>
  <si>
    <t>吉野郡吉野町</t>
  </si>
  <si>
    <t>よしのぐんよしのちょう</t>
  </si>
  <si>
    <t>0746</t>
  </si>
  <si>
    <t>639-31 639-33 639-34</t>
  </si>
  <si>
    <t>29442</t>
  </si>
  <si>
    <t>吉野郡大淀町</t>
  </si>
  <si>
    <t>よしのぐんおおよどちょう</t>
  </si>
  <si>
    <t>0747 0745 0746</t>
  </si>
  <si>
    <t>638-00 638-08 639-31</t>
  </si>
  <si>
    <t>29443</t>
  </si>
  <si>
    <t>吉野郡下市町</t>
  </si>
  <si>
    <t>よしのぐんしもいちちょう</t>
  </si>
  <si>
    <t>638-00</t>
  </si>
  <si>
    <t>29444</t>
  </si>
  <si>
    <t>吉野郡黒滝村</t>
  </si>
  <si>
    <t>よしのぐんくろたきむら</t>
  </si>
  <si>
    <t>638-02</t>
  </si>
  <si>
    <t>29446</t>
  </si>
  <si>
    <t>吉野郡天川村</t>
  </si>
  <si>
    <t>よしのぐんてんかわむら</t>
  </si>
  <si>
    <t>638-03 638-04 638-05</t>
  </si>
  <si>
    <t>29447</t>
  </si>
  <si>
    <t>吉野郡野迫川村</t>
  </si>
  <si>
    <t>よしのぐんのせがわむら</t>
  </si>
  <si>
    <t>637-04 648-03</t>
  </si>
  <si>
    <t>29449</t>
  </si>
  <si>
    <t>吉野郡十津川村</t>
  </si>
  <si>
    <t>よしのぐんとつかわむら</t>
  </si>
  <si>
    <t>637-11 637-12 637-13 637-14 637-15 637-16 647-12 647-15</t>
  </si>
  <si>
    <t>29450</t>
  </si>
  <si>
    <t>吉野郡下北山村</t>
  </si>
  <si>
    <t>よしのぐんしもきたやまむら</t>
  </si>
  <si>
    <t>07468</t>
  </si>
  <si>
    <t>639-38</t>
  </si>
  <si>
    <t>29451</t>
  </si>
  <si>
    <t>吉野郡上北山村</t>
  </si>
  <si>
    <t>よしのぐんかみきたやまむら</t>
  </si>
  <si>
    <t>639-37</t>
  </si>
  <si>
    <t>29452</t>
  </si>
  <si>
    <t>吉野郡川上村</t>
  </si>
  <si>
    <t>よしのぐんかわかみむら</t>
  </si>
  <si>
    <t>639-35 639-36</t>
  </si>
  <si>
    <t>29453</t>
  </si>
  <si>
    <t>吉野郡東吉野村</t>
  </si>
  <si>
    <t>よしのぐんひがしよしのむら</t>
  </si>
  <si>
    <t>633-23 633-24</t>
  </si>
  <si>
    <t>30201</t>
  </si>
  <si>
    <t>和歌山市</t>
  </si>
  <si>
    <t>わかやまし</t>
  </si>
  <si>
    <t>073</t>
  </si>
  <si>
    <t>640-00 640-01 640-03 640-80 640-81 640-82 640-83 640-84 641-00 649-62 649-63</t>
  </si>
  <si>
    <t>30202</t>
  </si>
  <si>
    <t>海南市</t>
  </si>
  <si>
    <t>かいなんし</t>
  </si>
  <si>
    <t>640-04 640-11 642-00 649-01</t>
  </si>
  <si>
    <t>30203</t>
  </si>
  <si>
    <t>橋本市</t>
  </si>
  <si>
    <t>はしもとし</t>
  </si>
  <si>
    <t>0736</t>
  </si>
  <si>
    <t>648-00 649-72</t>
  </si>
  <si>
    <t>30204</t>
  </si>
  <si>
    <t>有田市</t>
  </si>
  <si>
    <t>ありだし</t>
  </si>
  <si>
    <t>0737</t>
  </si>
  <si>
    <t>649-03 649-04</t>
  </si>
  <si>
    <t>30205</t>
  </si>
  <si>
    <t>御坊市</t>
  </si>
  <si>
    <t>ごぼうし</t>
  </si>
  <si>
    <t>0738</t>
  </si>
  <si>
    <t>644-00 649-13</t>
  </si>
  <si>
    <t>30206</t>
  </si>
  <si>
    <t>田辺市</t>
  </si>
  <si>
    <t>たなべし</t>
  </si>
  <si>
    <t>0739 0735</t>
  </si>
  <si>
    <t>645-03 645-04 645-05 646-00 646-01 646-02 646-11 646-12 646-13 646-14 647-17</t>
  </si>
  <si>
    <t>30207</t>
  </si>
  <si>
    <t>新宮市</t>
  </si>
  <si>
    <t>しんぐうし</t>
  </si>
  <si>
    <t>647-00 647-11 647-12</t>
  </si>
  <si>
    <t>30208</t>
  </si>
  <si>
    <t>紀の川市</t>
  </si>
  <si>
    <t>きのかわし</t>
  </si>
  <si>
    <t>640-04 640-13 649-61 649-64 649-65 649-66</t>
  </si>
  <si>
    <t>30209</t>
  </si>
  <si>
    <t>岩出市</t>
  </si>
  <si>
    <t>いわでし</t>
  </si>
  <si>
    <t>649-62</t>
  </si>
  <si>
    <t>30304</t>
  </si>
  <si>
    <t>海草郡紀美野町</t>
  </si>
  <si>
    <t>かいそうぐんきみのちょう</t>
  </si>
  <si>
    <t>640-11 640-12 640-13 640-14</t>
  </si>
  <si>
    <t>30341</t>
  </si>
  <si>
    <t>伊都郡かつらぎ町</t>
  </si>
  <si>
    <t>いとぐんかつらぎちょう</t>
  </si>
  <si>
    <t>0736 0737</t>
  </si>
  <si>
    <t>640-14 643-06 648-02 649-71</t>
  </si>
  <si>
    <t>30343</t>
  </si>
  <si>
    <t>伊都郡九度山町</t>
  </si>
  <si>
    <t>いとぐんくどやまちょう</t>
  </si>
  <si>
    <t>648-01</t>
  </si>
  <si>
    <t>30344</t>
  </si>
  <si>
    <t>伊都郡高野町</t>
  </si>
  <si>
    <t>いとぐんこうやちょう</t>
  </si>
  <si>
    <t>648-01 648-02 648-04</t>
  </si>
  <si>
    <t>30361</t>
  </si>
  <si>
    <t>有田郡湯浅町</t>
  </si>
  <si>
    <t>ありだぐんゆあさちょう</t>
  </si>
  <si>
    <t>643-00</t>
  </si>
  <si>
    <t>30362</t>
  </si>
  <si>
    <t>有田郡広川町</t>
  </si>
  <si>
    <t>ありだぐんひろがわちょう</t>
  </si>
  <si>
    <t>30366</t>
  </si>
  <si>
    <t>有田郡有田川町</t>
  </si>
  <si>
    <t>ありだぐんありだがわちょう</t>
  </si>
  <si>
    <t>643-00 643-01 643-03 643-05 643-06 643-08</t>
  </si>
  <si>
    <t>30381</t>
  </si>
  <si>
    <t>日高郡美浜町</t>
  </si>
  <si>
    <t>ひだかぐんみはまちょう</t>
  </si>
  <si>
    <t>644-00</t>
  </si>
  <si>
    <t>30382</t>
  </si>
  <si>
    <t>日高郡日高町</t>
  </si>
  <si>
    <t>ひだかぐんひだかちょう</t>
  </si>
  <si>
    <t>649-12</t>
  </si>
  <si>
    <t>30383</t>
  </si>
  <si>
    <t>日高郡由良町</t>
  </si>
  <si>
    <t>ひだかぐんゆらちょう</t>
  </si>
  <si>
    <t>649-11</t>
  </si>
  <si>
    <t>30390</t>
  </si>
  <si>
    <t>日高郡印南町</t>
  </si>
  <si>
    <t>ひだかぐんいなみちょう</t>
  </si>
  <si>
    <t>644-02 649-15</t>
  </si>
  <si>
    <t>30391</t>
  </si>
  <si>
    <t>日高郡みなべ町</t>
  </si>
  <si>
    <t>ひだかぐんみなべちょう</t>
  </si>
  <si>
    <t>0739</t>
  </si>
  <si>
    <t>645-00 645-02</t>
  </si>
  <si>
    <t>30392</t>
  </si>
  <si>
    <t>日高郡日高川町</t>
  </si>
  <si>
    <t>ひだかぐんひだかがわちょう</t>
  </si>
  <si>
    <t>644-11 644-12 645-05 649-13 649-14</t>
  </si>
  <si>
    <t>30401</t>
  </si>
  <si>
    <t>西牟婁郡白浜町</t>
  </si>
  <si>
    <t>にしむろぐんしらはまちょう</t>
  </si>
  <si>
    <t>646-03 649-22 649-23 649-25</t>
  </si>
  <si>
    <t>30404</t>
  </si>
  <si>
    <t>西牟婁郡上富田町</t>
  </si>
  <si>
    <t>にしむろぐんかみとんだちょう</t>
  </si>
  <si>
    <t>646-11 649-21</t>
  </si>
  <si>
    <t>30406</t>
  </si>
  <si>
    <t>西牟婁郡すさみ町</t>
  </si>
  <si>
    <t>にしむろぐんすさみちょう</t>
  </si>
  <si>
    <t>649-26 649-31</t>
  </si>
  <si>
    <t>30421</t>
  </si>
  <si>
    <t>東牟婁郡那智勝浦町</t>
  </si>
  <si>
    <t>ひがしむろぐんなちかつうらちょう</t>
  </si>
  <si>
    <t>649-51 649-53 649-54</t>
  </si>
  <si>
    <t>30422</t>
  </si>
  <si>
    <t>東牟婁郡太地町</t>
  </si>
  <si>
    <t>ひがしむろぐんたいじちょう</t>
  </si>
  <si>
    <t>649-51 649-53</t>
  </si>
  <si>
    <t>30424</t>
  </si>
  <si>
    <t>東牟婁郡古座川町</t>
  </si>
  <si>
    <t>ひがしむろぐんこざがわちょう</t>
  </si>
  <si>
    <t>649-41 649-42 649-44 649-45</t>
  </si>
  <si>
    <t>30427</t>
  </si>
  <si>
    <t>東牟婁郡北山村</t>
  </si>
  <si>
    <t>ひがしむろぐんきたやまむら</t>
  </si>
  <si>
    <t>647-16</t>
  </si>
  <si>
    <t>30428</t>
  </si>
  <si>
    <t>東牟婁郡串本町</t>
  </si>
  <si>
    <t>ひがしむろぐんくしもとちょう</t>
  </si>
  <si>
    <t>649-35 649-36 649-41</t>
  </si>
  <si>
    <t>31201</t>
  </si>
  <si>
    <t>鳥取市</t>
  </si>
  <si>
    <t>とっとりし</t>
  </si>
  <si>
    <t>0857 0858</t>
  </si>
  <si>
    <t>680-00 680-01 680-02 680-08 680-09 680-11 680-12 680-14 680-80 689-01 689-02 689-03 689-04 689-05 689-11 689-12 689-13</t>
  </si>
  <si>
    <t>31202</t>
  </si>
  <si>
    <t>米子市</t>
  </si>
  <si>
    <t>よなごし</t>
  </si>
  <si>
    <t>0859</t>
  </si>
  <si>
    <t>683-00 683-01 683-02 683-08 689-34 689-35</t>
  </si>
  <si>
    <t>31203</t>
  </si>
  <si>
    <t>倉吉市</t>
  </si>
  <si>
    <t>くらよしし</t>
  </si>
  <si>
    <t>0858</t>
  </si>
  <si>
    <t>682-00 682-04 682-06 682-08 682-09</t>
  </si>
  <si>
    <t>31204</t>
  </si>
  <si>
    <t>境港市</t>
  </si>
  <si>
    <t>さかいみなとし</t>
  </si>
  <si>
    <t>684-00</t>
  </si>
  <si>
    <t>31302</t>
  </si>
  <si>
    <t>岩美郡岩美町</t>
  </si>
  <si>
    <t>いわみぐんいわみちょう</t>
  </si>
  <si>
    <t>0857</t>
  </si>
  <si>
    <t>681-00</t>
  </si>
  <si>
    <t>31325</t>
  </si>
  <si>
    <t>八頭郡若桜町</t>
  </si>
  <si>
    <t>やずぐんわかさちょう</t>
  </si>
  <si>
    <t>680-07</t>
  </si>
  <si>
    <t>31328</t>
  </si>
  <si>
    <t>八頭郡智頭町</t>
  </si>
  <si>
    <t>やずぐんちづちょう</t>
  </si>
  <si>
    <t>689-14</t>
  </si>
  <si>
    <t>31329</t>
  </si>
  <si>
    <t>八頭郡八頭町</t>
  </si>
  <si>
    <t>やずぐんやずちょう</t>
  </si>
  <si>
    <t>680-03 680-04 680-05 680-06</t>
  </si>
  <si>
    <t>31364</t>
  </si>
  <si>
    <t>東伯郡三朝町</t>
  </si>
  <si>
    <t>とうはくぐんみささちょう</t>
  </si>
  <si>
    <t>682-01 682-03</t>
  </si>
  <si>
    <t>31370</t>
  </si>
  <si>
    <t>東伯郡湯梨浜町</t>
  </si>
  <si>
    <t>とうはくぐんゆりはまちょう</t>
  </si>
  <si>
    <t>682-07 689-06 689-07</t>
  </si>
  <si>
    <t>31371</t>
  </si>
  <si>
    <t>東伯郡琴浦町</t>
  </si>
  <si>
    <t>とうはくぐんことうらちょう</t>
  </si>
  <si>
    <t>689-23 689-25</t>
  </si>
  <si>
    <t>31372</t>
  </si>
  <si>
    <t>東伯郡北栄町</t>
  </si>
  <si>
    <t>とうはくぐんほくえいちょう</t>
  </si>
  <si>
    <t>689-21 689-22</t>
  </si>
  <si>
    <t>31384</t>
  </si>
  <si>
    <t>西伯郡日吉津村</t>
  </si>
  <si>
    <t>さいはくぐんひえづそん</t>
  </si>
  <si>
    <t>689-35</t>
  </si>
  <si>
    <t>31386</t>
  </si>
  <si>
    <t>西伯郡大山町</t>
  </si>
  <si>
    <t>さいはくぐんだいせんちょう</t>
  </si>
  <si>
    <t>0859 0858</t>
  </si>
  <si>
    <t>689-31 689-32 689-33</t>
  </si>
  <si>
    <t>31389</t>
  </si>
  <si>
    <t>西伯郡南部町</t>
  </si>
  <si>
    <t>さいはくぐんなんぶちょう</t>
  </si>
  <si>
    <t>683-02 683-03</t>
  </si>
  <si>
    <t>31390</t>
  </si>
  <si>
    <t>西伯郡伯耆町</t>
  </si>
  <si>
    <t>さいはくぐんほうきちょう</t>
  </si>
  <si>
    <t>689-41 689-42</t>
  </si>
  <si>
    <t>31401</t>
  </si>
  <si>
    <t>日野郡日南町</t>
  </si>
  <si>
    <t>ひのぐんにちなんちょう</t>
  </si>
  <si>
    <t>689-52 689-55 689-56</t>
  </si>
  <si>
    <t>31402</t>
  </si>
  <si>
    <t>日野郡日野町</t>
  </si>
  <si>
    <t>ひのぐんひのちょう</t>
  </si>
  <si>
    <t>689-45 689-51</t>
  </si>
  <si>
    <t>31403</t>
  </si>
  <si>
    <t>日野郡江府町</t>
  </si>
  <si>
    <t>ひのぐんこうふちょう</t>
  </si>
  <si>
    <t>689-44</t>
  </si>
  <si>
    <t>32201</t>
  </si>
  <si>
    <t>松江市</t>
  </si>
  <si>
    <t>まつえし</t>
  </si>
  <si>
    <t>0852</t>
  </si>
  <si>
    <t>690-00 690-01 690-02 690-03 690-04 690-08 690-11 690-12 690-13 690-14 690-15 690-21 699-01 699-02 699-04</t>
  </si>
  <si>
    <t>32202</t>
  </si>
  <si>
    <t>浜田市</t>
  </si>
  <si>
    <t>はまだし</t>
  </si>
  <si>
    <t>0855</t>
  </si>
  <si>
    <t>695-01 697-00 697-01 697-02 697-03 697-04 697-05 697-11 697-12 697-13 699-32 699-33</t>
  </si>
  <si>
    <t>32203</t>
  </si>
  <si>
    <t>出雲市</t>
  </si>
  <si>
    <t>いずもし</t>
  </si>
  <si>
    <t>0853</t>
  </si>
  <si>
    <t>691-00 693-00 693-01 693-02 693-05 699-07 699-08 699-09</t>
  </si>
  <si>
    <t>32204</t>
  </si>
  <si>
    <t>益田市</t>
  </si>
  <si>
    <t>ますだし</t>
  </si>
  <si>
    <t>0856</t>
  </si>
  <si>
    <t>698-00 698-02 698-04 698-12 698-21 698-22 699-35 699-36 699-37 699-51</t>
  </si>
  <si>
    <t>32205</t>
  </si>
  <si>
    <t>大田市</t>
  </si>
  <si>
    <t>おおだし</t>
  </si>
  <si>
    <t>0854 0855</t>
  </si>
  <si>
    <t>694-00 694-02 694-03 694-04 699-22 699-23 699-25</t>
  </si>
  <si>
    <t>32206</t>
  </si>
  <si>
    <t>安来市</t>
  </si>
  <si>
    <t>やすぎし</t>
  </si>
  <si>
    <t>0854</t>
  </si>
  <si>
    <t>692-00 692-02 692-03 692-04 692-06 692-07</t>
  </si>
  <si>
    <t>32207</t>
  </si>
  <si>
    <t>江津市</t>
  </si>
  <si>
    <t>ごうつし</t>
  </si>
  <si>
    <t>695-00 695-01 699-28 699-31 699-41 699-42 699-44 699-45</t>
  </si>
  <si>
    <t>32209</t>
  </si>
  <si>
    <t>雲南市</t>
  </si>
  <si>
    <t>うんなんし</t>
  </si>
  <si>
    <t>690-23 690-24 690-25 690-26 690-27 690-28 699-11 699-12 699-13 699-14</t>
  </si>
  <si>
    <t>32343</t>
  </si>
  <si>
    <t>仁多郡奥出雲町</t>
  </si>
  <si>
    <t>にたぐんおくいずもちょう</t>
  </si>
  <si>
    <t>699-14 699-15 699-16 699-17 699-18 699-19</t>
  </si>
  <si>
    <t>32386</t>
  </si>
  <si>
    <t>飯石郡飯南町</t>
  </si>
  <si>
    <t>いいしぐんいいなんちょう</t>
  </si>
  <si>
    <t>690-32 690-33 690-34 690-35</t>
  </si>
  <si>
    <t>32441</t>
  </si>
  <si>
    <t>邑智郡川本町</t>
  </si>
  <si>
    <t>おおちぐんかわもとまち</t>
  </si>
  <si>
    <t>696-00 696-12</t>
  </si>
  <si>
    <t>32448</t>
  </si>
  <si>
    <t>邑智郡美郷町</t>
  </si>
  <si>
    <t>おおちぐんみさとちょう</t>
  </si>
  <si>
    <t>696-07 696-11 699-46 699-47</t>
  </si>
  <si>
    <t>32449</t>
  </si>
  <si>
    <t>邑智郡邑南町</t>
  </si>
  <si>
    <t>おおちぐんおおなんちょう</t>
  </si>
  <si>
    <t>696-01 696-02 696-03 696-04 696-05 696-06 697-06 699-43</t>
  </si>
  <si>
    <t>32501</t>
  </si>
  <si>
    <t>鹿足郡津和野町</t>
  </si>
  <si>
    <t>かのあしぐんつわのちょう</t>
  </si>
  <si>
    <t>699-52 699-56</t>
  </si>
  <si>
    <t>32505</t>
  </si>
  <si>
    <t>鹿足郡吉賀町</t>
  </si>
  <si>
    <t>かのあしぐんよしかちょう</t>
  </si>
  <si>
    <t>699-53 699-55</t>
  </si>
  <si>
    <t>32525</t>
  </si>
  <si>
    <t>隠岐郡海士町</t>
  </si>
  <si>
    <t>おきぐんあまちょう</t>
  </si>
  <si>
    <t>08514</t>
  </si>
  <si>
    <t>684-04</t>
  </si>
  <si>
    <t>32526</t>
  </si>
  <si>
    <t>隠岐郡西ノ島町</t>
  </si>
  <si>
    <t>おきぐんにしのしまちょう</t>
  </si>
  <si>
    <t>684-02 684-03</t>
  </si>
  <si>
    <t>32527</t>
  </si>
  <si>
    <t>隠岐郡知夫村</t>
  </si>
  <si>
    <t>おきぐんちぶむら</t>
  </si>
  <si>
    <t>684-01</t>
  </si>
  <si>
    <t>32528</t>
  </si>
  <si>
    <t>隠岐郡隠岐の島町</t>
  </si>
  <si>
    <t>おきぐんおきのしまちょう</t>
  </si>
  <si>
    <t>08512</t>
  </si>
  <si>
    <t>685-00 685-01 685-03 685-04</t>
  </si>
  <si>
    <t>33100</t>
  </si>
  <si>
    <t>岡山市</t>
  </si>
  <si>
    <t>おかやまし</t>
  </si>
  <si>
    <t>33101</t>
  </si>
  <si>
    <t>岡山市北区</t>
  </si>
  <si>
    <t>おかやましきたく</t>
  </si>
  <si>
    <t>086 0867</t>
  </si>
  <si>
    <t>700-00 700-08 700-09 701-01 701-11 701-12 701-13 701-14 701-15 701-16 701-21 703-82 709-21 709-31</t>
  </si>
  <si>
    <t>33102</t>
  </si>
  <si>
    <t>岡山市中区</t>
  </si>
  <si>
    <t>おかやましなかく</t>
  </si>
  <si>
    <t>086</t>
  </si>
  <si>
    <t>700-00 702-80 703-82</t>
  </si>
  <si>
    <t>33103</t>
  </si>
  <si>
    <t>岡山市東区</t>
  </si>
  <si>
    <t>おかやましひがしく</t>
  </si>
  <si>
    <t>700-00 703-82 704-81 709-06 709-08</t>
  </si>
  <si>
    <t>33104</t>
  </si>
  <si>
    <t>岡山市南区</t>
  </si>
  <si>
    <t>おかやましみなみく</t>
  </si>
  <si>
    <t>086 08636</t>
  </si>
  <si>
    <t>700-00 700-08 700-09 701-02 702-80 709-12 710-01</t>
  </si>
  <si>
    <t>33202</t>
  </si>
  <si>
    <t>倉敷市</t>
  </si>
  <si>
    <t>くらしきし</t>
  </si>
  <si>
    <t>086 0866</t>
  </si>
  <si>
    <t>701-01 709-11 710-00 710-01 710-02 710-08 710-13 711-09 712-80 713-81</t>
  </si>
  <si>
    <t>33203</t>
  </si>
  <si>
    <t>津山市</t>
  </si>
  <si>
    <t>つやまし</t>
  </si>
  <si>
    <t>0868</t>
  </si>
  <si>
    <t>708-00 708-08 708-11 708-12 709-39 709-46</t>
  </si>
  <si>
    <t>33204</t>
  </si>
  <si>
    <t>玉野市</t>
  </si>
  <si>
    <t>たまのし</t>
  </si>
  <si>
    <t>0863</t>
  </si>
  <si>
    <t>706-00 706-01 706-02 706-03</t>
  </si>
  <si>
    <t>33205</t>
  </si>
  <si>
    <t>笠岡市</t>
  </si>
  <si>
    <t>かさおかし</t>
  </si>
  <si>
    <t>0865</t>
  </si>
  <si>
    <t>714-00 714-03</t>
  </si>
  <si>
    <t>33207</t>
  </si>
  <si>
    <t>井原市</t>
  </si>
  <si>
    <t>いばらし</t>
  </si>
  <si>
    <t>0866</t>
  </si>
  <si>
    <t>714-14 714-21 714-22 714-23 715-00</t>
  </si>
  <si>
    <t>33208</t>
  </si>
  <si>
    <t>総社市</t>
  </si>
  <si>
    <t>そうじゃし</t>
  </si>
  <si>
    <t>710-12 719-11 719-13</t>
  </si>
  <si>
    <t>33209</t>
  </si>
  <si>
    <t>高梁市</t>
  </si>
  <si>
    <t>たかはしし</t>
  </si>
  <si>
    <t>716-00 716-01 716-02 716-03 716-13 719-21 719-22 719-23 719-24</t>
  </si>
  <si>
    <t>33210</t>
  </si>
  <si>
    <t>新見市</t>
  </si>
  <si>
    <t>にいみし</t>
  </si>
  <si>
    <t>0867</t>
  </si>
  <si>
    <t>718-00 718-01 718-02 718-03 719-25 719-26 719-27 719-28 719-35 719-36 719-37 719-38</t>
  </si>
  <si>
    <t>33211</t>
  </si>
  <si>
    <t>備前市</t>
  </si>
  <si>
    <t>びぜんし</t>
  </si>
  <si>
    <t>0869</t>
  </si>
  <si>
    <t>701-32 705-00 705-01 709-02 709-03</t>
  </si>
  <si>
    <t>33212</t>
  </si>
  <si>
    <t>瀬戸内市</t>
  </si>
  <si>
    <t>せとうちし</t>
  </si>
  <si>
    <t>701-42 701-43 701-45</t>
  </si>
  <si>
    <t>33213</t>
  </si>
  <si>
    <t>赤磐市</t>
  </si>
  <si>
    <t>あかいわし</t>
  </si>
  <si>
    <t>086 08699</t>
  </si>
  <si>
    <t>701-22 701-24 701-25 709-07 709-08</t>
  </si>
  <si>
    <t>33214</t>
  </si>
  <si>
    <t>真庭市</t>
  </si>
  <si>
    <t>まにわし</t>
  </si>
  <si>
    <t>0866 0867</t>
  </si>
  <si>
    <t>716-14 717-00 717-01 717-04 717-05 717-06 717-07 719-31 719-32</t>
  </si>
  <si>
    <t>33215</t>
  </si>
  <si>
    <t>美作市</t>
  </si>
  <si>
    <t>みまさかし</t>
  </si>
  <si>
    <t>701-26 707-00 707-01 707-02 707-04 709-42</t>
  </si>
  <si>
    <t>33216</t>
  </si>
  <si>
    <t>浅口市</t>
  </si>
  <si>
    <t>あさくちし</t>
  </si>
  <si>
    <t>714-01 719-01 719-02</t>
  </si>
  <si>
    <t>33346</t>
  </si>
  <si>
    <t>和気郡和気町</t>
  </si>
  <si>
    <t>わけぐんわけちょう</t>
  </si>
  <si>
    <t>709-04 709-05</t>
  </si>
  <si>
    <t>33423</t>
  </si>
  <si>
    <t>都窪郡早島町</t>
  </si>
  <si>
    <t>つくぼぐんはやしまちょう</t>
  </si>
  <si>
    <t>701-03</t>
  </si>
  <si>
    <t>33445</t>
  </si>
  <si>
    <t>浅口郡里庄町</t>
  </si>
  <si>
    <t>あさくちぐんさとしょうちょう</t>
  </si>
  <si>
    <t>719-03</t>
  </si>
  <si>
    <t>33461</t>
  </si>
  <si>
    <t>小田郡矢掛町</t>
  </si>
  <si>
    <t>おだぐんやかげちょう</t>
  </si>
  <si>
    <t>714-12</t>
  </si>
  <si>
    <t>33586</t>
  </si>
  <si>
    <t>真庭郡新庄村</t>
  </si>
  <si>
    <t>まにわぐんしんじょうそん</t>
  </si>
  <si>
    <t>717-02</t>
  </si>
  <si>
    <t>33606</t>
  </si>
  <si>
    <t>苫田郡鏡野町</t>
  </si>
  <si>
    <t>とまたぐんかがみのちょう</t>
  </si>
  <si>
    <t>0868 0867</t>
  </si>
  <si>
    <t>708-03 708-04 708-05 708-06 719-33</t>
  </si>
  <si>
    <t>33622</t>
  </si>
  <si>
    <t>勝田郡勝央町</t>
  </si>
  <si>
    <t>かつたぐんしょうおうちょう</t>
  </si>
  <si>
    <t>709-43</t>
  </si>
  <si>
    <t>33623</t>
  </si>
  <si>
    <t>勝田郡奈義町</t>
  </si>
  <si>
    <t>かつたぐんなぎちょう</t>
  </si>
  <si>
    <t>708-13</t>
  </si>
  <si>
    <t>33643</t>
  </si>
  <si>
    <t>英田郡西粟倉村</t>
  </si>
  <si>
    <t>あいだぐんにしあわくらそん</t>
  </si>
  <si>
    <t>707-05</t>
  </si>
  <si>
    <t>33663</t>
  </si>
  <si>
    <t>久米郡久米南町</t>
  </si>
  <si>
    <t>くめぐんくめなんちょう</t>
  </si>
  <si>
    <t>709-36</t>
  </si>
  <si>
    <t>33666</t>
  </si>
  <si>
    <t>久米郡美咲町</t>
  </si>
  <si>
    <t>くめぐんみさきちょう</t>
  </si>
  <si>
    <t>0868 0867 086</t>
  </si>
  <si>
    <t>708-15 709-34 709-37</t>
  </si>
  <si>
    <t>33681</t>
  </si>
  <si>
    <t>加賀郡吉備中央町</t>
  </si>
  <si>
    <t>かがぐんきびちゅうおうちょう</t>
  </si>
  <si>
    <t>0867 0866</t>
  </si>
  <si>
    <t>709-23 709-24 709-25 709-26 716-11 716-12 716-15</t>
  </si>
  <si>
    <t>34100</t>
  </si>
  <si>
    <t>広島市</t>
  </si>
  <si>
    <t>ひろしまし</t>
  </si>
  <si>
    <t>34101</t>
  </si>
  <si>
    <t>広島市中区</t>
  </si>
  <si>
    <t>ひろしましなかく</t>
  </si>
  <si>
    <t>082</t>
  </si>
  <si>
    <t>730-00 730-08</t>
  </si>
  <si>
    <t>34102</t>
  </si>
  <si>
    <t>広島市東区</t>
  </si>
  <si>
    <t>ひろしましひがしく</t>
  </si>
  <si>
    <t>732-00</t>
  </si>
  <si>
    <t>34103</t>
  </si>
  <si>
    <t>広島市南区</t>
  </si>
  <si>
    <t>ひろしましみなみく</t>
  </si>
  <si>
    <t>732-08 734-00</t>
  </si>
  <si>
    <t>34104</t>
  </si>
  <si>
    <t>広島市西区</t>
  </si>
  <si>
    <t>ひろしましにしく</t>
  </si>
  <si>
    <t>733-00 733-08</t>
  </si>
  <si>
    <t>34105</t>
  </si>
  <si>
    <t>広島市安佐南区</t>
  </si>
  <si>
    <t>ひろしましあさみなみく</t>
  </si>
  <si>
    <t>731-01 731-31 731-32</t>
  </si>
  <si>
    <t>34106</t>
  </si>
  <si>
    <t>広島市安佐北区</t>
  </si>
  <si>
    <t>ひろしましあさきたく</t>
  </si>
  <si>
    <t>731-02 731-11 731-12 731-33 739-13 739-14 739-15 739-17</t>
  </si>
  <si>
    <t>34107</t>
  </si>
  <si>
    <t>広島市安芸区</t>
  </si>
  <si>
    <t>ひろしましあきく</t>
  </si>
  <si>
    <t>731-42 736-00 739-03</t>
  </si>
  <si>
    <t>34108</t>
  </si>
  <si>
    <t>広島市佐伯区</t>
  </si>
  <si>
    <t>ひろしましさえきく</t>
  </si>
  <si>
    <t>082 0829</t>
  </si>
  <si>
    <t>731-51 738-05 738-06 738-07</t>
  </si>
  <si>
    <t>34202</t>
  </si>
  <si>
    <t>呉市</t>
  </si>
  <si>
    <t>くれし</t>
  </si>
  <si>
    <t>0823 0846</t>
  </si>
  <si>
    <t>729-25 729-26 734-01 734-03 737-00 737-01 737-03 737-04 737-08 737-09 737-12 737-13</t>
  </si>
  <si>
    <t>34203</t>
  </si>
  <si>
    <t>竹原市</t>
  </si>
  <si>
    <t>たけはらし</t>
  </si>
  <si>
    <t>0846</t>
  </si>
  <si>
    <t>725-00 729-23</t>
  </si>
  <si>
    <t>34204</t>
  </si>
  <si>
    <t>三原市</t>
  </si>
  <si>
    <t>みはらし</t>
  </si>
  <si>
    <t>0848 0847</t>
  </si>
  <si>
    <t>722-13 722-14 722-15 723-00 723-01 729-03 729-04 729-12 729-13 729-14 729-22 729-23</t>
  </si>
  <si>
    <t>34205</t>
  </si>
  <si>
    <t>尾道市</t>
  </si>
  <si>
    <t>おのみちし</t>
  </si>
  <si>
    <t>0848 0845</t>
  </si>
  <si>
    <t>720-05 722-00 722-02 722-03 722-04 722-15 722-21 722-22 722-23 722-24 729-01</t>
  </si>
  <si>
    <t>34207</t>
  </si>
  <si>
    <t>福山市</t>
  </si>
  <si>
    <t>ふくやまし</t>
  </si>
  <si>
    <t>084 0847</t>
  </si>
  <si>
    <t>720-00 720-02 720-03 720-04 720-05 720-08 720-11 720-12 720-21 720-24 720-25 720-26 721-00 721-09 722-26 729-01 729-02 729-31</t>
  </si>
  <si>
    <t>34208</t>
  </si>
  <si>
    <t>0847</t>
  </si>
  <si>
    <t>722-04 726-00 729-32 729-34</t>
  </si>
  <si>
    <t>34209</t>
  </si>
  <si>
    <t>三次市</t>
  </si>
  <si>
    <t>0824 0847</t>
  </si>
  <si>
    <t>728-00 728-01 728-02 728-04 728-06 729-41 729-42 729-43 729-62 729-63 729-66 729-67</t>
  </si>
  <si>
    <t>34210</t>
  </si>
  <si>
    <t>庄原市</t>
  </si>
  <si>
    <t>しょうばらし</t>
  </si>
  <si>
    <t>0824 08477</t>
  </si>
  <si>
    <t>720-19 727-00 727-01 727-02 727-03 727-04 727-06 728-05 729-37 729-51 729-52 729-54 729-55 729-56 729-57 729-58 729-61</t>
  </si>
  <si>
    <t>34211</t>
  </si>
  <si>
    <t>大竹市</t>
  </si>
  <si>
    <t>おおたけし</t>
  </si>
  <si>
    <t>0827</t>
  </si>
  <si>
    <t>739-06</t>
  </si>
  <si>
    <t>34212</t>
  </si>
  <si>
    <t>東広島市</t>
  </si>
  <si>
    <t>ひがしひろしまし</t>
  </si>
  <si>
    <t>082 0823 0846</t>
  </si>
  <si>
    <t>724-02 724-03 724-05 724-06 724-07 729-11 729-24 739-00 739-01 739-02 739-21</t>
  </si>
  <si>
    <t>34213</t>
  </si>
  <si>
    <t>廿日市市</t>
  </si>
  <si>
    <t>はつかいちし</t>
  </si>
  <si>
    <t>0829 0827</t>
  </si>
  <si>
    <t>738-00 738-02 738-03 739-04 739-05 739-06</t>
  </si>
  <si>
    <t>34214</t>
  </si>
  <si>
    <t>安芸高田市</t>
  </si>
  <si>
    <t>あきたかたし</t>
  </si>
  <si>
    <t>0826</t>
  </si>
  <si>
    <t>731-03 731-05 731-06 731-07 739-11 739-12 739-18</t>
  </si>
  <si>
    <t>34215</t>
  </si>
  <si>
    <t>江田島市</t>
  </si>
  <si>
    <t>えたじまし</t>
  </si>
  <si>
    <t>0823</t>
  </si>
  <si>
    <t>737-21 737-22 737-23</t>
  </si>
  <si>
    <t>34302</t>
  </si>
  <si>
    <t>安芸郡府中町</t>
  </si>
  <si>
    <t>あきぐんふちゅうちょう</t>
  </si>
  <si>
    <t>735-00</t>
  </si>
  <si>
    <t>34304</t>
  </si>
  <si>
    <t>安芸郡海田町</t>
  </si>
  <si>
    <t>あきぐんかいたちょう</t>
  </si>
  <si>
    <t>736-00</t>
  </si>
  <si>
    <t>34307</t>
  </si>
  <si>
    <t>安芸郡熊野町</t>
  </si>
  <si>
    <t>あきぐんくまのちょう</t>
  </si>
  <si>
    <t>731-42</t>
  </si>
  <si>
    <t>34309</t>
  </si>
  <si>
    <t>安芸郡坂町</t>
  </si>
  <si>
    <t>あきぐんさかちょう</t>
  </si>
  <si>
    <t>731-43</t>
  </si>
  <si>
    <t>34368</t>
  </si>
  <si>
    <t>山県郡安芸太田町</t>
  </si>
  <si>
    <t>やまがたぐんあきおおたちょう</t>
  </si>
  <si>
    <t>731-34 731-35 731-36 731-37 731-38</t>
  </si>
  <si>
    <t>34369</t>
  </si>
  <si>
    <t>山県郡北広島町</t>
  </si>
  <si>
    <t>やまがたぐんきたひろしまちょう</t>
  </si>
  <si>
    <t>731-12 731-15 731-17 731-21 731-22 731-23 731-24 731-25 731-35</t>
  </si>
  <si>
    <t>34431</t>
  </si>
  <si>
    <t>豊田郡大崎上島町</t>
  </si>
  <si>
    <t>とよたぐんおおさきかみじまちょう</t>
  </si>
  <si>
    <t>725-02 725-03 725-04</t>
  </si>
  <si>
    <t>34462</t>
  </si>
  <si>
    <t>世羅郡世羅町</t>
  </si>
  <si>
    <t>せらぐんせらちょう</t>
  </si>
  <si>
    <t>722-04 722-11 722-12 722-16 722-17 729-33 729-67</t>
  </si>
  <si>
    <t>34545</t>
  </si>
  <si>
    <t>神石郡神石高原町</t>
  </si>
  <si>
    <t>じんせきぐんじんせきこうげんちょう</t>
  </si>
  <si>
    <t>720-14 720-15 720-16 720-17 720-18 720-19 729-35 729-36</t>
  </si>
  <si>
    <t>35201</t>
  </si>
  <si>
    <t>下関市</t>
  </si>
  <si>
    <t>しものせきし</t>
  </si>
  <si>
    <t>0832 0837</t>
  </si>
  <si>
    <t>750-00 750-02 750-03 750-04 750-11 751-08 752-09 759-51 759-52 759-53 759-55 759-61 759-63 759-65 759-66</t>
  </si>
  <si>
    <t>35202</t>
  </si>
  <si>
    <t>宇部市</t>
  </si>
  <si>
    <t>うべし</t>
  </si>
  <si>
    <t>0836</t>
  </si>
  <si>
    <t>754-13 755-00 755-01 755-02 755-08 757-02 757-04 759-01 759-02</t>
  </si>
  <si>
    <t>35203</t>
  </si>
  <si>
    <t>山口市</t>
  </si>
  <si>
    <t>やまぐちし</t>
  </si>
  <si>
    <t>083 0835 0836</t>
  </si>
  <si>
    <t>747-02 747-03 747-04 747-05 747-06 747-12 753-00 753-02 753-03 753-08 754-00 754-08 754-11 754-12 759-12 759-13 759-14 759-15 759-16</t>
  </si>
  <si>
    <t>35204</t>
  </si>
  <si>
    <t>萩市</t>
  </si>
  <si>
    <t>はぎし</t>
  </si>
  <si>
    <t>0838 08387 08388</t>
  </si>
  <si>
    <t>753-01 754-04 758-00 758-01 758-02 758-03 758-05 758-07 759-31 759-32 759-33 759-34 759-36 759-37</t>
  </si>
  <si>
    <t>35206</t>
  </si>
  <si>
    <t>防府市</t>
  </si>
  <si>
    <t>ほうふし</t>
  </si>
  <si>
    <t>0835</t>
  </si>
  <si>
    <t>747-00 747-01 747-08 747-11 747-12</t>
  </si>
  <si>
    <t>35207</t>
  </si>
  <si>
    <t>下松市</t>
  </si>
  <si>
    <t>くだまつし</t>
  </si>
  <si>
    <t>0833</t>
  </si>
  <si>
    <t>744-00 744-02</t>
  </si>
  <si>
    <t>35208</t>
  </si>
  <si>
    <t>岩国市</t>
  </si>
  <si>
    <t>いわくにし</t>
  </si>
  <si>
    <t>740-00 740-03 740-05 740-06 740-07 740-08 740-09 740-12 740-14 741-00 742-03 742-04</t>
  </si>
  <si>
    <t>35210</t>
  </si>
  <si>
    <t>光市</t>
  </si>
  <si>
    <t>ひかりし</t>
  </si>
  <si>
    <t>0833 0820</t>
  </si>
  <si>
    <t>743-00 743-01</t>
  </si>
  <si>
    <t>35211</t>
  </si>
  <si>
    <t>長門市</t>
  </si>
  <si>
    <t>ながとし</t>
  </si>
  <si>
    <t>0837</t>
  </si>
  <si>
    <t>759-38 759-41 759-42 759-44 759-45 759-46 759-47</t>
  </si>
  <si>
    <t>35212</t>
  </si>
  <si>
    <t>柳井市</t>
  </si>
  <si>
    <t>やないし</t>
  </si>
  <si>
    <t>0820</t>
  </si>
  <si>
    <t>742-00 742-01 742-02 742-13 749-01</t>
  </si>
  <si>
    <t>35213</t>
  </si>
  <si>
    <t>美祢市</t>
  </si>
  <si>
    <t>みねし</t>
  </si>
  <si>
    <t>0837 08396</t>
  </si>
  <si>
    <t>750-06 754-01 754-02 754-03 754-05 754-06 759-21 759-22 759-23</t>
  </si>
  <si>
    <t>35215</t>
  </si>
  <si>
    <t>周南市</t>
  </si>
  <si>
    <t>しゅうなんし</t>
  </si>
  <si>
    <t>0834 0833</t>
  </si>
  <si>
    <t>745-00 745-01 745-02 745-03 745-04 745-05 745-06 745-08 745-11 746-00 746-01 747-06</t>
  </si>
  <si>
    <t>35216</t>
  </si>
  <si>
    <t>山陽小野田市</t>
  </si>
  <si>
    <t>さんようおのだし</t>
  </si>
  <si>
    <t>756-00 756-08 757-00</t>
  </si>
  <si>
    <t>35305</t>
  </si>
  <si>
    <t>大島郡周防大島町</t>
  </si>
  <si>
    <t>おおしまぐんすおうおおしまちょう</t>
  </si>
  <si>
    <t>742-21 742-23 742-25 742-26 742-27 742-28 742-29</t>
  </si>
  <si>
    <t>35321</t>
  </si>
  <si>
    <t>玖珂郡和木町</t>
  </si>
  <si>
    <t>くがぐんわきちょう</t>
  </si>
  <si>
    <t>740-00</t>
  </si>
  <si>
    <t>35341</t>
  </si>
  <si>
    <t>熊毛郡上関町</t>
  </si>
  <si>
    <t>くまげぐんかみのせきちょう</t>
  </si>
  <si>
    <t>742-14</t>
  </si>
  <si>
    <t>35343</t>
  </si>
  <si>
    <t>熊毛郡田布施町</t>
  </si>
  <si>
    <t>くまげぐんたぶせちょう</t>
  </si>
  <si>
    <t>742-15</t>
  </si>
  <si>
    <t>35344</t>
  </si>
  <si>
    <t>熊毛郡平生町</t>
  </si>
  <si>
    <t>くまげぐんひらおちょう</t>
  </si>
  <si>
    <t>742-11</t>
  </si>
  <si>
    <t>35502</t>
  </si>
  <si>
    <t>阿武郡阿武町</t>
  </si>
  <si>
    <t>あぶぐんあぶちょう</t>
  </si>
  <si>
    <t>08388</t>
  </si>
  <si>
    <t>758-06 759-35 759-36</t>
  </si>
  <si>
    <t>36201</t>
  </si>
  <si>
    <t>徳島市</t>
  </si>
  <si>
    <t>とくしまし</t>
  </si>
  <si>
    <t>088</t>
  </si>
  <si>
    <t>770-00 770-08 770-09 770-80 771-01 771-11 771-42 773-00 779-31</t>
  </si>
  <si>
    <t>36202</t>
  </si>
  <si>
    <t>鳴門市</t>
  </si>
  <si>
    <t>なるとし</t>
  </si>
  <si>
    <t>771-03 772-00 779-02 779-03</t>
  </si>
  <si>
    <t>36203</t>
  </si>
  <si>
    <t>小松島市</t>
  </si>
  <si>
    <t>こまつしまし</t>
  </si>
  <si>
    <t>0885</t>
  </si>
  <si>
    <t>773-00</t>
  </si>
  <si>
    <t>36204</t>
  </si>
  <si>
    <t>阿南市</t>
  </si>
  <si>
    <t>あなんし</t>
  </si>
  <si>
    <t>0884</t>
  </si>
  <si>
    <t>771-51 774-00 774-17 779-11 779-12 779-14 779-15 779-16 779-17</t>
  </si>
  <si>
    <t>36205</t>
  </si>
  <si>
    <t>吉野川市</t>
  </si>
  <si>
    <t>よしのがわし</t>
  </si>
  <si>
    <t>0883</t>
  </si>
  <si>
    <t>776-00 779-33 779-34 779-35</t>
  </si>
  <si>
    <t>36206</t>
  </si>
  <si>
    <t>阿波市</t>
  </si>
  <si>
    <t>あわし</t>
  </si>
  <si>
    <t>088 0883</t>
  </si>
  <si>
    <t>771-14 771-15 771-16 771-17</t>
  </si>
  <si>
    <t>36207</t>
  </si>
  <si>
    <t>美馬市</t>
  </si>
  <si>
    <t>みまし</t>
  </si>
  <si>
    <t>771-21 777-00 777-03 779-36 779-37</t>
  </si>
  <si>
    <t>36208</t>
  </si>
  <si>
    <t>三好市</t>
  </si>
  <si>
    <t>771-23 778-00 778-01 778-02 778-52 779-48 779-51 779-53 779-54</t>
  </si>
  <si>
    <t>36301</t>
  </si>
  <si>
    <t>勝浦郡勝浦町</t>
  </si>
  <si>
    <t>かつうらぐんかつうらちょう</t>
  </si>
  <si>
    <t>771-43</t>
  </si>
  <si>
    <t>36302</t>
  </si>
  <si>
    <t>勝浦郡上勝町</t>
  </si>
  <si>
    <t>かつうらぐんかみかつちょう</t>
  </si>
  <si>
    <t>771-45</t>
  </si>
  <si>
    <t>36321</t>
  </si>
  <si>
    <t>名東郡佐那河内村</t>
  </si>
  <si>
    <t>みょうどうぐんさなごうちそん</t>
  </si>
  <si>
    <t>771-41</t>
  </si>
  <si>
    <t>36341</t>
  </si>
  <si>
    <t>名西郡石井町</t>
  </si>
  <si>
    <t>みょうざいぐんいしいちょう</t>
  </si>
  <si>
    <t>779-32</t>
  </si>
  <si>
    <t>36342</t>
  </si>
  <si>
    <t>名西郡神山町</t>
  </si>
  <si>
    <t>みょうざいぐんかみやまちょう</t>
  </si>
  <si>
    <t>771-32 771-33 771-34</t>
  </si>
  <si>
    <t>36368</t>
  </si>
  <si>
    <t>那賀郡那賀町</t>
  </si>
  <si>
    <t>なかぐんなかちょう</t>
  </si>
  <si>
    <t>771-52 771-53 771-54 771-55 771-61 771-63 771-64 771-65</t>
  </si>
  <si>
    <t>36383</t>
  </si>
  <si>
    <t>海部郡牟岐町</t>
  </si>
  <si>
    <t>かいふぐんむぎちょう</t>
  </si>
  <si>
    <t>775-00</t>
  </si>
  <si>
    <t>36387</t>
  </si>
  <si>
    <t>海部郡美波町</t>
  </si>
  <si>
    <t>かいふぐんみなみちょう</t>
  </si>
  <si>
    <t>779-21 779-23</t>
  </si>
  <si>
    <t>36388</t>
  </si>
  <si>
    <t>海部郡海陽町</t>
  </si>
  <si>
    <t>かいふぐんかいようちょう</t>
  </si>
  <si>
    <t>775-01 775-02 775-03 775-04 775-05</t>
  </si>
  <si>
    <t>36401</t>
  </si>
  <si>
    <t>板野郡松茂町</t>
  </si>
  <si>
    <t>いたのぐんまつしげちょう</t>
  </si>
  <si>
    <t>771-02</t>
  </si>
  <si>
    <t>36402</t>
  </si>
  <si>
    <t>板野郡北島町</t>
  </si>
  <si>
    <t>いたのぐんきたじまちょう</t>
  </si>
  <si>
    <t>36403</t>
  </si>
  <si>
    <t>板野郡藍住町</t>
  </si>
  <si>
    <t>いたのぐんあいずみちょう</t>
  </si>
  <si>
    <t>771-12</t>
  </si>
  <si>
    <t>36404</t>
  </si>
  <si>
    <t>板野郡板野町</t>
  </si>
  <si>
    <t>いたのぐんいたのちょう</t>
  </si>
  <si>
    <t>779-01</t>
  </si>
  <si>
    <t>36405</t>
  </si>
  <si>
    <t>板野郡上板町</t>
  </si>
  <si>
    <t>いたのぐんかみいたちょう</t>
  </si>
  <si>
    <t>771-13</t>
  </si>
  <si>
    <t>36468</t>
  </si>
  <si>
    <t>美馬郡つるぎ町</t>
  </si>
  <si>
    <t>みまぐんつるぎちょう</t>
  </si>
  <si>
    <t>779-41 779-43 779-44</t>
  </si>
  <si>
    <t>36489</t>
  </si>
  <si>
    <t>三好郡東みよし町</t>
  </si>
  <si>
    <t>みよしぐんひがしみよしちょう</t>
  </si>
  <si>
    <t>771-25 779-47</t>
  </si>
  <si>
    <t>37201</t>
  </si>
  <si>
    <t>高松市</t>
  </si>
  <si>
    <t>たかまつし</t>
  </si>
  <si>
    <t>087</t>
  </si>
  <si>
    <t>760-00 761-01 761-03 761-04 761-14 761-15 761-16 761-17 761-80 769-01</t>
  </si>
  <si>
    <t>37202</t>
  </si>
  <si>
    <t>丸亀市</t>
  </si>
  <si>
    <t>まるがめし</t>
  </si>
  <si>
    <t>0877</t>
  </si>
  <si>
    <t>761-24 762-00 763-00 763-01 763-02</t>
  </si>
  <si>
    <t>37203</t>
  </si>
  <si>
    <t>坂出市</t>
  </si>
  <si>
    <t>さかいでし</t>
  </si>
  <si>
    <t>762-00</t>
  </si>
  <si>
    <t>37204</t>
  </si>
  <si>
    <t>善通寺市</t>
  </si>
  <si>
    <t>ぜんつうじし</t>
  </si>
  <si>
    <t>765-00</t>
  </si>
  <si>
    <t>37205</t>
  </si>
  <si>
    <t>観音寺市</t>
  </si>
  <si>
    <t>かんおんじし</t>
  </si>
  <si>
    <t>0875 0896</t>
  </si>
  <si>
    <t>768-00 769-16</t>
  </si>
  <si>
    <t>37206</t>
  </si>
  <si>
    <t>さぬき市</t>
  </si>
  <si>
    <t>さぬきし</t>
  </si>
  <si>
    <t>0879 087</t>
  </si>
  <si>
    <t>761-09 769-21 769-23 769-24</t>
  </si>
  <si>
    <t>37207</t>
  </si>
  <si>
    <t>東かがわ市</t>
  </si>
  <si>
    <t>ひがしかがわし</t>
  </si>
  <si>
    <t>0879</t>
  </si>
  <si>
    <t>769-25 769-26 769-27 769-29</t>
  </si>
  <si>
    <t>37208</t>
  </si>
  <si>
    <t>三豊市</t>
  </si>
  <si>
    <t>みとよし</t>
  </si>
  <si>
    <t>0875</t>
  </si>
  <si>
    <t>767-00 768-01 769-04 769-11 769-14 769-15</t>
  </si>
  <si>
    <t>37322</t>
  </si>
  <si>
    <t>小豆郡土庄町</t>
  </si>
  <si>
    <t>しょうずぐんとのしょうちょう</t>
  </si>
  <si>
    <t>761-41 761-46</t>
  </si>
  <si>
    <t>37324</t>
  </si>
  <si>
    <t>小豆郡小豆島町</t>
  </si>
  <si>
    <t>しょうずぐんしょうどしまちょう</t>
  </si>
  <si>
    <t>761-41 761-43 761-44</t>
  </si>
  <si>
    <t>37341</t>
  </si>
  <si>
    <t>木田郡三木町</t>
  </si>
  <si>
    <t>きたぐんみきちょう</t>
  </si>
  <si>
    <t>761-06 761-07 761-08</t>
  </si>
  <si>
    <t>37364</t>
  </si>
  <si>
    <t>香川郡直島町</t>
  </si>
  <si>
    <t>かがわぐんなおしまちょう</t>
  </si>
  <si>
    <t>761-31</t>
  </si>
  <si>
    <t>37386</t>
  </si>
  <si>
    <t>綾歌郡宇多津町</t>
  </si>
  <si>
    <t>あやうたぐんうたづちょう</t>
  </si>
  <si>
    <t>769-02</t>
  </si>
  <si>
    <t>37387</t>
  </si>
  <si>
    <t>綾歌郡綾川町</t>
  </si>
  <si>
    <t>あやうたぐんあやがわちょう</t>
  </si>
  <si>
    <t>761-21 761-22 761-23</t>
  </si>
  <si>
    <t>37403</t>
  </si>
  <si>
    <t>仲多度郡琴平町</t>
  </si>
  <si>
    <t>なかたどぐんことひらちょう</t>
  </si>
  <si>
    <t>766-00</t>
  </si>
  <si>
    <t>37404</t>
  </si>
  <si>
    <t>仲多度郡多度津町</t>
  </si>
  <si>
    <t>なかたどぐんたどつちょう</t>
  </si>
  <si>
    <t>764-00</t>
  </si>
  <si>
    <t>37406</t>
  </si>
  <si>
    <t>仲多度郡まんのう町</t>
  </si>
  <si>
    <t>なかたどぐんまんのうちょう</t>
  </si>
  <si>
    <t>766-00 766-02 769-03</t>
  </si>
  <si>
    <t>38201</t>
  </si>
  <si>
    <t>松山市</t>
  </si>
  <si>
    <t>まつやまし</t>
  </si>
  <si>
    <t>089</t>
  </si>
  <si>
    <t>790-00 790-08 790-09 791-00 791-01 791-02 791-11 791-43 791-44 791-45 791-80 799-24 799-26</t>
  </si>
  <si>
    <t>38202</t>
  </si>
  <si>
    <t>今治市</t>
  </si>
  <si>
    <t>いまばりし</t>
  </si>
  <si>
    <t>0898 0897</t>
  </si>
  <si>
    <t>792-00 794-00 794-01 794-08 794-11 794-13 794-14 794-21 794-22 794-23 799-15 799-16 799-21 799-22 799-23</t>
  </si>
  <si>
    <t>38203</t>
  </si>
  <si>
    <t>宇和島市</t>
  </si>
  <si>
    <t>うわじまし</t>
  </si>
  <si>
    <t>0895</t>
  </si>
  <si>
    <t>798-00 798-01 798-02 798-11 798-21 798-32 798-33 799-37</t>
  </si>
  <si>
    <t>38204</t>
  </si>
  <si>
    <t>八幡浜市</t>
  </si>
  <si>
    <t>やわたはまし</t>
  </si>
  <si>
    <t>0894</t>
  </si>
  <si>
    <t>796-00 796-01 796-02 796-80</t>
  </si>
  <si>
    <t>38205</t>
  </si>
  <si>
    <t>新居浜市</t>
  </si>
  <si>
    <t>にいはまし</t>
  </si>
  <si>
    <t>0897</t>
  </si>
  <si>
    <t>792-00 792-08 799-06</t>
  </si>
  <si>
    <t>38206</t>
  </si>
  <si>
    <t>西条市</t>
  </si>
  <si>
    <t>さいじょうし</t>
  </si>
  <si>
    <t>0897 0898</t>
  </si>
  <si>
    <t>791-05 793-00 793-01 793-02 799-11 799-13</t>
  </si>
  <si>
    <t>38207</t>
  </si>
  <si>
    <t>大洲市</t>
  </si>
  <si>
    <t>おおずし</t>
  </si>
  <si>
    <t>0893</t>
  </si>
  <si>
    <t>795-00 797-15 797-16 799-34</t>
  </si>
  <si>
    <t>38210</t>
  </si>
  <si>
    <t>伊予市</t>
  </si>
  <si>
    <t>いよし</t>
  </si>
  <si>
    <t>791-32 799-31 799-32 799-33</t>
  </si>
  <si>
    <t>38213</t>
  </si>
  <si>
    <t>四国中央市</t>
  </si>
  <si>
    <t>しこくちゅうおうし</t>
  </si>
  <si>
    <t>0896</t>
  </si>
  <si>
    <t>799-01 799-03 799-04 799-06 799-07</t>
  </si>
  <si>
    <t>38214</t>
  </si>
  <si>
    <t>西予市</t>
  </si>
  <si>
    <t>せいよし</t>
  </si>
  <si>
    <t>796-09 797-00 797-01 797-02 797-11 797-12 797-13 797-14 797-17</t>
  </si>
  <si>
    <t>38215</t>
  </si>
  <si>
    <t>東温市</t>
  </si>
  <si>
    <t>とうおんし</t>
  </si>
  <si>
    <t>791-02 791-03</t>
  </si>
  <si>
    <t>38356</t>
  </si>
  <si>
    <t>越智郡上島町</t>
  </si>
  <si>
    <t>おちぐんかみじまちょう</t>
  </si>
  <si>
    <t>794-24 794-25</t>
  </si>
  <si>
    <t>38386</t>
  </si>
  <si>
    <t>上浮穴郡久万高原町</t>
  </si>
  <si>
    <t>かみうけなぐんくまこうげんちょう</t>
  </si>
  <si>
    <t>0892</t>
  </si>
  <si>
    <t>791-12 791-15 791-17 791-18</t>
  </si>
  <si>
    <t>38401</t>
  </si>
  <si>
    <t>伊予郡松前町</t>
  </si>
  <si>
    <t>いよぐんまさきちょう</t>
  </si>
  <si>
    <t>791-31</t>
  </si>
  <si>
    <t>38402</t>
  </si>
  <si>
    <t>伊予郡砥部町</t>
  </si>
  <si>
    <t>いよぐんとべちょう</t>
  </si>
  <si>
    <t>791-21 791-22</t>
  </si>
  <si>
    <t>38422</t>
  </si>
  <si>
    <t>喜多郡内子町</t>
  </si>
  <si>
    <t>きたぐんうちこちょう</t>
  </si>
  <si>
    <t>0893 0892</t>
  </si>
  <si>
    <t>791-33 791-35 795-03</t>
  </si>
  <si>
    <t>38442</t>
  </si>
  <si>
    <t>西宇和郡伊方町</t>
  </si>
  <si>
    <t>にしうわぐんいかたちょう</t>
  </si>
  <si>
    <t>796-03 796-04 796-05 796-06 796-08</t>
  </si>
  <si>
    <t>38484</t>
  </si>
  <si>
    <t>北宇和郡松野町</t>
  </si>
  <si>
    <t>きたうわぐんまつのちょう</t>
  </si>
  <si>
    <t>798-21</t>
  </si>
  <si>
    <t>38488</t>
  </si>
  <si>
    <t>北宇和郡鬼北町</t>
  </si>
  <si>
    <t>きたうわぐんきほくちょう</t>
  </si>
  <si>
    <t>798-13 798-15</t>
  </si>
  <si>
    <t>38506</t>
  </si>
  <si>
    <t>南宇和郡愛南町</t>
  </si>
  <si>
    <t>みなみうわぐんあいなんちょう</t>
  </si>
  <si>
    <t>798-37 798-41 798-42 798-43 798-44</t>
  </si>
  <si>
    <t>39201</t>
  </si>
  <si>
    <t>高知市</t>
  </si>
  <si>
    <t>こうちし</t>
  </si>
  <si>
    <t>780-00 780-08 780-09 780-80 781-00 781-01 781-02 781-03 781-31 781-32 781-51 781-81</t>
  </si>
  <si>
    <t>39202</t>
  </si>
  <si>
    <t>室戸市</t>
  </si>
  <si>
    <t>むろとし</t>
  </si>
  <si>
    <t>0887</t>
  </si>
  <si>
    <t>781-67 781-68 781-71 781-72</t>
  </si>
  <si>
    <t>39203</t>
  </si>
  <si>
    <t>安芸市</t>
  </si>
  <si>
    <t>あきし</t>
  </si>
  <si>
    <t>784-00 784-02</t>
  </si>
  <si>
    <t>39204</t>
  </si>
  <si>
    <t>南国市</t>
  </si>
  <si>
    <t>なんこくし</t>
  </si>
  <si>
    <t>783-00</t>
  </si>
  <si>
    <t>39205</t>
  </si>
  <si>
    <t>土佐市</t>
  </si>
  <si>
    <t>とさし</t>
  </si>
  <si>
    <t>781-11</t>
  </si>
  <si>
    <t>39206</t>
  </si>
  <si>
    <t>須崎市</t>
  </si>
  <si>
    <t>すさきし</t>
  </si>
  <si>
    <t>0889 088</t>
  </si>
  <si>
    <t>785-00 785-01</t>
  </si>
  <si>
    <t>39208</t>
  </si>
  <si>
    <t>宿毛市</t>
  </si>
  <si>
    <t>すくもし</t>
  </si>
  <si>
    <t>0880</t>
  </si>
  <si>
    <t>788-00 788-02 788-06 788-07</t>
  </si>
  <si>
    <t>39209</t>
  </si>
  <si>
    <t>土佐清水市</t>
  </si>
  <si>
    <t>とさしみずし</t>
  </si>
  <si>
    <t>787-02 787-03 787-04 787-05</t>
  </si>
  <si>
    <t>39210</t>
  </si>
  <si>
    <t>四万十市</t>
  </si>
  <si>
    <t>しまんとし</t>
  </si>
  <si>
    <t>787-00 787-01 787-06 787-07 787-11 787-12 787-13 787-14 787-15 787-16</t>
  </si>
  <si>
    <t>39211</t>
  </si>
  <si>
    <t>香南市</t>
  </si>
  <si>
    <t>781-52 781-53 781-54 781-56</t>
  </si>
  <si>
    <t>39212</t>
  </si>
  <si>
    <t>香美市</t>
  </si>
  <si>
    <t>かみし</t>
  </si>
  <si>
    <t>781-42 781-44 781-45 781-46 782-00 784-00 789-05</t>
  </si>
  <si>
    <t>39301</t>
  </si>
  <si>
    <t>安芸郡東洋町</t>
  </si>
  <si>
    <t>あきぐんとうようちょう</t>
  </si>
  <si>
    <t>781-73 781-74</t>
  </si>
  <si>
    <t>39302</t>
  </si>
  <si>
    <t>安芸郡奈半利町</t>
  </si>
  <si>
    <t>あきぐんなはりちょう</t>
  </si>
  <si>
    <t>781-64</t>
  </si>
  <si>
    <t>39303</t>
  </si>
  <si>
    <t>安芸郡田野町</t>
  </si>
  <si>
    <t>あきぐんたのちょう</t>
  </si>
  <si>
    <t>39304</t>
  </si>
  <si>
    <t>安芸郡安田町</t>
  </si>
  <si>
    <t>あきぐんやすだちょう</t>
  </si>
  <si>
    <t>39305</t>
  </si>
  <si>
    <t>安芸郡北川村</t>
  </si>
  <si>
    <t>あきぐんきたがわむら</t>
  </si>
  <si>
    <t>39306</t>
  </si>
  <si>
    <t>安芸郡馬路村</t>
  </si>
  <si>
    <t>あきぐんうまじむら</t>
  </si>
  <si>
    <t>781-62</t>
  </si>
  <si>
    <t>39307</t>
  </si>
  <si>
    <t>安芸郡芸西村</t>
  </si>
  <si>
    <t>あきぐんげいせいむら</t>
  </si>
  <si>
    <t>781-57</t>
  </si>
  <si>
    <t>39341</t>
  </si>
  <si>
    <t>長岡郡本山町</t>
  </si>
  <si>
    <t>ながおかぐんもとやまちょう</t>
  </si>
  <si>
    <t>781-36</t>
  </si>
  <si>
    <t>39344</t>
  </si>
  <si>
    <t>長岡郡大豊町</t>
  </si>
  <si>
    <t>ながおかぐんおおとよちょう</t>
  </si>
  <si>
    <t>789-01 789-02 789-03 789-04 789-05</t>
  </si>
  <si>
    <t>39363</t>
  </si>
  <si>
    <t>土佐郡土佐町</t>
  </si>
  <si>
    <t>とさぐんとさちょう</t>
  </si>
  <si>
    <t>781-33 781-34 781-35 781-37</t>
  </si>
  <si>
    <t>39364</t>
  </si>
  <si>
    <t>土佐郡大川村</t>
  </si>
  <si>
    <t>とさぐんおおかわむら</t>
  </si>
  <si>
    <t>781-37</t>
  </si>
  <si>
    <t>39386</t>
  </si>
  <si>
    <t>吾川郡いの町</t>
  </si>
  <si>
    <t>あがわぐんいのちょう</t>
  </si>
  <si>
    <t>781-21 781-23 781-24 781-25 781-26</t>
  </si>
  <si>
    <t>39387</t>
  </si>
  <si>
    <t>吾川郡仁淀川町</t>
  </si>
  <si>
    <t>あがわぐんによどがわちょう</t>
  </si>
  <si>
    <t>0889</t>
  </si>
  <si>
    <t>781-15 781-16 781-17 781-18 781-19</t>
  </si>
  <si>
    <t>39401</t>
  </si>
  <si>
    <t>高岡郡中土佐町</t>
  </si>
  <si>
    <t>たかおかぐんなかとさちょう</t>
  </si>
  <si>
    <t>789-13 789-14</t>
  </si>
  <si>
    <t>39402</t>
  </si>
  <si>
    <t>高岡郡佐川町</t>
  </si>
  <si>
    <t>たかおかぐんさかわちょう</t>
  </si>
  <si>
    <t>789-12</t>
  </si>
  <si>
    <t>39403</t>
  </si>
  <si>
    <t>高岡郡越知町</t>
  </si>
  <si>
    <t>たかおかぐんおちちょう</t>
  </si>
  <si>
    <t>781-13</t>
  </si>
  <si>
    <t>39405</t>
  </si>
  <si>
    <t>高岡郡梼原町</t>
  </si>
  <si>
    <t>たかおかぐんゆすはらちょう</t>
  </si>
  <si>
    <t>785-06 785-07</t>
  </si>
  <si>
    <t>39410</t>
  </si>
  <si>
    <t>高岡郡日高村</t>
  </si>
  <si>
    <t>たかおかぐんひだかむら</t>
  </si>
  <si>
    <t>781-21</t>
  </si>
  <si>
    <t>39411</t>
  </si>
  <si>
    <t>高岡郡津野町</t>
  </si>
  <si>
    <t>たかおかぐんつのちょう</t>
  </si>
  <si>
    <t>785-02 785-04 785-05</t>
  </si>
  <si>
    <t>39412</t>
  </si>
  <si>
    <t>高岡郡四万十町</t>
  </si>
  <si>
    <t>たかおかぐんしまんとちょう</t>
  </si>
  <si>
    <t>786-00 786-03 786-05</t>
  </si>
  <si>
    <t>39424</t>
  </si>
  <si>
    <t>幡多郡大月町</t>
  </si>
  <si>
    <t>はたぐんおおつきちょう</t>
  </si>
  <si>
    <t>788-03</t>
  </si>
  <si>
    <t>39427</t>
  </si>
  <si>
    <t>幡多郡三原村</t>
  </si>
  <si>
    <t>はたぐんみはらむら</t>
  </si>
  <si>
    <t>787-08</t>
  </si>
  <si>
    <t>39428</t>
  </si>
  <si>
    <t>幡多郡黒潮町</t>
  </si>
  <si>
    <t>はたぐんくろしおちょう</t>
  </si>
  <si>
    <t>789-17 789-19</t>
  </si>
  <si>
    <t>40100</t>
  </si>
  <si>
    <t>北九州市</t>
  </si>
  <si>
    <t>きたきゅうしゅうし</t>
  </si>
  <si>
    <t>40101</t>
  </si>
  <si>
    <t>北九州市門司区</t>
  </si>
  <si>
    <t>きたきゅうしゅうしもじく</t>
  </si>
  <si>
    <t>093</t>
  </si>
  <si>
    <t>800-00 800-01 801-08</t>
  </si>
  <si>
    <t>40103</t>
  </si>
  <si>
    <t>北九州市若松区</t>
  </si>
  <si>
    <t>きたきゅうしゅうしわかまつく</t>
  </si>
  <si>
    <t>808-00 808-01</t>
  </si>
  <si>
    <t>40105</t>
  </si>
  <si>
    <t>北九州市戸畑区</t>
  </si>
  <si>
    <t>きたきゅうしゅうしとばたく</t>
  </si>
  <si>
    <t>804-00</t>
  </si>
  <si>
    <t>40106</t>
  </si>
  <si>
    <t>北九州市小倉北区</t>
  </si>
  <si>
    <t>きたきゅうしゅうしこくらきたく</t>
  </si>
  <si>
    <t>802-00 803-08</t>
  </si>
  <si>
    <t>40107</t>
  </si>
  <si>
    <t>北九州市小倉南区</t>
  </si>
  <si>
    <t>きたきゅうしゅうしこくらみなみく</t>
  </si>
  <si>
    <t>800-02 800-03 802-00 802-08 802-09 803-01 803-02</t>
  </si>
  <si>
    <t>40108</t>
  </si>
  <si>
    <t>北九州市八幡東区</t>
  </si>
  <si>
    <t>きたきゅうしゅうしやはたひがしく</t>
  </si>
  <si>
    <t>805-00</t>
  </si>
  <si>
    <t>40109</t>
  </si>
  <si>
    <t>北九州市八幡西区</t>
  </si>
  <si>
    <t>きたきゅうしゅうしやはたにしく</t>
  </si>
  <si>
    <t>806-00 807-00 807-08 807-11 807-12</t>
  </si>
  <si>
    <t>40130</t>
  </si>
  <si>
    <t>福岡市</t>
  </si>
  <si>
    <t>ふくおかし</t>
  </si>
  <si>
    <t>40131</t>
  </si>
  <si>
    <t>福岡市東区</t>
  </si>
  <si>
    <t>ふくおかしひがしく</t>
  </si>
  <si>
    <t>092</t>
  </si>
  <si>
    <t>811-02 811-03 812-00 813-00</t>
  </si>
  <si>
    <t>40132</t>
  </si>
  <si>
    <t>福岡市博多区</t>
  </si>
  <si>
    <t>ふくおかしはかたく</t>
  </si>
  <si>
    <t>810-08 812-00 816-00</t>
  </si>
  <si>
    <t>40133</t>
  </si>
  <si>
    <t>福岡市中央区</t>
  </si>
  <si>
    <t>ふくおかしちゅうおうく</t>
  </si>
  <si>
    <t>810-00</t>
  </si>
  <si>
    <t>40134</t>
  </si>
  <si>
    <t>福岡市南区</t>
  </si>
  <si>
    <t>ふくおかしみなみく</t>
  </si>
  <si>
    <t>811-13 815-00</t>
  </si>
  <si>
    <t>40135</t>
  </si>
  <si>
    <t>福岡市西区</t>
  </si>
  <si>
    <t>ふくおかしにしく</t>
  </si>
  <si>
    <t>819-00 819-01 819-02 819-03</t>
  </si>
  <si>
    <t>40136</t>
  </si>
  <si>
    <t>福岡市城南区</t>
  </si>
  <si>
    <t>ふくおかしじょうなんく</t>
  </si>
  <si>
    <t>814-01</t>
  </si>
  <si>
    <t>40137</t>
  </si>
  <si>
    <t>福岡市早良区</t>
  </si>
  <si>
    <t>ふくおかしさわらく</t>
  </si>
  <si>
    <t>811-11 814-00 814-01</t>
  </si>
  <si>
    <t>40202</t>
  </si>
  <si>
    <t>大牟田市</t>
  </si>
  <si>
    <t>おおむたし</t>
  </si>
  <si>
    <t>0944</t>
  </si>
  <si>
    <t>836-00 836-08 837-09</t>
  </si>
  <si>
    <t>40203</t>
  </si>
  <si>
    <t>久留米市</t>
  </si>
  <si>
    <t>くるめし</t>
  </si>
  <si>
    <t>0942 0943</t>
  </si>
  <si>
    <t>830-00 830-01 830-02 830-11 839-00 839-08 839-12</t>
  </si>
  <si>
    <t>40204</t>
  </si>
  <si>
    <t>直方市</t>
  </si>
  <si>
    <t>のおがたし</t>
  </si>
  <si>
    <t>0949</t>
  </si>
  <si>
    <t>822-00</t>
  </si>
  <si>
    <t>40205</t>
  </si>
  <si>
    <t>飯塚市</t>
  </si>
  <si>
    <t>いいづかし</t>
  </si>
  <si>
    <t>0948 09496</t>
  </si>
  <si>
    <t>820-00 820-01 820-07 820-11</t>
  </si>
  <si>
    <t>40206</t>
  </si>
  <si>
    <t>田川市</t>
  </si>
  <si>
    <t>たがわし</t>
  </si>
  <si>
    <t>0947</t>
  </si>
  <si>
    <t>825-00 826-00</t>
  </si>
  <si>
    <t>40207</t>
  </si>
  <si>
    <t>柳川市</t>
  </si>
  <si>
    <t>やながわし</t>
  </si>
  <si>
    <t>832-00 832-08 839-02</t>
  </si>
  <si>
    <t>40210</t>
  </si>
  <si>
    <t>八女市</t>
  </si>
  <si>
    <t>やめし</t>
  </si>
  <si>
    <t>0943</t>
  </si>
  <si>
    <t>834-00 834-02 834-11 834-12 834-14</t>
  </si>
  <si>
    <t>40211</t>
  </si>
  <si>
    <t>筑後市</t>
  </si>
  <si>
    <t>ちくごし</t>
  </si>
  <si>
    <t>0942 0944</t>
  </si>
  <si>
    <t>833-00</t>
  </si>
  <si>
    <t>40212</t>
  </si>
  <si>
    <t>大川市</t>
  </si>
  <si>
    <t>おおかわし</t>
  </si>
  <si>
    <t>831-00</t>
  </si>
  <si>
    <t>40213</t>
  </si>
  <si>
    <t>行橋市</t>
  </si>
  <si>
    <t>ゆくはしし</t>
  </si>
  <si>
    <t>0930</t>
  </si>
  <si>
    <t>824-00</t>
  </si>
  <si>
    <t>40214</t>
  </si>
  <si>
    <t>豊前市</t>
  </si>
  <si>
    <t>ぶぜんし</t>
  </si>
  <si>
    <t>0979</t>
  </si>
  <si>
    <t>828-00</t>
  </si>
  <si>
    <t>40215</t>
  </si>
  <si>
    <t>中間市</t>
  </si>
  <si>
    <t>なかまし</t>
  </si>
  <si>
    <t>809-00</t>
  </si>
  <si>
    <t>40216</t>
  </si>
  <si>
    <t>小郡市</t>
  </si>
  <si>
    <t>おごおりし</t>
  </si>
  <si>
    <t>0942</t>
  </si>
  <si>
    <t>838-01</t>
  </si>
  <si>
    <t>40217</t>
  </si>
  <si>
    <t>筑紫野市</t>
  </si>
  <si>
    <t>ちくしのし</t>
  </si>
  <si>
    <t>818-00</t>
  </si>
  <si>
    <t>40218</t>
  </si>
  <si>
    <t>春日市</t>
  </si>
  <si>
    <t>かすがし</t>
  </si>
  <si>
    <t>816-00 816-08 816-09</t>
  </si>
  <si>
    <t>40219</t>
  </si>
  <si>
    <t>大野城市</t>
  </si>
  <si>
    <t>おおのじょうし</t>
  </si>
  <si>
    <t>40220</t>
  </si>
  <si>
    <t>宗像市</t>
  </si>
  <si>
    <t>むなかたし</t>
  </si>
  <si>
    <t>0940</t>
  </si>
  <si>
    <t>811-34 811-35 811-37 811-41</t>
  </si>
  <si>
    <t>40221</t>
  </si>
  <si>
    <t>太宰府市</t>
  </si>
  <si>
    <t>だざいふし</t>
  </si>
  <si>
    <t>818-01</t>
  </si>
  <si>
    <t>40223</t>
  </si>
  <si>
    <t>古賀市</t>
  </si>
  <si>
    <t>811-31</t>
  </si>
  <si>
    <t>40224</t>
  </si>
  <si>
    <t>福津市</t>
  </si>
  <si>
    <t>ふくつし</t>
  </si>
  <si>
    <t>811-32 811-33 811-35</t>
  </si>
  <si>
    <t>40225</t>
  </si>
  <si>
    <t>うきは市</t>
  </si>
  <si>
    <t>うきはし</t>
  </si>
  <si>
    <t>839-13 839-14</t>
  </si>
  <si>
    <t>40226</t>
  </si>
  <si>
    <t>宮若市</t>
  </si>
  <si>
    <t>みやわかし</t>
  </si>
  <si>
    <t>822-01 823-00</t>
  </si>
  <si>
    <t>40227</t>
  </si>
  <si>
    <t>嘉麻市</t>
  </si>
  <si>
    <t>かまし</t>
  </si>
  <si>
    <t>0948</t>
  </si>
  <si>
    <t>820-02 820-03 820-05 821-00</t>
  </si>
  <si>
    <t>40228</t>
  </si>
  <si>
    <t>朝倉市</t>
  </si>
  <si>
    <t>あさくらし</t>
  </si>
  <si>
    <t>0946</t>
  </si>
  <si>
    <t>838-00 838-13 838-15</t>
  </si>
  <si>
    <t>40229</t>
  </si>
  <si>
    <t>みやま市</t>
  </si>
  <si>
    <t>みやまし</t>
  </si>
  <si>
    <t>0944 0942</t>
  </si>
  <si>
    <t>835-00 835-01 839-02</t>
  </si>
  <si>
    <t>40230</t>
  </si>
  <si>
    <t>糸島市</t>
  </si>
  <si>
    <t>いとしまし</t>
  </si>
  <si>
    <t>819-11 819-13 819-15 819-16</t>
  </si>
  <si>
    <t>40305</t>
  </si>
  <si>
    <t>筑紫郡那珂川町</t>
  </si>
  <si>
    <t>ちくしぐんなかがわまち</t>
  </si>
  <si>
    <t>811-12</t>
  </si>
  <si>
    <t>40341</t>
  </si>
  <si>
    <t>糟屋郡宇美町</t>
  </si>
  <si>
    <t>かすやぐんうみまち</t>
  </si>
  <si>
    <t>811-21</t>
  </si>
  <si>
    <t>40342</t>
  </si>
  <si>
    <t>糟屋郡篠栗町</t>
  </si>
  <si>
    <t>かすやぐんささぐりまち</t>
  </si>
  <si>
    <t>811-24</t>
  </si>
  <si>
    <t>40343</t>
  </si>
  <si>
    <t>糟屋郡志免町</t>
  </si>
  <si>
    <t>かすやぐんしめまち</t>
  </si>
  <si>
    <t>811-22</t>
  </si>
  <si>
    <t>40344</t>
  </si>
  <si>
    <t>糟屋郡須恵町</t>
  </si>
  <si>
    <t>かすやぐんすえまち</t>
  </si>
  <si>
    <t>811-21 811-22</t>
  </si>
  <si>
    <t>40345</t>
  </si>
  <si>
    <t>糟屋郡新宮町</t>
  </si>
  <si>
    <t>かすやぐんしんぐうまち</t>
  </si>
  <si>
    <t>811-01</t>
  </si>
  <si>
    <t>40348</t>
  </si>
  <si>
    <t>糟屋郡久山町</t>
  </si>
  <si>
    <t>かすやぐんひさやままち</t>
  </si>
  <si>
    <t>811-25</t>
  </si>
  <si>
    <t>40349</t>
  </si>
  <si>
    <t>糟屋郡粕屋町</t>
  </si>
  <si>
    <t>かすやぐんかすやまち</t>
  </si>
  <si>
    <t>811-23 813-00</t>
  </si>
  <si>
    <t>40381</t>
  </si>
  <si>
    <t>遠賀郡芦屋町</t>
  </si>
  <si>
    <t>おんがぐんあしやまち</t>
  </si>
  <si>
    <t>807-01</t>
  </si>
  <si>
    <t>40382</t>
  </si>
  <si>
    <t>遠賀郡水巻町</t>
  </si>
  <si>
    <t>おんがぐんみずまきまち</t>
  </si>
  <si>
    <t>807-00</t>
  </si>
  <si>
    <t>40383</t>
  </si>
  <si>
    <t>遠賀郡岡垣町</t>
  </si>
  <si>
    <t>おんがぐんおかがきまち</t>
  </si>
  <si>
    <t>811-42</t>
  </si>
  <si>
    <t>40384</t>
  </si>
  <si>
    <t>遠賀郡遠賀町</t>
  </si>
  <si>
    <t>おんがぐんおんがちょう</t>
  </si>
  <si>
    <t>811-43</t>
  </si>
  <si>
    <t>40401</t>
  </si>
  <si>
    <t>鞍手郡小竹町</t>
  </si>
  <si>
    <t>くらてぐんこたけまち</t>
  </si>
  <si>
    <t>09496</t>
  </si>
  <si>
    <t>820-11</t>
  </si>
  <si>
    <t>40402</t>
  </si>
  <si>
    <t>鞍手郡鞍手町</t>
  </si>
  <si>
    <t>くらてぐんくらてまち</t>
  </si>
  <si>
    <t>807-13</t>
  </si>
  <si>
    <t>40421</t>
  </si>
  <si>
    <t>嘉穂郡桂川町</t>
  </si>
  <si>
    <t>かほぐんけいせんまち</t>
  </si>
  <si>
    <t>820-06</t>
  </si>
  <si>
    <t>40447</t>
  </si>
  <si>
    <t>朝倉郡筑前町</t>
  </si>
  <si>
    <t>あさくらぐんちくぜんまち</t>
  </si>
  <si>
    <t>838-00 838-02 838-08</t>
  </si>
  <si>
    <t>40448</t>
  </si>
  <si>
    <t>朝倉郡東峰村</t>
  </si>
  <si>
    <t>あさくらぐんとうほうむら</t>
  </si>
  <si>
    <t>838-16 838-17</t>
  </si>
  <si>
    <t>40503</t>
  </si>
  <si>
    <t>三井郡大刀洗町</t>
  </si>
  <si>
    <t>みいぐんたちあらいまち</t>
  </si>
  <si>
    <t>830-12</t>
  </si>
  <si>
    <t>40522</t>
  </si>
  <si>
    <t>三潴郡大木町</t>
  </si>
  <si>
    <t>みずまぐんおおきまち</t>
  </si>
  <si>
    <t>830-04</t>
  </si>
  <si>
    <t>40544</t>
  </si>
  <si>
    <t>八女郡広川町</t>
  </si>
  <si>
    <t>やめぐんひろかわまち</t>
  </si>
  <si>
    <t>0943 0942</t>
  </si>
  <si>
    <t>834-01</t>
  </si>
  <si>
    <t>40601</t>
  </si>
  <si>
    <t>田川郡香春町</t>
  </si>
  <si>
    <t>たがわぐんかわらまち</t>
  </si>
  <si>
    <t>822-14</t>
  </si>
  <si>
    <t>40602</t>
  </si>
  <si>
    <t>田川郡添田町</t>
  </si>
  <si>
    <t>たがわぐんそえだまち</t>
  </si>
  <si>
    <t>824-04 824-06 824-07</t>
  </si>
  <si>
    <t>40604</t>
  </si>
  <si>
    <t>田川郡糸田町</t>
  </si>
  <si>
    <t>たがわぐんいとだまち</t>
  </si>
  <si>
    <t>822-13</t>
  </si>
  <si>
    <t>40605</t>
  </si>
  <si>
    <t>田川郡川崎町</t>
  </si>
  <si>
    <t>たがわぐんかわさきまち</t>
  </si>
  <si>
    <t>826-00 827-00</t>
  </si>
  <si>
    <t>40608</t>
  </si>
  <si>
    <t>田川郡大任町</t>
  </si>
  <si>
    <t>たがわぐんおおとうまち</t>
  </si>
  <si>
    <t>824-05</t>
  </si>
  <si>
    <t>40609</t>
  </si>
  <si>
    <t>田川郡赤村</t>
  </si>
  <si>
    <t>たがわぐんあかむら</t>
  </si>
  <si>
    <t>824-04</t>
  </si>
  <si>
    <t>40610</t>
  </si>
  <si>
    <t>田川郡福智町</t>
  </si>
  <si>
    <t>たがわぐんふくちまち</t>
  </si>
  <si>
    <t>822-11 822-12</t>
  </si>
  <si>
    <t>40621</t>
  </si>
  <si>
    <t>京都郡苅田町</t>
  </si>
  <si>
    <t>みやこぐんかんだまち</t>
  </si>
  <si>
    <t>093 0930</t>
  </si>
  <si>
    <t>800-03</t>
  </si>
  <si>
    <t>40625</t>
  </si>
  <si>
    <t>京都郡みやこ町</t>
  </si>
  <si>
    <t>みやこぐんみやこまち</t>
  </si>
  <si>
    <t>824-01 824-02 824-08</t>
  </si>
  <si>
    <t>40642</t>
  </si>
  <si>
    <t>築上郡吉富町</t>
  </si>
  <si>
    <t>ちくじょうぐんよしとみまち</t>
  </si>
  <si>
    <t>871-00 871-08</t>
  </si>
  <si>
    <t>40646</t>
  </si>
  <si>
    <t>築上郡上毛町</t>
  </si>
  <si>
    <t>ちくじょうぐんこうげまち</t>
  </si>
  <si>
    <t>871-02 871-09</t>
  </si>
  <si>
    <t>40647</t>
  </si>
  <si>
    <t>築上郡築上町</t>
  </si>
  <si>
    <t>ちくじょうぐんちくじょうまち</t>
  </si>
  <si>
    <t>829-01 829-03</t>
  </si>
  <si>
    <t>41201</t>
  </si>
  <si>
    <t>佐賀市</t>
  </si>
  <si>
    <t>さがし</t>
  </si>
  <si>
    <t>0952</t>
  </si>
  <si>
    <t>840-00 840-02 840-05 840-08 840-21 840-22 842-03 849-00 849-02 849-09</t>
  </si>
  <si>
    <t>41202</t>
  </si>
  <si>
    <t>唐津市</t>
  </si>
  <si>
    <t>からつし</t>
  </si>
  <si>
    <t>0955</t>
  </si>
  <si>
    <t>847-00 847-01 847-03 847-04 847-08 847-11 847-12 847-15 849-31 849-32 849-51</t>
  </si>
  <si>
    <t>41203</t>
  </si>
  <si>
    <t>鳥栖市</t>
  </si>
  <si>
    <t>とすし</t>
  </si>
  <si>
    <t>841-00</t>
  </si>
  <si>
    <t>41204</t>
  </si>
  <si>
    <t>多久市</t>
  </si>
  <si>
    <t>たくし</t>
  </si>
  <si>
    <t>846-00</t>
  </si>
  <si>
    <t>41205</t>
  </si>
  <si>
    <t>伊万里市</t>
  </si>
  <si>
    <t>いまりし</t>
  </si>
  <si>
    <t>848-00 848-01 849-42 849-52</t>
  </si>
  <si>
    <t>41206</t>
  </si>
  <si>
    <t>武雄市</t>
  </si>
  <si>
    <t>たけおし</t>
  </si>
  <si>
    <t>0954</t>
  </si>
  <si>
    <t>843-00 843-01 843-02 849-22 849-23</t>
  </si>
  <si>
    <t>41207</t>
  </si>
  <si>
    <t>鹿島市</t>
  </si>
  <si>
    <t>849-13</t>
  </si>
  <si>
    <t>41208</t>
  </si>
  <si>
    <t>小城市</t>
  </si>
  <si>
    <t>おぎし</t>
  </si>
  <si>
    <t>845-00 849-03</t>
  </si>
  <si>
    <t>41209</t>
  </si>
  <si>
    <t>嬉野市</t>
  </si>
  <si>
    <t>うれしのし</t>
  </si>
  <si>
    <t>843-03 849-14</t>
  </si>
  <si>
    <t>41210</t>
  </si>
  <si>
    <t>神埼市</t>
  </si>
  <si>
    <t>かんざきし</t>
  </si>
  <si>
    <t>842-00 842-01 842-02</t>
  </si>
  <si>
    <t>41327</t>
  </si>
  <si>
    <t>神埼郡吉野ヶ里町</t>
  </si>
  <si>
    <t>かんざきぐんよしのがりちょう</t>
  </si>
  <si>
    <t>842-00 842-01</t>
  </si>
  <si>
    <t>41341</t>
  </si>
  <si>
    <t>三養基郡基山町</t>
  </si>
  <si>
    <t>みやきぐんきやまちょう</t>
  </si>
  <si>
    <t>841-02</t>
  </si>
  <si>
    <t>41345</t>
  </si>
  <si>
    <t>三養基郡上峰町</t>
  </si>
  <si>
    <t>みやきぐんかみみねちょう</t>
  </si>
  <si>
    <t>849-01</t>
  </si>
  <si>
    <t>41346</t>
  </si>
  <si>
    <t>三養基郡みやき町</t>
  </si>
  <si>
    <t>みやきぐんみやきちょう</t>
  </si>
  <si>
    <t>840-11 849-01</t>
  </si>
  <si>
    <t>41387</t>
  </si>
  <si>
    <t>東松浦郡玄海町</t>
  </si>
  <si>
    <t>ひがしまつうらぐんげんかいちょう</t>
  </si>
  <si>
    <t>847-14</t>
  </si>
  <si>
    <t>41401</t>
  </si>
  <si>
    <t>西松浦郡有田町</t>
  </si>
  <si>
    <t>にしまつうらぐんありたちょう</t>
  </si>
  <si>
    <t>844-00 849-41</t>
  </si>
  <si>
    <t>41423</t>
  </si>
  <si>
    <t>杵島郡大町町</t>
  </si>
  <si>
    <t>きしまぐんおおまちちょう</t>
  </si>
  <si>
    <t>849-21</t>
  </si>
  <si>
    <t>41424</t>
  </si>
  <si>
    <t>杵島郡江北町</t>
  </si>
  <si>
    <t>きしまぐんこうほくまち</t>
  </si>
  <si>
    <t>849-05</t>
  </si>
  <si>
    <t>41425</t>
  </si>
  <si>
    <t>杵島郡白石町</t>
  </si>
  <si>
    <t>きしまぐんしろいしちょう</t>
  </si>
  <si>
    <t>0952 0954</t>
  </si>
  <si>
    <t>849-04 849-11 849-12</t>
  </si>
  <si>
    <t>41441</t>
  </si>
  <si>
    <t>藤津郡太良町</t>
  </si>
  <si>
    <t>ふじつぐんたらちょう</t>
  </si>
  <si>
    <t>849-16</t>
  </si>
  <si>
    <t>42201</t>
  </si>
  <si>
    <t>長崎市</t>
  </si>
  <si>
    <t>ながさきし</t>
  </si>
  <si>
    <t>095 0959</t>
  </si>
  <si>
    <t>850-00 850-08 850-09 851-01 851-02 851-03 851-04 851-05 851-11 851-12 851-13 851-22 851-23 851-24 851-31 851-32 852-80 852-81 857-00</t>
  </si>
  <si>
    <t>42202</t>
  </si>
  <si>
    <t>佐世保市</t>
  </si>
  <si>
    <t>させぼし</t>
  </si>
  <si>
    <t>0956 0959</t>
  </si>
  <si>
    <t>857-00 857-01 857-04 857-08 857-11 857-12 857-32 857-48 857-49 858-09 859-31 859-32 859-34 859-61 859-62 859-63 859-64</t>
  </si>
  <si>
    <t>42203</t>
  </si>
  <si>
    <t>島原市</t>
  </si>
  <si>
    <t>しまばらし</t>
  </si>
  <si>
    <t>0957</t>
  </si>
  <si>
    <t>855-00 855-08 859-14</t>
  </si>
  <si>
    <t>42204</t>
  </si>
  <si>
    <t>諫早市</t>
  </si>
  <si>
    <t>いさはやし</t>
  </si>
  <si>
    <t>854-00 854-01 854-02 854-11 859-01 859-03 859-04</t>
  </si>
  <si>
    <t>42205</t>
  </si>
  <si>
    <t>大村市</t>
  </si>
  <si>
    <t>おおむらし</t>
  </si>
  <si>
    <t>856-00 856-08</t>
  </si>
  <si>
    <t>42207</t>
  </si>
  <si>
    <t>平戸市</t>
  </si>
  <si>
    <t>ひらどし</t>
  </si>
  <si>
    <t>0950</t>
  </si>
  <si>
    <t>859-48 859-51 859-53 859-55 859-57 859-58</t>
  </si>
  <si>
    <t>42208</t>
  </si>
  <si>
    <t>松浦市</t>
  </si>
  <si>
    <t>まつうらし</t>
  </si>
  <si>
    <t>0956 0955</t>
  </si>
  <si>
    <t>848-04 859-43 859-45 859-47</t>
  </si>
  <si>
    <t>42209</t>
  </si>
  <si>
    <t>対馬市</t>
  </si>
  <si>
    <t>0920</t>
  </si>
  <si>
    <t>817-00 817-01 817-02 817-03 817-04 817-05 817-11 817-12 817-13 817-14 817-15 817-16 817-17 817-22 817-23</t>
  </si>
  <si>
    <t>42210</t>
  </si>
  <si>
    <t>壱岐市</t>
  </si>
  <si>
    <t>いきし</t>
  </si>
  <si>
    <t>811-51 811-52 811-53 811-54 811-55 811-57</t>
  </si>
  <si>
    <t>42211</t>
  </si>
  <si>
    <t>五島市</t>
  </si>
  <si>
    <t>ごとうし</t>
  </si>
  <si>
    <t>0959</t>
  </si>
  <si>
    <t>853-00 853-02 853-03 853-04 853-05 853-06 853-07 853-21 853-22 853-24</t>
  </si>
  <si>
    <t>42212</t>
  </si>
  <si>
    <t>西海市</t>
  </si>
  <si>
    <t>さいかいし</t>
  </si>
  <si>
    <t>851-33 851-34 851-35 857-22 857-23 857-24 857-25 857-31 857-33</t>
  </si>
  <si>
    <t>42213</t>
  </si>
  <si>
    <t>雲仙市</t>
  </si>
  <si>
    <t>うんぜんし</t>
  </si>
  <si>
    <t>854-03 854-04 854-05 854-06 854-07 859-11 859-12 859-13</t>
  </si>
  <si>
    <t>42214</t>
  </si>
  <si>
    <t>南島原市</t>
  </si>
  <si>
    <t>みなみしまばらし</t>
  </si>
  <si>
    <t>859-15 859-21 859-22 859-23 859-24 859-25 859-26</t>
  </si>
  <si>
    <t>42307</t>
  </si>
  <si>
    <t>西彼杵郡長与町</t>
  </si>
  <si>
    <t>にしそのぎぐんながよちょう</t>
  </si>
  <si>
    <t>095</t>
  </si>
  <si>
    <t>851-21</t>
  </si>
  <si>
    <t>42308</t>
  </si>
  <si>
    <t>西彼杵郡時津町</t>
  </si>
  <si>
    <t>にしそのぎぐんとぎつちょう</t>
  </si>
  <si>
    <t>42321</t>
  </si>
  <si>
    <t>東彼杵郡東彼杵町</t>
  </si>
  <si>
    <t>ひがしそのぎぐんひがしそのぎちょう</t>
  </si>
  <si>
    <t>859-38 859-39</t>
  </si>
  <si>
    <t>42322</t>
  </si>
  <si>
    <t>東彼杵郡川棚町</t>
  </si>
  <si>
    <t>ひがしそのぎぐんかわたなちょう</t>
  </si>
  <si>
    <t>0956</t>
  </si>
  <si>
    <t>859-36</t>
  </si>
  <si>
    <t>42323</t>
  </si>
  <si>
    <t>東彼杵郡波佐見町</t>
  </si>
  <si>
    <t>ひがしそのぎぐんはさみちょう</t>
  </si>
  <si>
    <t>859-37</t>
  </si>
  <si>
    <t>42383</t>
  </si>
  <si>
    <t>北松浦郡小値賀町</t>
  </si>
  <si>
    <t>きたまつうらぐんおぢかちょう</t>
  </si>
  <si>
    <t>857-47</t>
  </si>
  <si>
    <t>42391</t>
  </si>
  <si>
    <t>北松浦郡佐々町</t>
  </si>
  <si>
    <t>きたまつうらぐんさざちょう</t>
  </si>
  <si>
    <t>857-03</t>
  </si>
  <si>
    <t>42411</t>
  </si>
  <si>
    <t>南松浦郡新上五島町</t>
  </si>
  <si>
    <t>みなみまつうらぐんしんかみごとうちょう</t>
  </si>
  <si>
    <t>853-23 853-31 853-33 857-41 857-42 857-44 857-45 857-46</t>
  </si>
  <si>
    <t>43100</t>
  </si>
  <si>
    <t>熊本市</t>
  </si>
  <si>
    <t>くまもとし</t>
  </si>
  <si>
    <t>43101</t>
  </si>
  <si>
    <t>熊本市中央区</t>
  </si>
  <si>
    <t>くまもとしちゅうおうく</t>
  </si>
  <si>
    <t>096</t>
  </si>
  <si>
    <t>860-00 860-08 861-00 861-80 862-09</t>
  </si>
  <si>
    <t>43102</t>
  </si>
  <si>
    <t>熊本市東区</t>
  </si>
  <si>
    <t>くまもとしひがしく</t>
  </si>
  <si>
    <t>861-00 861-21 861-80 862-09</t>
  </si>
  <si>
    <t>43103</t>
  </si>
  <si>
    <t>熊本市西区</t>
  </si>
  <si>
    <t>くまもとしにしく</t>
  </si>
  <si>
    <t>860-00 861-00 861-52 861-53</t>
  </si>
  <si>
    <t>43104</t>
  </si>
  <si>
    <t>熊本市南区</t>
  </si>
  <si>
    <t>くまもとしみなみく</t>
  </si>
  <si>
    <t>096 0964</t>
  </si>
  <si>
    <t>860-08 861-00 861-41 861-42 861-52 862-09</t>
  </si>
  <si>
    <t>43105</t>
  </si>
  <si>
    <t>熊本市北区</t>
  </si>
  <si>
    <t>くまもとしきたく</t>
  </si>
  <si>
    <t>860-00 860-08 861-00 861-01 861-55 861-80</t>
  </si>
  <si>
    <t>43202</t>
  </si>
  <si>
    <t>八代市</t>
  </si>
  <si>
    <t>やつしろし</t>
  </si>
  <si>
    <t>0965</t>
  </si>
  <si>
    <t>866-00 866-08 869-42 869-43 869-44 869-45 869-46 869-47 869-51 869-52 869-61</t>
  </si>
  <si>
    <t>43203</t>
  </si>
  <si>
    <t>人吉市</t>
  </si>
  <si>
    <t>ひとよしし</t>
  </si>
  <si>
    <t>0966</t>
  </si>
  <si>
    <t>868-00 868-08</t>
  </si>
  <si>
    <t>43204</t>
  </si>
  <si>
    <t>荒尾市</t>
  </si>
  <si>
    <t>あらおし</t>
  </si>
  <si>
    <t>0968 0944</t>
  </si>
  <si>
    <t>864-00 864-01</t>
  </si>
  <si>
    <t>43205</t>
  </si>
  <si>
    <t>水俣市</t>
  </si>
  <si>
    <t>みなまたし</t>
  </si>
  <si>
    <t>867-00 867-01 867-02</t>
  </si>
  <si>
    <t>43206</t>
  </si>
  <si>
    <t>玉名市</t>
  </si>
  <si>
    <t>たまなし</t>
  </si>
  <si>
    <t>0968</t>
  </si>
  <si>
    <t>861-54 865-00 869-02</t>
  </si>
  <si>
    <t>43208</t>
  </si>
  <si>
    <t>山鹿市</t>
  </si>
  <si>
    <t>やまがし</t>
  </si>
  <si>
    <t>861-03 861-04 861-05 861-06</t>
  </si>
  <si>
    <t>43210</t>
  </si>
  <si>
    <t>菊池市</t>
  </si>
  <si>
    <t>きくちし</t>
  </si>
  <si>
    <t>861-12 861-13 861-14 861-16 869-12</t>
  </si>
  <si>
    <t>43211</t>
  </si>
  <si>
    <t>宇土市</t>
  </si>
  <si>
    <t>うとし</t>
  </si>
  <si>
    <t>0964</t>
  </si>
  <si>
    <t>869-04 869-31</t>
  </si>
  <si>
    <t>43212</t>
  </si>
  <si>
    <t>上天草市</t>
  </si>
  <si>
    <t>かみあまくさし</t>
  </si>
  <si>
    <t>0964 0969</t>
  </si>
  <si>
    <t>861-61 866-01 866-02 869-36 869-37</t>
  </si>
  <si>
    <t>43213</t>
  </si>
  <si>
    <t>宇城市</t>
  </si>
  <si>
    <t>うきし</t>
  </si>
  <si>
    <t>861-43 869-05 869-06 869-32 869-34</t>
  </si>
  <si>
    <t>43214</t>
  </si>
  <si>
    <t>阿蘇市</t>
  </si>
  <si>
    <t>あそし</t>
  </si>
  <si>
    <t>0967</t>
  </si>
  <si>
    <t>869-22 869-23 869-24 869-26 869-28</t>
  </si>
  <si>
    <t>43215</t>
  </si>
  <si>
    <t>天草市</t>
  </si>
  <si>
    <t>あまくさし</t>
  </si>
  <si>
    <t>0969</t>
  </si>
  <si>
    <t>861-63 861-64 861-65 861-72 861-73 863-00 863-01 863-11 863-12 863-14 863-15 863-17 863-19 863-21 863-22 863-23 863-24 863-28 866-03</t>
  </si>
  <si>
    <t>43216</t>
  </si>
  <si>
    <t>合志市</t>
  </si>
  <si>
    <t>こうしし</t>
  </si>
  <si>
    <t>861-11</t>
  </si>
  <si>
    <t>43348</t>
  </si>
  <si>
    <t>下益城郡美里町</t>
  </si>
  <si>
    <t>しもましきぐんみさとまち</t>
  </si>
  <si>
    <t>861-44 861-47</t>
  </si>
  <si>
    <t>43364</t>
  </si>
  <si>
    <t>玉名郡玉東町</t>
  </si>
  <si>
    <t>たまなぐんぎょくとうまち</t>
  </si>
  <si>
    <t>869-03</t>
  </si>
  <si>
    <t>43367</t>
  </si>
  <si>
    <t>玉名郡南関町</t>
  </si>
  <si>
    <t>たまなぐんなんかんまち</t>
  </si>
  <si>
    <t>861-08</t>
  </si>
  <si>
    <t>43368</t>
  </si>
  <si>
    <t>玉名郡長洲町</t>
  </si>
  <si>
    <t>たまなぐんながすまち</t>
  </si>
  <si>
    <t>869-01</t>
  </si>
  <si>
    <t>43369</t>
  </si>
  <si>
    <t>玉名郡和水町</t>
  </si>
  <si>
    <t>たまなぐんなごみまち</t>
  </si>
  <si>
    <t>861-09 865-01</t>
  </si>
  <si>
    <t>43403</t>
  </si>
  <si>
    <t>菊池郡大津町</t>
  </si>
  <si>
    <t>きくちぐんおおづまち</t>
  </si>
  <si>
    <t>869-12</t>
  </si>
  <si>
    <t>43404</t>
  </si>
  <si>
    <t>菊池郡菊陽町</t>
  </si>
  <si>
    <t>きくちぐんきくようまち</t>
  </si>
  <si>
    <t>869-11</t>
  </si>
  <si>
    <t>43423</t>
  </si>
  <si>
    <t>阿蘇郡南小国町</t>
  </si>
  <si>
    <t>あそぐんみなみおぐにまち</t>
  </si>
  <si>
    <t>869-24</t>
  </si>
  <si>
    <t>43424</t>
  </si>
  <si>
    <t>阿蘇郡小国町</t>
  </si>
  <si>
    <t>あそぐんおぐにまち</t>
  </si>
  <si>
    <t>869-25</t>
  </si>
  <si>
    <t>43425</t>
  </si>
  <si>
    <t>阿蘇郡産山村</t>
  </si>
  <si>
    <t>あそぐんうぶやまむら</t>
  </si>
  <si>
    <t>869-27</t>
  </si>
  <si>
    <t>43428</t>
  </si>
  <si>
    <t>阿蘇郡高森町</t>
  </si>
  <si>
    <t>あそぐんたかもりまち</t>
  </si>
  <si>
    <t>869-16 869-18</t>
  </si>
  <si>
    <t>43432</t>
  </si>
  <si>
    <t>阿蘇郡西原村</t>
  </si>
  <si>
    <t>あそぐんにしはらむら</t>
  </si>
  <si>
    <t>861-24</t>
  </si>
  <si>
    <t>43433</t>
  </si>
  <si>
    <t>阿蘇郡南阿蘇村</t>
  </si>
  <si>
    <t>あそぐんみなみあそむら</t>
  </si>
  <si>
    <t>869-14 869-15 869-22</t>
  </si>
  <si>
    <t>43441</t>
  </si>
  <si>
    <t>上益城郡御船町</t>
  </si>
  <si>
    <t>かみましきぐんみふねまち</t>
  </si>
  <si>
    <t>861-31 861-32 861-33 861-34</t>
  </si>
  <si>
    <t>43442</t>
  </si>
  <si>
    <t>上益城郡嘉島町</t>
  </si>
  <si>
    <t>かみましきぐんかしままち</t>
  </si>
  <si>
    <t>861-31</t>
  </si>
  <si>
    <t>43443</t>
  </si>
  <si>
    <t>上益城郡益城町</t>
  </si>
  <si>
    <t>かみましきぐんましきまち</t>
  </si>
  <si>
    <t>861-22</t>
  </si>
  <si>
    <t>43444</t>
  </si>
  <si>
    <t>上益城郡甲佐町</t>
  </si>
  <si>
    <t>かみましきぐんこうさまち</t>
  </si>
  <si>
    <t>861-32 861-46</t>
  </si>
  <si>
    <t>43447</t>
  </si>
  <si>
    <t>上益城郡山都町</t>
  </si>
  <si>
    <t>かみましきぐんやまとちょう</t>
  </si>
  <si>
    <t>861-34 861-35 861-36 861-37 861-38 861-39</t>
  </si>
  <si>
    <t>43468</t>
  </si>
  <si>
    <t>八代郡氷川町</t>
  </si>
  <si>
    <t>やつしろぐんひかわちょう</t>
  </si>
  <si>
    <t>0965 0964</t>
  </si>
  <si>
    <t>869-46 869-48</t>
  </si>
  <si>
    <t>43482</t>
  </si>
  <si>
    <t>葦北郡芦北町</t>
  </si>
  <si>
    <t>あしきたぐんあしきたまち</t>
  </si>
  <si>
    <t>869-53 869-54 869-55 869-62 869-63</t>
  </si>
  <si>
    <t>43484</t>
  </si>
  <si>
    <t>葦北郡津奈木町</t>
  </si>
  <si>
    <t>あしきたぐんつなぎまち</t>
  </si>
  <si>
    <t>869-56</t>
  </si>
  <si>
    <t>43501</t>
  </si>
  <si>
    <t>球磨郡錦町</t>
  </si>
  <si>
    <t>くまぐんにしきまち</t>
  </si>
  <si>
    <t>868-03</t>
  </si>
  <si>
    <t>43505</t>
  </si>
  <si>
    <t>球磨郡多良木町</t>
  </si>
  <si>
    <t>くまぐんたらぎまち</t>
  </si>
  <si>
    <t>868-05</t>
  </si>
  <si>
    <t>43506</t>
  </si>
  <si>
    <t>球磨郡湯前町</t>
  </si>
  <si>
    <t>くまぐんゆのまえまち</t>
  </si>
  <si>
    <t>868-06</t>
  </si>
  <si>
    <t>43507</t>
  </si>
  <si>
    <t>球磨郡水上村</t>
  </si>
  <si>
    <t>くまぐんみずかみむら</t>
  </si>
  <si>
    <t>868-07</t>
  </si>
  <si>
    <t>43510</t>
  </si>
  <si>
    <t>球磨郡相良村</t>
  </si>
  <si>
    <t>くまぐんさがらむら</t>
  </si>
  <si>
    <t>868-00 868-01</t>
  </si>
  <si>
    <t>43511</t>
  </si>
  <si>
    <t>球磨郡五木村</t>
  </si>
  <si>
    <t>くまぐんいつきむら</t>
  </si>
  <si>
    <t>868-02</t>
  </si>
  <si>
    <t>43512</t>
  </si>
  <si>
    <t>球磨郡山江村</t>
  </si>
  <si>
    <t>くまぐんやまえむら</t>
  </si>
  <si>
    <t>868-00</t>
  </si>
  <si>
    <t>43513</t>
  </si>
  <si>
    <t>球磨郡球磨村</t>
  </si>
  <si>
    <t>くまぐんくまむら</t>
  </si>
  <si>
    <t>869-62 869-64</t>
  </si>
  <si>
    <t>43514</t>
  </si>
  <si>
    <t>球磨郡あさぎり町</t>
  </si>
  <si>
    <t>くまぐんあさぎりちょう</t>
  </si>
  <si>
    <t>868-04</t>
  </si>
  <si>
    <t>43531</t>
  </si>
  <si>
    <t>天草郡苓北町</t>
  </si>
  <si>
    <t>あまくさぐんれいほくまち</t>
  </si>
  <si>
    <t>863-25 863-26</t>
  </si>
  <si>
    <t>44201</t>
  </si>
  <si>
    <t>大分市</t>
  </si>
  <si>
    <t>おおいたし</t>
  </si>
  <si>
    <t>097</t>
  </si>
  <si>
    <t>870-00 870-01 870-02 870-03 870-08 870-09 870-11 870-12 879-21 879-22 879-75 879-77 879-78</t>
  </si>
  <si>
    <t>44202</t>
  </si>
  <si>
    <t>別府市</t>
  </si>
  <si>
    <t>べっぷし</t>
  </si>
  <si>
    <t>0977</t>
  </si>
  <si>
    <t>874-00 874-08 874-09 879-55</t>
  </si>
  <si>
    <t>44203</t>
  </si>
  <si>
    <t>中津市</t>
  </si>
  <si>
    <t>なかつし</t>
  </si>
  <si>
    <t>871-00 871-01 871-02 871-03 871-04 871-07 879-01 879-02</t>
  </si>
  <si>
    <t>44204</t>
  </si>
  <si>
    <t>日田市</t>
  </si>
  <si>
    <t>ひたし</t>
  </si>
  <si>
    <t>0973</t>
  </si>
  <si>
    <t>839-14 877-00 877-01 877-02 877-03 877-11 877-12 877-13 879-41 879-42</t>
  </si>
  <si>
    <t>44205</t>
  </si>
  <si>
    <t>佐伯市</t>
  </si>
  <si>
    <t>さいきし</t>
  </si>
  <si>
    <t>0972</t>
  </si>
  <si>
    <t>876-00 876-01 876-02 876-08 876-11 876-12 876-13 876-14 876-15 876-21 876-22 876-23 876-24 879-26 879-31 879-32 879-33 879-34</t>
  </si>
  <si>
    <t>44206</t>
  </si>
  <si>
    <t>臼杵市</t>
  </si>
  <si>
    <t>うすきし</t>
  </si>
  <si>
    <t>0972 0974</t>
  </si>
  <si>
    <t>875-00 875-02 875-03</t>
  </si>
  <si>
    <t>44207</t>
  </si>
  <si>
    <t>津久見市</t>
  </si>
  <si>
    <t>つくみし</t>
  </si>
  <si>
    <t>879-24 879-25 879-26</t>
  </si>
  <si>
    <t>44208</t>
  </si>
  <si>
    <t>竹田市</t>
  </si>
  <si>
    <t>たけたし</t>
  </si>
  <si>
    <t>0974</t>
  </si>
  <si>
    <t>878-00 878-01 878-02 878-04 878-05 879-61</t>
  </si>
  <si>
    <t>44209</t>
  </si>
  <si>
    <t>豊後高田市</t>
  </si>
  <si>
    <t>ぶんごたかだし</t>
  </si>
  <si>
    <t>0978</t>
  </si>
  <si>
    <t>872-11 872-12 879-06 879-07 879-08</t>
  </si>
  <si>
    <t>44210</t>
  </si>
  <si>
    <t>杵築市</t>
  </si>
  <si>
    <t>きつきし</t>
  </si>
  <si>
    <t>0978 0977</t>
  </si>
  <si>
    <t>873-00 879-09 879-13</t>
  </si>
  <si>
    <t>44211</t>
  </si>
  <si>
    <t>宇佐市</t>
  </si>
  <si>
    <t>うさし</t>
  </si>
  <si>
    <t>872-00 872-01 872-03 872-04 872-05 872-06 872-07 872-08 879-01 879-02 879-03 879-04 879-05 879-11</t>
  </si>
  <si>
    <t>44212</t>
  </si>
  <si>
    <t>豊後大野市</t>
  </si>
  <si>
    <t>ぶんごおおのし</t>
  </si>
  <si>
    <t>0974 097</t>
  </si>
  <si>
    <t>879-62 879-63-879-64 879-66 879-67 879-68 879-69 879-71 879-72 879-73 879-74</t>
  </si>
  <si>
    <t>44213</t>
  </si>
  <si>
    <t>由布市</t>
  </si>
  <si>
    <t>ゆふし</t>
  </si>
  <si>
    <t>097 0977</t>
  </si>
  <si>
    <t>879-51 879-54 879-55</t>
  </si>
  <si>
    <t>44214</t>
  </si>
  <si>
    <t>国東市</t>
  </si>
  <si>
    <t>くにさきし</t>
  </si>
  <si>
    <t>872-13 872-14 872-16 873-00 873-02 873-03 873-04 873-05 873-06</t>
  </si>
  <si>
    <t>44322</t>
  </si>
  <si>
    <t>東国東郡姫島村</t>
  </si>
  <si>
    <t>ひがしくにさきぐんひめしまむら</t>
  </si>
  <si>
    <t>872-15</t>
  </si>
  <si>
    <t>44341</t>
  </si>
  <si>
    <t>速見郡日出町</t>
  </si>
  <si>
    <t>はやみぐんひじまち</t>
  </si>
  <si>
    <t>879-15</t>
  </si>
  <si>
    <t>44461</t>
  </si>
  <si>
    <t>玖珠郡九重町</t>
  </si>
  <si>
    <t>くすぐんここのえまち</t>
  </si>
  <si>
    <t>879-46 879-47 879-48 879-49</t>
  </si>
  <si>
    <t>44462</t>
  </si>
  <si>
    <t>玖珠郡玖珠町</t>
  </si>
  <si>
    <t>くすぐんくすまち</t>
  </si>
  <si>
    <t>879-43 879-44 879-45 879-47</t>
  </si>
  <si>
    <t>45201</t>
  </si>
  <si>
    <t>宮崎市</t>
  </si>
  <si>
    <t>みやざきし</t>
  </si>
  <si>
    <t>0985</t>
  </si>
  <si>
    <t>880-00 880-01 880-02 880-03 880-08 880-09 880-21 880-22 880-23 889-16 889-17 889-21 889-23</t>
  </si>
  <si>
    <t>45202</t>
  </si>
  <si>
    <t>都城市</t>
  </si>
  <si>
    <t>みやこのじょうし</t>
  </si>
  <si>
    <t>0986</t>
  </si>
  <si>
    <t>880-23 885-00 885-01 885-02 885-11 885-12 885-13 889-18 889-45 889-46</t>
  </si>
  <si>
    <t>45203</t>
  </si>
  <si>
    <t>延岡市</t>
  </si>
  <si>
    <t>のべおかし</t>
  </si>
  <si>
    <t>0982</t>
  </si>
  <si>
    <t>882-00 882-01 882-02 882-08 889-01 889-03 889-05</t>
  </si>
  <si>
    <t>45204</t>
  </si>
  <si>
    <t>日南市</t>
  </si>
  <si>
    <t>にちなんし</t>
  </si>
  <si>
    <t>0987</t>
  </si>
  <si>
    <t>887-00 887-01 889-23 889-24 889-25 889-31 889-32</t>
  </si>
  <si>
    <t>45205</t>
  </si>
  <si>
    <t>小林市</t>
  </si>
  <si>
    <t>こばやしし</t>
  </si>
  <si>
    <t>0984</t>
  </si>
  <si>
    <t>886-00 886-01 886-02</t>
  </si>
  <si>
    <t>45206</t>
  </si>
  <si>
    <t>日向市</t>
  </si>
  <si>
    <t>ひゅうがし</t>
  </si>
  <si>
    <t>883-00 883-01 883-02 889-11</t>
  </si>
  <si>
    <t>45207</t>
  </si>
  <si>
    <t>串間市</t>
  </si>
  <si>
    <t>くしまし</t>
  </si>
  <si>
    <t>888-00 888-02 889-33 889-35</t>
  </si>
  <si>
    <t>45208</t>
  </si>
  <si>
    <t>西都市</t>
  </si>
  <si>
    <t>さいとし</t>
  </si>
  <si>
    <t>0983 0985</t>
  </si>
  <si>
    <t>880-03 881-00 881-01 881-11 881-12</t>
  </si>
  <si>
    <t>45209</t>
  </si>
  <si>
    <t>えびの市</t>
  </si>
  <si>
    <t>えびのし</t>
  </si>
  <si>
    <t>889-41 889-42 889-43</t>
  </si>
  <si>
    <t>45341</t>
  </si>
  <si>
    <t>北諸県郡三股町</t>
  </si>
  <si>
    <t>きたもろかたぐんみまたちょう</t>
  </si>
  <si>
    <t>889-19</t>
  </si>
  <si>
    <t>45361</t>
  </si>
  <si>
    <t>西諸県郡高原町</t>
  </si>
  <si>
    <t>にしもろかたぐんたかはるちょう</t>
  </si>
  <si>
    <t>889-44</t>
  </si>
  <si>
    <t>45382</t>
  </si>
  <si>
    <t>東諸県郡国富町</t>
  </si>
  <si>
    <t>ひがしもろかたぐんくにとみちょう</t>
  </si>
  <si>
    <t>880-11 880-12</t>
  </si>
  <si>
    <t>45383</t>
  </si>
  <si>
    <t>東諸県郡綾町</t>
  </si>
  <si>
    <t>ひがしもろかたぐんあやちょう</t>
  </si>
  <si>
    <t>880-13 886-02</t>
  </si>
  <si>
    <t>45401</t>
  </si>
  <si>
    <t>児湯郡高鍋町</t>
  </si>
  <si>
    <t>こゆぐんたかなべちょう</t>
  </si>
  <si>
    <t>0983</t>
  </si>
  <si>
    <t>884-00</t>
  </si>
  <si>
    <t>45402</t>
  </si>
  <si>
    <t>児湯郡新富町</t>
  </si>
  <si>
    <t>こゆぐんしんとみちょう</t>
  </si>
  <si>
    <t>889-14</t>
  </si>
  <si>
    <t>45403</t>
  </si>
  <si>
    <t>児湯郡西米良村</t>
  </si>
  <si>
    <t>こゆぐんにしめらそん</t>
  </si>
  <si>
    <t>881-13 881-14</t>
  </si>
  <si>
    <t>45404</t>
  </si>
  <si>
    <t>児湯郡木城町</t>
  </si>
  <si>
    <t>こゆぐんきじょうちょう</t>
  </si>
  <si>
    <t>0983 0982</t>
  </si>
  <si>
    <t>884-01</t>
  </si>
  <si>
    <t>45405</t>
  </si>
  <si>
    <t>児湯郡川南町</t>
  </si>
  <si>
    <t>こゆぐんかわみなみちょう</t>
  </si>
  <si>
    <t>889-13</t>
  </si>
  <si>
    <t>45406</t>
  </si>
  <si>
    <t>児湯郡都農町</t>
  </si>
  <si>
    <t>こゆぐんつのちょう</t>
  </si>
  <si>
    <t>889-12</t>
  </si>
  <si>
    <t>45421</t>
  </si>
  <si>
    <t>東臼杵郡門川町</t>
  </si>
  <si>
    <t>ひがしうすきぐんかどがわちょう</t>
  </si>
  <si>
    <t>889-06</t>
  </si>
  <si>
    <t>45429</t>
  </si>
  <si>
    <t>東臼杵郡諸塚村</t>
  </si>
  <si>
    <t>ひがしうすきぐんもろつかそん</t>
  </si>
  <si>
    <t>883-13 883-14</t>
  </si>
  <si>
    <t>45430</t>
  </si>
  <si>
    <t>東臼杵郡椎葉村</t>
  </si>
  <si>
    <t>ひがしうすきぐんしいばそん</t>
  </si>
  <si>
    <t>0982 0983</t>
  </si>
  <si>
    <t>883-04 883-16</t>
  </si>
  <si>
    <t>45431</t>
  </si>
  <si>
    <t>東臼杵郡美郷町</t>
  </si>
  <si>
    <t>ひがしうすきぐんみさとちょう</t>
  </si>
  <si>
    <t>883-03 883-11 883-12 889-09</t>
  </si>
  <si>
    <t>45441</t>
  </si>
  <si>
    <t>西臼杵郡高千穂町</t>
  </si>
  <si>
    <t>にしうすきぐんたかちほちょう</t>
  </si>
  <si>
    <t>882-11 882-14 882-16</t>
  </si>
  <si>
    <t>45442</t>
  </si>
  <si>
    <t>西臼杵郡日之影町</t>
  </si>
  <si>
    <t>にしうすきぐんひのかげちょう</t>
  </si>
  <si>
    <t>882-03 882-04</t>
  </si>
  <si>
    <t>45443</t>
  </si>
  <si>
    <t>西臼杵郡五ヶ瀬町</t>
  </si>
  <si>
    <t>にしうすきぐんごかせちょう</t>
  </si>
  <si>
    <t>882-12</t>
  </si>
  <si>
    <t>46201</t>
  </si>
  <si>
    <t>鹿児島市</t>
  </si>
  <si>
    <t>かごしまし</t>
  </si>
  <si>
    <t>099 0993</t>
  </si>
  <si>
    <t>890-00 891-01 891-02 891-11 891-12 891-13 891-14 891-15 892-08 899-25 899-27 899-32</t>
  </si>
  <si>
    <t>46203</t>
  </si>
  <si>
    <t>鹿屋市</t>
  </si>
  <si>
    <t>かのやし</t>
  </si>
  <si>
    <t>0994 099</t>
  </si>
  <si>
    <t>891-23 893-00 893-01 893-02 893-11 893-16 899-85</t>
  </si>
  <si>
    <t>46204</t>
  </si>
  <si>
    <t>枕崎市</t>
  </si>
  <si>
    <t>まくらざきし</t>
  </si>
  <si>
    <t>0993</t>
  </si>
  <si>
    <t>898-00</t>
  </si>
  <si>
    <t>46206</t>
  </si>
  <si>
    <t>阿久根市</t>
  </si>
  <si>
    <t>あくねし</t>
  </si>
  <si>
    <t>0996</t>
  </si>
  <si>
    <t>899-11 899-16 899-17</t>
  </si>
  <si>
    <t>46208</t>
  </si>
  <si>
    <t>出水市</t>
  </si>
  <si>
    <t>899-01 899-02 899-03 899-04 899-05</t>
  </si>
  <si>
    <t>46210</t>
  </si>
  <si>
    <t>指宿市</t>
  </si>
  <si>
    <t>いぶすきし</t>
  </si>
  <si>
    <t>891-03 891-04 891-05 891-06</t>
  </si>
  <si>
    <t>46213</t>
  </si>
  <si>
    <t>西之表市</t>
  </si>
  <si>
    <t>にしのおもてし</t>
  </si>
  <si>
    <t>0997</t>
  </si>
  <si>
    <t>891-31 891-32 891-34</t>
  </si>
  <si>
    <t>46214</t>
  </si>
  <si>
    <t>垂水市</t>
  </si>
  <si>
    <t>たるみずし</t>
  </si>
  <si>
    <t>0994</t>
  </si>
  <si>
    <t>891-21 899-46</t>
  </si>
  <si>
    <t>46215</t>
  </si>
  <si>
    <t>薩摩川内市</t>
  </si>
  <si>
    <t>さつませんだいし</t>
  </si>
  <si>
    <t>0996 09969</t>
  </si>
  <si>
    <t>895-00 895-01 895-02 895-11 895-12 895-14 895-15 896-11 896-12 896-13 896-14 896-15 896-16 899-18 899-19</t>
  </si>
  <si>
    <t>46216</t>
  </si>
  <si>
    <t>日置市</t>
  </si>
  <si>
    <t>ひおきし</t>
  </si>
  <si>
    <t>099</t>
  </si>
  <si>
    <t>899-22 899-23 899-24 899-25 899-31 899-32 899-33</t>
  </si>
  <si>
    <t>46217</t>
  </si>
  <si>
    <t>曽於市</t>
  </si>
  <si>
    <t>そおし</t>
  </si>
  <si>
    <t>0986 099</t>
  </si>
  <si>
    <t>899-41 899-81 899-82 899-83 899-84 899-86</t>
  </si>
  <si>
    <t>46218</t>
  </si>
  <si>
    <t>霧島市</t>
  </si>
  <si>
    <t>きりしまし</t>
  </si>
  <si>
    <t>0995</t>
  </si>
  <si>
    <t>899-42 899-43 899-44 899-45 899-51 899-63 899-64 899-65 899-66</t>
  </si>
  <si>
    <t>46219</t>
  </si>
  <si>
    <t>いちき串木野市</t>
  </si>
  <si>
    <t>いちきくしきのし</t>
  </si>
  <si>
    <t>896-00 899-21</t>
  </si>
  <si>
    <t>46220</t>
  </si>
  <si>
    <t>南さつま市</t>
  </si>
  <si>
    <t>みなみさつまし</t>
  </si>
  <si>
    <t>897-00 897-11 897-12 897-13 898-01 898-02 899-34 899-35 899-36</t>
  </si>
  <si>
    <t>46221</t>
  </si>
  <si>
    <t>志布志市</t>
  </si>
  <si>
    <t>しぶしし</t>
  </si>
  <si>
    <t>899-71 899-72 899-74 899-75 899-76 899-83</t>
  </si>
  <si>
    <t>46222</t>
  </si>
  <si>
    <t>奄美市</t>
  </si>
  <si>
    <t>あまみし</t>
  </si>
  <si>
    <t>894-00 894-01 894-03 894-05 894-06 894-07 894-11 894-12 894-13</t>
  </si>
  <si>
    <t>46223</t>
  </si>
  <si>
    <t>南九州市</t>
  </si>
  <si>
    <t>みなみきゅうしゅうし</t>
  </si>
  <si>
    <t>891-07 891-09 897-01 897-02 897-03</t>
  </si>
  <si>
    <t>46224</t>
  </si>
  <si>
    <t>伊佐市</t>
  </si>
  <si>
    <t>いさし</t>
  </si>
  <si>
    <t>895-24 895-25 895-26 895-27 895-28</t>
  </si>
  <si>
    <t>46225</t>
  </si>
  <si>
    <t>姶良市</t>
  </si>
  <si>
    <t>あいらし</t>
  </si>
  <si>
    <t>899-52 899-53 899-54 899-55 899-56</t>
  </si>
  <si>
    <t>46303</t>
  </si>
  <si>
    <t>鹿児島郡三島村</t>
  </si>
  <si>
    <t>かごしまぐんみしまむら</t>
  </si>
  <si>
    <t>09913</t>
  </si>
  <si>
    <t>890-00 890-09</t>
  </si>
  <si>
    <t>46304</t>
  </si>
  <si>
    <t>鹿児島郡十島村</t>
  </si>
  <si>
    <t>かごしまぐんとしまむら</t>
  </si>
  <si>
    <t>09912</t>
  </si>
  <si>
    <t>891-51 891-52 891-53</t>
  </si>
  <si>
    <t>46392</t>
  </si>
  <si>
    <t>薩摩郡さつま町</t>
  </si>
  <si>
    <t>さつまぐんさつまちょう</t>
  </si>
  <si>
    <t>895-17 895-18 895-21 895-22</t>
  </si>
  <si>
    <t>46404</t>
  </si>
  <si>
    <t>出水郡長島町</t>
  </si>
  <si>
    <t>いずみぐんながしまちょう</t>
  </si>
  <si>
    <t>899-12 899-13 899-14 899-15</t>
  </si>
  <si>
    <t>46452</t>
  </si>
  <si>
    <t>姶良郡湧水町</t>
  </si>
  <si>
    <t>あいらぐんゆうすいちょう</t>
  </si>
  <si>
    <t>899-61 899-62</t>
  </si>
  <si>
    <t>46468</t>
  </si>
  <si>
    <t>曽於郡大崎町</t>
  </si>
  <si>
    <t>そおぐんおおさきちょう</t>
  </si>
  <si>
    <t>899-73 899-83</t>
  </si>
  <si>
    <t>46482</t>
  </si>
  <si>
    <t>肝属郡東串良町</t>
  </si>
  <si>
    <t>きもつきぐんひがしくしらちょう</t>
  </si>
  <si>
    <t>893-16</t>
  </si>
  <si>
    <t>46490</t>
  </si>
  <si>
    <t>肝属郡錦江町</t>
  </si>
  <si>
    <t>きもつきぐんきんこうちょう</t>
  </si>
  <si>
    <t>893-23 893-24</t>
  </si>
  <si>
    <t>46491</t>
  </si>
  <si>
    <t>肝属郡南大隅町</t>
  </si>
  <si>
    <t>きもつきぐんみなみおおすみちょう</t>
  </si>
  <si>
    <t>893-25 893-26</t>
  </si>
  <si>
    <t>46492</t>
  </si>
  <si>
    <t>肝属郡肝付町</t>
  </si>
  <si>
    <t>きもつきぐんきもつきちょう</t>
  </si>
  <si>
    <t>893-12 893-14 893-15</t>
  </si>
  <si>
    <t>46501</t>
  </si>
  <si>
    <t>熊毛郡中種子町</t>
  </si>
  <si>
    <t>くまげぐんなかたねちょう</t>
  </si>
  <si>
    <t>891-36</t>
  </si>
  <si>
    <t>46502</t>
  </si>
  <si>
    <t>熊毛郡南種子町</t>
  </si>
  <si>
    <t>くまげぐんみなみたねちょう</t>
  </si>
  <si>
    <t>891-37</t>
  </si>
  <si>
    <t>46505</t>
  </si>
  <si>
    <t>熊毛郡屋久島町</t>
  </si>
  <si>
    <t>くまげぐんやくしまちょう</t>
  </si>
  <si>
    <t>891-42 891-43 891-44</t>
  </si>
  <si>
    <t>46523</t>
  </si>
  <si>
    <t>大島郡大和村</t>
  </si>
  <si>
    <t>おおしまぐんやまとそん</t>
  </si>
  <si>
    <t>894-31 894-32</t>
  </si>
  <si>
    <t>46524</t>
  </si>
  <si>
    <t>大島郡宇検村</t>
  </si>
  <si>
    <t>おおしまぐんうけんそん</t>
  </si>
  <si>
    <t>894-33 894-34 894-35 894-36</t>
  </si>
  <si>
    <t>46525</t>
  </si>
  <si>
    <t>大島郡瀬戸内町</t>
  </si>
  <si>
    <t>おおしまぐんせとうちちょう</t>
  </si>
  <si>
    <t>894-15 894-17 894-18 894-21 894-22 894-23 894-24 894-25 894-26</t>
  </si>
  <si>
    <t>46527</t>
  </si>
  <si>
    <t>大島郡龍郷町</t>
  </si>
  <si>
    <t>おおしまぐんたつごうちょう</t>
  </si>
  <si>
    <t>894-01 894-03 894-04</t>
  </si>
  <si>
    <t>46529</t>
  </si>
  <si>
    <t>大島郡喜界町</t>
  </si>
  <si>
    <t>おおしまぐんきかいちょう</t>
  </si>
  <si>
    <t>891-61 891-62</t>
  </si>
  <si>
    <t>46530</t>
  </si>
  <si>
    <t>大島郡徳之島町</t>
  </si>
  <si>
    <t>おおしまぐんとくのしまちょう</t>
  </si>
  <si>
    <t>891-71 891-74</t>
  </si>
  <si>
    <t>46531</t>
  </si>
  <si>
    <t>大島郡天城町</t>
  </si>
  <si>
    <t>おおしまぐんあまぎちょう</t>
  </si>
  <si>
    <t>891-76 891-77</t>
  </si>
  <si>
    <t>46532</t>
  </si>
  <si>
    <t>大島郡伊仙町</t>
  </si>
  <si>
    <t>おおしまぐんいせんちょう</t>
  </si>
  <si>
    <t>891-81 891-82 891-83</t>
  </si>
  <si>
    <t>46533</t>
  </si>
  <si>
    <t>大島郡和泊町</t>
  </si>
  <si>
    <t>おおしまぐんわどまりちょう</t>
  </si>
  <si>
    <t>891-91</t>
  </si>
  <si>
    <t>46534</t>
  </si>
  <si>
    <t>大島郡知名町</t>
  </si>
  <si>
    <t>おおしまぐんちなちょう</t>
  </si>
  <si>
    <t>891-92</t>
  </si>
  <si>
    <t>46535</t>
  </si>
  <si>
    <t>大島郡与論町</t>
  </si>
  <si>
    <t>おおしまぐんよろんちょう</t>
  </si>
  <si>
    <t>891-93</t>
  </si>
  <si>
    <t>47201</t>
  </si>
  <si>
    <t>那覇市</t>
  </si>
  <si>
    <t>なはし</t>
  </si>
  <si>
    <t>098</t>
  </si>
  <si>
    <t>900-00 901-01 902-00 903-08</t>
  </si>
  <si>
    <t>47205</t>
  </si>
  <si>
    <t>宜野湾市</t>
  </si>
  <si>
    <t>ぎのわんし</t>
  </si>
  <si>
    <t>901-22</t>
  </si>
  <si>
    <t>47207</t>
  </si>
  <si>
    <t>石垣市</t>
  </si>
  <si>
    <t>いしがきし</t>
  </si>
  <si>
    <t>0980</t>
  </si>
  <si>
    <t>907-00 907-02 907-03 907-04</t>
  </si>
  <si>
    <t>47208</t>
  </si>
  <si>
    <t>浦添市</t>
  </si>
  <si>
    <t>うらそえし</t>
  </si>
  <si>
    <t>901-21</t>
  </si>
  <si>
    <t>47209</t>
  </si>
  <si>
    <t>名護市</t>
  </si>
  <si>
    <t>なごし</t>
  </si>
  <si>
    <t>905-00 905-11 905-16 905-21 905-22</t>
  </si>
  <si>
    <t>47210</t>
  </si>
  <si>
    <t>糸満市</t>
  </si>
  <si>
    <t>いとまんし</t>
  </si>
  <si>
    <t>901-03</t>
  </si>
  <si>
    <t>47211</t>
  </si>
  <si>
    <t>沖縄市</t>
  </si>
  <si>
    <t>おきなわし</t>
  </si>
  <si>
    <t>904-00 904-21</t>
  </si>
  <si>
    <t>47212</t>
  </si>
  <si>
    <t>豊見城市</t>
  </si>
  <si>
    <t>とみぐすくし</t>
  </si>
  <si>
    <t>901-02</t>
  </si>
  <si>
    <t>47213</t>
  </si>
  <si>
    <t>うるま市</t>
  </si>
  <si>
    <t>うるまし</t>
  </si>
  <si>
    <t>904-11 904-22 904-23 904-24</t>
  </si>
  <si>
    <t>47214</t>
  </si>
  <si>
    <t>宮古島市</t>
  </si>
  <si>
    <t>みやこじまし</t>
  </si>
  <si>
    <t>906-00 906-01 906-02 906-03 906-04 906-05</t>
  </si>
  <si>
    <t>47215</t>
  </si>
  <si>
    <t>南城市</t>
  </si>
  <si>
    <t>なんじょうし</t>
  </si>
  <si>
    <t>901-06 901-12 901-14 901-15</t>
  </si>
  <si>
    <t>47301</t>
  </si>
  <si>
    <t>国頭郡国頭村</t>
  </si>
  <si>
    <t>くにがみぐんくにがみそん</t>
  </si>
  <si>
    <t>905-14 905-15</t>
  </si>
  <si>
    <t>47302</t>
  </si>
  <si>
    <t>国頭郡大宜味村</t>
  </si>
  <si>
    <t>くにがみぐんおおぎみそん</t>
  </si>
  <si>
    <t>905-13</t>
  </si>
  <si>
    <t>47303</t>
  </si>
  <si>
    <t>国頭郡東村</t>
  </si>
  <si>
    <t>くにがみぐんひがしそん</t>
  </si>
  <si>
    <t>905-12</t>
  </si>
  <si>
    <t>47306</t>
  </si>
  <si>
    <t>国頭郡今帰仁村</t>
  </si>
  <si>
    <t>くにがみぐんなきじんそん</t>
  </si>
  <si>
    <t>905-04</t>
  </si>
  <si>
    <t>47308</t>
  </si>
  <si>
    <t>国頭郡本部町</t>
  </si>
  <si>
    <t>くにがみぐんもとぶちょう</t>
  </si>
  <si>
    <t>905-02</t>
  </si>
  <si>
    <t>47311</t>
  </si>
  <si>
    <t>国頭郡恩納村</t>
  </si>
  <si>
    <t>くにがみぐんおんなそん</t>
  </si>
  <si>
    <t>904-04</t>
  </si>
  <si>
    <t>47313</t>
  </si>
  <si>
    <t>国頭郡宜野座村</t>
  </si>
  <si>
    <t>くにがみぐんぎのざそん</t>
  </si>
  <si>
    <t>904-13</t>
  </si>
  <si>
    <t>47314</t>
  </si>
  <si>
    <t>国頭郡金武町</t>
  </si>
  <si>
    <t>くにがみぐんきんちょう</t>
  </si>
  <si>
    <t>904-12</t>
  </si>
  <si>
    <t>47315</t>
  </si>
  <si>
    <t>国頭郡伊江村</t>
  </si>
  <si>
    <t>くにがみぐんいえそん</t>
  </si>
  <si>
    <t>905-05</t>
  </si>
  <si>
    <t>47324</t>
  </si>
  <si>
    <t>中頭郡読谷村</t>
  </si>
  <si>
    <t>なかがみぐんよみたんそん</t>
  </si>
  <si>
    <t>904-03</t>
  </si>
  <si>
    <t>47325</t>
  </si>
  <si>
    <t>中頭郡嘉手納町</t>
  </si>
  <si>
    <t>なかがみぐんかでなちょう</t>
  </si>
  <si>
    <t>904-02</t>
  </si>
  <si>
    <t>47326</t>
  </si>
  <si>
    <t>中頭郡北谷町</t>
  </si>
  <si>
    <t>なかがみぐんちゃたんちょう</t>
  </si>
  <si>
    <t>904-01</t>
  </si>
  <si>
    <t>47327</t>
  </si>
  <si>
    <t>中頭郡北中城村</t>
  </si>
  <si>
    <t>なかがみぐんきたなかぐすくそん</t>
  </si>
  <si>
    <t>901-23</t>
  </si>
  <si>
    <t>47328</t>
  </si>
  <si>
    <t>中頭郡中城村</t>
  </si>
  <si>
    <t>なかがみぐんなかぐすくそん</t>
  </si>
  <si>
    <t>901-24</t>
  </si>
  <si>
    <t>47329</t>
  </si>
  <si>
    <t>中頭郡西原町</t>
  </si>
  <si>
    <t>なかがみぐんにしはらちょう</t>
  </si>
  <si>
    <t>903-01</t>
  </si>
  <si>
    <t>47348</t>
  </si>
  <si>
    <t>島尻郡与那原町</t>
  </si>
  <si>
    <t>しまじりぐんよなばるちょう</t>
  </si>
  <si>
    <t>901-13</t>
  </si>
  <si>
    <t>47350</t>
  </si>
  <si>
    <t>島尻郡南風原町</t>
  </si>
  <si>
    <t>しまじりぐんはえばるちょう</t>
  </si>
  <si>
    <t>901-11</t>
  </si>
  <si>
    <t>47353</t>
  </si>
  <si>
    <t>島尻郡渡嘉敷村</t>
  </si>
  <si>
    <t>しまじりぐんとかしきそん</t>
  </si>
  <si>
    <t>901-35</t>
  </si>
  <si>
    <t>47354</t>
  </si>
  <si>
    <t>島尻郡座間味村</t>
  </si>
  <si>
    <t>しまじりぐんざまみそん</t>
  </si>
  <si>
    <t>901-33 901-34</t>
  </si>
  <si>
    <t>47355</t>
  </si>
  <si>
    <t>島尻郡粟国村</t>
  </si>
  <si>
    <t>しまじりぐんあぐにそん</t>
  </si>
  <si>
    <t>901-37</t>
  </si>
  <si>
    <t>47356</t>
  </si>
  <si>
    <t>島尻郡渡名喜村</t>
  </si>
  <si>
    <t>しまじりぐんとなきそん</t>
  </si>
  <si>
    <t>901-36</t>
  </si>
  <si>
    <t>47357</t>
  </si>
  <si>
    <t>島尻郡南大東村</t>
  </si>
  <si>
    <t>しまじりぐんみなみだいとうそん</t>
  </si>
  <si>
    <t>09802</t>
  </si>
  <si>
    <t>901-38</t>
  </si>
  <si>
    <t>47358</t>
  </si>
  <si>
    <t>島尻郡北大東村</t>
  </si>
  <si>
    <t>しまじりぐんきただいとうそん</t>
  </si>
  <si>
    <t>901-39</t>
  </si>
  <si>
    <t>47359</t>
  </si>
  <si>
    <t>島尻郡伊平屋村</t>
  </si>
  <si>
    <t>しまじりぐんいへやそん</t>
  </si>
  <si>
    <t>905-07</t>
  </si>
  <si>
    <t>47360</t>
  </si>
  <si>
    <t>島尻郡伊是名村</t>
  </si>
  <si>
    <t>しまじりぐんいぜなそん</t>
  </si>
  <si>
    <t>905-06</t>
  </si>
  <si>
    <t>47361</t>
  </si>
  <si>
    <t>島尻郡久米島町</t>
  </si>
  <si>
    <t>しまじりぐんくめじまちょう</t>
  </si>
  <si>
    <t>901-31</t>
  </si>
  <si>
    <t>47362</t>
  </si>
  <si>
    <t>島尻郡八重瀬町</t>
  </si>
  <si>
    <t>しまじりぐんやえせちょう</t>
  </si>
  <si>
    <t>901-04 901-05</t>
  </si>
  <si>
    <t>47375</t>
  </si>
  <si>
    <t>宮古郡多良間村</t>
  </si>
  <si>
    <t>みやこぐんたらまそん</t>
  </si>
  <si>
    <t>906-06</t>
  </si>
  <si>
    <t>47381</t>
  </si>
  <si>
    <t>八重山郡竹富町</t>
  </si>
  <si>
    <t>やえやまぐんたけとみちょう</t>
  </si>
  <si>
    <t>907-00 907-11 907-12 907-13 907-14 907-15 907-17</t>
  </si>
  <si>
    <t>47382</t>
  </si>
  <si>
    <t>八重山郡与那国町</t>
  </si>
  <si>
    <t>やえやまぐんよなぐにちょう</t>
  </si>
  <si>
    <t>907-18</t>
  </si>
  <si>
    <t>01</t>
    <phoneticPr fontId="1"/>
  </si>
  <si>
    <t>北海道</t>
  </si>
  <si>
    <t>02</t>
    <phoneticPr fontId="1"/>
  </si>
  <si>
    <t>05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</si>
  <si>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</si>
  <si>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</si>
  <si>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</si>
  <si>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</si>
  <si>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</si>
  <si>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</si>
  <si>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</si>
  <si>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</si>
  <si>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</si>
  <si>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</si>
  <si>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</si>
  <si>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</si>
  <si>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</si>
  <si>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</si>
  <si>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</si>
  <si>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</si>
  <si>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</si>
  <si>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</si>
  <si>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</si>
  <si>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</si>
  <si>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</si>
  <si>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</si>
  <si>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</si>
  <si>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</si>
  <si>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</si>
  <si>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</si>
  <si>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</si>
  <si>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</si>
  <si>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</si>
  <si>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</si>
  <si>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</si>
  <si>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</si>
  <si>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</si>
  <si>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</si>
  <si>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</si>
  <si>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</si>
  <si>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</si>
  <si>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</si>
  <si>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</si>
  <si>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</si>
  <si>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</si>
  <si>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</si>
  <si>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</si>
  <si>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</si>
  <si>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</si>
  <si>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</si>
  <si>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</si>
  <si>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</si>
  <si>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</si>
  <si>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</si>
  <si>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</si>
  <si>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</si>
  <si>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</si>
  <si>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</si>
  <si>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</si>
  <si>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</si>
  <si>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</si>
  <si>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</si>
  <si>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</si>
  <si>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</si>
  <si>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</si>
  <si>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</si>
  <si>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</si>
  <si>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</si>
  <si>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</si>
  <si>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</si>
  <si>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</si>
  <si>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</si>
  <si>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</si>
  <si>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</si>
  <si>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</si>
  <si>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</si>
  <si>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</si>
  <si>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</si>
  <si>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</si>
  <si>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</si>
  <si>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</si>
  <si>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</si>
  <si>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</si>
  <si>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</si>
  <si>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</si>
  <si>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</si>
  <si>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</si>
  <si>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</si>
  <si>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</si>
  <si>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</si>
  <si>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</si>
  <si>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地　　　　　況</t>
    <rPh sb="0" eb="1">
      <t>チ</t>
    </rPh>
    <rPh sb="6" eb="7">
      <t>キョウ</t>
    </rPh>
    <phoneticPr fontId="1"/>
  </si>
  <si>
    <t>林　　　　況</t>
    <rPh sb="0" eb="1">
      <t>リン</t>
    </rPh>
    <rPh sb="5" eb="6">
      <t>キョウ</t>
    </rPh>
    <phoneticPr fontId="1"/>
  </si>
  <si>
    <t>点</t>
    <rPh sb="0" eb="1">
      <t>テン</t>
    </rPh>
    <phoneticPr fontId="1"/>
  </si>
  <si>
    <t>崩</t>
    <rPh sb="0" eb="1">
      <t>ホウ</t>
    </rPh>
    <phoneticPr fontId="1"/>
  </si>
  <si>
    <t>　傾　斜</t>
    <rPh sb="1" eb="2">
      <t>ナダレ</t>
    </rPh>
    <rPh sb="3" eb="4">
      <t>シャ</t>
    </rPh>
    <phoneticPr fontId="1"/>
  </si>
  <si>
    <t xml:space="preserve"> 縦断面形</t>
    <rPh sb="1" eb="3">
      <t>ジュウダン</t>
    </rPh>
    <rPh sb="3" eb="4">
      <t>メン</t>
    </rPh>
    <rPh sb="4" eb="5">
      <t>ケイ</t>
    </rPh>
    <phoneticPr fontId="1"/>
  </si>
  <si>
    <t xml:space="preserve"> 横断面形</t>
    <rPh sb="1" eb="3">
      <t>オウダン</t>
    </rPh>
    <rPh sb="3" eb="4">
      <t>メン</t>
    </rPh>
    <rPh sb="4" eb="5">
      <t>ケイ</t>
    </rPh>
    <phoneticPr fontId="1"/>
  </si>
  <si>
    <t xml:space="preserve"> 土層深</t>
    <rPh sb="1" eb="3">
      <t>ドソウ</t>
    </rPh>
    <rPh sb="3" eb="4">
      <t>シン</t>
    </rPh>
    <phoneticPr fontId="1"/>
  </si>
  <si>
    <t>林</t>
    <rPh sb="0" eb="1">
      <t>リン</t>
    </rPh>
    <phoneticPr fontId="1"/>
  </si>
  <si>
    <t>種</t>
    <rPh sb="0" eb="1">
      <t>シュ</t>
    </rPh>
    <phoneticPr fontId="1"/>
  </si>
  <si>
    <t>齢</t>
    <rPh sb="0" eb="1">
      <t>レイ</t>
    </rPh>
    <phoneticPr fontId="1"/>
  </si>
  <si>
    <t>崩</t>
  </si>
  <si>
    <t>樹</t>
    <phoneticPr fontId="1"/>
  </si>
  <si>
    <t>N</t>
    <phoneticPr fontId="1"/>
  </si>
  <si>
    <t>齢</t>
    <phoneticPr fontId="1"/>
  </si>
  <si>
    <t>数</t>
    <rPh sb="0" eb="1">
      <t>スウ</t>
    </rPh>
    <phoneticPr fontId="1"/>
  </si>
  <si>
    <t>壊</t>
    <phoneticPr fontId="1"/>
  </si>
  <si>
    <t>地</t>
    <phoneticPr fontId="1"/>
  </si>
  <si>
    <t>落</t>
    <phoneticPr fontId="1"/>
  </si>
  <si>
    <t>計</t>
    <phoneticPr fontId="1"/>
  </si>
  <si>
    <t>％</t>
  </si>
  <si>
    <t>形</t>
  </si>
  <si>
    <t>度</t>
    <phoneticPr fontId="1"/>
  </si>
  <si>
    <t>ｍ</t>
    <phoneticPr fontId="1"/>
  </si>
  <si>
    <t>L</t>
    <phoneticPr fontId="1"/>
  </si>
  <si>
    <t>有</t>
    <phoneticPr fontId="1"/>
  </si>
  <si>
    <t>等</t>
    <rPh sb="0" eb="1">
      <t>トウ</t>
    </rPh>
    <phoneticPr fontId="1"/>
  </si>
  <si>
    <t>級</t>
    <rPh sb="0" eb="1">
      <t>キュウ</t>
    </rPh>
    <phoneticPr fontId="1"/>
  </si>
  <si>
    <t>計</t>
    <rPh sb="0" eb="1">
      <t>ケイ</t>
    </rPh>
    <phoneticPr fontId="1"/>
  </si>
  <si>
    <t>有</t>
    <rPh sb="0" eb="1">
      <t>ア</t>
    </rPh>
    <phoneticPr fontId="1"/>
  </si>
  <si>
    <t>震</t>
    <rPh sb="0" eb="1">
      <t>シン</t>
    </rPh>
    <phoneticPr fontId="1"/>
  </si>
  <si>
    <t>石</t>
    <rPh sb="0" eb="1">
      <t>イシ</t>
    </rPh>
    <phoneticPr fontId="1"/>
  </si>
  <si>
    <t>無</t>
    <phoneticPr fontId="1"/>
  </si>
  <si>
    <t>山崩－表－１</t>
    <rPh sb="0" eb="1">
      <t>ヤマ</t>
    </rPh>
    <rPh sb="1" eb="2">
      <t>ホウ</t>
    </rPh>
    <rPh sb="3" eb="4">
      <t>ヒョウ</t>
    </rPh>
    <phoneticPr fontId="1"/>
  </si>
  <si>
    <t>山崩－表－２</t>
    <rPh sb="0" eb="1">
      <t>ヤマ</t>
    </rPh>
    <rPh sb="1" eb="2">
      <t>ホウ</t>
    </rPh>
    <rPh sb="3" eb="4">
      <t>ヒョウ</t>
    </rPh>
    <phoneticPr fontId="1"/>
  </si>
  <si>
    <t>山崩－表－３</t>
    <rPh sb="0" eb="1">
      <t>ヤマ</t>
    </rPh>
    <rPh sb="1" eb="2">
      <t>ホウ</t>
    </rPh>
    <rPh sb="3" eb="4">
      <t>ヒョウ</t>
    </rPh>
    <phoneticPr fontId="1"/>
  </si>
  <si>
    <t xml:space="preserve">調査項目 </t>
  </si>
  <si>
    <t>単位</t>
  </si>
  <si>
    <t xml:space="preserve">区 分 </t>
  </si>
  <si>
    <t>地</t>
  </si>
  <si>
    <t>質</t>
  </si>
  <si>
    <t>単位</t>
    <rPh sb="0" eb="2">
      <t>タンイ</t>
    </rPh>
    <phoneticPr fontId="1"/>
  </si>
  <si>
    <r>
      <rPr>
        <sz val="10"/>
        <color theme="1"/>
        <rFont val="ＭＳ Ｐ明朝"/>
        <family val="1"/>
        <charset val="128"/>
      </rPr>
      <t>調査項目</t>
    </r>
  </si>
  <si>
    <r>
      <rPr>
        <sz val="10"/>
        <color theme="1"/>
        <rFont val="ＭＳ Ｐ明朝"/>
        <family val="1"/>
        <charset val="128"/>
      </rPr>
      <t>点数</t>
    </r>
  </si>
  <si>
    <t>第１類</t>
  </si>
  <si>
    <t>第２類</t>
  </si>
  <si>
    <t>第３類</t>
  </si>
  <si>
    <t>第４類</t>
  </si>
  <si>
    <t>第５類</t>
  </si>
  <si>
    <t xml:space="preserve">第６類 </t>
  </si>
  <si>
    <r>
      <rPr>
        <sz val="10"/>
        <color theme="1"/>
        <rFont val="ＭＳ Ｐ明朝"/>
        <family val="1"/>
        <charset val="128"/>
      </rPr>
      <t>転</t>
    </r>
    <r>
      <rPr>
        <sz val="10"/>
        <color theme="1"/>
        <rFont val="Century"/>
        <family val="1"/>
      </rPr>
      <t xml:space="preserve"> </t>
    </r>
    <r>
      <rPr>
        <sz val="10"/>
        <color theme="1"/>
        <rFont val="ＭＳ Ｐ明朝"/>
        <family val="1"/>
        <charset val="128"/>
      </rPr>
      <t>石</t>
    </r>
    <r>
      <rPr>
        <sz val="10"/>
        <color theme="1"/>
        <rFont val="Century"/>
        <family val="1"/>
      </rPr>
      <t xml:space="preserve"> </t>
    </r>
    <r>
      <rPr>
        <sz val="10"/>
        <color theme="1"/>
        <rFont val="ＭＳ Ｐ明朝"/>
        <family val="1"/>
        <charset val="128"/>
      </rPr>
      <t>型</t>
    </r>
    <phoneticPr fontId="1"/>
  </si>
  <si>
    <r>
      <t>0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>30(3</t>
    </r>
    <r>
      <rPr>
        <sz val="10"/>
        <color rgb="FF000000"/>
        <rFont val="ＭＳ 明朝"/>
        <family val="1"/>
        <charset val="128"/>
      </rPr>
      <t>以下</t>
    </r>
    <r>
      <rPr>
        <sz val="10"/>
        <color rgb="FF000000"/>
        <rFont val="Century"/>
        <family val="1"/>
      </rPr>
      <t xml:space="preserve">) </t>
    </r>
  </si>
  <si>
    <t>km</t>
  </si>
  <si>
    <t>傾斜</t>
  </si>
  <si>
    <r>
      <t>31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>50(4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 xml:space="preserve">5) </t>
    </r>
  </si>
  <si>
    <t>(等高線</t>
  </si>
  <si>
    <t xml:space="preserve">(本) </t>
  </si>
  <si>
    <r>
      <t>51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>70(6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 xml:space="preserve">7) </t>
    </r>
  </si>
  <si>
    <r>
      <rPr>
        <sz val="10"/>
        <color theme="1"/>
        <rFont val="ＭＳ Ｐ明朝"/>
        <family val="1"/>
        <charset val="128"/>
      </rPr>
      <t>落下の高さ</t>
    </r>
  </si>
  <si>
    <r>
      <rPr>
        <sz val="10"/>
        <color theme="1"/>
        <rFont val="ＭＳ Ｐ明朝"/>
        <family val="1"/>
        <charset val="128"/>
      </rPr>
      <t>４０メートル以上</t>
    </r>
  </si>
  <si>
    <t>本数)</t>
  </si>
  <si>
    <r>
      <t>71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>90(8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 xml:space="preserve">9) </t>
    </r>
  </si>
  <si>
    <r>
      <rPr>
        <sz val="10"/>
        <color theme="1"/>
        <rFont val="ＭＳ Ｐ明朝"/>
        <family val="1"/>
        <charset val="128"/>
      </rPr>
      <t>４０メートル未満</t>
    </r>
  </si>
  <si>
    <r>
      <t>91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>(10</t>
    </r>
    <r>
      <rPr>
        <sz val="10"/>
        <color rgb="FF000000"/>
        <rFont val="ＭＳ 明朝"/>
        <family val="1"/>
        <charset val="128"/>
      </rPr>
      <t>以上</t>
    </r>
    <r>
      <rPr>
        <sz val="10"/>
        <color rgb="FF000000"/>
        <rFont val="Century"/>
        <family val="1"/>
      </rPr>
      <t xml:space="preserve">) </t>
    </r>
  </si>
  <si>
    <r>
      <rPr>
        <sz val="10"/>
        <color theme="1"/>
        <rFont val="ＭＳ Ｐ明朝"/>
        <family val="1"/>
        <charset val="128"/>
      </rPr>
      <t>落石の頻度大。</t>
    </r>
    <phoneticPr fontId="1"/>
  </si>
  <si>
    <t xml:space="preserve">凹形 </t>
  </si>
  <si>
    <r>
      <rPr>
        <sz val="10"/>
        <color theme="1"/>
        <rFont val="ＭＳ Ｐ明朝"/>
        <family val="1"/>
        <charset val="128"/>
      </rPr>
      <t>下方に落下しているものが多い。</t>
    </r>
    <phoneticPr fontId="1"/>
  </si>
  <si>
    <r>
      <rPr>
        <sz val="10"/>
        <color theme="1"/>
        <rFont val="ＭＳ Ｐ明朝"/>
        <family val="1"/>
        <charset val="128"/>
      </rPr>
      <t>地上から浮き上がっている。</t>
    </r>
    <phoneticPr fontId="1"/>
  </si>
  <si>
    <t xml:space="preserve">縦断面形 </t>
  </si>
  <si>
    <t xml:space="preserve">平滑 </t>
  </si>
  <si>
    <t xml:space="preserve">複合 </t>
  </si>
  <si>
    <r>
      <rPr>
        <sz val="10"/>
        <color theme="1"/>
        <rFont val="ＭＳ Ｐ明朝"/>
        <family val="1"/>
        <charset val="128"/>
      </rPr>
      <t>上記以外</t>
    </r>
  </si>
  <si>
    <t xml:space="preserve">凸形 </t>
  </si>
  <si>
    <r>
      <rPr>
        <sz val="10"/>
        <color theme="1"/>
        <rFont val="ＭＳ Ｐ明朝"/>
        <family val="1"/>
        <charset val="128"/>
      </rPr>
      <t>無立木地、崩壊地、幼齢林、草生地、老齢疎林</t>
    </r>
  </si>
  <si>
    <r>
      <t>～</t>
    </r>
    <r>
      <rPr>
        <sz val="10"/>
        <color rgb="FF000000"/>
        <rFont val="Century"/>
        <family val="1"/>
      </rPr>
      <t xml:space="preserve">150 </t>
    </r>
  </si>
  <si>
    <t xml:space="preserve">横断面形 </t>
  </si>
  <si>
    <t>度</t>
  </si>
  <si>
    <r>
      <t>151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 xml:space="preserve">210 </t>
    </r>
  </si>
  <si>
    <r>
      <rPr>
        <sz val="10"/>
        <color theme="1"/>
        <rFont val="ＭＳ Ｐ明朝"/>
        <family val="1"/>
        <charset val="128"/>
      </rPr>
      <t>Ａ</t>
    </r>
  </si>
  <si>
    <r>
      <t>211</t>
    </r>
    <r>
      <rPr>
        <sz val="10"/>
        <color rgb="FF000000"/>
        <rFont val="ＭＳ 明朝"/>
        <family val="1"/>
        <charset val="128"/>
      </rPr>
      <t xml:space="preserve">～ </t>
    </r>
  </si>
  <si>
    <r>
      <rPr>
        <sz val="10"/>
        <color theme="1"/>
        <rFont val="ＭＳ Ｐ明朝"/>
        <family val="1"/>
        <charset val="128"/>
      </rPr>
      <t>地震の強さ</t>
    </r>
  </si>
  <si>
    <r>
      <t>0.5m</t>
    </r>
    <r>
      <rPr>
        <sz val="10"/>
        <color rgb="FF000000"/>
        <rFont val="ＭＳ 明朝"/>
        <family val="1"/>
        <charset val="128"/>
      </rPr>
      <t xml:space="preserve">以下 </t>
    </r>
  </si>
  <si>
    <t xml:space="preserve">土層深 </t>
  </si>
  <si>
    <t xml:space="preserve">ｍ </t>
  </si>
  <si>
    <r>
      <t>0.5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>1.0m</t>
    </r>
    <r>
      <rPr>
        <sz val="10"/>
        <color rgb="FF000000"/>
        <rFont val="ＭＳ 明朝"/>
        <family val="1"/>
        <charset val="128"/>
      </rPr>
      <t xml:space="preserve">以下 </t>
    </r>
  </si>
  <si>
    <r>
      <t>1.0</t>
    </r>
    <r>
      <rPr>
        <sz val="10"/>
        <color rgb="FF000000"/>
        <rFont val="ＭＳ 明朝"/>
        <family val="1"/>
        <charset val="128"/>
      </rPr>
      <t>～</t>
    </r>
    <r>
      <rPr>
        <sz val="10"/>
        <color rgb="FF000000"/>
        <rFont val="Century"/>
        <family val="1"/>
      </rPr>
      <t>2.0m</t>
    </r>
    <r>
      <rPr>
        <sz val="10"/>
        <color rgb="FF000000"/>
        <rFont val="ＭＳ 明朝"/>
        <family val="1"/>
        <charset val="128"/>
      </rPr>
      <t xml:space="preserve">以下 </t>
    </r>
  </si>
  <si>
    <r>
      <t>2.0m</t>
    </r>
    <r>
      <rPr>
        <sz val="10"/>
        <color rgb="FF000000"/>
        <rFont val="ＭＳ 明朝"/>
        <family val="1"/>
        <charset val="128"/>
      </rPr>
      <t xml:space="preserve">超 </t>
    </r>
  </si>
  <si>
    <t xml:space="preserve">齢級 </t>
  </si>
  <si>
    <t>(1齢級=5年)</t>
    <rPh sb="2" eb="4">
      <t>レイキュウ</t>
    </rPh>
    <rPh sb="6" eb="7">
      <t>ネン</t>
    </rPh>
    <phoneticPr fontId="1"/>
  </si>
  <si>
    <t>壊</t>
    <phoneticPr fontId="1"/>
  </si>
  <si>
    <t>雨竜郡幌加内町</t>
    <phoneticPr fontId="1"/>
  </si>
  <si>
    <t>（ＪＩＳコード変更　01439 ⇒ 01472）</t>
  </si>
  <si>
    <t>天塩郡幌延町</t>
    <phoneticPr fontId="1"/>
  </si>
  <si>
    <t>（ＪＩＳコード変更　01488 ⇒ 01520）</t>
  </si>
  <si>
    <t>V</t>
  </si>
  <si>
    <t>II</t>
  </si>
  <si>
    <t>VIII</t>
  </si>
  <si>
    <t>VII</t>
  </si>
  <si>
    <t>I</t>
  </si>
  <si>
    <t>III</t>
  </si>
  <si>
    <t>IV</t>
  </si>
  <si>
    <t>VI</t>
  </si>
  <si>
    <t>IX</t>
  </si>
  <si>
    <t>X</t>
  </si>
  <si>
    <t>XI</t>
  </si>
  <si>
    <t>N</t>
    <phoneticPr fontId="1"/>
  </si>
  <si>
    <t>XII～</t>
    <phoneticPr fontId="1"/>
  </si>
  <si>
    <t>選択リスト</t>
    <rPh sb="0" eb="2">
      <t>センタク</t>
    </rPh>
    <phoneticPr fontId="1"/>
  </si>
  <si>
    <t>凹</t>
    <rPh sb="0" eb="1">
      <t>ボコ</t>
    </rPh>
    <phoneticPr fontId="1"/>
  </si>
  <si>
    <t>平</t>
    <rPh sb="0" eb="1">
      <t>ヘイ</t>
    </rPh>
    <phoneticPr fontId="1"/>
  </si>
  <si>
    <t>複</t>
    <rPh sb="0" eb="1">
      <t>フク</t>
    </rPh>
    <phoneticPr fontId="1"/>
  </si>
  <si>
    <t>凸</t>
    <rPh sb="0" eb="1">
      <t>デコ</t>
    </rPh>
    <phoneticPr fontId="1"/>
  </si>
  <si>
    <t>樹種</t>
    <rPh sb="0" eb="2">
      <t>ジュシュ</t>
    </rPh>
    <phoneticPr fontId="1"/>
  </si>
  <si>
    <t xml:space="preserve">縦断面形 </t>
    <phoneticPr fontId="1"/>
  </si>
  <si>
    <t>その他</t>
    <rPh sb="2" eb="3">
      <t>タ</t>
    </rPh>
    <phoneticPr fontId="1"/>
  </si>
  <si>
    <t>齢級</t>
    <rPh sb="0" eb="2">
      <t>レイキュウ</t>
    </rPh>
    <phoneticPr fontId="1"/>
  </si>
  <si>
    <t>地層の走向</t>
    <rPh sb="0" eb="2">
      <t>チソウ</t>
    </rPh>
    <rPh sb="3" eb="5">
      <t>ソウコウ</t>
    </rPh>
    <phoneticPr fontId="1"/>
  </si>
  <si>
    <t>滑落崖
陥没・隆起
亀裂</t>
    <rPh sb="0" eb="2">
      <t>カツラク</t>
    </rPh>
    <rPh sb="2" eb="3">
      <t>ガケ</t>
    </rPh>
    <rPh sb="4" eb="6">
      <t>カンボツ</t>
    </rPh>
    <rPh sb="7" eb="9">
      <t>リュウキ</t>
    </rPh>
    <rPh sb="10" eb="12">
      <t>キレツ</t>
    </rPh>
    <phoneticPr fontId="1"/>
  </si>
  <si>
    <t>地層の
走向</t>
    <rPh sb="0" eb="2">
      <t>チソウ</t>
    </rPh>
    <rPh sb="4" eb="6">
      <t>ソウコウ</t>
    </rPh>
    <phoneticPr fontId="1"/>
  </si>
  <si>
    <t>地質の
時代区分</t>
    <rPh sb="0" eb="2">
      <t>チシツ</t>
    </rPh>
    <rPh sb="4" eb="6">
      <t>ジダイ</t>
    </rPh>
    <rPh sb="6" eb="8">
      <t>クブン</t>
    </rPh>
    <phoneticPr fontId="1"/>
  </si>
  <si>
    <t>岩石の
変質風化</t>
    <rPh sb="0" eb="2">
      <t>ガンセキ</t>
    </rPh>
    <rPh sb="4" eb="6">
      <t>ヘンシツ</t>
    </rPh>
    <rPh sb="6" eb="8">
      <t>フウカ</t>
    </rPh>
    <phoneticPr fontId="1"/>
  </si>
  <si>
    <t>断層
破砕帯</t>
    <rPh sb="0" eb="2">
      <t>ダンソウ</t>
    </rPh>
    <rPh sb="3" eb="5">
      <t>ハサイ</t>
    </rPh>
    <rPh sb="5" eb="6">
      <t>タイ</t>
    </rPh>
    <phoneticPr fontId="1"/>
  </si>
  <si>
    <t>地すべり
地質</t>
    <rPh sb="0" eb="1">
      <t>ジ</t>
    </rPh>
    <rPh sb="5" eb="7">
      <t>チシツ</t>
    </rPh>
    <phoneticPr fontId="1"/>
  </si>
  <si>
    <t>沼地・湿原
地下水
湧出</t>
    <rPh sb="0" eb="2">
      <t>ヌマチ</t>
    </rPh>
    <rPh sb="3" eb="5">
      <t>シツゲン</t>
    </rPh>
    <rPh sb="6" eb="9">
      <t>チカスイ</t>
    </rPh>
    <rPh sb="10" eb="11">
      <t>ワ</t>
    </rPh>
    <rPh sb="11" eb="12">
      <t>デ</t>
    </rPh>
    <phoneticPr fontId="1"/>
  </si>
  <si>
    <t>立木
傾斜等
の異常</t>
    <rPh sb="0" eb="2">
      <t>タチキ</t>
    </rPh>
    <rPh sb="3" eb="5">
      <t>ケイシャ</t>
    </rPh>
    <rPh sb="5" eb="6">
      <t>トウ</t>
    </rPh>
    <rPh sb="8" eb="10">
      <t>イジョウ</t>
    </rPh>
    <phoneticPr fontId="1"/>
  </si>
  <si>
    <t>地すべり
活動</t>
    <rPh sb="0" eb="1">
      <t>ジ</t>
    </rPh>
    <rPh sb="5" eb="7">
      <t>カツドウ</t>
    </rPh>
    <phoneticPr fontId="1"/>
  </si>
  <si>
    <t>ランク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</si>
  <si>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</si>
  <si>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</si>
  <si>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</si>
  <si>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</si>
  <si>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判定ランク計</t>
    <rPh sb="0" eb="2">
      <t>ハンテイ</t>
    </rPh>
    <rPh sb="5" eb="6">
      <t>ケイ</t>
    </rPh>
    <phoneticPr fontId="1"/>
  </si>
  <si>
    <t>地すべり
危険度</t>
    <rPh sb="0" eb="1">
      <t>ジ</t>
    </rPh>
    <rPh sb="5" eb="8">
      <t>キケンド</t>
    </rPh>
    <phoneticPr fontId="1"/>
  </si>
  <si>
    <t>地すべり活動
の有無
（地すべり活動
aまたはb）</t>
    <rPh sb="0" eb="1">
      <t>ジ</t>
    </rPh>
    <rPh sb="4" eb="6">
      <t>カツドウ</t>
    </rPh>
    <rPh sb="8" eb="10">
      <t>ウム</t>
    </rPh>
    <rPh sb="12" eb="13">
      <t>ジ</t>
    </rPh>
    <rPh sb="16" eb="18">
      <t>カツドウ</t>
    </rPh>
    <phoneticPr fontId="1"/>
  </si>
  <si>
    <t>危険地区の番号</t>
    <phoneticPr fontId="1"/>
  </si>
  <si>
    <t>調査項目</t>
    <rPh sb="0" eb="2">
      <t>チョウサ</t>
    </rPh>
    <rPh sb="2" eb="4">
      <t>コウモク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</si>
  <si>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</si>
  <si>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</si>
  <si>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</si>
  <si>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</si>
  <si>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判 定 項 目</t>
    <rPh sb="0" eb="1">
      <t>ハン</t>
    </rPh>
    <rPh sb="2" eb="3">
      <t>サダム</t>
    </rPh>
    <rPh sb="4" eb="5">
      <t>コウ</t>
    </rPh>
    <rPh sb="6" eb="7">
      <t>メ</t>
    </rPh>
    <phoneticPr fontId="1"/>
  </si>
  <si>
    <t>危 険 度 ラ ン ク</t>
    <rPh sb="0" eb="1">
      <t>キ</t>
    </rPh>
    <rPh sb="2" eb="3">
      <t>ケン</t>
    </rPh>
    <rPh sb="4" eb="5">
      <t>ド</t>
    </rPh>
    <phoneticPr fontId="1"/>
  </si>
  <si>
    <t>ランク
指定</t>
    <rPh sb="4" eb="6">
      <t>シテイ</t>
    </rPh>
    <phoneticPr fontId="1"/>
  </si>
  <si>
    <t>岩石の変質又は風化の状況</t>
    <rPh sb="0" eb="2">
      <t>ガンセキ</t>
    </rPh>
    <rPh sb="3" eb="5">
      <t>ヘンシツ</t>
    </rPh>
    <rPh sb="5" eb="6">
      <t>マタ</t>
    </rPh>
    <rPh sb="7" eb="9">
      <t>フウカ</t>
    </rPh>
    <rPh sb="10" eb="12">
      <t>ジョウキョウ</t>
    </rPh>
    <phoneticPr fontId="1"/>
  </si>
  <si>
    <t>表層土の土質</t>
    <rPh sb="0" eb="3">
      <t>ヒョウソウド</t>
    </rPh>
    <rPh sb="4" eb="6">
      <t>ツチシツ</t>
    </rPh>
    <phoneticPr fontId="1"/>
  </si>
  <si>
    <t>滑落崖，亀裂，陥没又は隆起</t>
    <rPh sb="0" eb="2">
      <t>カツラク</t>
    </rPh>
    <rPh sb="2" eb="3">
      <t>ガケ</t>
    </rPh>
    <rPh sb="4" eb="6">
      <t>キレツ</t>
    </rPh>
    <rPh sb="7" eb="9">
      <t>カンボツ</t>
    </rPh>
    <rPh sb="9" eb="10">
      <t>マタ</t>
    </rPh>
    <rPh sb="11" eb="13">
      <t>リュウキ</t>
    </rPh>
    <phoneticPr fontId="1"/>
  </si>
  <si>
    <t>沼地，湿地の規則的な配列，
異常な地下水の湧出</t>
    <rPh sb="0" eb="2">
      <t>ヌマチ</t>
    </rPh>
    <rPh sb="3" eb="5">
      <t>シッチ</t>
    </rPh>
    <rPh sb="6" eb="9">
      <t>キソクテキ</t>
    </rPh>
    <rPh sb="10" eb="12">
      <t>ハイレツ</t>
    </rPh>
    <rPh sb="14" eb="16">
      <t>イジョウ</t>
    </rPh>
    <rPh sb="17" eb="20">
      <t>チカスイ</t>
    </rPh>
    <rPh sb="21" eb="22">
      <t>ワ</t>
    </rPh>
    <rPh sb="22" eb="23">
      <t>デ</t>
    </rPh>
    <phoneticPr fontId="1"/>
  </si>
  <si>
    <t>立木の傾斜等の異常</t>
    <rPh sb="0" eb="2">
      <t>タチキ</t>
    </rPh>
    <rPh sb="3" eb="5">
      <t>ケイシャ</t>
    </rPh>
    <rPh sb="5" eb="6">
      <t>トウ</t>
    </rPh>
    <rPh sb="7" eb="9">
      <t>イジョウ</t>
    </rPh>
    <phoneticPr fontId="1"/>
  </si>
  <si>
    <t>地すべり活動</t>
    <rPh sb="0" eb="1">
      <t>ジ</t>
    </rPh>
    <rPh sb="4" eb="6">
      <t>カツドウ</t>
    </rPh>
    <phoneticPr fontId="1"/>
  </si>
  <si>
    <t>地質</t>
    <rPh sb="0" eb="2">
      <t>チシツ</t>
    </rPh>
    <phoneticPr fontId="1"/>
  </si>
  <si>
    <t>地況</t>
    <rPh sb="0" eb="2">
      <t>チキョウ</t>
    </rPh>
    <phoneticPr fontId="1"/>
  </si>
  <si>
    <t>植生</t>
    <rPh sb="0" eb="2">
      <t>ショクセイ</t>
    </rPh>
    <phoneticPr fontId="1"/>
  </si>
  <si>
    <t>地すべり
状　況</t>
    <rPh sb="0" eb="1">
      <t>ジ</t>
    </rPh>
    <rPh sb="5" eb="6">
      <t>ジョウ</t>
    </rPh>
    <rPh sb="7" eb="8">
      <t>キョウ</t>
    </rPh>
    <phoneticPr fontId="1"/>
  </si>
  <si>
    <t>ラ ン ク 計</t>
    <rPh sb="6" eb="7">
      <t>ケイ</t>
    </rPh>
    <phoneticPr fontId="1"/>
  </si>
  <si>
    <t>　各セルをクリックすると選択項目を変更できます。</t>
    <rPh sb="1" eb="2">
      <t>カク</t>
    </rPh>
    <rPh sb="12" eb="14">
      <t>センタク</t>
    </rPh>
    <rPh sb="14" eb="16">
      <t>コウモク</t>
    </rPh>
    <rPh sb="17" eb="19">
      <t>ヘンコウ</t>
    </rPh>
    <phoneticPr fontId="1"/>
  </si>
  <si>
    <r>
      <rPr>
        <sz val="10"/>
        <color rgb="FF000000"/>
        <rFont val="ＭＳ Ｐ明朝"/>
        <family val="1"/>
        <charset val="128"/>
      </rPr>
      <t>調査項目</t>
    </r>
  </si>
  <si>
    <r>
      <rPr>
        <sz val="10"/>
        <color rgb="FF000000"/>
        <rFont val="ＭＳ Ｐ明朝"/>
        <family val="1"/>
        <charset val="128"/>
      </rPr>
      <t>区分</t>
    </r>
  </si>
  <si>
    <r>
      <rPr>
        <sz val="10"/>
        <color rgb="FF000000"/>
        <rFont val="ＭＳ Ｐ明朝"/>
        <family val="1"/>
        <charset val="128"/>
      </rPr>
      <t>点数</t>
    </r>
  </si>
  <si>
    <r>
      <rPr>
        <sz val="10"/>
        <color theme="1"/>
        <rFont val="ＭＳ Ｐ明朝"/>
        <family val="1"/>
        <charset val="128"/>
      </rPr>
      <t>区　</t>
    </r>
    <r>
      <rPr>
        <sz val="10"/>
        <color theme="1"/>
        <rFont val="Century"/>
        <family val="1"/>
      </rPr>
      <t xml:space="preserve"> </t>
    </r>
    <r>
      <rPr>
        <sz val="10"/>
        <color theme="1"/>
        <rFont val="ＭＳ Ｐ明朝"/>
        <family val="1"/>
        <charset val="128"/>
      </rPr>
      <t>分</t>
    </r>
    <phoneticPr fontId="1"/>
  </si>
  <si>
    <r>
      <rPr>
        <sz val="10"/>
        <color theme="1"/>
        <rFont val="ＭＳ Ｐ明朝"/>
        <family val="1"/>
        <charset val="128"/>
      </rPr>
      <t>調　査　項　目</t>
    </r>
    <rPh sb="0" eb="1">
      <t>チョウ</t>
    </rPh>
    <rPh sb="2" eb="3">
      <t>サ</t>
    </rPh>
    <rPh sb="4" eb="5">
      <t>コウ</t>
    </rPh>
    <rPh sb="6" eb="7">
      <t>メ</t>
    </rPh>
    <phoneticPr fontId="1"/>
  </si>
  <si>
    <r>
      <rPr>
        <sz val="10"/>
        <color theme="1"/>
        <rFont val="ＭＳ Ｐ明朝"/>
        <family val="1"/>
        <charset val="128"/>
      </rPr>
      <t>区　　分</t>
    </r>
    <rPh sb="0" eb="1">
      <t>ク</t>
    </rPh>
    <rPh sb="3" eb="4">
      <t>ブン</t>
    </rPh>
    <phoneticPr fontId="1"/>
  </si>
  <si>
    <r>
      <t>5km</t>
    </r>
    <r>
      <rPr>
        <sz val="10"/>
        <color rgb="FF000000"/>
        <rFont val="ＭＳ Ｐ明朝"/>
        <family val="1"/>
        <charset val="128"/>
      </rPr>
      <t>未満</t>
    </r>
  </si>
  <si>
    <r>
      <t xml:space="preserve"> </t>
    </r>
    <r>
      <rPr>
        <sz val="10"/>
        <color theme="1"/>
        <rFont val="ＭＳ Ｐ明朝"/>
        <family val="1"/>
        <charset val="128"/>
      </rPr>
      <t>剥　離　型</t>
    </r>
    <phoneticPr fontId="1"/>
  </si>
  <si>
    <r>
      <rPr>
        <sz val="10"/>
        <color theme="1"/>
        <rFont val="ＭＳ Ｐ明朝"/>
        <family val="1"/>
        <charset val="128"/>
      </rPr>
      <t>ａ１</t>
    </r>
  </si>
  <si>
    <r>
      <t>5km</t>
    </r>
    <r>
      <rPr>
        <sz val="10"/>
        <color rgb="FF000000"/>
        <rFont val="ＭＳ Ｐ明朝"/>
        <family val="1"/>
        <charset val="128"/>
      </rPr>
      <t>以上</t>
    </r>
    <r>
      <rPr>
        <sz val="10"/>
        <color rgb="FF000000"/>
        <rFont val="Century"/>
        <family val="1"/>
      </rPr>
      <t xml:space="preserve"> 10km</t>
    </r>
    <r>
      <rPr>
        <sz val="10"/>
        <color rgb="FF000000"/>
        <rFont val="ＭＳ Ｐ明朝"/>
        <family val="1"/>
        <charset val="128"/>
      </rPr>
      <t>未満</t>
    </r>
  </si>
  <si>
    <r>
      <rPr>
        <sz val="10"/>
        <color theme="1"/>
        <rFont val="ＭＳ Ｐ明朝"/>
        <family val="1"/>
        <charset val="128"/>
      </rPr>
      <t xml:space="preserve">発生源の傾斜角
</t>
    </r>
    <r>
      <rPr>
        <sz val="10"/>
        <color theme="1"/>
        <rFont val="Century"/>
        <family val="1"/>
      </rPr>
      <t xml:space="preserve"> (</t>
    </r>
    <r>
      <rPr>
        <sz val="10"/>
        <color theme="1"/>
        <rFont val="ＭＳ Ｐ明朝"/>
        <family val="1"/>
        <charset val="128"/>
      </rPr>
      <t>等高線本数</t>
    </r>
    <r>
      <rPr>
        <sz val="10"/>
        <color theme="1"/>
        <rFont val="Century"/>
        <family val="1"/>
      </rPr>
      <t>)</t>
    </r>
    <phoneticPr fontId="1"/>
  </si>
  <si>
    <r>
      <rPr>
        <sz val="10"/>
        <color theme="1"/>
        <rFont val="ＭＳ Ｐ明朝"/>
        <family val="1"/>
        <charset val="128"/>
      </rPr>
      <t>６０度以上</t>
    </r>
    <r>
      <rPr>
        <sz val="10"/>
        <color theme="1"/>
        <rFont val="Century"/>
        <family val="1"/>
      </rPr>
      <t xml:space="preserve"> </t>
    </r>
    <r>
      <rPr>
        <sz val="10"/>
        <color theme="1"/>
        <rFont val="ＭＳ Ｐ明朝"/>
        <family val="1"/>
        <charset val="128"/>
      </rPr>
      <t>（１７本以上）</t>
    </r>
    <phoneticPr fontId="1"/>
  </si>
  <si>
    <r>
      <rPr>
        <sz val="10"/>
        <color theme="1"/>
        <rFont val="ＭＳ Ｐ明朝"/>
        <family val="1"/>
        <charset val="128"/>
      </rPr>
      <t>ｂ１</t>
    </r>
  </si>
  <si>
    <r>
      <t>10km</t>
    </r>
    <r>
      <rPr>
        <sz val="10"/>
        <color rgb="FF000000"/>
        <rFont val="ＭＳ Ｐ明朝"/>
        <family val="1"/>
        <charset val="128"/>
      </rPr>
      <t>以上</t>
    </r>
  </si>
  <si>
    <r>
      <rPr>
        <sz val="10"/>
        <color theme="1"/>
        <rFont val="ＭＳ Ｐ明朝"/>
        <family val="1"/>
        <charset val="128"/>
      </rPr>
      <t>６０度未満</t>
    </r>
    <r>
      <rPr>
        <sz val="10"/>
        <color theme="1"/>
        <rFont val="Century"/>
        <family val="1"/>
      </rPr>
      <t xml:space="preserve"> </t>
    </r>
    <r>
      <rPr>
        <sz val="10"/>
        <color theme="1"/>
        <rFont val="ＭＳ Ｐ明朝"/>
        <family val="1"/>
        <charset val="128"/>
      </rPr>
      <t>（１７本未満）</t>
    </r>
    <phoneticPr fontId="1"/>
  </si>
  <si>
    <r>
      <rPr>
        <sz val="10"/>
        <color theme="1"/>
        <rFont val="ＭＳ Ｐ明朝"/>
        <family val="1"/>
        <charset val="128"/>
      </rPr>
      <t>ｃ１</t>
    </r>
  </si>
  <si>
    <r>
      <t>0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40(0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4</t>
    </r>
  </si>
  <si>
    <r>
      <rPr>
        <sz val="10"/>
        <color theme="1"/>
        <rFont val="ＭＳ Ｐ明朝"/>
        <family val="1"/>
        <charset val="128"/>
      </rPr>
      <t>ｄ１</t>
    </r>
    <phoneticPr fontId="1"/>
  </si>
  <si>
    <r>
      <rPr>
        <sz val="10"/>
        <color rgb="FF000000"/>
        <rFont val="ＭＳ Ｐ明朝"/>
        <family val="1"/>
        <charset val="128"/>
      </rPr>
      <t>斜面傾斜</t>
    </r>
  </si>
  <si>
    <r>
      <rPr>
        <sz val="10"/>
        <color rgb="FF000000"/>
        <rFont val="ＭＳ Ｐ明朝"/>
        <family val="1"/>
        <charset val="128"/>
      </rPr>
      <t>％</t>
    </r>
  </si>
  <si>
    <r>
      <t>41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60(5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6)</t>
    </r>
  </si>
  <si>
    <r>
      <rPr>
        <sz val="10"/>
        <color theme="1"/>
        <rFont val="ＭＳ Ｐ明朝"/>
        <family val="1"/>
        <charset val="128"/>
      </rPr>
      <t>転石の混入割合</t>
    </r>
  </si>
  <si>
    <r>
      <rPr>
        <sz val="10"/>
        <color theme="1"/>
        <rFont val="ＭＳ Ｐ明朝"/>
        <family val="1"/>
        <charset val="128"/>
      </rPr>
      <t>１０％未満</t>
    </r>
  </si>
  <si>
    <r>
      <rPr>
        <sz val="10"/>
        <color rgb="FF000000"/>
        <rFont val="ＭＳ Ｐ明朝"/>
        <family val="1"/>
        <charset val="128"/>
      </rPr>
      <t>（等高線本数）</t>
    </r>
  </si>
  <si>
    <r>
      <t>(</t>
    </r>
    <r>
      <rPr>
        <sz val="10"/>
        <color rgb="FF000000"/>
        <rFont val="ＭＳ Ｐ明朝"/>
        <family val="1"/>
        <charset val="128"/>
      </rPr>
      <t>本</t>
    </r>
    <r>
      <rPr>
        <sz val="10"/>
        <color rgb="FF000000"/>
        <rFont val="Century"/>
        <family val="1"/>
      </rPr>
      <t>)</t>
    </r>
  </si>
  <si>
    <r>
      <t>61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80(7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8)</t>
    </r>
  </si>
  <si>
    <r>
      <rPr>
        <sz val="10"/>
        <color theme="1"/>
        <rFont val="ＭＳ Ｐ明朝"/>
        <family val="1"/>
        <charset val="128"/>
      </rPr>
      <t>容易に岩目から欠ける。</t>
    </r>
    <phoneticPr fontId="1"/>
  </si>
  <si>
    <r>
      <rPr>
        <sz val="10"/>
        <color theme="1"/>
        <rFont val="ＭＳ Ｐ明朝"/>
        <family val="1"/>
        <charset val="128"/>
      </rPr>
      <t>１０％以上２０％未満</t>
    </r>
  </si>
  <si>
    <r>
      <t>81</t>
    </r>
    <r>
      <rPr>
        <sz val="10"/>
        <color rgb="FF000000"/>
        <rFont val="ＭＳ Ｐ明朝"/>
        <family val="1"/>
        <charset val="128"/>
      </rPr>
      <t>以上</t>
    </r>
    <r>
      <rPr>
        <sz val="10"/>
        <color rgb="FF000000"/>
        <rFont val="Century"/>
        <family val="1"/>
      </rPr>
      <t>(9</t>
    </r>
    <r>
      <rPr>
        <sz val="10"/>
        <color rgb="FF000000"/>
        <rFont val="ＭＳ Ｐ明朝"/>
        <family val="1"/>
        <charset val="128"/>
      </rPr>
      <t>以上</t>
    </r>
    <r>
      <rPr>
        <sz val="10"/>
        <color rgb="FF000000"/>
        <rFont val="Century"/>
        <family val="1"/>
      </rPr>
      <t>)</t>
    </r>
  </si>
  <si>
    <r>
      <rPr>
        <sz val="10"/>
        <color theme="1"/>
        <rFont val="ＭＳ Ｐ明朝"/>
        <family val="1"/>
        <charset val="128"/>
      </rPr>
      <t>岩石等の</t>
    </r>
    <phoneticPr fontId="1"/>
  </si>
  <si>
    <r>
      <rPr>
        <sz val="10"/>
        <color theme="1"/>
        <rFont val="ＭＳ Ｐ明朝"/>
        <family val="1"/>
        <charset val="128"/>
      </rPr>
      <t>２０％以上３０％未満</t>
    </r>
  </si>
  <si>
    <r>
      <t>0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150</t>
    </r>
  </si>
  <si>
    <r>
      <rPr>
        <sz val="10"/>
        <color theme="1"/>
        <rFont val="ＭＳ Ｐ明朝"/>
        <family val="1"/>
        <charset val="128"/>
      </rPr>
      <t>安定状況</t>
    </r>
    <phoneticPr fontId="1"/>
  </si>
  <si>
    <r>
      <rPr>
        <sz val="10"/>
        <color theme="1"/>
        <rFont val="ＭＳ Ｐ明朝"/>
        <family val="1"/>
        <charset val="128"/>
      </rPr>
      <t>叩くと動揺する。</t>
    </r>
    <phoneticPr fontId="1"/>
  </si>
  <si>
    <r>
      <rPr>
        <sz val="10"/>
        <color theme="1"/>
        <rFont val="ＭＳ Ｐ明朝"/>
        <family val="1"/>
        <charset val="128"/>
      </rPr>
      <t>３０％以上</t>
    </r>
  </si>
  <si>
    <r>
      <rPr>
        <sz val="10"/>
        <color rgb="FF000000"/>
        <rFont val="ＭＳ Ｐ明朝"/>
        <family val="1"/>
        <charset val="128"/>
      </rPr>
      <t>斜面横断面形</t>
    </r>
  </si>
  <si>
    <r>
      <rPr>
        <sz val="10"/>
        <color rgb="FF000000"/>
        <rFont val="ＭＳ Ｐ明朝"/>
        <family val="1"/>
        <charset val="128"/>
      </rPr>
      <t>度</t>
    </r>
  </si>
  <si>
    <r>
      <t>151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270</t>
    </r>
  </si>
  <si>
    <r>
      <rPr>
        <sz val="10"/>
        <color theme="1"/>
        <rFont val="ＭＳ Ｐ明朝"/>
        <family val="1"/>
        <charset val="128"/>
      </rPr>
      <t>荒廃発生源直下の渓床勾配</t>
    </r>
  </si>
  <si>
    <r>
      <rPr>
        <sz val="10"/>
        <color theme="1"/>
        <rFont val="ＭＳ Ｐ明朝"/>
        <family val="1"/>
        <charset val="128"/>
      </rPr>
      <t>９</t>
    </r>
    <r>
      <rPr>
        <sz val="10"/>
        <color theme="1"/>
        <rFont val="Century"/>
        <family val="1"/>
      </rPr>
      <t>°</t>
    </r>
    <r>
      <rPr>
        <sz val="10"/>
        <color theme="1"/>
        <rFont val="ＭＳ Ｐ明朝"/>
        <family val="1"/>
        <charset val="128"/>
      </rPr>
      <t>未満</t>
    </r>
  </si>
  <si>
    <r>
      <t>271</t>
    </r>
    <r>
      <rPr>
        <sz val="10"/>
        <color rgb="FF000000"/>
        <rFont val="ＭＳ Ｐ明朝"/>
        <family val="1"/>
        <charset val="128"/>
      </rPr>
      <t>以上</t>
    </r>
  </si>
  <si>
    <r>
      <rPr>
        <sz val="10"/>
        <color theme="1"/>
        <rFont val="ＭＳ Ｐ明朝"/>
        <family val="1"/>
        <charset val="128"/>
      </rPr>
      <t>落下斜面の
植生状況</t>
    </r>
    <phoneticPr fontId="1"/>
  </si>
  <si>
    <r>
      <rPr>
        <sz val="10"/>
        <color theme="1"/>
        <rFont val="ＭＳ Ｐ明朝"/>
        <family val="1"/>
        <charset val="128"/>
      </rPr>
      <t>９</t>
    </r>
    <r>
      <rPr>
        <sz val="10"/>
        <color theme="1"/>
        <rFont val="Century"/>
        <family val="1"/>
      </rPr>
      <t>°</t>
    </r>
    <r>
      <rPr>
        <sz val="10"/>
        <color theme="1"/>
        <rFont val="ＭＳ Ｐ明朝"/>
        <family val="1"/>
        <charset val="128"/>
      </rPr>
      <t>以上１４</t>
    </r>
    <r>
      <rPr>
        <sz val="10"/>
        <color theme="1"/>
        <rFont val="Century"/>
        <family val="1"/>
      </rPr>
      <t xml:space="preserve"> °</t>
    </r>
    <r>
      <rPr>
        <sz val="10"/>
        <color theme="1"/>
        <rFont val="ＭＳ Ｐ明朝"/>
        <family val="1"/>
        <charset val="128"/>
      </rPr>
      <t>未満</t>
    </r>
  </si>
  <si>
    <r>
      <t>0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100</t>
    </r>
  </si>
  <si>
    <r>
      <rPr>
        <sz val="10"/>
        <color theme="1"/>
        <rFont val="ＭＳ Ｐ明朝"/>
        <family val="1"/>
        <charset val="128"/>
      </rPr>
      <t>１４</t>
    </r>
    <r>
      <rPr>
        <sz val="10"/>
        <color theme="1"/>
        <rFont val="Century"/>
        <family val="1"/>
      </rPr>
      <t>°</t>
    </r>
    <r>
      <rPr>
        <sz val="10"/>
        <color theme="1"/>
        <rFont val="ＭＳ Ｐ明朝"/>
        <family val="1"/>
        <charset val="128"/>
      </rPr>
      <t>以上１９</t>
    </r>
    <r>
      <rPr>
        <sz val="10"/>
        <color theme="1"/>
        <rFont val="Century"/>
        <family val="1"/>
      </rPr>
      <t xml:space="preserve"> °</t>
    </r>
    <r>
      <rPr>
        <sz val="10"/>
        <color theme="1"/>
        <rFont val="ＭＳ Ｐ明朝"/>
        <family val="1"/>
        <charset val="128"/>
      </rPr>
      <t>未満</t>
    </r>
  </si>
  <si>
    <r>
      <rPr>
        <sz val="10"/>
        <color rgb="FF000000"/>
        <rFont val="ＭＳ Ｐ明朝"/>
        <family val="1"/>
        <charset val="128"/>
      </rPr>
      <t>斜面長</t>
    </r>
  </si>
  <si>
    <r>
      <rPr>
        <sz val="10"/>
        <color rgb="FF000000"/>
        <rFont val="ＭＳ Ｐ明朝"/>
        <family val="1"/>
        <charset val="128"/>
      </rPr>
      <t>ｍ</t>
    </r>
  </si>
  <si>
    <r>
      <t>101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200</t>
    </r>
  </si>
  <si>
    <r>
      <rPr>
        <sz val="10"/>
        <color theme="1"/>
        <rFont val="ＭＳ Ｐ明朝"/>
        <family val="1"/>
        <charset val="128"/>
      </rPr>
      <t>１９</t>
    </r>
    <r>
      <rPr>
        <sz val="10"/>
        <color theme="1"/>
        <rFont val="Century"/>
        <family val="1"/>
      </rPr>
      <t>°</t>
    </r>
    <r>
      <rPr>
        <sz val="10"/>
        <color theme="1"/>
        <rFont val="ＭＳ Ｐ明朝"/>
        <family val="1"/>
        <charset val="128"/>
      </rPr>
      <t>以上</t>
    </r>
  </si>
  <si>
    <r>
      <t>201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300</t>
    </r>
  </si>
  <si>
    <r>
      <t>B</t>
    </r>
    <r>
      <rPr>
        <sz val="10"/>
        <color theme="1"/>
        <rFont val="ＭＳ Ｐ明朝"/>
        <family val="1"/>
        <charset val="128"/>
      </rPr>
      <t>、</t>
    </r>
    <phoneticPr fontId="1"/>
  </si>
  <si>
    <r>
      <rPr>
        <sz val="10"/>
        <color theme="1"/>
        <rFont val="ＭＳ Ｐ明朝"/>
        <family val="1"/>
        <charset val="128"/>
      </rPr>
      <t>崩壊土砂流出区間の延長</t>
    </r>
  </si>
  <si>
    <r>
      <rPr>
        <sz val="10"/>
        <color theme="1"/>
        <rFont val="ＭＳ Ｐ明朝"/>
        <family val="1"/>
        <charset val="128"/>
      </rPr>
      <t>２００ｍ未満</t>
    </r>
  </si>
  <si>
    <r>
      <t>301</t>
    </r>
    <r>
      <rPr>
        <sz val="10"/>
        <color rgb="FF000000"/>
        <rFont val="ＭＳ Ｐ明朝"/>
        <family val="1"/>
        <charset val="128"/>
      </rPr>
      <t>以上</t>
    </r>
  </si>
  <si>
    <r>
      <rPr>
        <sz val="10"/>
        <color theme="1"/>
        <rFont val="ＭＳ Ｐ明朝"/>
        <family val="1"/>
        <charset val="128"/>
      </rPr>
      <t>Ｃ</t>
    </r>
    <phoneticPr fontId="1"/>
  </si>
  <si>
    <r>
      <rPr>
        <sz val="10"/>
        <color theme="1"/>
        <rFont val="ＭＳ Ｐ明朝"/>
        <family val="1"/>
        <charset val="128"/>
      </rPr>
      <t>２００ｍ以上５００ｍ未満</t>
    </r>
  </si>
  <si>
    <r>
      <t>0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30</t>
    </r>
  </si>
  <si>
    <r>
      <rPr>
        <sz val="10"/>
        <color theme="1"/>
        <rFont val="ＭＳ Ｐ明朝"/>
        <family val="1"/>
        <charset val="128"/>
      </rPr>
      <t>５００ｍ以上</t>
    </r>
  </si>
  <si>
    <r>
      <rPr>
        <sz val="10"/>
        <color rgb="FF000000"/>
        <rFont val="ＭＳ Ｐ明朝"/>
        <family val="1"/>
        <charset val="128"/>
      </rPr>
      <t>メッシュの斜面位置</t>
    </r>
  </si>
  <si>
    <r>
      <t>31</t>
    </r>
    <r>
      <rPr>
        <sz val="10"/>
        <color rgb="FF000000"/>
        <rFont val="ＭＳ Ｐ明朝"/>
        <family val="1"/>
        <charset val="128"/>
      </rPr>
      <t>～</t>
    </r>
    <r>
      <rPr>
        <sz val="10"/>
        <color rgb="FF000000"/>
        <rFont val="Century"/>
        <family val="1"/>
      </rPr>
      <t>50</t>
    </r>
  </si>
  <si>
    <r>
      <rPr>
        <sz val="10"/>
        <color theme="1"/>
        <rFont val="ＭＳ Ｐ明朝"/>
        <family val="1"/>
        <charset val="128"/>
      </rPr>
      <t>平均渓床勾配</t>
    </r>
  </si>
  <si>
    <r>
      <rPr>
        <sz val="10"/>
        <color theme="1"/>
        <rFont val="ＭＳ Ｐ明朝"/>
        <family val="1"/>
        <charset val="128"/>
      </rPr>
      <t>５</t>
    </r>
    <r>
      <rPr>
        <sz val="10"/>
        <color theme="1"/>
        <rFont val="Century"/>
        <family val="1"/>
      </rPr>
      <t>°</t>
    </r>
    <r>
      <rPr>
        <sz val="10"/>
        <color theme="1"/>
        <rFont val="ＭＳ Ｐ明朝"/>
        <family val="1"/>
        <charset val="128"/>
      </rPr>
      <t>未満</t>
    </r>
  </si>
  <si>
    <r>
      <t>51</t>
    </r>
    <r>
      <rPr>
        <sz val="10"/>
        <color rgb="FF000000"/>
        <rFont val="ＭＳ Ｐ明朝"/>
        <family val="1"/>
        <charset val="128"/>
      </rPr>
      <t>以上</t>
    </r>
  </si>
  <si>
    <r>
      <rPr>
        <sz val="10"/>
        <color theme="1"/>
        <rFont val="ＭＳ Ｐ明朝"/>
        <family val="1"/>
        <charset val="128"/>
      </rPr>
      <t>５</t>
    </r>
    <r>
      <rPr>
        <sz val="10"/>
        <color theme="1"/>
        <rFont val="Century"/>
        <family val="1"/>
      </rPr>
      <t>°</t>
    </r>
    <r>
      <rPr>
        <sz val="10"/>
        <color theme="1"/>
        <rFont val="ＭＳ Ｐ明朝"/>
        <family val="1"/>
        <charset val="128"/>
      </rPr>
      <t>以上８</t>
    </r>
    <r>
      <rPr>
        <sz val="10"/>
        <color theme="1"/>
        <rFont val="Century"/>
        <family val="1"/>
      </rPr>
      <t>°</t>
    </r>
    <r>
      <rPr>
        <sz val="10"/>
        <color theme="1"/>
        <rFont val="ＭＳ Ｐ明朝"/>
        <family val="1"/>
        <charset val="128"/>
      </rPr>
      <t>未満</t>
    </r>
  </si>
  <si>
    <r>
      <rPr>
        <sz val="10"/>
        <color rgb="FF000000"/>
        <rFont val="ＭＳ Ｐ明朝"/>
        <family val="1"/>
        <charset val="128"/>
      </rPr>
      <t>火山性</t>
    </r>
    <r>
      <rPr>
        <sz val="10"/>
        <color rgb="FF000000"/>
        <rFont val="Century"/>
        <family val="1"/>
      </rPr>
      <t>(</t>
    </r>
    <r>
      <rPr>
        <sz val="10"/>
        <color rgb="FF000000"/>
        <rFont val="ＭＳ Ｐ明朝"/>
        <family val="1"/>
        <charset val="128"/>
      </rPr>
      <t>噴出岩</t>
    </r>
    <r>
      <rPr>
        <sz val="10"/>
        <color rgb="FF000000"/>
        <rFont val="Century"/>
        <family val="1"/>
      </rPr>
      <t>)</t>
    </r>
    <r>
      <rPr>
        <sz val="10"/>
        <color rgb="FF000000"/>
        <rFont val="ＭＳ Ｐ明朝"/>
        <family val="1"/>
        <charset val="128"/>
      </rPr>
      <t>の地質</t>
    </r>
  </si>
  <si>
    <r>
      <rPr>
        <sz val="10"/>
        <color theme="1"/>
        <rFont val="ＭＳ Ｐ明朝"/>
        <family val="1"/>
        <charset val="128"/>
      </rPr>
      <t>８</t>
    </r>
    <r>
      <rPr>
        <sz val="10"/>
        <color theme="1"/>
        <rFont val="Century"/>
        <family val="1"/>
      </rPr>
      <t>°</t>
    </r>
    <r>
      <rPr>
        <sz val="10"/>
        <color theme="1"/>
        <rFont val="ＭＳ Ｐ明朝"/>
        <family val="1"/>
        <charset val="128"/>
      </rPr>
      <t>以上１１</t>
    </r>
    <r>
      <rPr>
        <sz val="10"/>
        <color theme="1"/>
        <rFont val="Century"/>
        <family val="1"/>
      </rPr>
      <t xml:space="preserve"> °</t>
    </r>
    <r>
      <rPr>
        <sz val="10"/>
        <color theme="1"/>
        <rFont val="ＭＳ Ｐ明朝"/>
        <family val="1"/>
        <charset val="128"/>
      </rPr>
      <t>未満</t>
    </r>
  </si>
  <si>
    <r>
      <rPr>
        <sz val="10"/>
        <color rgb="FF000000"/>
        <rFont val="ＭＳ Ｐ明朝"/>
        <family val="1"/>
        <charset val="128"/>
      </rPr>
      <t>オーバーハングが有る</t>
    </r>
  </si>
  <si>
    <r>
      <rPr>
        <sz val="10"/>
        <color theme="1"/>
        <rFont val="ＭＳ Ｐ明朝"/>
        <family val="1"/>
        <charset val="128"/>
      </rPr>
      <t>１１</t>
    </r>
    <r>
      <rPr>
        <sz val="10"/>
        <color theme="1"/>
        <rFont val="Century"/>
        <family val="1"/>
      </rPr>
      <t>°</t>
    </r>
    <r>
      <rPr>
        <sz val="10"/>
        <color theme="1"/>
        <rFont val="ＭＳ Ｐ明朝"/>
        <family val="1"/>
        <charset val="128"/>
      </rPr>
      <t>以上１６</t>
    </r>
    <r>
      <rPr>
        <sz val="10"/>
        <color theme="1"/>
        <rFont val="Century"/>
        <family val="1"/>
      </rPr>
      <t xml:space="preserve"> °</t>
    </r>
    <r>
      <rPr>
        <sz val="10"/>
        <color theme="1"/>
        <rFont val="ＭＳ Ｐ明朝"/>
        <family val="1"/>
        <charset val="128"/>
      </rPr>
      <t>未満</t>
    </r>
  </si>
  <si>
    <r>
      <rPr>
        <sz val="10"/>
        <color rgb="FF000000"/>
        <rFont val="ＭＳ Ｐ明朝"/>
        <family val="1"/>
        <charset val="128"/>
      </rPr>
      <t>表面に転石・浮石が多い</t>
    </r>
  </si>
  <si>
    <r>
      <rPr>
        <sz val="10"/>
        <color theme="1"/>
        <rFont val="ＭＳ Ｐ明朝"/>
        <family val="1"/>
        <charset val="128"/>
      </rPr>
      <t>１６</t>
    </r>
    <r>
      <rPr>
        <sz val="10"/>
        <color theme="1"/>
        <rFont val="Century"/>
        <family val="1"/>
      </rPr>
      <t>°</t>
    </r>
    <r>
      <rPr>
        <sz val="10"/>
        <color theme="1"/>
        <rFont val="ＭＳ Ｐ明朝"/>
        <family val="1"/>
        <charset val="128"/>
      </rPr>
      <t>以上</t>
    </r>
  </si>
  <si>
    <r>
      <rPr>
        <sz val="10"/>
        <color rgb="FF000000"/>
        <rFont val="ＭＳ Ｐ明朝"/>
        <family val="1"/>
        <charset val="128"/>
      </rPr>
      <t>斜面の状況</t>
    </r>
  </si>
  <si>
    <r>
      <rPr>
        <sz val="10"/>
        <color rgb="FF000000"/>
        <rFont val="ＭＳ Ｐ明朝"/>
        <family val="1"/>
        <charset val="128"/>
      </rPr>
      <t>風化・変質・亀裂が発達した岩</t>
    </r>
  </si>
  <si>
    <r>
      <rPr>
        <sz val="10"/>
        <color rgb="FF000000"/>
        <rFont val="ＭＳ Ｐ明朝"/>
        <family val="1"/>
        <charset val="128"/>
      </rPr>
      <t>風化・変質した岩</t>
    </r>
  </si>
  <si>
    <r>
      <rPr>
        <sz val="10"/>
        <color rgb="FF000000"/>
        <rFont val="ＭＳ Ｐ明朝"/>
        <family val="1"/>
        <charset val="128"/>
      </rPr>
      <t>亀裂の発達した岩</t>
    </r>
  </si>
  <si>
    <r>
      <rPr>
        <sz val="10"/>
        <color rgb="FF000000"/>
        <rFont val="ＭＳ Ｐ明朝"/>
        <family val="1"/>
        <charset val="128"/>
      </rPr>
      <t>土砂・粘質土</t>
    </r>
  </si>
  <si>
    <r>
      <rPr>
        <sz val="10"/>
        <color rgb="FF000000"/>
        <rFont val="ＭＳ Ｐ明朝"/>
        <family val="1"/>
        <charset val="128"/>
      </rPr>
      <t>上記以外</t>
    </r>
  </si>
  <si>
    <r>
      <rPr>
        <sz val="10"/>
        <color rgb="FF000000"/>
        <rFont val="ＭＳ Ｐ明朝"/>
        <family val="1"/>
        <charset val="128"/>
      </rPr>
      <t>土層深</t>
    </r>
  </si>
  <si>
    <r>
      <t>0.5</t>
    </r>
    <r>
      <rPr>
        <sz val="10"/>
        <color rgb="FF000000"/>
        <rFont val="ＭＳ Ｐ明朝"/>
        <family val="1"/>
        <charset val="128"/>
      </rPr>
      <t>以上</t>
    </r>
  </si>
  <si>
    <r>
      <t>0.5</t>
    </r>
    <r>
      <rPr>
        <sz val="10"/>
        <color rgb="FF000000"/>
        <rFont val="ＭＳ Ｐ明朝"/>
        <family val="1"/>
        <charset val="128"/>
      </rPr>
      <t>未満</t>
    </r>
  </si>
  <si>
    <t>震央又は活断層</t>
    <phoneticPr fontId="1"/>
  </si>
  <si>
    <t>からの距離</t>
  </si>
  <si>
    <t>　地域別補正係数の地域区分表（表－７）</t>
    <phoneticPr fontId="1"/>
  </si>
  <si>
    <t>　　　から判定する</t>
    <phoneticPr fontId="1"/>
  </si>
  <si>
    <t>崩流－表－１</t>
    <rPh sb="0" eb="1">
      <t>ホウ</t>
    </rPh>
    <rPh sb="1" eb="2">
      <t>リュウ</t>
    </rPh>
    <rPh sb="3" eb="4">
      <t>ヒョウ</t>
    </rPh>
    <phoneticPr fontId="1"/>
  </si>
  <si>
    <t>荒廃発生源の崩壊
または地すべり危険度</t>
    <phoneticPr fontId="1"/>
  </si>
  <si>
    <t>メッシュ</t>
    <phoneticPr fontId="1"/>
  </si>
  <si>
    <t>番号</t>
    <rPh sb="0" eb="2">
      <t>バンゴウ</t>
    </rPh>
    <phoneticPr fontId="1"/>
  </si>
  <si>
    <t>山腹崩壊</t>
    <rPh sb="0" eb="2">
      <t>サンプク</t>
    </rPh>
    <rPh sb="2" eb="4">
      <t>ホウカイ</t>
    </rPh>
    <phoneticPr fontId="1"/>
  </si>
  <si>
    <t>危険度</t>
    <rPh sb="0" eb="3">
      <t>キケンド</t>
    </rPh>
    <phoneticPr fontId="1"/>
  </si>
  <si>
    <t>　荒廃状況等
　点数</t>
    <rPh sb="1" eb="3">
      <t>コウハイ</t>
    </rPh>
    <rPh sb="3" eb="5">
      <t>ジョウキョウ</t>
    </rPh>
    <rPh sb="5" eb="6">
      <t>トウ</t>
    </rPh>
    <rPh sb="8" eb="10">
      <t>テンスウ</t>
    </rPh>
    <phoneticPr fontId="1"/>
  </si>
  <si>
    <t>有無</t>
    <rPh sb="0" eb="2">
      <t>ウム</t>
    </rPh>
    <phoneticPr fontId="1"/>
  </si>
  <si>
    <t>有</t>
    <rPh sb="0" eb="1">
      <t>ア</t>
    </rPh>
    <phoneticPr fontId="1"/>
  </si>
  <si>
    <t>無</t>
    <rPh sb="0" eb="1">
      <t>ナ</t>
    </rPh>
    <phoneticPr fontId="1"/>
  </si>
  <si>
    <t xml:space="preserve">第７類 </t>
    <phoneticPr fontId="1"/>
  </si>
  <si>
    <t>林 種</t>
    <rPh sb="0" eb="1">
      <t>リン</t>
    </rPh>
    <rPh sb="2" eb="3">
      <t>シュ</t>
    </rPh>
    <phoneticPr fontId="1"/>
  </si>
  <si>
    <t>2～3</t>
    <phoneticPr fontId="1"/>
  </si>
  <si>
    <t>4～7</t>
    <phoneticPr fontId="1"/>
  </si>
  <si>
    <t>8～11</t>
    <phoneticPr fontId="1"/>
  </si>
  <si>
    <t>12以上</t>
    <rPh sb="2" eb="4">
      <t>イジョウ</t>
    </rPh>
    <phoneticPr fontId="1"/>
  </si>
  <si>
    <t>L</t>
    <phoneticPr fontId="1"/>
  </si>
  <si>
    <t>NL</t>
    <phoneticPr fontId="1"/>
  </si>
  <si>
    <t>非多雨</t>
    <rPh sb="0" eb="1">
      <t>ヒ</t>
    </rPh>
    <rPh sb="1" eb="3">
      <t>タウ</t>
    </rPh>
    <phoneticPr fontId="1"/>
  </si>
  <si>
    <t>第７類</t>
    <rPh sb="0" eb="1">
      <t>ダイ</t>
    </rPh>
    <rPh sb="2" eb="3">
      <t>ルイ</t>
    </rPh>
    <phoneticPr fontId="1"/>
  </si>
  <si>
    <t>2～3</t>
    <phoneticPr fontId="1"/>
  </si>
  <si>
    <t>4～7</t>
    <phoneticPr fontId="1"/>
  </si>
  <si>
    <t>8～11</t>
    <phoneticPr fontId="1"/>
  </si>
  <si>
    <t>多雨</t>
    <rPh sb="0" eb="2">
      <t>タウ</t>
    </rPh>
    <phoneticPr fontId="1"/>
  </si>
  <si>
    <t>多雨・非多雨の別</t>
    <rPh sb="0" eb="2">
      <t>タウ</t>
    </rPh>
    <rPh sb="3" eb="4">
      <t>ヒ</t>
    </rPh>
    <rPh sb="4" eb="6">
      <t>タウ</t>
    </rPh>
    <rPh sb="7" eb="8">
      <t>ベツ</t>
    </rPh>
    <phoneticPr fontId="1"/>
  </si>
  <si>
    <t>非</t>
    <rPh sb="0" eb="1">
      <t>ヒ</t>
    </rPh>
    <phoneticPr fontId="1"/>
  </si>
  <si>
    <t>補</t>
    <rPh sb="0" eb="1">
      <t>ホ</t>
    </rPh>
    <phoneticPr fontId="1"/>
  </si>
  <si>
    <t>正</t>
    <rPh sb="0" eb="1">
      <t>セイ</t>
    </rPh>
    <phoneticPr fontId="1"/>
  </si>
  <si>
    <t>加</t>
    <rPh sb="0" eb="1">
      <t>カ</t>
    </rPh>
    <phoneticPr fontId="1"/>
  </si>
  <si>
    <t>算</t>
    <rPh sb="0" eb="1">
      <t>サン</t>
    </rPh>
    <phoneticPr fontId="1"/>
  </si>
  <si>
    <t>点</t>
    <rPh sb="0" eb="1">
      <t>テン</t>
    </rPh>
    <phoneticPr fontId="1"/>
  </si>
  <si>
    <t/>
  </si>
  <si>
    <t>高麗広Ⅰ</t>
  </si>
  <si>
    <t>民</t>
  </si>
  <si>
    <t>伊勢</t>
  </si>
  <si>
    <t>市</t>
  </si>
  <si>
    <t>宇治今在家</t>
  </si>
  <si>
    <t>町</t>
  </si>
  <si>
    <t>高麗広</t>
  </si>
  <si>
    <t>大床</t>
  </si>
  <si>
    <t>平成29年6月20日</t>
  </si>
  <si>
    <t>川村篤史</t>
  </si>
  <si>
    <t>県道</t>
  </si>
  <si>
    <t>水田</t>
  </si>
  <si>
    <t>1ha</t>
  </si>
  <si>
    <t>人家</t>
  </si>
  <si>
    <t>c2</t>
  </si>
  <si>
    <t>未着手(無)</t>
  </si>
  <si>
    <t>無</t>
  </si>
  <si>
    <t>平成19</t>
  </si>
  <si>
    <t>C</t>
  </si>
  <si>
    <t>203-0001</t>
  </si>
  <si>
    <t>***</t>
  </si>
  <si>
    <t>第2類</t>
  </si>
  <si>
    <t>b1</t>
  </si>
  <si>
    <t>凹</t>
  </si>
  <si>
    <t>ヒノキ</t>
  </si>
  <si>
    <t>N</t>
  </si>
  <si>
    <t>XII～</t>
  </si>
  <si>
    <t>\\Server\技術\01個人別\竹内\16-054治山調査\【01調書】\01山地災害危険地区調査（CSV)\山地災害危険地区調査（土砂流出）\203伊勢　土砂流出.csv</t>
  </si>
  <si>
    <t>凹</t>
    <phoneticPr fontId="1"/>
  </si>
  <si>
    <t>ヒノキ</t>
    <phoneticPr fontId="1"/>
  </si>
  <si>
    <t>N</t>
    <phoneticPr fontId="1"/>
  </si>
  <si>
    <t>XII～</t>
    <phoneticPr fontId="1"/>
  </si>
  <si>
    <t>高麗広Ⅱ</t>
    <phoneticPr fontId="1"/>
  </si>
  <si>
    <t>民</t>
    <phoneticPr fontId="1"/>
  </si>
  <si>
    <t>伊勢</t>
    <phoneticPr fontId="1"/>
  </si>
  <si>
    <t>市</t>
    <phoneticPr fontId="1"/>
  </si>
  <si>
    <t>宇治今在家</t>
    <phoneticPr fontId="1"/>
  </si>
  <si>
    <t>町</t>
    <phoneticPr fontId="1"/>
  </si>
  <si>
    <t>高麗広</t>
    <phoneticPr fontId="1"/>
  </si>
  <si>
    <t>仙人</t>
    <phoneticPr fontId="1"/>
  </si>
  <si>
    <t>138</t>
  </si>
  <si>
    <t>平成29年6月20日</t>
    <phoneticPr fontId="1"/>
  </si>
  <si>
    <t>川村篤史</t>
    <phoneticPr fontId="1"/>
  </si>
  <si>
    <t>2</t>
  </si>
  <si>
    <t>県道</t>
    <phoneticPr fontId="1"/>
  </si>
  <si>
    <t>200</t>
  </si>
  <si>
    <t>水田</t>
    <phoneticPr fontId="1"/>
  </si>
  <si>
    <t>1ha</t>
    <phoneticPr fontId="1"/>
  </si>
  <si>
    <t>人家</t>
    <phoneticPr fontId="1"/>
  </si>
  <si>
    <t>c2</t>
    <phoneticPr fontId="1"/>
  </si>
  <si>
    <t>未着手(無)</t>
    <phoneticPr fontId="1"/>
  </si>
  <si>
    <t>無</t>
    <phoneticPr fontId="1"/>
  </si>
  <si>
    <t>平成19</t>
    <phoneticPr fontId="1"/>
  </si>
  <si>
    <t>C</t>
    <phoneticPr fontId="1"/>
  </si>
  <si>
    <t>203-0002</t>
    <phoneticPr fontId="1"/>
  </si>
  <si>
    <t>***</t>
    <phoneticPr fontId="1"/>
  </si>
  <si>
    <t>第2類</t>
    <phoneticPr fontId="1"/>
  </si>
  <si>
    <t>c1</t>
    <phoneticPr fontId="1"/>
  </si>
  <si>
    <t>凹</t>
    <phoneticPr fontId="1"/>
  </si>
  <si>
    <t>ヒノキ</t>
    <phoneticPr fontId="1"/>
  </si>
  <si>
    <t>N</t>
    <phoneticPr fontId="1"/>
  </si>
  <si>
    <t>XII～</t>
    <phoneticPr fontId="1"/>
  </si>
  <si>
    <t>9</t>
  </si>
  <si>
    <t>5</t>
  </si>
  <si>
    <t>7</t>
  </si>
  <si>
    <t>400</t>
  </si>
  <si>
    <t>4</t>
  </si>
  <si>
    <t>0</t>
  </si>
  <si>
    <t>68</t>
  </si>
  <si>
    <t>0.84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</si>
</sst>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3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sz val="10"/>
      <color rgb="FFFFFF00"/>
      <name val="ＭＳ Ｐゴシック"/>
      <family val="2"/>
      <charset val="128"/>
      <scheme val="minor"/>
    </font>
    <font>
      <sz val="10"/>
      <color rgb="FFFFFF00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Century"/>
      <family val="1"/>
    </font>
    <font>
      <sz val="10"/>
      <color theme="1"/>
      <name val="ＭＳ Ｐ明朝"/>
      <family val="1"/>
      <charset val="128"/>
    </font>
    <font>
      <sz val="10"/>
      <color rgb="FF000000"/>
      <name val="ＭＳ 明朝"/>
      <family val="1"/>
      <charset val="128"/>
    </font>
    <font>
      <sz val="10"/>
      <color rgb="FF000000"/>
      <name val="Century"/>
      <family val="1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10"/>
      <color rgb="FF0070C0"/>
      <name val="ＭＳ Ｐゴシック"/>
      <family val="2"/>
      <charset val="128"/>
      <scheme val="minor"/>
    </font>
    <font>
      <sz val="10"/>
      <color rgb="FF0070C0"/>
      <name val="ＭＳ Ｐゴシック"/>
      <family val="3"/>
      <charset val="128"/>
      <scheme val="minor"/>
    </font>
    <font>
      <sz val="12"/>
      <color rgb="FF0070C0"/>
      <name val="ＭＳ Ｐゴシック"/>
      <family val="3"/>
      <charset val="128"/>
      <scheme val="minor"/>
    </font>
    <font>
      <sz val="9"/>
      <color rgb="FF000000"/>
      <name val="MS UI Gothic"/>
      <family val="3"/>
      <charset val="128"/>
    </font>
    <font>
      <b/>
      <sz val="12"/>
      <color rgb="FF0070C0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sz val="10"/>
      <color rgb="FF000000"/>
      <name val="ＭＳ Ｐ明朝"/>
      <family val="1"/>
      <charset val="128"/>
    </font>
    <font>
      <sz val="10"/>
      <name val="ＭＳ Ｐ明朝"/>
      <family val="1"/>
      <charset val="128"/>
    </font>
    <font>
      <sz val="10"/>
      <name val="Century"/>
      <family val="1"/>
    </font>
    <font>
      <b/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0.5"/>
      <color rgb="FF000000"/>
      <name val="ＭＳ 明朝"/>
      <family val="1"/>
      <charset val="128"/>
    </font>
    <font>
      <sz val="12"/>
      <name val="ＭＳ Ｐゴシック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ＭＳ Ｐ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0" fillId="0" borderId="0" applyFont="0" applyFill="0" applyBorder="0" applyAlignment="0" applyProtection="0">
      <alignment vertical="center"/>
    </xf>
  </cellStyleXfs>
  <cellXfs count="195">
    <xf numFmtId="0" fontId="0" fillId="0" borderId="0" xfId="0">
      <alignment vertical="center"/>
    </xf>
    <xf numFmtId="0" fontId="4" fillId="3" borderId="2" xfId="0" applyFont="1" applyFill="1" applyBorder="1" applyAlignment="1" applyProtection="1">
      <alignment horizontal="center"/>
    </xf>
    <xf numFmtId="0" fontId="4" fillId="3" borderId="4" xfId="0" applyFont="1" applyFill="1" applyBorder="1" applyAlignment="1" applyProtection="1">
      <alignment horizontal="center"/>
    </xf>
    <xf numFmtId="0" fontId="4" fillId="3" borderId="5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0" fontId="4" fillId="3" borderId="7" xfId="0" applyFont="1" applyFill="1" applyBorder="1" applyAlignment="1" applyProtection="1">
      <alignment horizontal="left" vertical="center"/>
    </xf>
    <xf numFmtId="0" fontId="4" fillId="3" borderId="0" xfId="0" applyFont="1" applyFill="1" applyBorder="1" applyAlignment="1" applyProtection="1">
      <alignment horizontal="left" vertical="center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center" vertical="center"/>
    </xf>
    <xf numFmtId="0" fontId="4" fillId="2" borderId="1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vertical="center"/>
    </xf>
    <xf numFmtId="0" fontId="4" fillId="2" borderId="8" xfId="0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4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center" vertical="top"/>
    </xf>
    <xf numFmtId="0" fontId="4" fillId="3" borderId="0" xfId="0" applyFont="1" applyFill="1" applyBorder="1" applyAlignment="1" applyProtection="1">
      <alignment horizontal="center" vertical="top"/>
    </xf>
    <xf numFmtId="0" fontId="4" fillId="3" borderId="10" xfId="0" applyFont="1" applyFill="1" applyBorder="1" applyAlignment="1" applyProtection="1">
      <alignment horizontal="center" vertical="center" shrinkToFit="1"/>
    </xf>
    <xf numFmtId="0" fontId="4" fillId="3" borderId="9" xfId="0" applyFont="1" applyFill="1" applyBorder="1" applyAlignment="1" applyProtection="1">
      <alignment horizontal="center"/>
    </xf>
    <xf numFmtId="0" fontId="4" fillId="3" borderId="8" xfId="0" applyFont="1" applyFill="1" applyBorder="1" applyAlignment="1" applyProtection="1">
      <alignment horizontal="center" vertical="top"/>
    </xf>
    <xf numFmtId="0" fontId="5" fillId="0" borderId="0" xfId="0" applyFont="1" applyAlignment="1" applyProtection="1">
      <alignment horizontal="center" vertical="center"/>
    </xf>
    <xf numFmtId="0" fontId="5" fillId="5" borderId="11" xfId="0" applyFont="1" applyFill="1" applyBorder="1" applyAlignment="1" applyProtection="1">
      <alignment horizontal="center" vertical="center"/>
      <protection locked="0"/>
    </xf>
    <xf numFmtId="0" fontId="5" fillId="6" borderId="11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8" fillId="0" borderId="15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right" vertical="center" wrapText="1"/>
    </xf>
    <xf numFmtId="0" fontId="6" fillId="0" borderId="12" xfId="0" applyFont="1" applyBorder="1">
      <alignment vertical="center"/>
    </xf>
    <xf numFmtId="0" fontId="9" fillId="0" borderId="12" xfId="0" applyFont="1" applyBorder="1" applyAlignment="1">
      <alignment horizontal="center" vertical="center" wrapText="1"/>
    </xf>
    <xf numFmtId="0" fontId="6" fillId="0" borderId="16" xfId="0" applyFont="1" applyBorder="1" applyAlignment="1">
      <alignment vertical="center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vertical="center"/>
    </xf>
    <xf numFmtId="0" fontId="6" fillId="0" borderId="18" xfId="0" applyFont="1" applyBorder="1" applyAlignment="1">
      <alignment horizontal="left" vertical="center"/>
    </xf>
    <xf numFmtId="0" fontId="6" fillId="0" borderId="23" xfId="0" applyFont="1" applyBorder="1" applyAlignment="1">
      <alignment horizontal="center" vertical="center"/>
    </xf>
    <xf numFmtId="0" fontId="6" fillId="0" borderId="19" xfId="0" applyFont="1" applyBorder="1" applyAlignment="1">
      <alignment vertical="center"/>
    </xf>
    <xf numFmtId="0" fontId="6" fillId="0" borderId="19" xfId="0" applyFont="1" applyBorder="1" applyAlignment="1">
      <alignment horizontal="center" vertical="center"/>
    </xf>
    <xf numFmtId="0" fontId="6" fillId="0" borderId="24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16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/>
    </xf>
    <xf numFmtId="0" fontId="6" fillId="0" borderId="26" xfId="0" applyFont="1" applyBorder="1" applyAlignment="1">
      <alignment vertical="center"/>
    </xf>
    <xf numFmtId="0" fontId="6" fillId="0" borderId="18" xfId="0" applyFont="1" applyBorder="1" applyAlignment="1">
      <alignment horizontal="center" vertical="center" wrapText="1"/>
    </xf>
    <xf numFmtId="49" fontId="4" fillId="4" borderId="4" xfId="0" applyNumberFormat="1" applyFont="1" applyFill="1" applyBorder="1" applyAlignment="1" applyProtection="1">
      <alignment horizontal="center"/>
    </xf>
    <xf numFmtId="49" fontId="4" fillId="4" borderId="9" xfId="0" applyNumberFormat="1" applyFont="1" applyFill="1" applyBorder="1" applyAlignment="1" applyProtection="1">
      <alignment horizontal="center" vertical="center"/>
    </xf>
    <xf numFmtId="49" fontId="4" fillId="4" borderId="0" xfId="0" applyNumberFormat="1" applyFont="1" applyFill="1" applyBorder="1" applyAlignment="1" applyProtection="1">
      <alignment horizontal="center" vertical="center"/>
    </xf>
    <xf numFmtId="49" fontId="5" fillId="5" borderId="11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>
      <alignment vertical="center"/>
    </xf>
    <xf numFmtId="0" fontId="0" fillId="0" borderId="0" xfId="0" applyFill="1">
      <alignment vertical="center"/>
    </xf>
    <xf numFmtId="0" fontId="0" fillId="0" borderId="0" xfId="0" applyNumberFormat="1" applyFill="1">
      <alignment vertical="center"/>
    </xf>
    <xf numFmtId="38" fontId="0" fillId="0" borderId="0" xfId="1" applyFont="1" applyFill="1">
      <alignment vertical="center"/>
    </xf>
    <xf numFmtId="49" fontId="0" fillId="0" borderId="0" xfId="0" applyNumberFormat="1">
      <alignment vertical="center"/>
    </xf>
    <xf numFmtId="0" fontId="3" fillId="3" borderId="1" xfId="0" applyFont="1" applyFill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/>
    </xf>
    <xf numFmtId="0" fontId="4" fillId="3" borderId="6" xfId="0" applyFont="1" applyFill="1" applyBorder="1" applyAlignment="1" applyProtection="1">
      <alignment horizontal="left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/>
    </xf>
    <xf numFmtId="0" fontId="4" fillId="3" borderId="5" xfId="0" applyFont="1" applyFill="1" applyBorder="1" applyAlignment="1" applyProtection="1">
      <alignment horizontal="center" vertical="top"/>
    </xf>
    <xf numFmtId="0" fontId="4" fillId="3" borderId="3" xfId="0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12" borderId="12" xfId="0" applyFont="1" applyFill="1" applyBorder="1" applyAlignment="1">
      <alignment horizontal="left" vertical="center"/>
    </xf>
    <xf numFmtId="0" fontId="14" fillId="12" borderId="12" xfId="0" applyFont="1" applyFill="1" applyBorder="1" applyAlignment="1">
      <alignment horizontal="center" vertical="center"/>
    </xf>
    <xf numFmtId="0" fontId="14" fillId="13" borderId="12" xfId="0" applyFont="1" applyFill="1" applyBorder="1" applyAlignment="1">
      <alignment horizontal="left" vertical="center"/>
    </xf>
    <xf numFmtId="0" fontId="14" fillId="13" borderId="12" xfId="0" applyFont="1" applyFill="1" applyBorder="1" applyAlignment="1">
      <alignment horizontal="center" vertical="center"/>
    </xf>
    <xf numFmtId="0" fontId="14" fillId="13" borderId="12" xfId="0" applyFont="1" applyFill="1" applyBorder="1" applyAlignment="1">
      <alignment horizontal="left" vertical="center" wrapText="1"/>
    </xf>
    <xf numFmtId="0" fontId="14" fillId="9" borderId="12" xfId="0" applyFont="1" applyFill="1" applyBorder="1" applyAlignment="1">
      <alignment horizontal="center" vertical="center"/>
    </xf>
    <xf numFmtId="0" fontId="14" fillId="9" borderId="12" xfId="0" applyFont="1" applyFill="1" applyBorder="1" applyAlignment="1">
      <alignment horizontal="left" vertical="center"/>
    </xf>
    <xf numFmtId="0" fontId="14" fillId="11" borderId="12" xfId="0" applyFont="1" applyFill="1" applyBorder="1" applyAlignment="1">
      <alignment horizontal="center" vertical="center" wrapText="1"/>
    </xf>
    <xf numFmtId="0" fontId="14" fillId="11" borderId="12" xfId="0" applyFont="1" applyFill="1" applyBorder="1" applyAlignment="1">
      <alignment horizontal="left" vertical="center"/>
    </xf>
    <xf numFmtId="0" fontId="14" fillId="11" borderId="12" xfId="0" applyFont="1" applyFill="1" applyBorder="1" applyAlignment="1">
      <alignment horizontal="center" vertical="center"/>
    </xf>
    <xf numFmtId="0" fontId="14" fillId="10" borderId="12" xfId="0" applyFont="1" applyFill="1" applyBorder="1" applyAlignment="1">
      <alignment horizontal="center" vertical="center"/>
    </xf>
    <xf numFmtId="0" fontId="5" fillId="15" borderId="0" xfId="0" applyFont="1" applyFill="1" applyAlignment="1">
      <alignment horizontal="left" vertical="center"/>
    </xf>
    <xf numFmtId="0" fontId="5" fillId="1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4" fillId="12" borderId="12" xfId="0" applyFont="1" applyFill="1" applyBorder="1" applyAlignment="1" applyProtection="1">
      <alignment horizontal="center" vertical="center"/>
      <protection locked="0"/>
    </xf>
    <xf numFmtId="0" fontId="14" fillId="12" borderId="12" xfId="0" applyFont="1" applyFill="1" applyBorder="1" applyAlignment="1" applyProtection="1">
      <alignment horizontal="center" vertical="center" wrapText="1"/>
      <protection locked="0"/>
    </xf>
    <xf numFmtId="0" fontId="14" fillId="13" borderId="12" xfId="0" applyFont="1" applyFill="1" applyBorder="1" applyAlignment="1" applyProtection="1">
      <alignment horizontal="center" vertical="center" wrapText="1"/>
      <protection locked="0"/>
    </xf>
    <xf numFmtId="0" fontId="14" fillId="9" borderId="12" xfId="0" applyFont="1" applyFill="1" applyBorder="1" applyAlignment="1" applyProtection="1">
      <alignment horizontal="center" vertical="center"/>
      <protection locked="0"/>
    </xf>
    <xf numFmtId="0" fontId="14" fillId="12" borderId="12" xfId="0" applyFont="1" applyFill="1" applyBorder="1" applyAlignment="1" applyProtection="1">
      <alignment horizontal="center" vertical="center"/>
    </xf>
    <xf numFmtId="0" fontId="14" fillId="11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>
      <alignment horizontal="center" vertical="center"/>
    </xf>
    <xf numFmtId="0" fontId="6" fillId="0" borderId="25" xfId="0" applyFont="1" applyBorder="1" applyAlignment="1">
      <alignment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24" xfId="0" applyFont="1" applyBorder="1" applyAlignment="1">
      <alignment vertical="center" wrapText="1"/>
    </xf>
    <xf numFmtId="0" fontId="5" fillId="0" borderId="0" xfId="0" applyFont="1">
      <alignment vertical="center"/>
    </xf>
    <xf numFmtId="0" fontId="1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right" vertical="center" wrapText="1"/>
    </xf>
    <xf numFmtId="0" fontId="18" fillId="0" borderId="14" xfId="0" applyFont="1" applyBorder="1" applyAlignment="1">
      <alignment horizontal="right" vertical="center" wrapText="1"/>
    </xf>
    <xf numFmtId="0" fontId="18" fillId="0" borderId="15" xfId="0" applyFont="1" applyBorder="1" applyAlignment="1">
      <alignment horizontal="right" vertical="center" wrapText="1"/>
    </xf>
    <xf numFmtId="0" fontId="20" fillId="0" borderId="15" xfId="0" applyFont="1" applyBorder="1" applyAlignment="1">
      <alignment horizontal="center" vertical="center" wrapText="1"/>
    </xf>
    <xf numFmtId="0" fontId="6" fillId="0" borderId="0" xfId="0" applyFont="1">
      <alignment vertical="center"/>
    </xf>
    <xf numFmtId="0" fontId="9" fillId="0" borderId="17" xfId="0" applyFont="1" applyBorder="1" applyAlignment="1">
      <alignment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12" xfId="0" applyFont="1" applyBorder="1" applyAlignment="1">
      <alignment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top" wrapText="1"/>
    </xf>
    <xf numFmtId="0" fontId="6" fillId="0" borderId="0" xfId="0" applyFont="1" applyBorder="1" applyAlignment="1">
      <alignment vertical="top" wrapText="1"/>
    </xf>
    <xf numFmtId="0" fontId="9" fillId="0" borderId="16" xfId="0" applyFont="1" applyBorder="1" applyAlignment="1">
      <alignment vertical="center" wrapText="1"/>
    </xf>
    <xf numFmtId="0" fontId="9" fillId="0" borderId="19" xfId="0" applyFont="1" applyBorder="1" applyAlignment="1">
      <alignment horizontal="center" vertical="center" wrapText="1"/>
    </xf>
    <xf numFmtId="0" fontId="5" fillId="0" borderId="17" xfId="0" applyFont="1" applyBorder="1" applyAlignment="1">
      <alignment vertical="top" wrapText="1"/>
    </xf>
    <xf numFmtId="0" fontId="9" fillId="0" borderId="20" xfId="0" applyFont="1" applyBorder="1" applyAlignment="1">
      <alignment horizontal="center" vertical="center" wrapText="1"/>
    </xf>
    <xf numFmtId="0" fontId="5" fillId="0" borderId="0" xfId="0" applyFont="1" applyBorder="1" applyAlignment="1">
      <alignment vertical="top" wrapText="1"/>
    </xf>
    <xf numFmtId="0" fontId="6" fillId="0" borderId="21" xfId="0" applyFont="1" applyBorder="1" applyAlignment="1">
      <alignment horizontal="left" vertical="center"/>
    </xf>
    <xf numFmtId="0" fontId="8" fillId="0" borderId="22" xfId="0" applyFont="1" applyBorder="1" applyAlignment="1">
      <alignment horizontal="center" vertical="center" wrapText="1"/>
    </xf>
    <xf numFmtId="0" fontId="18" fillId="0" borderId="16" xfId="0" applyFont="1" applyBorder="1" applyAlignment="1">
      <alignment vertical="center" wrapText="1"/>
    </xf>
    <xf numFmtId="0" fontId="6" fillId="0" borderId="18" xfId="0" applyFont="1" applyBorder="1" applyAlignment="1">
      <alignment vertical="top" wrapText="1"/>
    </xf>
    <xf numFmtId="0" fontId="6" fillId="0" borderId="23" xfId="0" applyFont="1" applyBorder="1" applyAlignment="1">
      <alignment vertical="top" wrapText="1"/>
    </xf>
    <xf numFmtId="0" fontId="18" fillId="0" borderId="17" xfId="0" applyFont="1" applyBorder="1" applyAlignment="1">
      <alignment vertical="center" wrapText="1"/>
    </xf>
    <xf numFmtId="0" fontId="5" fillId="0" borderId="18" xfId="0" applyFont="1" applyBorder="1" applyAlignment="1">
      <alignment vertical="top" wrapText="1"/>
    </xf>
    <xf numFmtId="0" fontId="5" fillId="0" borderId="26" xfId="0" applyFont="1" applyBorder="1" applyAlignment="1">
      <alignment vertical="top" wrapText="1"/>
    </xf>
    <xf numFmtId="0" fontId="18" fillId="0" borderId="18" xfId="0" applyFont="1" applyBorder="1" applyAlignment="1">
      <alignment vertical="center" wrapText="1"/>
    </xf>
    <xf numFmtId="0" fontId="21" fillId="0" borderId="19" xfId="0" applyFont="1" applyBorder="1" applyAlignment="1">
      <alignment horizontal="center" vertical="center" wrapText="1"/>
    </xf>
    <xf numFmtId="0" fontId="6" fillId="0" borderId="21" xfId="0" applyFont="1" applyBorder="1">
      <alignment vertical="center"/>
    </xf>
    <xf numFmtId="0" fontId="6" fillId="0" borderId="20" xfId="0" applyFont="1" applyBorder="1" applyAlignment="1">
      <alignment vertical="top" wrapText="1"/>
    </xf>
    <xf numFmtId="0" fontId="9" fillId="0" borderId="0" xfId="0" applyFont="1" applyBorder="1" applyAlignment="1">
      <alignment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19" fillId="0" borderId="17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top" wrapText="1"/>
    </xf>
    <xf numFmtId="0" fontId="7" fillId="0" borderId="24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4" fillId="2" borderId="4" xfId="0" applyFont="1" applyFill="1" applyBorder="1" applyAlignment="1" applyProtection="1">
      <alignment textRotation="255"/>
    </xf>
    <xf numFmtId="0" fontId="5" fillId="0" borderId="1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176" fontId="5" fillId="0" borderId="0" xfId="0" applyNumberFormat="1" applyFont="1" applyFill="1" applyBorder="1" applyAlignment="1" applyProtection="1">
      <alignment horizontal="center" vertical="center"/>
    </xf>
    <xf numFmtId="49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vertical="center"/>
    </xf>
    <xf numFmtId="0" fontId="8" fillId="0" borderId="12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top" wrapText="1"/>
    </xf>
    <xf numFmtId="0" fontId="8" fillId="0" borderId="12" xfId="0" applyFont="1" applyBorder="1" applyAlignment="1">
      <alignment horizontal="center" vertical="center" wrapText="1"/>
    </xf>
    <xf numFmtId="0" fontId="26" fillId="0" borderId="0" xfId="0" applyFont="1">
      <alignment vertical="center"/>
    </xf>
    <xf numFmtId="0" fontId="28" fillId="0" borderId="13" xfId="0" applyFont="1" applyBorder="1" applyAlignment="1">
      <alignment horizontal="center" vertical="center" wrapText="1"/>
    </xf>
    <xf numFmtId="0" fontId="27" fillId="0" borderId="14" xfId="0" applyFont="1" applyBorder="1" applyAlignment="1">
      <alignment horizontal="right" vertical="center" wrapText="1"/>
    </xf>
    <xf numFmtId="0" fontId="28" fillId="0" borderId="14" xfId="0" applyFont="1" applyBorder="1" applyAlignment="1">
      <alignment horizontal="right" vertical="center" wrapText="1"/>
    </xf>
    <xf numFmtId="0" fontId="28" fillId="0" borderId="15" xfId="0" applyFont="1" applyBorder="1" applyAlignment="1">
      <alignment horizontal="right" vertical="center" wrapText="1"/>
    </xf>
    <xf numFmtId="0" fontId="27" fillId="0" borderId="16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0" fillId="0" borderId="17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27" fillId="0" borderId="22" xfId="0" applyFont="1" applyBorder="1" applyAlignment="1">
      <alignment horizontal="center" vertical="center" wrapText="1"/>
    </xf>
    <xf numFmtId="0" fontId="28" fillId="0" borderId="16" xfId="0" applyFont="1" applyBorder="1" applyAlignment="1">
      <alignment vertical="center" wrapText="1"/>
    </xf>
    <xf numFmtId="0" fontId="28" fillId="0" borderId="17" xfId="0" applyFont="1" applyBorder="1" applyAlignment="1">
      <alignment vertical="center" wrapText="1"/>
    </xf>
    <xf numFmtId="0" fontId="0" fillId="0" borderId="18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28" fillId="0" borderId="18" xfId="0" applyFont="1" applyBorder="1" applyAlignment="1">
      <alignment vertical="center" wrapText="1"/>
    </xf>
    <xf numFmtId="0" fontId="30" fillId="0" borderId="0" xfId="0" applyFont="1" applyBorder="1" applyAlignment="1">
      <alignment horizontal="center" vertical="top" wrapText="1"/>
    </xf>
    <xf numFmtId="0" fontId="5" fillId="0" borderId="11" xfId="0" applyNumberFormat="1" applyFont="1" applyFill="1" applyBorder="1" applyAlignment="1" applyProtection="1">
      <alignment horizontal="center" vertical="center"/>
    </xf>
    <xf numFmtId="0" fontId="14" fillId="3" borderId="3" xfId="0" applyFont="1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wrapText="1"/>
    </xf>
    <xf numFmtId="0" fontId="3" fillId="3" borderId="2" xfId="0" applyFont="1" applyFill="1" applyBorder="1" applyAlignment="1" applyProtection="1">
      <alignment horizontal="center"/>
    </xf>
    <xf numFmtId="0" fontId="3" fillId="3" borderId="3" xfId="0" applyFont="1" applyFill="1" applyBorder="1" applyAlignment="1" applyProtection="1">
      <alignment horizontal="center"/>
    </xf>
    <xf numFmtId="0" fontId="4" fillId="7" borderId="12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14" fillId="10" borderId="12" xfId="0" applyFont="1" applyFill="1" applyBorder="1" applyAlignment="1">
      <alignment horizontal="center" vertical="center"/>
    </xf>
    <xf numFmtId="0" fontId="13" fillId="12" borderId="12" xfId="0" applyFont="1" applyFill="1" applyBorder="1" applyAlignment="1">
      <alignment horizontal="center" vertical="center"/>
    </xf>
    <xf numFmtId="0" fontId="14" fillId="1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9" fillId="0" borderId="12" xfId="0" applyFont="1" applyBorder="1" applyAlignment="1">
      <alignment vertical="center" wrapText="1"/>
    </xf>
    <xf numFmtId="0" fontId="9" fillId="0" borderId="20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0" fontId="6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 vertical="center" wrapText="1"/>
    </xf>
    <xf numFmtId="0" fontId="6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7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0" borderId="21" xfId="0" applyFont="1" applyBorder="1" applyAlignment="1">
      <alignment vertical="center" wrapText="1"/>
    </xf>
    <xf numFmtId="0" fontId="6" fillId="0" borderId="22" xfId="0" applyFont="1" applyBorder="1" applyAlignment="1">
      <alignment vertical="center"/>
    </xf>
    <xf numFmtId="0" fontId="6" fillId="0" borderId="24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27" fillId="0" borderId="12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0066FF"/>
      <color rgb="FFFFFF99"/>
      <color rgb="FFFFFFCC"/>
      <color rgb="FF99CCFF"/>
      <color rgb="FFCCECFF"/>
      <color rgb="FFF8F8F8"/>
      <color rgb="FFEBFDFF"/>
      <color rgb="FFCCFF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N$1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F4" lockText="1" noThreeD="1"/>
</file>

<file path=xl/ctrlProps/ctrlProp7.xml><?xml version="1.0" encoding="utf-8"?>
<formControlPr xmlns="http://schemas.microsoft.com/office/spreadsheetml/2009/9/main" objectType="CheckBox" fmlaLink="E5" lockText="1" noThreeD="1"/>
</file>

<file path=xl/ctrlProps/ctrlProp8.xml><?xml version="1.0" encoding="utf-8"?>
<formControlPr xmlns="http://schemas.microsoft.com/office/spreadsheetml/2009/9/main" objectType="CheckBox" fmlaLink="F5" lockText="1" noThreeD="1"/>
</file>

<file path=xl/ctrlProps/ctrlProp9.xml><?xml version="1.0" encoding="utf-8"?>
<formControlPr xmlns="http://schemas.microsoft.com/office/spreadsheetml/2009/9/main" objectType="CheckBox" fmlaLink="E6" lockText="1" noThreeD="1"/>
</file>

<file path=xl/ctrlProps/ctrlProp10.xml><?xml version="1.0" encoding="utf-8"?>
<formControlPr xmlns="http://schemas.microsoft.com/office/spreadsheetml/2009/9/main" objectType="CheckBox" fmlaLink="F6" lockText="1" noThreeD="1"/>
</file>

<file path=xl/ctrlProps/ctrlProp11.xml><?xml version="1.0" encoding="utf-8"?>
<formControlPr xmlns="http://schemas.microsoft.com/office/spreadsheetml/2009/9/main" objectType="CheckBox" fmlaLink="E7" lockText="1" noThreeD="1"/>
</file>

<file path=xl/ctrlProps/ctrlProp12.xml><?xml version="1.0" encoding="utf-8"?>
<formControlPr xmlns="http://schemas.microsoft.com/office/spreadsheetml/2009/9/main" objectType="CheckBox" fmlaLink="D8" lockText="1" noThreeD="1"/>
</file>

<file path=xl/ctrlProps/ctrlProp13.xml><?xml version="1.0" encoding="utf-8"?>
<formControlPr xmlns="http://schemas.microsoft.com/office/spreadsheetml/2009/9/main" objectType="CheckBox" fmlaLink="E8" lockText="1" noThreeD="1"/>
</file>

<file path=xl/ctrlProps/ctrlProp14.xml><?xml version="1.0" encoding="utf-8"?>
<formControlPr xmlns="http://schemas.microsoft.com/office/spreadsheetml/2009/9/main" objectType="CheckBox" fmlaLink="F8" lockText="1" noThreeD="1"/>
</file>

<file path=xl/ctrlProps/ctrlProp15.xml><?xml version="1.0" encoding="utf-8"?>
<formControlPr xmlns="http://schemas.microsoft.com/office/spreadsheetml/2009/9/main" objectType="CheckBox" fmlaLink="E9" lockText="1" noThreeD="1"/>
</file>

<file path=xl/ctrlProps/ctrlProp16.xml><?xml version="1.0" encoding="utf-8"?>
<formControlPr xmlns="http://schemas.microsoft.com/office/spreadsheetml/2009/9/main" objectType="CheckBox" fmlaLink="F9" lockText="1" noThreeD="1"/>
</file>

<file path=xl/ctrlProps/ctrlProp17.xml><?xml version="1.0" encoding="utf-8"?>
<formControlPr xmlns="http://schemas.microsoft.com/office/spreadsheetml/2009/9/main" objectType="CheckBox" fmlaLink="D9" lockText="1" noThreeD="1"/>
</file>

<file path=xl/ctrlProps/ctrlProp18.xml><?xml version="1.0" encoding="utf-8"?>
<formControlPr xmlns="http://schemas.microsoft.com/office/spreadsheetml/2009/9/main" objectType="CheckBox" fmlaLink="C10" lockText="1" noThreeD="1"/>
</file>

<file path=xl/ctrlProps/ctrlProp19.xml><?xml version="1.0" encoding="utf-8"?>
<formControlPr xmlns="http://schemas.microsoft.com/office/spreadsheetml/2009/9/main" objectType="CheckBox" fmlaLink="E10" lockText="1" noThreeD="1"/>
</file>

<file path=xl/ctrlProps/ctrlProp20.xml><?xml version="1.0" encoding="utf-8"?>
<formControlPr xmlns="http://schemas.microsoft.com/office/spreadsheetml/2009/9/main" objectType="CheckBox" fmlaLink="C11" lockText="1" noThreeD="1"/>
</file>

<file path=xl/ctrlProps/ctrlProp21.xml><?xml version="1.0" encoding="utf-8"?>
<formControlPr xmlns="http://schemas.microsoft.com/office/spreadsheetml/2009/9/main" objectType="CheckBox" fmlaLink="D11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9528</xdr:colOff>
      <xdr:row>0</xdr:row>
      <xdr:rowOff>95251</xdr:rowOff>
    </xdr:from>
    <xdr:to>
      <xdr:col>10</xdr:col>
      <xdr:colOff>180975</xdr:colOff>
      <xdr:row>0</xdr:row>
      <xdr:rowOff>323850</xdr:rowOff>
    </xdr:to>
    <xdr:sp macro="" textlink="">
      <xdr:nvSpPr>
        <xdr:cNvPr id="2" name="テキスト ボックス 1"/>
        <xdr:cNvSpPr txBox="1"/>
      </xdr:nvSpPr>
      <xdr:spPr>
        <a:xfrm>
          <a:off x="1343028" y="95251"/>
          <a:ext cx="2247897" cy="2285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900">
              <a:solidFill>
                <a:srgbClr val="0066FF"/>
              </a:solidFill>
            </a:rPr>
            <a:t>黄色と水色のセルに入力してください。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95250</xdr:rowOff>
        </xdr:from>
        <xdr:to>
          <xdr:col>3</xdr:col>
          <xdr:colOff>123825</xdr:colOff>
          <xdr:row>0</xdr:row>
          <xdr:rowOff>323850</xdr:rowOff>
        </xdr:to>
        <xdr:sp macro="" textlink="">
          <xdr:nvSpPr>
            <xdr:cNvPr id="9250" name="ボタン 4" hidden="1">
              <a:extLst>
                <a:ext uri="{63B3BB69-23CF-44E3-9099-C40C66FF867C}">
                  <a14:compatExt spid="_x0000_s9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0</xdr:row>
          <xdr:rowOff>95250</xdr:rowOff>
        </xdr:from>
        <xdr:to>
          <xdr:col>14</xdr:col>
          <xdr:colOff>266700</xdr:colOff>
          <xdr:row>0</xdr:row>
          <xdr:rowOff>323850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補正加算点考慮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76200</xdr:rowOff>
        </xdr:from>
        <xdr:to>
          <xdr:col>1</xdr:col>
          <xdr:colOff>638175</xdr:colOff>
          <xdr:row>0</xdr:row>
          <xdr:rowOff>323850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66675</xdr:rowOff>
        </xdr:from>
        <xdr:to>
          <xdr:col>0</xdr:col>
          <xdr:colOff>1057275</xdr:colOff>
          <xdr:row>0</xdr:row>
          <xdr:rowOff>314325</xdr:rowOff>
        </xdr:to>
        <xdr:sp macro="" textlink="">
          <xdr:nvSpPr>
            <xdr:cNvPr id="14339" name="ボタン １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編集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57150</xdr:rowOff>
        </xdr:from>
        <xdr:to>
          <xdr:col>6</xdr:col>
          <xdr:colOff>600075</xdr:colOff>
          <xdr:row>0</xdr:row>
          <xdr:rowOff>257175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28575</xdr:rowOff>
        </xdr:from>
        <xdr:to>
          <xdr:col>5</xdr:col>
          <xdr:colOff>942975</xdr:colOff>
          <xdr:row>3</xdr:row>
          <xdr:rowOff>304800</xdr:rowOff>
        </xdr:to>
        <xdr:sp macro="" textlink="">
          <xdr:nvSpPr>
            <xdr:cNvPr id="15368" name="チェック 1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流れ盤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28575</xdr:rowOff>
        </xdr:from>
        <xdr:to>
          <xdr:col>4</xdr:col>
          <xdr:colOff>952500</xdr:colOff>
          <xdr:row>4</xdr:row>
          <xdr:rowOff>304800</xdr:rowOff>
        </xdr:to>
        <xdr:sp macro="" textlink="">
          <xdr:nvSpPr>
            <xdr:cNvPr id="15369" name="チェック 2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著しい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28575</xdr:rowOff>
        </xdr:from>
        <xdr:to>
          <xdr:col>5</xdr:col>
          <xdr:colOff>942975</xdr:colOff>
          <xdr:row>4</xdr:row>
          <xdr:rowOff>304800</xdr:rowOff>
        </xdr:to>
        <xdr:sp macro="" textlink="">
          <xdr:nvSpPr>
            <xdr:cNvPr id="15371" name="チェック 3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28575</xdr:rowOff>
        </xdr:from>
        <xdr:to>
          <xdr:col>4</xdr:col>
          <xdr:colOff>952500</xdr:colOff>
          <xdr:row>5</xdr:row>
          <xdr:rowOff>304800</xdr:rowOff>
        </xdr:to>
        <xdr:sp macro="" textlink="">
          <xdr:nvSpPr>
            <xdr:cNvPr id="15372" name="チェック 4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破砕帯がある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28575</xdr:rowOff>
        </xdr:from>
        <xdr:to>
          <xdr:col>5</xdr:col>
          <xdr:colOff>942975</xdr:colOff>
          <xdr:row>5</xdr:row>
          <xdr:rowOff>304800</xdr:rowOff>
        </xdr:to>
        <xdr:sp macro="" textlink="">
          <xdr:nvSpPr>
            <xdr:cNvPr id="15373" name="チェック 5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断層がある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28575</xdr:rowOff>
        </xdr:from>
        <xdr:to>
          <xdr:col>4</xdr:col>
          <xdr:colOff>952500</xdr:colOff>
          <xdr:row>6</xdr:row>
          <xdr:rowOff>304800</xdr:rowOff>
        </xdr:to>
        <xdr:sp macro="" textlink="">
          <xdr:nvSpPr>
            <xdr:cNvPr id="15375" name="チェック 6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粘性土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7</xdr:row>
          <xdr:rowOff>28575</xdr:rowOff>
        </xdr:from>
        <xdr:to>
          <xdr:col>3</xdr:col>
          <xdr:colOff>942975</xdr:colOff>
          <xdr:row>7</xdr:row>
          <xdr:rowOff>285750</xdr:rowOff>
        </xdr:to>
        <xdr:sp macro="" textlink="">
          <xdr:nvSpPr>
            <xdr:cNvPr id="15376" name="チェック 7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３種類ある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28575</xdr:rowOff>
        </xdr:from>
        <xdr:to>
          <xdr:col>4</xdr:col>
          <xdr:colOff>942975</xdr:colOff>
          <xdr:row>7</xdr:row>
          <xdr:rowOff>285750</xdr:rowOff>
        </xdr:to>
        <xdr:sp macro="" textlink="">
          <xdr:nvSpPr>
            <xdr:cNvPr id="15380" name="チェック8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２種類ある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28575</xdr:rowOff>
        </xdr:from>
        <xdr:to>
          <xdr:col>5</xdr:col>
          <xdr:colOff>942975</xdr:colOff>
          <xdr:row>7</xdr:row>
          <xdr:rowOff>285750</xdr:rowOff>
        </xdr:to>
        <xdr:sp macro="" textlink="">
          <xdr:nvSpPr>
            <xdr:cNvPr id="15381" name="チェック9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１種類ある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28575</xdr:rowOff>
        </xdr:from>
        <xdr:to>
          <xdr:col>4</xdr:col>
          <xdr:colOff>942975</xdr:colOff>
          <xdr:row>8</xdr:row>
          <xdr:rowOff>285750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２種類ある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</xdr:row>
          <xdr:rowOff>28575</xdr:rowOff>
        </xdr:from>
        <xdr:to>
          <xdr:col>5</xdr:col>
          <xdr:colOff>942975</xdr:colOff>
          <xdr:row>8</xdr:row>
          <xdr:rowOff>285750</xdr:rowOff>
        </xdr:to>
        <xdr:sp macro="" textlink="">
          <xdr:nvSpPr>
            <xdr:cNvPr id="15385" name="Check Box 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１種類ある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8</xdr:row>
          <xdr:rowOff>28575</xdr:rowOff>
        </xdr:from>
        <xdr:to>
          <xdr:col>3</xdr:col>
          <xdr:colOff>942975</xdr:colOff>
          <xdr:row>8</xdr:row>
          <xdr:rowOff>285750</xdr:rowOff>
        </xdr:to>
        <xdr:sp macro="" textlink="">
          <xdr:nvSpPr>
            <xdr:cNvPr id="15386" name="チェック 10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３種類ある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28575</xdr:rowOff>
        </xdr:from>
        <xdr:to>
          <xdr:col>2</xdr:col>
          <xdr:colOff>952500</xdr:colOff>
          <xdr:row>9</xdr:row>
          <xdr:rowOff>285750</xdr:rowOff>
        </xdr:to>
        <xdr:sp macro="" textlink="">
          <xdr:nvSpPr>
            <xdr:cNvPr id="15387" name="チェック13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著しい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28575</xdr:rowOff>
        </xdr:from>
        <xdr:to>
          <xdr:col>4</xdr:col>
          <xdr:colOff>952500</xdr:colOff>
          <xdr:row>9</xdr:row>
          <xdr:rowOff>285750</xdr:rowOff>
        </xdr:to>
        <xdr:sp macro="" textlink="">
          <xdr:nvSpPr>
            <xdr:cNvPr id="15388" name="チェック14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10</xdr:row>
          <xdr:rowOff>28575</xdr:rowOff>
        </xdr:from>
        <xdr:to>
          <xdr:col>2</xdr:col>
          <xdr:colOff>942975</xdr:colOff>
          <xdr:row>10</xdr:row>
          <xdr:rowOff>304800</xdr:rowOff>
        </xdr:to>
        <xdr:sp macro="" textlink="">
          <xdr:nvSpPr>
            <xdr:cNvPr id="15389" name="チェック15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移動している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10</xdr:row>
          <xdr:rowOff>28575</xdr:rowOff>
        </xdr:from>
        <xdr:to>
          <xdr:col>3</xdr:col>
          <xdr:colOff>942975</xdr:colOff>
          <xdr:row>10</xdr:row>
          <xdr:rowOff>304800</xdr:rowOff>
        </xdr:to>
        <xdr:sp macro="" textlink="">
          <xdr:nvSpPr>
            <xdr:cNvPr id="15390" name="チェック16" hidden="1">
              <a:extLst>
                <a:ext uri="{63B3BB69-23CF-44E3-9099-C40C66FF867C}">
                  <a14:compatExt spid="_x0000_s15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過去に移動した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W50"/>
  <sheetViews>
    <sheetView showWhiteSpace="0" workbookViewId="0">
      <selection sqref="A1:W50"/>
    </sheetView>
  </sheetViews>
  <sheetFormatPr defaultRowHeight="13.5" x14ac:dyDescent="0.15"/>
  <cols>
    <col min="1" max="1" width="19" customWidth="1"/>
    <col min="2" max="2" width="16.5" customWidth="1"/>
    <col min="3" max="3" width="11.5" customWidth="1"/>
    <col min="4" max="4" width="7.625" customWidth="1"/>
    <col min="5" max="5" width="14.875" customWidth="1"/>
    <col min="6" max="6" width="8.125" customWidth="1"/>
    <col min="7" max="7" width="6.5" customWidth="1"/>
    <col min="8" max="8" width="7.125" customWidth="1"/>
    <col min="9" max="9" width="6.75" customWidth="1"/>
    <col min="10" max="10" width="7.5" customWidth="1"/>
    <col min="11" max="11" width="6.375" customWidth="1"/>
    <col min="12" max="12" width="5.75" customWidth="1"/>
    <col min="14" max="14" width="6.75" customWidth="1"/>
    <col min="15" max="15" width="16.25" customWidth="1"/>
  </cols>
  <sheetData>
    <row r="1" spans="1:16" x14ac:dyDescent="0.15">
      <c r="B1">
        <v>24</v>
      </c>
      <c r="C1">
        <v>203</v>
      </c>
      <c r="D1">
        <v>1</v>
      </c>
      <c r="F1" t="s">
        <v>8477</v>
      </c>
      <c r="G1" t="s">
        <v>8478</v>
      </c>
      <c r="H1" t="s">
        <v>8479</v>
      </c>
      <c r="I1" t="s">
        <v>8480</v>
      </c>
      <c r="J1" t="s">
        <v>8481</v>
      </c>
      <c r="K1" t="s">
        <v>8482</v>
      </c>
      <c r="L1" t="s">
        <v>8483</v>
      </c>
      <c r="M1" t="s">
        <v>8484</v>
      </c>
      <c r="N1">
        <v>147</v>
      </c>
      <c r="O1" t="s">
        <v>8485</v>
      </c>
      <c r="P1" t="s">
        <v>8486</v>
      </c>
    </row>
    <row r="4" spans="1:16" x14ac:dyDescent="0.15">
      <c r="A4">
        <v>3</v>
      </c>
      <c r="D4" t="s">
        <v>8487</v>
      </c>
      <c r="E4">
        <v>300</v>
      </c>
      <c r="F4" t="s">
        <v>8488</v>
      </c>
      <c r="G4" t="s">
        <v>8489</v>
      </c>
    </row>
    <row r="9" spans="1:16" x14ac:dyDescent="0.15">
      <c r="A9" t="s">
        <v>8490</v>
      </c>
      <c r="B9" t="s">
        <v>8491</v>
      </c>
    </row>
    <row r="10" spans="1:16" x14ac:dyDescent="0.15">
      <c r="A10">
        <v>0</v>
      </c>
      <c r="B10">
        <v>0</v>
      </c>
      <c r="C10">
        <v>0</v>
      </c>
      <c r="D10" t="s">
        <v>8492</v>
      </c>
      <c r="E10" t="s">
        <v>8493</v>
      </c>
    </row>
    <row r="16" spans="1:16" x14ac:dyDescent="0.15">
      <c r="A16" t="s">
        <v>8494</v>
      </c>
      <c r="B16" t="s">
        <v>8495</v>
      </c>
      <c r="C16">
        <v>0</v>
      </c>
      <c r="D16">
        <v>0</v>
      </c>
      <c r="E16">
        <v>1</v>
      </c>
      <c r="F16">
        <v>0</v>
      </c>
    </row>
    <row r="17" spans="1:23" x14ac:dyDescent="0.15">
      <c r="A17" t="s">
        <v>8496</v>
      </c>
      <c r="B17" t="s">
        <v>8497</v>
      </c>
      <c r="C17" t="s">
        <v>8491</v>
      </c>
      <c r="D17" t="s">
        <v>8497</v>
      </c>
      <c r="E17">
        <v>0</v>
      </c>
      <c r="F17">
        <v>0.3</v>
      </c>
      <c r="G17" t="s">
        <v>8493</v>
      </c>
      <c r="H17" t="s">
        <v>8493</v>
      </c>
      <c r="I17" t="s">
        <v>8493</v>
      </c>
      <c r="J17" t="s">
        <v>8493</v>
      </c>
      <c r="K17" t="s">
        <v>8493</v>
      </c>
    </row>
    <row r="18" spans="1:23" x14ac:dyDescent="0.15">
      <c r="A18" t="s">
        <v>8498</v>
      </c>
      <c r="B18" t="s">
        <v>8499</v>
      </c>
      <c r="C18">
        <v>1</v>
      </c>
    </row>
    <row r="19" spans="1:23" x14ac:dyDescent="0.15">
      <c r="A19">
        <v>60</v>
      </c>
      <c r="B19">
        <v>31</v>
      </c>
      <c r="C19" t="s">
        <v>8500</v>
      </c>
      <c r="D19">
        <v>24</v>
      </c>
      <c r="E19">
        <v>110</v>
      </c>
      <c r="F19">
        <v>19</v>
      </c>
      <c r="G19">
        <v>1</v>
      </c>
      <c r="H19">
        <v>5</v>
      </c>
      <c r="I19" t="s">
        <v>8501</v>
      </c>
      <c r="J19" t="s">
        <v>8502</v>
      </c>
      <c r="L19" t="s">
        <v>8503</v>
      </c>
      <c r="M19">
        <v>24</v>
      </c>
      <c r="N19">
        <v>103</v>
      </c>
      <c r="O19">
        <v>0</v>
      </c>
      <c r="P19">
        <v>25</v>
      </c>
      <c r="R19">
        <v>128</v>
      </c>
      <c r="S19" t="s">
        <v>8499</v>
      </c>
      <c r="U19" t="b">
        <v>0</v>
      </c>
      <c r="V19">
        <v>0</v>
      </c>
      <c r="W19">
        <v>1</v>
      </c>
    </row>
    <row r="21" spans="1:23" x14ac:dyDescent="0.15">
      <c r="J21">
        <v>0</v>
      </c>
      <c r="K21">
        <v>0</v>
      </c>
      <c r="L21">
        <v>0</v>
      </c>
      <c r="M21">
        <v>0</v>
      </c>
      <c r="O21" t="s">
        <v>8493</v>
      </c>
    </row>
    <row r="22" spans="1:23" x14ac:dyDescent="0.15">
      <c r="B22" t="s">
        <v>8499</v>
      </c>
      <c r="C22">
        <v>48</v>
      </c>
    </row>
    <row r="23" spans="1:23" x14ac:dyDescent="0.15">
      <c r="A23">
        <v>30</v>
      </c>
      <c r="B23">
        <v>9</v>
      </c>
      <c r="C23">
        <v>10</v>
      </c>
      <c r="D23">
        <v>5</v>
      </c>
      <c r="E23">
        <v>5</v>
      </c>
      <c r="F23">
        <v>200</v>
      </c>
      <c r="G23">
        <v>14</v>
      </c>
      <c r="H23">
        <v>20</v>
      </c>
      <c r="I23">
        <v>6</v>
      </c>
      <c r="J23">
        <v>8</v>
      </c>
    </row>
    <row r="24" spans="1:23" x14ac:dyDescent="0.15">
      <c r="A24">
        <v>84</v>
      </c>
      <c r="B24">
        <v>0</v>
      </c>
      <c r="C24">
        <v>84</v>
      </c>
      <c r="D24" t="s">
        <v>8497</v>
      </c>
    </row>
    <row r="25" spans="1:23" x14ac:dyDescent="0.15">
      <c r="A25">
        <v>0</v>
      </c>
      <c r="B25">
        <v>12.3</v>
      </c>
      <c r="C25">
        <v>5</v>
      </c>
      <c r="D25">
        <v>0</v>
      </c>
      <c r="E25">
        <v>200</v>
      </c>
      <c r="F25">
        <v>0</v>
      </c>
      <c r="G25">
        <v>0.3</v>
      </c>
    </row>
    <row r="26" spans="1:23" x14ac:dyDescent="0.15">
      <c r="B26">
        <v>24</v>
      </c>
      <c r="C26">
        <v>203</v>
      </c>
      <c r="D26">
        <v>2</v>
      </c>
      <c r="E26" t="s">
        <v>8476</v>
      </c>
      <c r="F26" t="s">
        <v>8509</v>
      </c>
      <c r="G26" t="s">
        <v>8510</v>
      </c>
      <c r="H26" t="s">
        <v>8511</v>
      </c>
      <c r="I26" t="s">
        <v>8512</v>
      </c>
      <c r="J26" t="s">
        <v>8513</v>
      </c>
      <c r="K26" t="s">
        <v>8514</v>
      </c>
      <c r="L26" t="s">
        <v>8515</v>
      </c>
      <c r="M26" t="s">
        <v>8516</v>
      </c>
      <c r="N26" t="s">
        <v>8517</v>
      </c>
      <c r="O26" t="s">
        <v>8518</v>
      </c>
      <c r="P26" t="s">
        <v>8519</v>
      </c>
    </row>
    <row r="27" spans="1:23" x14ac:dyDescent="0.15">
      <c r="A27" t="s">
        <v>8476</v>
      </c>
    </row>
    <row r="28" spans="1:23" x14ac:dyDescent="0.15">
      <c r="A28" t="s">
        <v>8476</v>
      </c>
      <c r="B28" t="s">
        <v>8476</v>
      </c>
      <c r="C28" t="s">
        <v>8476</v>
      </c>
      <c r="D28" t="s">
        <v>8476</v>
      </c>
      <c r="E28" t="s">
        <v>8476</v>
      </c>
      <c r="F28" t="s">
        <v>8476</v>
      </c>
    </row>
    <row r="29" spans="1:23" x14ac:dyDescent="0.15">
      <c r="A29" t="s">
        <v>8520</v>
      </c>
      <c r="B29" t="s">
        <v>8476</v>
      </c>
      <c r="C29" t="s">
        <v>8476</v>
      </c>
      <c r="D29" t="s">
        <v>8521</v>
      </c>
      <c r="E29" t="s">
        <v>8522</v>
      </c>
      <c r="F29" t="s">
        <v>8523</v>
      </c>
      <c r="G29" t="s">
        <v>8524</v>
      </c>
    </row>
    <row r="30" spans="1:23" x14ac:dyDescent="0.15">
      <c r="A30" t="s">
        <v>8476</v>
      </c>
      <c r="B30" t="s">
        <v>8476</v>
      </c>
      <c r="C30" t="s">
        <v>8476</v>
      </c>
      <c r="D30" t="s">
        <v>8476</v>
      </c>
      <c r="E30" t="s">
        <v>8476</v>
      </c>
      <c r="F30" t="s">
        <v>8476</v>
      </c>
      <c r="G30" t="s">
        <v>8476</v>
      </c>
    </row>
    <row r="31" spans="1:23" x14ac:dyDescent="0.15">
      <c r="A31" t="s">
        <v>8476</v>
      </c>
      <c r="B31" t="s">
        <v>8476</v>
      </c>
      <c r="C31" t="s">
        <v>8476</v>
      </c>
      <c r="D31" t="s">
        <v>8476</v>
      </c>
      <c r="E31" t="s">
        <v>8476</v>
      </c>
      <c r="F31" t="s">
        <v>8476</v>
      </c>
      <c r="G31" t="s">
        <v>8476</v>
      </c>
    </row>
    <row r="32" spans="1:23" x14ac:dyDescent="0.15">
      <c r="A32" t="s">
        <v>8476</v>
      </c>
      <c r="B32" t="s">
        <v>8476</v>
      </c>
      <c r="C32" t="s">
        <v>8476</v>
      </c>
      <c r="D32" t="s">
        <v>8476</v>
      </c>
      <c r="E32" t="s">
        <v>8476</v>
      </c>
      <c r="F32" t="s">
        <v>8476</v>
      </c>
      <c r="G32" t="s">
        <v>8476</v>
      </c>
    </row>
    <row r="33" spans="1:23" x14ac:dyDescent="0.15">
      <c r="A33" t="s">
        <v>8476</v>
      </c>
      <c r="B33" t="s">
        <v>8476</v>
      </c>
      <c r="C33" t="s">
        <v>8476</v>
      </c>
      <c r="D33" t="s">
        <v>8476</v>
      </c>
      <c r="E33" t="s">
        <v>8476</v>
      </c>
      <c r="F33" t="s">
        <v>8476</v>
      </c>
      <c r="G33" t="s">
        <v>8476</v>
      </c>
    </row>
    <row r="34" spans="1:23" x14ac:dyDescent="0.15">
      <c r="A34" t="s">
        <v>8525</v>
      </c>
      <c r="B34" t="s">
        <v>8526</v>
      </c>
    </row>
    <row r="35" spans="1:23" x14ac:dyDescent="0.15">
      <c r="A35">
        <v>0</v>
      </c>
      <c r="B35">
        <v>0</v>
      </c>
      <c r="C35">
        <v>0</v>
      </c>
      <c r="D35" t="s">
        <v>8527</v>
      </c>
      <c r="E35" t="s">
        <v>8528</v>
      </c>
    </row>
    <row r="36" spans="1:23" x14ac:dyDescent="0.15">
      <c r="A36" t="s">
        <v>8476</v>
      </c>
    </row>
    <row r="37" spans="1:23" x14ac:dyDescent="0.15">
      <c r="A37" t="s">
        <v>8476</v>
      </c>
    </row>
    <row r="38" spans="1:23" x14ac:dyDescent="0.15">
      <c r="A38" t="s">
        <v>8476</v>
      </c>
    </row>
    <row r="39" spans="1:23" x14ac:dyDescent="0.15">
      <c r="A39" t="s">
        <v>8476</v>
      </c>
    </row>
    <row r="40" spans="1:23" x14ac:dyDescent="0.15">
      <c r="A40" t="s">
        <v>8476</v>
      </c>
    </row>
    <row r="41" spans="1:23" x14ac:dyDescent="0.15">
      <c r="A41" t="s">
        <v>8529</v>
      </c>
      <c r="B41" t="s">
        <v>8530</v>
      </c>
      <c r="C41">
        <v>0</v>
      </c>
      <c r="D41">
        <v>0</v>
      </c>
      <c r="E41">
        <v>1</v>
      </c>
      <c r="F41">
        <v>0</v>
      </c>
    </row>
    <row r="42" spans="1:23" x14ac:dyDescent="0.15">
      <c r="A42" t="s">
        <v>8531</v>
      </c>
      <c r="B42" t="s">
        <v>8532</v>
      </c>
      <c r="C42" t="s">
        <v>8526</v>
      </c>
      <c r="D42" t="s">
        <v>8532</v>
      </c>
      <c r="E42">
        <v>0</v>
      </c>
      <c r="F42">
        <v>0.84</v>
      </c>
      <c r="G42" t="s">
        <v>8528</v>
      </c>
      <c r="H42" t="s">
        <v>8528</v>
      </c>
      <c r="I42" t="s">
        <v>8528</v>
      </c>
      <c r="J42" t="s">
        <v>8528</v>
      </c>
      <c r="K42" t="s">
        <v>8528</v>
      </c>
    </row>
    <row r="43" spans="1:23" x14ac:dyDescent="0.15">
      <c r="A43" t="s">
        <v>8533</v>
      </c>
      <c r="B43" t="s">
        <v>8534</v>
      </c>
      <c r="C43">
        <v>1</v>
      </c>
    </row>
    <row r="44" spans="1:23" x14ac:dyDescent="0.15">
      <c r="A44">
        <v>40</v>
      </c>
      <c r="B44">
        <v>16</v>
      </c>
      <c r="C44" t="s">
        <v>8535</v>
      </c>
      <c r="D44">
        <v>24</v>
      </c>
      <c r="E44">
        <v>50</v>
      </c>
      <c r="F44">
        <v>19</v>
      </c>
      <c r="G44">
        <v>1</v>
      </c>
      <c r="H44">
        <v>5</v>
      </c>
      <c r="I44" t="s">
        <v>8536</v>
      </c>
      <c r="J44" t="s">
        <v>8537</v>
      </c>
      <c r="L44" t="s">
        <v>8538</v>
      </c>
      <c r="M44">
        <v>24</v>
      </c>
      <c r="N44">
        <v>88</v>
      </c>
      <c r="O44">
        <v>0</v>
      </c>
      <c r="P44">
        <v>24</v>
      </c>
      <c r="R44">
        <v>112</v>
      </c>
      <c r="S44" t="s">
        <v>8534</v>
      </c>
      <c r="T44" t="s">
        <v>8528</v>
      </c>
      <c r="U44" t="b">
        <v>0</v>
      </c>
      <c r="V44">
        <v>0</v>
      </c>
      <c r="W44">
        <v>1</v>
      </c>
    </row>
    <row r="45" spans="1:23" x14ac:dyDescent="0.15">
      <c r="B45" t="s">
        <v>8476</v>
      </c>
      <c r="C45" t="s">
        <v>8476</v>
      </c>
      <c r="D45" t="s">
        <v>8476</v>
      </c>
      <c r="E45" t="s">
        <v>8476</v>
      </c>
    </row>
    <row r="46" spans="1:23" x14ac:dyDescent="0.15">
      <c r="A46" t="s">
        <v>8476</v>
      </c>
      <c r="B46" t="s">
        <v>8476</v>
      </c>
      <c r="C46" t="s">
        <v>8476</v>
      </c>
      <c r="D46" t="s">
        <v>8476</v>
      </c>
      <c r="E46" t="s">
        <v>8476</v>
      </c>
      <c r="F46" t="s">
        <v>8476</v>
      </c>
      <c r="G46" t="s">
        <v>8476</v>
      </c>
      <c r="H46" t="s">
        <v>8476</v>
      </c>
      <c r="I46" t="s">
        <v>8476</v>
      </c>
      <c r="J46">
        <v>0</v>
      </c>
      <c r="K46">
        <v>0</v>
      </c>
      <c r="L46">
        <v>0</v>
      </c>
      <c r="M46">
        <v>0</v>
      </c>
      <c r="N46" t="s">
        <v>8476</v>
      </c>
      <c r="O46" t="s">
        <v>8528</v>
      </c>
    </row>
    <row r="47" spans="1:23" x14ac:dyDescent="0.15">
      <c r="A47" t="s">
        <v>8476</v>
      </c>
      <c r="B47" t="s">
        <v>8534</v>
      </c>
      <c r="C47" t="s">
        <v>8153</v>
      </c>
    </row>
    <row r="48" spans="1:23" x14ac:dyDescent="0.15">
      <c r="A48" t="s">
        <v>8143</v>
      </c>
      <c r="B48" t="s">
        <v>8539</v>
      </c>
      <c r="C48" t="s">
        <v>8126</v>
      </c>
      <c r="D48" t="s">
        <v>8540</v>
      </c>
      <c r="E48" t="s">
        <v>8541</v>
      </c>
      <c r="F48" t="s">
        <v>8542</v>
      </c>
      <c r="G48" t="s">
        <v>8127</v>
      </c>
      <c r="H48" t="s">
        <v>8138</v>
      </c>
      <c r="I48" t="s">
        <v>8543</v>
      </c>
      <c r="J48" t="s">
        <v>8544</v>
      </c>
    </row>
    <row r="49" spans="1:7" x14ac:dyDescent="0.15">
      <c r="A49" t="s">
        <v>8545</v>
      </c>
      <c r="B49" t="s">
        <v>8544</v>
      </c>
      <c r="C49" t="s">
        <v>8545</v>
      </c>
      <c r="D49" t="s">
        <v>8532</v>
      </c>
    </row>
    <row r="50" spans="1:7" x14ac:dyDescent="0.15">
      <c r="A50" t="s">
        <v>8544</v>
      </c>
      <c r="B50" t="s">
        <v>8138</v>
      </c>
      <c r="C50" t="s">
        <v>8541</v>
      </c>
      <c r="D50" t="s">
        <v>8544</v>
      </c>
      <c r="E50" t="s">
        <v>8542</v>
      </c>
      <c r="F50" t="s">
        <v>8544</v>
      </c>
      <c r="G50" t="s">
        <v>8546</v>
      </c>
    </row>
  </sheetData>
  <sheetProtection sheet="1" objects="1" scenarios="1"/>
  <phoneticPr fontId="1"/>
  <printOptions gridLines="1"/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outlinePr showOutlineSymbols="0"/>
  </sheetPr>
  <dimension ref="A1:V45"/>
  <sheetViews>
    <sheetView showRowColHeaders="0" showOutlineSymbols="0" showWhiteSpace="0" workbookViewId="0">
      <selection activeCell="A6" sqref="A6"/>
    </sheetView>
  </sheetViews>
  <sheetFormatPr defaultRowHeight="12" x14ac:dyDescent="0.15"/>
  <cols>
    <col min="1" max="1" width="5.625" style="140" customWidth="1"/>
    <col min="2" max="3" width="3.625" style="137" customWidth="1"/>
    <col min="4" max="4" width="4.625" style="137" customWidth="1"/>
    <col min="5" max="5" width="3.625" style="137" customWidth="1"/>
    <col min="6" max="6" width="4.625" style="137" customWidth="1"/>
    <col min="7" max="9" width="3.625" style="137" customWidth="1"/>
    <col min="10" max="10" width="8.125" style="137" customWidth="1"/>
    <col min="11" max="11" width="5.625" style="137" customWidth="1"/>
    <col min="12" max="12" width="3.625" style="137" hidden="1" customWidth="1"/>
    <col min="13" max="13" width="4.625" style="137" customWidth="1"/>
    <col min="14" max="14" width="3.625" style="137" customWidth="1"/>
    <col min="15" max="15" width="4.625" style="137" customWidth="1"/>
    <col min="16" max="20" width="3.625" style="137" customWidth="1"/>
    <col min="21" max="21" width="8.375" style="137" customWidth="1"/>
    <col min="22" max="22" width="3.625" style="139" customWidth="1"/>
    <col min="23" max="16384" width="9" style="12"/>
  </cols>
  <sheetData>
    <row r="1" spans="1:22" s="4" customFormat="1" ht="42.75" customHeight="1" x14ac:dyDescent="0.15">
      <c r="A1" s="135"/>
      <c r="B1" s="55"/>
      <c r="C1" s="56"/>
      <c r="D1" s="56"/>
      <c r="E1" s="56" t="s">
        <v>8207</v>
      </c>
      <c r="F1" s="56"/>
      <c r="G1" s="56"/>
      <c r="H1" s="56"/>
      <c r="I1" s="59"/>
      <c r="J1" s="55"/>
      <c r="K1" s="1" t="s">
        <v>8208</v>
      </c>
      <c r="L1" s="56"/>
      <c r="M1" s="1"/>
      <c r="N1" s="163" t="b">
        <v>0</v>
      </c>
      <c r="O1" s="2" t="s">
        <v>8209</v>
      </c>
      <c r="P1" s="164" t="s">
        <v>8451</v>
      </c>
      <c r="Q1" s="165"/>
      <c r="R1" s="166"/>
      <c r="S1" s="3" t="s">
        <v>8471</v>
      </c>
      <c r="T1" s="3"/>
      <c r="U1" s="3"/>
      <c r="V1" s="46" t="s">
        <v>8210</v>
      </c>
    </row>
    <row r="2" spans="1:22" x14ac:dyDescent="0.15">
      <c r="A2" s="11" t="s">
        <v>8447</v>
      </c>
      <c r="B2" s="57" t="s">
        <v>8211</v>
      </c>
      <c r="C2" s="16"/>
      <c r="D2" s="5" t="s">
        <v>8212</v>
      </c>
      <c r="E2" s="16"/>
      <c r="F2" s="6" t="s">
        <v>8213</v>
      </c>
      <c r="G2" s="9"/>
      <c r="H2" s="5" t="s">
        <v>8214</v>
      </c>
      <c r="I2" s="16"/>
      <c r="J2" s="7"/>
      <c r="K2" s="58" t="s">
        <v>8456</v>
      </c>
      <c r="L2" s="61" t="s">
        <v>8216</v>
      </c>
      <c r="M2" s="58" t="s">
        <v>8215</v>
      </c>
      <c r="N2" s="61" t="s">
        <v>8217</v>
      </c>
      <c r="O2" s="8"/>
      <c r="P2" s="7" t="s">
        <v>8218</v>
      </c>
      <c r="Q2" s="14"/>
      <c r="R2" s="9"/>
      <c r="S2" s="10" t="s">
        <v>8472</v>
      </c>
      <c r="T2" s="10"/>
      <c r="U2" s="10" t="s">
        <v>8449</v>
      </c>
      <c r="V2" s="47" t="s">
        <v>8296</v>
      </c>
    </row>
    <row r="3" spans="1:22" x14ac:dyDescent="0.15">
      <c r="A3" s="13" t="s">
        <v>8448</v>
      </c>
      <c r="B3" s="14"/>
      <c r="C3" s="14" t="s">
        <v>8209</v>
      </c>
      <c r="D3" s="14"/>
      <c r="E3" s="14" t="s">
        <v>8209</v>
      </c>
      <c r="F3" s="60"/>
      <c r="G3" s="14" t="s">
        <v>8209</v>
      </c>
      <c r="H3" s="60"/>
      <c r="I3" s="14" t="s">
        <v>8209</v>
      </c>
      <c r="J3" s="9" t="s">
        <v>8219</v>
      </c>
      <c r="K3" s="14" t="s">
        <v>8220</v>
      </c>
      <c r="L3" s="15" t="s">
        <v>8209</v>
      </c>
      <c r="M3" s="14" t="s">
        <v>8221</v>
      </c>
      <c r="N3" s="16" t="s">
        <v>8209</v>
      </c>
      <c r="O3" s="8" t="s">
        <v>8222</v>
      </c>
      <c r="P3" s="7" t="s">
        <v>8223</v>
      </c>
      <c r="Q3" s="10" t="s">
        <v>8224</v>
      </c>
      <c r="R3" s="9" t="s">
        <v>8225</v>
      </c>
      <c r="S3" s="10" t="s">
        <v>8473</v>
      </c>
      <c r="T3" s="10" t="s">
        <v>8226</v>
      </c>
      <c r="U3" s="10" t="s">
        <v>8450</v>
      </c>
      <c r="V3" s="48" t="s">
        <v>8224</v>
      </c>
    </row>
    <row r="4" spans="1:22" x14ac:dyDescent="0.15">
      <c r="A4" s="13"/>
      <c r="B4" s="10" t="s">
        <v>8227</v>
      </c>
      <c r="C4" s="10"/>
      <c r="D4" s="10" t="s">
        <v>8228</v>
      </c>
      <c r="E4" s="10"/>
      <c r="F4" s="17" t="s">
        <v>8229</v>
      </c>
      <c r="G4" s="10"/>
      <c r="H4" s="17" t="s">
        <v>8230</v>
      </c>
      <c r="I4" s="10"/>
      <c r="J4" s="9"/>
      <c r="K4" s="10" t="s">
        <v>8231</v>
      </c>
      <c r="L4" s="9"/>
      <c r="M4" s="10"/>
      <c r="N4" s="8"/>
      <c r="O4" s="8"/>
      <c r="P4" s="7" t="s">
        <v>8224</v>
      </c>
      <c r="Q4" s="10"/>
      <c r="R4" s="9"/>
      <c r="S4" s="10" t="s">
        <v>8474</v>
      </c>
      <c r="T4" s="10"/>
      <c r="U4" s="10"/>
      <c r="V4" s="48" t="s">
        <v>8232</v>
      </c>
    </row>
    <row r="5" spans="1:22" s="22" customFormat="1" ht="12" customHeight="1" x14ac:dyDescent="0.15">
      <c r="A5" s="13"/>
      <c r="B5" s="17"/>
      <c r="C5" s="10" t="s">
        <v>8222</v>
      </c>
      <c r="D5" s="17"/>
      <c r="E5" s="10" t="s">
        <v>8222</v>
      </c>
      <c r="F5" s="17"/>
      <c r="G5" s="10" t="s">
        <v>8222</v>
      </c>
      <c r="H5" s="17"/>
      <c r="I5" s="10" t="s">
        <v>8222</v>
      </c>
      <c r="J5" s="18" t="s">
        <v>8216</v>
      </c>
      <c r="K5" s="19" t="s">
        <v>8233</v>
      </c>
      <c r="L5" s="9" t="s">
        <v>8222</v>
      </c>
      <c r="M5" s="10" t="s">
        <v>8234</v>
      </c>
      <c r="N5" s="8" t="s">
        <v>8222</v>
      </c>
      <c r="O5" s="20" t="s">
        <v>8235</v>
      </c>
      <c r="P5" s="21" t="s">
        <v>8236</v>
      </c>
      <c r="Q5" s="10" t="s">
        <v>8237</v>
      </c>
      <c r="R5" s="9" t="s">
        <v>8238</v>
      </c>
      <c r="S5" s="17" t="s">
        <v>8475</v>
      </c>
      <c r="T5" s="17"/>
      <c r="U5" s="10"/>
      <c r="V5" s="48" t="s">
        <v>8239</v>
      </c>
    </row>
    <row r="6" spans="1:22" s="22" customFormat="1" x14ac:dyDescent="0.15">
      <c r="A6" s="23">
        <v>1</v>
      </c>
      <c r="B6" s="24">
        <v>40</v>
      </c>
      <c r="C6" s="136">
        <v>16</v>
      </c>
      <c r="D6" s="24" t="s">
        <v>8505</v>
      </c>
      <c r="E6" s="136">
        <v>24</v>
      </c>
      <c r="F6" s="24">
        <v>50</v>
      </c>
      <c r="G6" s="136">
        <v>19</v>
      </c>
      <c r="H6" s="24">
        <v>1</v>
      </c>
      <c r="I6" s="136">
        <v>5</v>
      </c>
      <c r="J6" s="24" t="s">
        <v>8506</v>
      </c>
      <c r="K6" s="24" t="s">
        <v>8507</v>
      </c>
      <c r="L6" s="136"/>
      <c r="M6" s="24" t="s">
        <v>8508</v>
      </c>
      <c r="N6" s="136">
        <v>24</v>
      </c>
      <c r="O6" s="136">
        <f>$C$6+$E$6+$G$6+$I$6+$N$6</f>
        <v>88</v>
      </c>
      <c r="P6" s="136">
        <f xml:space="preserve"> IF(AND($O$6&lt;100,$V$6 = "有"), 100-$O$6,0)</f>
        <v>0</v>
      </c>
      <c r="Q6" s="24">
        <v>24</v>
      </c>
      <c r="R6" s="24"/>
      <c r="S6" s="136">
        <f xml:space="preserve"> IF(AND(AND(($O$6+ $P$6+ IF($Q$6&gt;=$R$6,$Q$6,$R$6))&lt;100,$V$6 &lt;&gt; "有"),$N$1=TRUE), 100-($O$6+ $P$6+ IF($Q$6&gt;=$R$6,$Q$6,$R$6)),0)</f>
        <v>0</v>
      </c>
      <c r="T6" s="136">
        <f>$O$6+ $P$6+ IF($Q$6&gt;=$R$6,$Q$6,$R$6)+S6</f>
        <v>112</v>
      </c>
      <c r="U6" s="162" t="str">
        <f>山腹崩壊危険度判定(T6)</f>
        <v>c1</v>
      </c>
      <c r="V6" s="49" t="s">
        <v>8493</v>
      </c>
    </row>
    <row r="7" spans="1:22" s="22" customFormat="1" x14ac:dyDescent="0.15">
      <c r="A7" s="137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8"/>
      <c r="V7" s="139"/>
    </row>
    <row r="8" spans="1:22" s="22" customFormat="1" x14ac:dyDescent="0.15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8"/>
      <c r="V8" s="139"/>
    </row>
    <row r="9" spans="1:22" s="22" customFormat="1" x14ac:dyDescent="0.15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8"/>
      <c r="V9" s="139"/>
    </row>
    <row r="10" spans="1:22" s="22" customFormat="1" x14ac:dyDescent="0.15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8"/>
      <c r="V10" s="139"/>
    </row>
    <row r="11" spans="1:22" s="22" customFormat="1" x14ac:dyDescent="0.15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8"/>
      <c r="V11" s="139"/>
    </row>
    <row r="12" spans="1:22" s="22" customFormat="1" x14ac:dyDescent="0.15">
      <c r="A12" s="137"/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8"/>
      <c r="V12" s="139"/>
    </row>
    <row r="13" spans="1:22" s="22" customFormat="1" x14ac:dyDescent="0.15">
      <c r="A13" s="137"/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8"/>
      <c r="V13" s="139"/>
    </row>
    <row r="14" spans="1:22" s="22" customFormat="1" x14ac:dyDescent="0.15">
      <c r="A14" s="137"/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8"/>
      <c r="V14" s="139"/>
    </row>
    <row r="15" spans="1:22" s="22" customFormat="1" x14ac:dyDescent="0.15">
      <c r="A15" s="137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8"/>
      <c r="V15" s="139"/>
    </row>
    <row r="16" spans="1:22" s="22" customFormat="1" x14ac:dyDescent="0.15">
      <c r="A16" s="137"/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8"/>
      <c r="V16" s="139"/>
    </row>
    <row r="17" spans="1:22" s="22" customFormat="1" x14ac:dyDescent="0.15">
      <c r="A17" s="137"/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8"/>
      <c r="V17" s="139"/>
    </row>
    <row r="18" spans="1:22" s="22" customFormat="1" x14ac:dyDescent="0.15">
      <c r="A18" s="137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8"/>
      <c r="V18" s="139"/>
    </row>
    <row r="19" spans="1:22" s="22" customFormat="1" x14ac:dyDescent="0.15">
      <c r="A19" s="137"/>
      <c r="B19" s="137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8"/>
      <c r="V19" s="139"/>
    </row>
    <row r="20" spans="1:22" s="22" customFormat="1" x14ac:dyDescent="0.15">
      <c r="A20" s="137"/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8"/>
      <c r="V20" s="139"/>
    </row>
    <row r="21" spans="1:22" s="22" customFormat="1" x14ac:dyDescent="0.15">
      <c r="A21" s="137"/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8"/>
      <c r="V21" s="139"/>
    </row>
    <row r="22" spans="1:22" s="22" customFormat="1" x14ac:dyDescent="0.15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9"/>
    </row>
    <row r="23" spans="1:22" x14ac:dyDescent="0.15">
      <c r="A23" s="137"/>
    </row>
    <row r="24" spans="1:22" x14ac:dyDescent="0.15">
      <c r="A24" s="137"/>
    </row>
    <row r="25" spans="1:22" x14ac:dyDescent="0.15">
      <c r="A25" s="137"/>
    </row>
    <row r="26" spans="1:22" x14ac:dyDescent="0.15">
      <c r="A26" s="137"/>
    </row>
    <row r="27" spans="1:22" x14ac:dyDescent="0.15">
      <c r="A27" s="137"/>
    </row>
    <row r="28" spans="1:22" x14ac:dyDescent="0.15">
      <c r="A28" s="137"/>
    </row>
    <row r="29" spans="1:22" x14ac:dyDescent="0.15">
      <c r="A29" s="137"/>
    </row>
    <row r="30" spans="1:22" x14ac:dyDescent="0.15">
      <c r="A30" s="137"/>
    </row>
    <row r="31" spans="1:22" x14ac:dyDescent="0.15">
      <c r="A31" s="137"/>
    </row>
    <row r="32" spans="1:22" x14ac:dyDescent="0.15">
      <c r="A32" s="137"/>
    </row>
    <row r="33" spans="1:1" x14ac:dyDescent="0.15">
      <c r="A33" s="137"/>
    </row>
    <row r="34" spans="1:1" x14ac:dyDescent="0.15">
      <c r="A34" s="137"/>
    </row>
    <row r="35" spans="1:1" x14ac:dyDescent="0.15">
      <c r="A35" s="137"/>
    </row>
    <row r="36" spans="1:1" x14ac:dyDescent="0.15">
      <c r="A36" s="137"/>
    </row>
    <row r="37" spans="1:1" x14ac:dyDescent="0.15">
      <c r="A37" s="137"/>
    </row>
    <row r="38" spans="1:1" x14ac:dyDescent="0.15">
      <c r="A38" s="137"/>
    </row>
    <row r="39" spans="1:1" x14ac:dyDescent="0.15">
      <c r="A39" s="137"/>
    </row>
    <row r="40" spans="1:1" x14ac:dyDescent="0.15">
      <c r="A40" s="137"/>
    </row>
    <row r="41" spans="1:1" x14ac:dyDescent="0.15">
      <c r="A41" s="137"/>
    </row>
    <row r="42" spans="1:1" x14ac:dyDescent="0.15">
      <c r="A42" s="137"/>
    </row>
    <row r="43" spans="1:1" x14ac:dyDescent="0.15">
      <c r="A43" s="137"/>
    </row>
    <row r="44" spans="1:1" x14ac:dyDescent="0.15">
      <c r="A44" s="137"/>
    </row>
    <row r="45" spans="1:1" x14ac:dyDescent="0.15">
      <c r="A45" s="137"/>
    </row>
  </sheetData>
  <sheetProtection sheet="1" objects="1" scenarios="1" selectLockedCells="1"/>
  <mergeCells count="1">
    <mergeCell ref="P1:R1"/>
  </mergeCells>
  <phoneticPr fontId="1"/>
  <dataValidations count="1">
    <dataValidation type="list" allowBlank="1" showInputMessage="1" showErrorMessage="1" sqref="K7:K34">
      <formula1>$C$34:$C$36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50" r:id="rId4" name="ボタン 4">
              <controlPr locked="0" defaultSize="0" print="0" autoFill="0" autoPict="0" macro="[0]!ボタン4_Click">
                <anchor moveWithCells="1" sizeWithCells="1">
                  <from>
                    <xdr:col>1</xdr:col>
                    <xdr:colOff>133350</xdr:colOff>
                    <xdr:row>0</xdr:row>
                    <xdr:rowOff>95250</xdr:rowOff>
                  </from>
                  <to>
                    <xdr:col>3</xdr:col>
                    <xdr:colOff>123825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5" name="Check Box 36">
              <controlPr defaultSize="0" autoFill="0" autoLine="0" autoPict="0">
                <anchor moveWithCells="1">
                  <from>
                    <xdr:col>10</xdr:col>
                    <xdr:colOff>266700</xdr:colOff>
                    <xdr:row>0</xdr:row>
                    <xdr:rowOff>95250</xdr:rowOff>
                  </from>
                  <to>
                    <xdr:col>14</xdr:col>
                    <xdr:colOff>266700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点数表!$C$53:$C$56</xm:f>
          </x14:formula1>
          <xm:sqref>D6:D1048576</xm:sqref>
        </x14:dataValidation>
        <x14:dataValidation type="list" allowBlank="1" showInputMessage="1" showErrorMessage="1">
          <x14:formula1>
            <xm:f>点数表!$C$57:$C$60</xm:f>
          </x14:formula1>
          <xm:sqref>K36:K1048576 K6</xm:sqref>
        </x14:dataValidation>
        <x14:dataValidation type="list" allowBlank="1" showInputMessage="1" showErrorMessage="1">
          <x14:formula1>
            <xm:f>点数表!$C$61:$C$72</xm:f>
          </x14:formula1>
          <xm:sqref>M6:M1048576</xm:sqref>
        </x14:dataValidation>
        <x14:dataValidation type="list" allowBlank="1" showInputMessage="1" showErrorMessage="1">
          <x14:formula1>
            <xm:f>点数表!$C$73:$C$74</xm:f>
          </x14:formula1>
          <xm:sqref>V6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howOutlineSymbols="0"/>
  </sheetPr>
  <dimension ref="A1:P6"/>
  <sheetViews>
    <sheetView showGridLines="0" showRowColHeaders="0" showRuler="0" showOutlineSymbols="0" showWhiteSpace="0" zoomScale="90" zoomScaleNormal="90" workbookViewId="0">
      <selection activeCell="A2" sqref="A2:A7"/>
    </sheetView>
  </sheetViews>
  <sheetFormatPr defaultRowHeight="12" x14ac:dyDescent="0.15"/>
  <cols>
    <col min="1" max="1" width="15.125" style="62" bestFit="1" customWidth="1"/>
    <col min="2" max="6" width="9" style="62"/>
    <col min="7" max="7" width="8.875" style="62" bestFit="1" customWidth="1"/>
    <col min="8" max="10" width="9" style="62"/>
    <col min="11" max="14" width="3.625" style="62" customWidth="1"/>
    <col min="15" max="15" width="9" style="62"/>
    <col min="16" max="16" width="13" style="62" customWidth="1"/>
    <col min="17" max="16384" width="9" style="62"/>
  </cols>
  <sheetData>
    <row r="1" spans="1:16" ht="30.75" customHeight="1" x14ac:dyDescent="0.15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</row>
    <row r="2" spans="1:16" ht="15.75" customHeight="1" x14ac:dyDescent="0.15">
      <c r="A2" s="168" t="s">
        <v>8341</v>
      </c>
      <c r="B2" s="167" t="s">
        <v>8326</v>
      </c>
      <c r="C2" s="167" t="s">
        <v>8325</v>
      </c>
      <c r="D2" s="167" t="s">
        <v>8327</v>
      </c>
      <c r="E2" s="167" t="s">
        <v>8328</v>
      </c>
      <c r="F2" s="167" t="s">
        <v>8329</v>
      </c>
      <c r="G2" s="167" t="s">
        <v>8324</v>
      </c>
      <c r="H2" s="167" t="s">
        <v>8330</v>
      </c>
      <c r="I2" s="167" t="s">
        <v>8331</v>
      </c>
      <c r="J2" s="167" t="s">
        <v>8332</v>
      </c>
      <c r="K2" s="172" t="s">
        <v>8338</v>
      </c>
      <c r="L2" s="172"/>
      <c r="M2" s="172"/>
      <c r="N2" s="172"/>
      <c r="O2" s="167" t="s">
        <v>8339</v>
      </c>
      <c r="P2" s="167" t="s">
        <v>8340</v>
      </c>
    </row>
    <row r="3" spans="1:16" x14ac:dyDescent="0.15">
      <c r="A3" s="169"/>
      <c r="B3" s="171"/>
      <c r="C3" s="171"/>
      <c r="D3" s="171"/>
      <c r="E3" s="171"/>
      <c r="F3" s="171"/>
      <c r="G3" s="171"/>
      <c r="H3" s="171"/>
      <c r="I3" s="172"/>
      <c r="J3" s="172"/>
      <c r="K3" s="172"/>
      <c r="L3" s="172"/>
      <c r="M3" s="172"/>
      <c r="N3" s="172"/>
      <c r="O3" s="172"/>
      <c r="P3" s="167"/>
    </row>
    <row r="4" spans="1:16" x14ac:dyDescent="0.15">
      <c r="A4" s="169"/>
      <c r="B4" s="171"/>
      <c r="C4" s="171"/>
      <c r="D4" s="171"/>
      <c r="E4" s="171"/>
      <c r="F4" s="171"/>
      <c r="G4" s="171"/>
      <c r="H4" s="171"/>
      <c r="I4" s="172"/>
      <c r="J4" s="172"/>
      <c r="K4" s="172"/>
      <c r="L4" s="172"/>
      <c r="M4" s="172"/>
      <c r="N4" s="172"/>
      <c r="O4" s="172"/>
      <c r="P4" s="167"/>
    </row>
    <row r="5" spans="1:16" x14ac:dyDescent="0.15">
      <c r="A5" s="170"/>
      <c r="B5" s="171"/>
      <c r="C5" s="64" t="s">
        <v>8333</v>
      </c>
      <c r="D5" s="64" t="s">
        <v>8333</v>
      </c>
      <c r="E5" s="64" t="s">
        <v>8333</v>
      </c>
      <c r="F5" s="64" t="s">
        <v>8333</v>
      </c>
      <c r="G5" s="64" t="s">
        <v>8333</v>
      </c>
      <c r="H5" s="64" t="s">
        <v>8333</v>
      </c>
      <c r="I5" s="64" t="s">
        <v>8333</v>
      </c>
      <c r="J5" s="64" t="s">
        <v>8333</v>
      </c>
      <c r="K5" s="64" t="s">
        <v>8334</v>
      </c>
      <c r="L5" s="64" t="s">
        <v>8335</v>
      </c>
      <c r="M5" s="64" t="s">
        <v>8336</v>
      </c>
      <c r="N5" s="64" t="s">
        <v>8337</v>
      </c>
      <c r="O5" s="64"/>
      <c r="P5" s="167"/>
    </row>
    <row r="6" spans="1:16" x14ac:dyDescent="0.15">
      <c r="A6" s="63" t="s">
        <v>8476</v>
      </c>
      <c r="B6" s="63" t="s">
        <v>8476</v>
      </c>
      <c r="C6" s="63" t="str">
        <f>表形式危険度ランク!G4</f>
        <v/>
      </c>
      <c r="D6" s="63" t="str">
        <f>表形式危険度ランク!G5</f>
        <v/>
      </c>
      <c r="E6" s="63" t="str">
        <f>表形式危険度ランク!G6</f>
        <v/>
      </c>
      <c r="F6" s="63" t="str">
        <f>表形式危険度ランク!G7</f>
        <v/>
      </c>
      <c r="G6" s="63" t="str">
        <f>表形式危険度ランク!G8</f>
        <v/>
      </c>
      <c r="H6" s="63" t="str">
        <f>表形式危険度ランク!G9</f>
        <v/>
      </c>
      <c r="I6" s="63" t="str">
        <f>表形式危険度ランク!G10</f>
        <v/>
      </c>
      <c r="J6" s="63" t="str">
        <f>表形式危険度ランク!G11</f>
        <v/>
      </c>
      <c r="K6" s="63">
        <f>表形式危険度ランク!C12</f>
        <v>0</v>
      </c>
      <c r="L6" s="63">
        <f>表形式危険度ランク!D12</f>
        <v>0</v>
      </c>
      <c r="M6" s="63">
        <f>表形式危険度ランク!E12</f>
        <v>0</v>
      </c>
      <c r="N6" s="63">
        <f>表形式危険度ランク!F12</f>
        <v>0</v>
      </c>
      <c r="O6" s="63" t="str">
        <f>表形式危険度ランク!G12</f>
        <v/>
      </c>
      <c r="P6" s="63" t="str">
        <f>IF(J6="","無","有")</f>
        <v>無</v>
      </c>
    </row>
  </sheetData>
  <sheetProtection sheet="1" objects="1" scenarios="1" selectLockedCells="1"/>
  <mergeCells count="13">
    <mergeCell ref="P2:P5"/>
    <mergeCell ref="A2:A5"/>
    <mergeCell ref="G2:G4"/>
    <mergeCell ref="H2:H4"/>
    <mergeCell ref="I2:I4"/>
    <mergeCell ref="J2:J4"/>
    <mergeCell ref="K2:N4"/>
    <mergeCell ref="O2:O4"/>
    <mergeCell ref="B2:B5"/>
    <mergeCell ref="C2:C4"/>
    <mergeCell ref="D2:D4"/>
    <mergeCell ref="E2:E4"/>
    <mergeCell ref="F2:F4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locked="0" defaultSize="0" print="0" autoFill="0" autoPict="0" macro="[0]!ボタン2_Click">
                <anchor moveWithCells="1" sizeWithCells="1">
                  <from>
                    <xdr:col>1</xdr:col>
                    <xdr:colOff>95250</xdr:colOff>
                    <xdr:row>0</xdr:row>
                    <xdr:rowOff>76200</xdr:rowOff>
                  </from>
                  <to>
                    <xdr:col>1</xdr:col>
                    <xdr:colOff>638175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ボタン １">
              <controlPr locked="0" defaultSize="0" print="0" autoFill="0" autoPict="0" macro="[0]!ボタン1_Click">
                <anchor moveWithCells="1" sizeWithCells="1">
                  <from>
                    <xdr:col>0</xdr:col>
                    <xdr:colOff>114300</xdr:colOff>
                    <xdr:row>0</xdr:row>
                    <xdr:rowOff>66675</xdr:rowOff>
                  </from>
                  <to>
                    <xdr:col>0</xdr:col>
                    <xdr:colOff>1057275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howOutlineSymbols="0"/>
  </sheetPr>
  <dimension ref="A1:H12"/>
  <sheetViews>
    <sheetView showRowColHeaders="0" tabSelected="1" showOutlineSymbols="0" topLeftCell="A2" workbookViewId="0">
      <selection activeCell="F4" sqref="F4"/>
    </sheetView>
  </sheetViews>
  <sheetFormatPr defaultRowHeight="12" x14ac:dyDescent="0.15"/>
  <cols>
    <col min="1" max="1" width="8" style="25" customWidth="1"/>
    <col min="2" max="2" width="21.625" style="25" customWidth="1"/>
    <col min="3" max="6" width="12.625" style="25" customWidth="1"/>
    <col min="7" max="16384" width="9" style="25"/>
  </cols>
  <sheetData>
    <row r="1" spans="1:8" ht="25.5" customHeight="1" x14ac:dyDescent="0.15">
      <c r="A1" s="78" t="s">
        <v>8361</v>
      </c>
      <c r="B1" s="79"/>
      <c r="C1" s="79"/>
      <c r="D1" s="79"/>
      <c r="E1" s="79"/>
      <c r="F1" s="79"/>
      <c r="G1" s="79"/>
    </row>
    <row r="2" spans="1:8" ht="15" customHeight="1" x14ac:dyDescent="0.15">
      <c r="A2" s="171" t="s">
        <v>8342</v>
      </c>
      <c r="B2" s="172" t="s">
        <v>8347</v>
      </c>
      <c r="C2" s="172" t="s">
        <v>8348</v>
      </c>
      <c r="D2" s="172"/>
      <c r="E2" s="172"/>
      <c r="F2" s="172"/>
      <c r="G2" s="167" t="s">
        <v>8349</v>
      </c>
    </row>
    <row r="3" spans="1:8" ht="15" customHeight="1" x14ac:dyDescent="0.15">
      <c r="A3" s="172"/>
      <c r="B3" s="172"/>
      <c r="C3" s="64" t="s">
        <v>8343</v>
      </c>
      <c r="D3" s="64" t="s">
        <v>8344</v>
      </c>
      <c r="E3" s="64" t="s">
        <v>8345</v>
      </c>
      <c r="F3" s="64" t="s">
        <v>8346</v>
      </c>
      <c r="G3" s="172"/>
      <c r="H3" s="66"/>
    </row>
    <row r="4" spans="1:8" ht="24.95" customHeight="1" x14ac:dyDescent="0.15">
      <c r="A4" s="174" t="s">
        <v>8356</v>
      </c>
      <c r="B4" s="67" t="s">
        <v>8323</v>
      </c>
      <c r="C4" s="68"/>
      <c r="D4" s="68"/>
      <c r="E4" s="68"/>
      <c r="F4" s="81"/>
      <c r="G4" s="80" t="str">
        <f>IF(F4,"d","")</f>
        <v/>
      </c>
    </row>
    <row r="5" spans="1:8" ht="24.95" customHeight="1" x14ac:dyDescent="0.15">
      <c r="A5" s="174"/>
      <c r="B5" s="67" t="s">
        <v>8350</v>
      </c>
      <c r="C5" s="68"/>
      <c r="D5" s="68"/>
      <c r="E5" s="81"/>
      <c r="F5" s="81"/>
      <c r="G5" s="80" t="str">
        <f>IF(E5=TRUE,"c",IF(F5=TRUE,"d",""))</f>
        <v/>
      </c>
    </row>
    <row r="6" spans="1:8" ht="24.95" customHeight="1" x14ac:dyDescent="0.15">
      <c r="A6" s="174"/>
      <c r="B6" s="67" t="s">
        <v>8476</v>
      </c>
      <c r="C6" s="68"/>
      <c r="D6" s="68"/>
      <c r="E6" s="82"/>
      <c r="F6" s="82"/>
      <c r="G6" s="80" t="str">
        <f>IF(E6=TRUE,"c",IF(F6=TRUE,"d",""))</f>
        <v/>
      </c>
    </row>
    <row r="7" spans="1:8" ht="24.95" customHeight="1" x14ac:dyDescent="0.15">
      <c r="A7" s="174"/>
      <c r="B7" s="67" t="s">
        <v>8351</v>
      </c>
      <c r="C7" s="68"/>
      <c r="D7" s="68"/>
      <c r="E7" s="81"/>
      <c r="F7" s="85"/>
      <c r="G7" s="80" t="str">
        <f>IF(E7=TRUE,"c","")</f>
        <v/>
      </c>
    </row>
    <row r="8" spans="1:8" ht="24.95" customHeight="1" x14ac:dyDescent="0.15">
      <c r="A8" s="175" t="s">
        <v>8357</v>
      </c>
      <c r="B8" s="69" t="s">
        <v>8352</v>
      </c>
      <c r="C8" s="70"/>
      <c r="D8" s="83"/>
      <c r="E8" s="83"/>
      <c r="F8" s="83"/>
      <c r="G8" s="80" t="str">
        <f>IF(D8=TRUE,"b",IF(E8=TRUE,"c",IF(F8=TRUE,"d","")))</f>
        <v/>
      </c>
    </row>
    <row r="9" spans="1:8" ht="24.95" customHeight="1" x14ac:dyDescent="0.15">
      <c r="A9" s="175"/>
      <c r="B9" s="71" t="s">
        <v>8353</v>
      </c>
      <c r="C9" s="70"/>
      <c r="D9" s="83"/>
      <c r="E9" s="83"/>
      <c r="F9" s="83"/>
      <c r="G9" s="80" t="str">
        <f>IF(D9=TRUE,"b",IF(E9=TRUE,"c",IF(F9=TRUE,"d","")))</f>
        <v/>
      </c>
    </row>
    <row r="10" spans="1:8" ht="24.95" customHeight="1" x14ac:dyDescent="0.15">
      <c r="A10" s="72" t="s">
        <v>8358</v>
      </c>
      <c r="B10" s="73" t="s">
        <v>8354</v>
      </c>
      <c r="C10" s="84"/>
      <c r="D10" s="72"/>
      <c r="E10" s="84"/>
      <c r="F10" s="72"/>
      <c r="G10" s="80" t="str">
        <f>IF(C10=TRUE,"a",IF(E10=TRUE,"c",""))</f>
        <v/>
      </c>
    </row>
    <row r="11" spans="1:8" ht="24.95" customHeight="1" x14ac:dyDescent="0.15">
      <c r="A11" s="74" t="s">
        <v>8359</v>
      </c>
      <c r="B11" s="75" t="s">
        <v>8355</v>
      </c>
      <c r="C11" s="86"/>
      <c r="D11" s="86"/>
      <c r="E11" s="76"/>
      <c r="F11" s="76"/>
      <c r="G11" s="80" t="str">
        <f>IF(C11=TRUE,"a",IF(D11=TRUE,"b",""))</f>
        <v/>
      </c>
    </row>
    <row r="12" spans="1:8" ht="24.95" customHeight="1" x14ac:dyDescent="0.15">
      <c r="A12" s="173" t="s">
        <v>8360</v>
      </c>
      <c r="B12" s="173"/>
      <c r="C12" s="77">
        <f>COUNTIF(C4:C11,TRUE)</f>
        <v>0</v>
      </c>
      <c r="D12" s="77">
        <f>COUNTIF(D4:D11,TRUE)</f>
        <v>0</v>
      </c>
      <c r="E12" s="77">
        <f>COUNTIF(E4:E11,TRUE)</f>
        <v>0</v>
      </c>
      <c r="F12" s="77">
        <f>COUNTIF(F4:F11,TRUE)</f>
        <v>0</v>
      </c>
      <c r="G12" s="87" t="str">
        <f>IF(C12&gt;=1,"a1",IF(D12&gt;=2,"a1",IF(AND(D12&gt;=1,E12&gt;=3),"a1",IF(AND(F12&gt;=1,SUM(C12:E12)=0),"c1",IF(SUM(C12:F12)&gt;=1,"b1","")))))</f>
        <v/>
      </c>
    </row>
  </sheetData>
  <sheetProtection sheet="1" objects="1" scenarios="1" selectLockedCells="1"/>
  <mergeCells count="7">
    <mergeCell ref="A12:B12"/>
    <mergeCell ref="A2:A3"/>
    <mergeCell ref="B2:B3"/>
    <mergeCell ref="C2:F2"/>
    <mergeCell ref="G2:G3"/>
    <mergeCell ref="A4:A7"/>
    <mergeCell ref="A8:A9"/>
  </mergeCells>
  <phoneticPr fontId="1"/>
  <printOptions headings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locked="0" defaultSize="0" print="0" autoFill="0" autoPict="0" macro="[0]!ボタン3_Click">
                <anchor moveWithCells="1" sizeWithCells="1">
                  <from>
                    <xdr:col>6</xdr:col>
                    <xdr:colOff>66675</xdr:colOff>
                    <xdr:row>0</xdr:row>
                    <xdr:rowOff>57150</xdr:rowOff>
                  </from>
                  <to>
                    <xdr:col>6</xdr:col>
                    <xdr:colOff>600075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5" name="チェック 1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5</xdr:col>
                    <xdr:colOff>942975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6" name="チェック 2">
              <controlPr defaultSize="0" autoFill="0" autoLine="0" autoPict="0" macro="[0]!チェック2_Click" altText="著しい">
                <anchor moveWithCells="1">
                  <from>
                    <xdr:col>4</xdr:col>
                    <xdr:colOff>9525</xdr:colOff>
                    <xdr:row>4</xdr:row>
                    <xdr:rowOff>28575</xdr:rowOff>
                  </from>
                  <to>
                    <xdr:col>4</xdr:col>
                    <xdr:colOff>952500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7" name="チェック 3">
              <controlPr defaultSize="0" autoFill="0" autoLine="0" autoPict="0" macro="[0]!チェック3_Click" altText="ある">
                <anchor moveWithCells="1">
                  <from>
                    <xdr:col>5</xdr:col>
                    <xdr:colOff>9525</xdr:colOff>
                    <xdr:row>4</xdr:row>
                    <xdr:rowOff>28575</xdr:rowOff>
                  </from>
                  <to>
                    <xdr:col>5</xdr:col>
                    <xdr:colOff>942975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8" name="チェック 4">
              <controlPr defaultSize="0" autoFill="0" autoLine="0" autoPict="0" macro="[0]!チェック4_Click" altText="著しい">
                <anchor moveWithCells="1">
                  <from>
                    <xdr:col>4</xdr:col>
                    <xdr:colOff>9525</xdr:colOff>
                    <xdr:row>5</xdr:row>
                    <xdr:rowOff>28575</xdr:rowOff>
                  </from>
                  <to>
                    <xdr:col>4</xdr:col>
                    <xdr:colOff>952500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9" name="チェック 5">
              <controlPr defaultSize="0" autoFill="0" autoLine="0" autoPict="0" macro="[0]!チェック5_Click" altText="ある">
                <anchor moveWithCells="1">
                  <from>
                    <xdr:col>5</xdr:col>
                    <xdr:colOff>9525</xdr:colOff>
                    <xdr:row>5</xdr:row>
                    <xdr:rowOff>28575</xdr:rowOff>
                  </from>
                  <to>
                    <xdr:col>5</xdr:col>
                    <xdr:colOff>942975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0" name="チェック 6">
              <controlPr defaultSize="0" autoFill="0" autoLine="0" autoPict="0" macro="[0]!チェック2_Click" altText="著しい">
                <anchor moveWithCells="1">
                  <from>
                    <xdr:col>4</xdr:col>
                    <xdr:colOff>9525</xdr:colOff>
                    <xdr:row>6</xdr:row>
                    <xdr:rowOff>28575</xdr:rowOff>
                  </from>
                  <to>
                    <xdr:col>4</xdr:col>
                    <xdr:colOff>952500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1" name="チェック 7">
              <controlPr defaultSize="0" autoFill="0" autoLine="0" autoPict="0" macro="[0]!チェック7_Click">
                <anchor moveWithCells="1">
                  <from>
                    <xdr:col>3</xdr:col>
                    <xdr:colOff>19050</xdr:colOff>
                    <xdr:row>7</xdr:row>
                    <xdr:rowOff>28575</xdr:rowOff>
                  </from>
                  <to>
                    <xdr:col>3</xdr:col>
                    <xdr:colOff>942975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2" name="チェック8">
              <controlPr defaultSize="0" autoFill="0" autoLine="0" autoPict="0" macro="[0]!チェック8_Click">
                <anchor moveWithCells="1">
                  <from>
                    <xdr:col>4</xdr:col>
                    <xdr:colOff>19050</xdr:colOff>
                    <xdr:row>7</xdr:row>
                    <xdr:rowOff>28575</xdr:rowOff>
                  </from>
                  <to>
                    <xdr:col>4</xdr:col>
                    <xdr:colOff>942975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3" name="チェック9">
              <controlPr defaultSize="0" autoFill="0" autoLine="0" autoPict="0" macro="[0]!チェック9_Click">
                <anchor moveWithCells="1">
                  <from>
                    <xdr:col>5</xdr:col>
                    <xdr:colOff>19050</xdr:colOff>
                    <xdr:row>7</xdr:row>
                    <xdr:rowOff>28575</xdr:rowOff>
                  </from>
                  <to>
                    <xdr:col>5</xdr:col>
                    <xdr:colOff>942975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4" name="Check Box 23">
              <controlPr defaultSize="0" autoFill="0" autoLine="0" autoPict="0" macro="[0]!チェック11_Click">
                <anchor moveWithCells="1">
                  <from>
                    <xdr:col>4</xdr:col>
                    <xdr:colOff>19050</xdr:colOff>
                    <xdr:row>8</xdr:row>
                    <xdr:rowOff>28575</xdr:rowOff>
                  </from>
                  <to>
                    <xdr:col>4</xdr:col>
                    <xdr:colOff>942975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5" name="Check Box 25">
              <controlPr defaultSize="0" autoFill="0" autoLine="0" autoPict="0" macro="[0]!チェック12_Click">
                <anchor moveWithCells="1">
                  <from>
                    <xdr:col>5</xdr:col>
                    <xdr:colOff>19050</xdr:colOff>
                    <xdr:row>8</xdr:row>
                    <xdr:rowOff>28575</xdr:rowOff>
                  </from>
                  <to>
                    <xdr:col>5</xdr:col>
                    <xdr:colOff>942975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6" name="チェック 10">
              <controlPr defaultSize="0" autoFill="0" autoLine="0" autoPict="0" macro="[0]!チェック10_Click">
                <anchor moveWithCells="1">
                  <from>
                    <xdr:col>3</xdr:col>
                    <xdr:colOff>19050</xdr:colOff>
                    <xdr:row>8</xdr:row>
                    <xdr:rowOff>28575</xdr:rowOff>
                  </from>
                  <to>
                    <xdr:col>3</xdr:col>
                    <xdr:colOff>942975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7" name="チェック13">
              <controlPr defaultSize="0" autoFill="0" autoLine="0" autoPict="0" macro="[0]!チェック13_Click">
                <anchor moveWithCells="1">
                  <from>
                    <xdr:col>2</xdr:col>
                    <xdr:colOff>38100</xdr:colOff>
                    <xdr:row>9</xdr:row>
                    <xdr:rowOff>28575</xdr:rowOff>
                  </from>
                  <to>
                    <xdr:col>2</xdr:col>
                    <xdr:colOff>952500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" name="チェック14">
              <controlPr defaultSize="0" autoFill="0" autoLine="0" autoPict="0" macro="[0]!チェック14_Click">
                <anchor moveWithCells="1">
                  <from>
                    <xdr:col>4</xdr:col>
                    <xdr:colOff>38100</xdr:colOff>
                    <xdr:row>9</xdr:row>
                    <xdr:rowOff>28575</xdr:rowOff>
                  </from>
                  <to>
                    <xdr:col>4</xdr:col>
                    <xdr:colOff>952500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9" name="チェック15">
              <controlPr defaultSize="0" autoFill="0" autoLine="0" autoPict="0" macro="[0]!チェック15_Click">
                <anchor moveWithCells="1">
                  <from>
                    <xdr:col>2</xdr:col>
                    <xdr:colOff>47625</xdr:colOff>
                    <xdr:row>10</xdr:row>
                    <xdr:rowOff>28575</xdr:rowOff>
                  </from>
                  <to>
                    <xdr:col>2</xdr:col>
                    <xdr:colOff>942975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20" name="チェック16">
              <controlPr defaultSize="0" autoFill="0" autoLine="0" autoPict="0" macro="[0]!チェック16_Click">
                <anchor moveWithCells="1">
                  <from>
                    <xdr:col>3</xdr:col>
                    <xdr:colOff>19050</xdr:colOff>
                    <xdr:row>10</xdr:row>
                    <xdr:rowOff>28575</xdr:rowOff>
                  </from>
                  <to>
                    <xdr:col>3</xdr:col>
                    <xdr:colOff>942975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F1965"/>
  <sheetViews>
    <sheetView topLeftCell="A706" zoomScale="80" zoomScaleNormal="80" workbookViewId="0">
      <selection activeCell="L38" sqref="L38"/>
    </sheetView>
  </sheetViews>
  <sheetFormatPr defaultRowHeight="13.5" x14ac:dyDescent="0.15"/>
  <cols>
    <col min="1" max="1" width="6.5" bestFit="1" customWidth="1"/>
    <col min="2" max="2" width="21.625" customWidth="1"/>
    <col min="3" max="3" width="34.375" bestFit="1" customWidth="1"/>
    <col min="4" max="4" width="20.375" bestFit="1" customWidth="1"/>
    <col min="5" max="5" width="20.625" customWidth="1"/>
  </cols>
  <sheetData>
    <row r="1" spans="1:5" s="51" customFormat="1" x14ac:dyDescent="0.15">
      <c r="A1" s="50" t="s">
        <v>0</v>
      </c>
      <c r="B1" s="50" t="s">
        <v>1</v>
      </c>
      <c r="C1" s="50" t="s">
        <v>8469</v>
      </c>
      <c r="D1" s="50" t="s">
        <v>2</v>
      </c>
      <c r="E1" s="50" t="s">
        <v>3</v>
      </c>
    </row>
    <row r="2" spans="1:5" s="51" customFormat="1" x14ac:dyDescent="0.15">
      <c r="A2" s="53" t="s">
        <v>8116</v>
      </c>
      <c r="B2" s="52" t="s">
        <v>8117</v>
      </c>
      <c r="C2" s="50" t="s">
        <v>8470</v>
      </c>
      <c r="D2" s="50"/>
      <c r="E2" s="50"/>
    </row>
    <row r="3" spans="1:5" s="51" customFormat="1" x14ac:dyDescent="0.15">
      <c r="A3" s="53" t="s">
        <v>8118</v>
      </c>
      <c r="B3" s="52" t="s">
        <v>8161</v>
      </c>
      <c r="C3" s="50" t="s">
        <v>8470</v>
      </c>
      <c r="D3" s="50"/>
      <c r="E3" s="50"/>
    </row>
    <row r="4" spans="1:5" s="51" customFormat="1" x14ac:dyDescent="0.15">
      <c r="A4" s="53" t="s">
        <v>2793</v>
      </c>
      <c r="B4" s="52" t="s">
        <v>8162</v>
      </c>
      <c r="C4" s="50" t="s">
        <v>8470</v>
      </c>
      <c r="D4" s="50"/>
      <c r="E4" s="50"/>
    </row>
    <row r="5" spans="1:5" s="51" customFormat="1" x14ac:dyDescent="0.15">
      <c r="A5" s="53" t="s">
        <v>2312</v>
      </c>
      <c r="B5" s="52" t="s">
        <v>8163</v>
      </c>
      <c r="C5" s="50" t="s">
        <v>8470</v>
      </c>
      <c r="D5" s="50"/>
      <c r="E5" s="50"/>
    </row>
    <row r="6" spans="1:5" s="51" customFormat="1" x14ac:dyDescent="0.15">
      <c r="A6" s="53" t="s">
        <v>8119</v>
      </c>
      <c r="B6" s="52" t="s">
        <v>8164</v>
      </c>
      <c r="C6" s="50" t="s">
        <v>8470</v>
      </c>
      <c r="D6" s="50"/>
      <c r="E6" s="50"/>
    </row>
    <row r="7" spans="1:5" s="51" customFormat="1" x14ac:dyDescent="0.15">
      <c r="A7" s="53" t="s">
        <v>5159</v>
      </c>
      <c r="B7" s="52" t="s">
        <v>8165</v>
      </c>
      <c r="C7" s="50" t="s">
        <v>8470</v>
      </c>
      <c r="D7" s="50"/>
      <c r="E7" s="50"/>
    </row>
    <row r="8" spans="1:5" s="51" customFormat="1" x14ac:dyDescent="0.15">
      <c r="A8" s="53" t="s">
        <v>8120</v>
      </c>
      <c r="B8" s="52" t="s">
        <v>8166</v>
      </c>
      <c r="C8" s="50" t="s">
        <v>8470</v>
      </c>
      <c r="D8" s="50"/>
      <c r="E8" s="50"/>
    </row>
    <row r="9" spans="1:5" s="51" customFormat="1" x14ac:dyDescent="0.15">
      <c r="A9" s="53" t="s">
        <v>8121</v>
      </c>
      <c r="B9" s="52" t="s">
        <v>8167</v>
      </c>
      <c r="C9" s="50" t="s">
        <v>8470</v>
      </c>
      <c r="D9" s="50"/>
      <c r="E9" s="50"/>
    </row>
    <row r="10" spans="1:5" s="51" customFormat="1" x14ac:dyDescent="0.15">
      <c r="A10" s="53" t="s">
        <v>8122</v>
      </c>
      <c r="B10" s="52" t="s">
        <v>8168</v>
      </c>
      <c r="C10" s="50"/>
      <c r="D10" s="50"/>
      <c r="E10" s="50"/>
    </row>
    <row r="11" spans="1:5" s="51" customFormat="1" x14ac:dyDescent="0.15">
      <c r="A11" s="53" t="s">
        <v>8123</v>
      </c>
      <c r="B11" s="52" t="s">
        <v>8169</v>
      </c>
      <c r="C11" s="50" t="s">
        <v>8470</v>
      </c>
      <c r="D11" s="50"/>
      <c r="E11" s="50"/>
    </row>
    <row r="12" spans="1:5" s="51" customFormat="1" x14ac:dyDescent="0.15">
      <c r="A12" s="53" t="s">
        <v>8124</v>
      </c>
      <c r="B12" s="52" t="s">
        <v>8170</v>
      </c>
      <c r="C12" s="50" t="s">
        <v>8470</v>
      </c>
      <c r="D12" s="50"/>
      <c r="E12" s="50"/>
    </row>
    <row r="13" spans="1:5" s="51" customFormat="1" x14ac:dyDescent="0.15">
      <c r="A13" s="53" t="s">
        <v>8125</v>
      </c>
      <c r="B13" s="52" t="s">
        <v>8171</v>
      </c>
      <c r="C13" s="50" t="s">
        <v>8470</v>
      </c>
      <c r="D13" s="50"/>
      <c r="E13" s="50"/>
    </row>
    <row r="14" spans="1:5" s="51" customFormat="1" x14ac:dyDescent="0.15">
      <c r="A14" s="53" t="s">
        <v>8126</v>
      </c>
      <c r="B14" s="52" t="s">
        <v>8172</v>
      </c>
      <c r="C14" s="50"/>
      <c r="D14" s="50"/>
      <c r="E14" s="50"/>
    </row>
    <row r="15" spans="1:5" s="51" customFormat="1" x14ac:dyDescent="0.15">
      <c r="A15" s="53" t="s">
        <v>8127</v>
      </c>
      <c r="B15" s="52" t="s">
        <v>8173</v>
      </c>
      <c r="C15" s="50"/>
      <c r="D15" s="50"/>
      <c r="E15" s="50"/>
    </row>
    <row r="16" spans="1:5" s="51" customFormat="1" x14ac:dyDescent="0.15">
      <c r="A16" s="53" t="s">
        <v>8128</v>
      </c>
      <c r="B16" s="52" t="s">
        <v>8174</v>
      </c>
      <c r="C16" s="50" t="s">
        <v>8470</v>
      </c>
      <c r="D16" s="50"/>
      <c r="E16" s="50"/>
    </row>
    <row r="17" spans="1:5" s="51" customFormat="1" x14ac:dyDescent="0.15">
      <c r="A17" s="53" t="s">
        <v>8129</v>
      </c>
      <c r="B17" s="52" t="s">
        <v>8175</v>
      </c>
      <c r="C17" s="50"/>
      <c r="D17" s="50"/>
      <c r="E17" s="50"/>
    </row>
    <row r="18" spans="1:5" s="51" customFormat="1" x14ac:dyDescent="0.15">
      <c r="A18" s="53" t="s">
        <v>8130</v>
      </c>
      <c r="B18" s="52" t="s">
        <v>8176</v>
      </c>
      <c r="C18" s="50"/>
      <c r="D18" s="50"/>
      <c r="E18" s="50"/>
    </row>
    <row r="19" spans="1:5" s="51" customFormat="1" x14ac:dyDescent="0.15">
      <c r="A19" s="53" t="s">
        <v>8131</v>
      </c>
      <c r="B19" s="52" t="s">
        <v>8177</v>
      </c>
      <c r="C19" s="50" t="s">
        <v>8470</v>
      </c>
      <c r="D19" s="50"/>
      <c r="E19" s="50"/>
    </row>
    <row r="20" spans="1:5" s="51" customFormat="1" x14ac:dyDescent="0.15">
      <c r="A20" s="53" t="s">
        <v>8132</v>
      </c>
      <c r="B20" s="52" t="s">
        <v>8178</v>
      </c>
      <c r="C20" s="50" t="s">
        <v>8470</v>
      </c>
      <c r="D20" s="50"/>
      <c r="E20" s="50"/>
    </row>
    <row r="21" spans="1:5" s="51" customFormat="1" x14ac:dyDescent="0.15">
      <c r="A21" s="53" t="s">
        <v>8133</v>
      </c>
      <c r="B21" s="52" t="s">
        <v>8179</v>
      </c>
      <c r="C21" s="50" t="s">
        <v>8470</v>
      </c>
      <c r="D21" s="50"/>
      <c r="E21" s="50"/>
    </row>
    <row r="22" spans="1:5" s="51" customFormat="1" x14ac:dyDescent="0.15">
      <c r="A22" s="53" t="s">
        <v>8134</v>
      </c>
      <c r="B22" s="52" t="s">
        <v>8180</v>
      </c>
      <c r="C22" s="50"/>
      <c r="D22" s="50"/>
      <c r="E22" s="50"/>
    </row>
    <row r="23" spans="1:5" s="51" customFormat="1" x14ac:dyDescent="0.15">
      <c r="A23" s="53" t="s">
        <v>8135</v>
      </c>
      <c r="B23" s="52" t="s">
        <v>8181</v>
      </c>
      <c r="C23" s="50"/>
      <c r="D23" s="50"/>
      <c r="E23" s="50"/>
    </row>
    <row r="24" spans="1:5" s="51" customFormat="1" x14ac:dyDescent="0.15">
      <c r="A24" s="53" t="s">
        <v>8136</v>
      </c>
      <c r="B24" s="52" t="s">
        <v>8182</v>
      </c>
      <c r="C24" s="50"/>
      <c r="D24" s="50"/>
      <c r="E24" s="50"/>
    </row>
    <row r="25" spans="1:5" s="51" customFormat="1" x14ac:dyDescent="0.15">
      <c r="A25" s="53" t="s">
        <v>8137</v>
      </c>
      <c r="B25" s="52" t="s">
        <v>8183</v>
      </c>
      <c r="C25" s="50"/>
      <c r="D25" s="50"/>
      <c r="E25" s="50"/>
    </row>
    <row r="26" spans="1:5" s="51" customFormat="1" x14ac:dyDescent="0.15">
      <c r="A26" s="53" t="s">
        <v>8138</v>
      </c>
      <c r="B26" s="52" t="s">
        <v>8184</v>
      </c>
      <c r="C26" s="50" t="s">
        <v>8470</v>
      </c>
      <c r="D26" s="50"/>
      <c r="E26" s="50"/>
    </row>
    <row r="27" spans="1:5" s="51" customFormat="1" x14ac:dyDescent="0.15">
      <c r="A27" s="53" t="s">
        <v>8139</v>
      </c>
      <c r="B27" s="52" t="s">
        <v>8185</v>
      </c>
      <c r="C27" s="50" t="s">
        <v>8470</v>
      </c>
      <c r="D27" s="50"/>
      <c r="E27" s="50"/>
    </row>
    <row r="28" spans="1:5" s="51" customFormat="1" x14ac:dyDescent="0.15">
      <c r="A28" s="53" t="s">
        <v>8140</v>
      </c>
      <c r="B28" s="52" t="s">
        <v>8186</v>
      </c>
      <c r="C28" s="50" t="s">
        <v>8470</v>
      </c>
      <c r="D28" s="50"/>
      <c r="E28" s="50"/>
    </row>
    <row r="29" spans="1:5" s="51" customFormat="1" x14ac:dyDescent="0.15">
      <c r="A29" s="53" t="s">
        <v>8141</v>
      </c>
      <c r="B29" s="52" t="s">
        <v>8187</v>
      </c>
      <c r="C29" s="50" t="s">
        <v>8470</v>
      </c>
      <c r="D29" s="50"/>
      <c r="E29" s="50"/>
    </row>
    <row r="30" spans="1:5" s="51" customFormat="1" x14ac:dyDescent="0.15">
      <c r="A30" s="53" t="s">
        <v>8142</v>
      </c>
      <c r="B30" s="52" t="s">
        <v>8188</v>
      </c>
      <c r="C30" s="50"/>
      <c r="D30" s="50"/>
      <c r="E30" s="50"/>
    </row>
    <row r="31" spans="1:5" s="51" customFormat="1" x14ac:dyDescent="0.15">
      <c r="A31" s="53" t="s">
        <v>8143</v>
      </c>
      <c r="B31" s="52" t="s">
        <v>8189</v>
      </c>
      <c r="C31" s="50"/>
      <c r="D31" s="50"/>
      <c r="E31" s="50"/>
    </row>
    <row r="32" spans="1:5" s="51" customFormat="1" x14ac:dyDescent="0.15">
      <c r="A32" s="53" t="s">
        <v>8144</v>
      </c>
      <c r="B32" s="52" t="s">
        <v>8190</v>
      </c>
      <c r="C32" s="50" t="s">
        <v>8470</v>
      </c>
      <c r="D32" s="50"/>
      <c r="E32" s="50"/>
    </row>
    <row r="33" spans="1:5" s="51" customFormat="1" x14ac:dyDescent="0.15">
      <c r="A33" s="53" t="s">
        <v>8145</v>
      </c>
      <c r="B33" s="52" t="s">
        <v>8191</v>
      </c>
      <c r="C33" s="50" t="s">
        <v>8470</v>
      </c>
      <c r="D33" s="50"/>
      <c r="E33" s="50"/>
    </row>
    <row r="34" spans="1:5" s="51" customFormat="1" x14ac:dyDescent="0.15">
      <c r="A34" s="53" t="s">
        <v>8146</v>
      </c>
      <c r="B34" s="52" t="s">
        <v>8192</v>
      </c>
      <c r="C34" s="50" t="s">
        <v>8470</v>
      </c>
      <c r="D34" s="50"/>
      <c r="E34" s="50"/>
    </row>
    <row r="35" spans="1:5" s="51" customFormat="1" x14ac:dyDescent="0.15">
      <c r="A35" s="53" t="s">
        <v>8147</v>
      </c>
      <c r="B35" s="52" t="s">
        <v>8193</v>
      </c>
      <c r="C35" s="50" t="s">
        <v>8470</v>
      </c>
      <c r="D35" s="50"/>
      <c r="E35" s="50"/>
    </row>
    <row r="36" spans="1:5" s="51" customFormat="1" x14ac:dyDescent="0.15">
      <c r="A36" s="53" t="s">
        <v>8148</v>
      </c>
      <c r="B36" s="52" t="s">
        <v>8194</v>
      </c>
      <c r="C36" s="50"/>
      <c r="D36" s="50"/>
      <c r="E36" s="50"/>
    </row>
    <row r="37" spans="1:5" s="51" customFormat="1" x14ac:dyDescent="0.15">
      <c r="A37" s="53" t="s">
        <v>8149</v>
      </c>
      <c r="B37" s="52" t="s">
        <v>8195</v>
      </c>
      <c r="C37" s="50"/>
      <c r="D37" s="50"/>
      <c r="E37" s="50"/>
    </row>
    <row r="38" spans="1:5" s="51" customFormat="1" x14ac:dyDescent="0.15">
      <c r="A38" s="53" t="s">
        <v>8150</v>
      </c>
      <c r="B38" s="52" t="s">
        <v>8196</v>
      </c>
      <c r="C38" s="50" t="s">
        <v>8470</v>
      </c>
      <c r="D38" s="50"/>
      <c r="E38" s="50"/>
    </row>
    <row r="39" spans="1:5" s="51" customFormat="1" x14ac:dyDescent="0.15">
      <c r="A39" s="53" t="s">
        <v>8151</v>
      </c>
      <c r="B39" s="52" t="s">
        <v>8197</v>
      </c>
      <c r="C39" s="50"/>
      <c r="D39" s="50"/>
      <c r="E39" s="50"/>
    </row>
    <row r="40" spans="1:5" s="51" customFormat="1" x14ac:dyDescent="0.15">
      <c r="A40" s="53" t="s">
        <v>8152</v>
      </c>
      <c r="B40" s="52" t="s">
        <v>8198</v>
      </c>
      <c r="C40" s="50"/>
      <c r="D40" s="50"/>
      <c r="E40" s="50"/>
    </row>
    <row r="41" spans="1:5" s="51" customFormat="1" x14ac:dyDescent="0.15">
      <c r="A41" s="53" t="s">
        <v>8153</v>
      </c>
      <c r="B41" s="52" t="s">
        <v>8199</v>
      </c>
      <c r="C41" s="50"/>
      <c r="D41" s="50"/>
      <c r="E41" s="50"/>
    </row>
    <row r="42" spans="1:5" s="51" customFormat="1" x14ac:dyDescent="0.15">
      <c r="A42" s="53" t="s">
        <v>8154</v>
      </c>
      <c r="B42" s="52" t="s">
        <v>8200</v>
      </c>
      <c r="C42" s="50"/>
      <c r="D42" s="50"/>
      <c r="E42" s="50"/>
    </row>
    <row r="43" spans="1:5" s="51" customFormat="1" x14ac:dyDescent="0.15">
      <c r="A43" s="53" t="s">
        <v>8155</v>
      </c>
      <c r="B43" s="52" t="s">
        <v>8201</v>
      </c>
      <c r="C43" s="50"/>
      <c r="D43" s="50"/>
      <c r="E43" s="50"/>
    </row>
    <row r="44" spans="1:5" s="51" customFormat="1" x14ac:dyDescent="0.15">
      <c r="A44" s="53" t="s">
        <v>8156</v>
      </c>
      <c r="B44" s="52" t="s">
        <v>8202</v>
      </c>
      <c r="C44" s="50"/>
      <c r="D44" s="50"/>
      <c r="E44" s="50"/>
    </row>
    <row r="45" spans="1:5" s="51" customFormat="1" x14ac:dyDescent="0.15">
      <c r="A45" s="53" t="s">
        <v>8157</v>
      </c>
      <c r="B45" s="52" t="s">
        <v>8203</v>
      </c>
      <c r="C45" s="50"/>
      <c r="D45" s="50"/>
      <c r="E45" s="50"/>
    </row>
    <row r="46" spans="1:5" s="51" customFormat="1" x14ac:dyDescent="0.15">
      <c r="A46" s="53" t="s">
        <v>8158</v>
      </c>
      <c r="B46" s="52" t="s">
        <v>8204</v>
      </c>
      <c r="C46" s="50"/>
      <c r="D46" s="50"/>
      <c r="E46" s="50"/>
    </row>
    <row r="47" spans="1:5" s="51" customFormat="1" x14ac:dyDescent="0.15">
      <c r="A47" s="53" t="s">
        <v>8159</v>
      </c>
      <c r="B47" s="52" t="s">
        <v>8205</v>
      </c>
      <c r="C47" s="50"/>
      <c r="D47" s="50"/>
      <c r="E47" s="50"/>
    </row>
    <row r="48" spans="1:5" s="51" customFormat="1" x14ac:dyDescent="0.15">
      <c r="A48" s="53" t="s">
        <v>8160</v>
      </c>
      <c r="B48" s="52" t="s">
        <v>8206</v>
      </c>
      <c r="C48" s="50"/>
      <c r="D48" s="50"/>
      <c r="E48" s="50"/>
    </row>
    <row r="49" spans="1:5" s="51" customFormat="1" x14ac:dyDescent="0.15">
      <c r="A49" s="50" t="s">
        <v>4</v>
      </c>
      <c r="B49" s="50" t="s">
        <v>5</v>
      </c>
      <c r="C49" s="50" t="s">
        <v>6</v>
      </c>
    </row>
    <row r="50" spans="1:5" s="51" customFormat="1" x14ac:dyDescent="0.15">
      <c r="A50" s="50" t="s">
        <v>7</v>
      </c>
      <c r="B50" s="50" t="s">
        <v>8</v>
      </c>
      <c r="C50" s="50" t="s">
        <v>9</v>
      </c>
      <c r="D50" s="50" t="s">
        <v>10</v>
      </c>
      <c r="E50" s="50" t="s">
        <v>11</v>
      </c>
    </row>
    <row r="51" spans="1:5" s="51" customFormat="1" x14ac:dyDescent="0.15">
      <c r="A51" s="50" t="s">
        <v>12</v>
      </c>
      <c r="B51" s="50" t="s">
        <v>13</v>
      </c>
      <c r="C51" s="50" t="s">
        <v>14</v>
      </c>
      <c r="D51" s="50" t="s">
        <v>10</v>
      </c>
      <c r="E51" s="50" t="s">
        <v>15</v>
      </c>
    </row>
    <row r="52" spans="1:5" s="51" customFormat="1" x14ac:dyDescent="0.15">
      <c r="A52" s="50" t="s">
        <v>16</v>
      </c>
      <c r="B52" s="50" t="s">
        <v>17</v>
      </c>
      <c r="C52" s="50" t="s">
        <v>18</v>
      </c>
      <c r="D52" s="50" t="s">
        <v>10</v>
      </c>
      <c r="E52" s="50" t="s">
        <v>19</v>
      </c>
    </row>
    <row r="53" spans="1:5" s="51" customFormat="1" x14ac:dyDescent="0.15">
      <c r="A53" s="50" t="s">
        <v>20</v>
      </c>
      <c r="B53" s="50" t="s">
        <v>21</v>
      </c>
      <c r="C53" s="50" t="s">
        <v>22</v>
      </c>
      <c r="D53" s="50" t="s">
        <v>10</v>
      </c>
      <c r="E53" s="50" t="s">
        <v>23</v>
      </c>
    </row>
    <row r="54" spans="1:5" s="51" customFormat="1" x14ac:dyDescent="0.15">
      <c r="A54" s="50" t="s">
        <v>24</v>
      </c>
      <c r="B54" s="50" t="s">
        <v>25</v>
      </c>
      <c r="C54" s="50" t="s">
        <v>26</v>
      </c>
      <c r="D54" s="50" t="s">
        <v>10</v>
      </c>
      <c r="E54" s="50" t="s">
        <v>27</v>
      </c>
    </row>
    <row r="55" spans="1:5" s="51" customFormat="1" x14ac:dyDescent="0.15">
      <c r="A55" s="50" t="s">
        <v>28</v>
      </c>
      <c r="B55" s="50" t="s">
        <v>29</v>
      </c>
      <c r="C55" s="50" t="s">
        <v>30</v>
      </c>
      <c r="D55" s="50" t="s">
        <v>10</v>
      </c>
      <c r="E55" s="50" t="s">
        <v>31</v>
      </c>
    </row>
    <row r="56" spans="1:5" s="51" customFormat="1" x14ac:dyDescent="0.15">
      <c r="A56" s="50" t="s">
        <v>32</v>
      </c>
      <c r="B56" s="50" t="s">
        <v>33</v>
      </c>
      <c r="C56" s="50" t="s">
        <v>34</v>
      </c>
      <c r="D56" s="50" t="s">
        <v>10</v>
      </c>
      <c r="E56" s="50" t="s">
        <v>35</v>
      </c>
    </row>
    <row r="57" spans="1:5" s="51" customFormat="1" x14ac:dyDescent="0.15">
      <c r="A57" s="50" t="s">
        <v>36</v>
      </c>
      <c r="B57" s="50" t="s">
        <v>37</v>
      </c>
      <c r="C57" s="50" t="s">
        <v>38</v>
      </c>
      <c r="D57" s="50" t="s">
        <v>10</v>
      </c>
      <c r="E57" s="50" t="s">
        <v>39</v>
      </c>
    </row>
    <row r="58" spans="1:5" s="51" customFormat="1" x14ac:dyDescent="0.15">
      <c r="A58" s="50" t="s">
        <v>40</v>
      </c>
      <c r="B58" s="50" t="s">
        <v>41</v>
      </c>
      <c r="C58" s="50" t="s">
        <v>42</v>
      </c>
      <c r="D58" s="50" t="s">
        <v>10</v>
      </c>
      <c r="E58" s="50" t="s">
        <v>43</v>
      </c>
    </row>
    <row r="59" spans="1:5" s="51" customFormat="1" x14ac:dyDescent="0.15">
      <c r="A59" s="50" t="s">
        <v>44</v>
      </c>
      <c r="B59" s="50" t="s">
        <v>45</v>
      </c>
      <c r="C59" s="50" t="s">
        <v>46</v>
      </c>
      <c r="D59" s="50" t="s">
        <v>10</v>
      </c>
      <c r="E59" s="50" t="s">
        <v>47</v>
      </c>
    </row>
    <row r="60" spans="1:5" s="51" customFormat="1" x14ac:dyDescent="0.15">
      <c r="A60" s="50" t="s">
        <v>48</v>
      </c>
      <c r="B60" s="50" t="s">
        <v>49</v>
      </c>
      <c r="C60" s="50" t="s">
        <v>50</v>
      </c>
      <c r="D60" s="50" t="s">
        <v>51</v>
      </c>
      <c r="E60" s="50" t="s">
        <v>52</v>
      </c>
    </row>
    <row r="61" spans="1:5" s="51" customFormat="1" x14ac:dyDescent="0.15">
      <c r="A61" s="50" t="s">
        <v>53</v>
      </c>
      <c r="B61" s="50" t="s">
        <v>54</v>
      </c>
      <c r="C61" s="50" t="s">
        <v>55</v>
      </c>
      <c r="D61" s="50" t="s">
        <v>56</v>
      </c>
      <c r="E61" s="50" t="s">
        <v>57</v>
      </c>
    </row>
    <row r="62" spans="1:5" s="51" customFormat="1" x14ac:dyDescent="0.15">
      <c r="A62" s="50" t="s">
        <v>58</v>
      </c>
      <c r="B62" s="50" t="s">
        <v>59</v>
      </c>
      <c r="C62" s="50" t="s">
        <v>60</v>
      </c>
      <c r="D62" s="50" t="s">
        <v>61</v>
      </c>
      <c r="E62" s="50" t="s">
        <v>62</v>
      </c>
    </row>
    <row r="63" spans="1:5" s="51" customFormat="1" x14ac:dyDescent="0.15">
      <c r="A63" s="50" t="s">
        <v>63</v>
      </c>
      <c r="B63" s="50" t="s">
        <v>64</v>
      </c>
      <c r="C63" s="50" t="s">
        <v>65</v>
      </c>
      <c r="D63" s="50" t="s">
        <v>66</v>
      </c>
      <c r="E63" s="50" t="s">
        <v>67</v>
      </c>
    </row>
    <row r="64" spans="1:5" s="51" customFormat="1" x14ac:dyDescent="0.15">
      <c r="A64" s="50" t="s">
        <v>68</v>
      </c>
      <c r="B64" s="50" t="s">
        <v>69</v>
      </c>
      <c r="C64" s="50" t="s">
        <v>70</v>
      </c>
      <c r="D64" s="50" t="s">
        <v>71</v>
      </c>
      <c r="E64" s="50" t="s">
        <v>72</v>
      </c>
    </row>
    <row r="65" spans="1:5" s="51" customFormat="1" x14ac:dyDescent="0.15">
      <c r="A65" s="50" t="s">
        <v>73</v>
      </c>
      <c r="B65" s="50" t="s">
        <v>74</v>
      </c>
      <c r="C65" s="50" t="s">
        <v>75</v>
      </c>
      <c r="D65" s="50" t="s">
        <v>76</v>
      </c>
      <c r="E65" s="50" t="s">
        <v>77</v>
      </c>
    </row>
    <row r="66" spans="1:5" s="51" customFormat="1" x14ac:dyDescent="0.15">
      <c r="A66" s="50" t="s">
        <v>78</v>
      </c>
      <c r="B66" s="50" t="s">
        <v>79</v>
      </c>
      <c r="C66" s="50" t="s">
        <v>80</v>
      </c>
      <c r="D66" s="50" t="s">
        <v>81</v>
      </c>
      <c r="E66" s="50" t="s">
        <v>82</v>
      </c>
    </row>
    <row r="67" spans="1:5" s="51" customFormat="1" x14ac:dyDescent="0.15">
      <c r="A67" s="50" t="s">
        <v>83</v>
      </c>
      <c r="B67" s="50" t="s">
        <v>84</v>
      </c>
      <c r="C67" s="50" t="s">
        <v>85</v>
      </c>
      <c r="D67" s="50" t="s">
        <v>86</v>
      </c>
      <c r="E67" s="50" t="s">
        <v>87</v>
      </c>
    </row>
    <row r="68" spans="1:5" s="51" customFormat="1" x14ac:dyDescent="0.15">
      <c r="A68" s="50" t="s">
        <v>88</v>
      </c>
      <c r="B68" s="50" t="s">
        <v>89</v>
      </c>
      <c r="C68" s="50" t="s">
        <v>90</v>
      </c>
      <c r="D68" s="50" t="s">
        <v>91</v>
      </c>
      <c r="E68" s="50" t="s">
        <v>92</v>
      </c>
    </row>
    <row r="69" spans="1:5" s="51" customFormat="1" x14ac:dyDescent="0.15">
      <c r="A69" s="50" t="s">
        <v>93</v>
      </c>
      <c r="B69" s="50" t="s">
        <v>94</v>
      </c>
      <c r="C69" s="50" t="s">
        <v>95</v>
      </c>
      <c r="D69" s="50" t="s">
        <v>96</v>
      </c>
      <c r="E69" s="50" t="s">
        <v>97</v>
      </c>
    </row>
    <row r="70" spans="1:5" s="51" customFormat="1" x14ac:dyDescent="0.15">
      <c r="A70" s="50" t="s">
        <v>98</v>
      </c>
      <c r="B70" s="50" t="s">
        <v>99</v>
      </c>
      <c r="C70" s="50" t="s">
        <v>100</v>
      </c>
      <c r="D70" s="50" t="s">
        <v>101</v>
      </c>
      <c r="E70" s="50" t="s">
        <v>102</v>
      </c>
    </row>
    <row r="71" spans="1:5" s="51" customFormat="1" x14ac:dyDescent="0.15">
      <c r="A71" s="50" t="s">
        <v>103</v>
      </c>
      <c r="B71" s="50" t="s">
        <v>104</v>
      </c>
      <c r="C71" s="50" t="s">
        <v>105</v>
      </c>
      <c r="D71" s="50" t="s">
        <v>106</v>
      </c>
      <c r="E71" s="50" t="s">
        <v>107</v>
      </c>
    </row>
    <row r="72" spans="1:5" s="51" customFormat="1" x14ac:dyDescent="0.15">
      <c r="A72" s="50" t="s">
        <v>108</v>
      </c>
      <c r="B72" s="50" t="s">
        <v>109</v>
      </c>
      <c r="C72" s="50" t="s">
        <v>110</v>
      </c>
      <c r="D72" s="50" t="s">
        <v>111</v>
      </c>
      <c r="E72" s="50" t="s">
        <v>112</v>
      </c>
    </row>
    <row r="73" spans="1:5" s="51" customFormat="1" x14ac:dyDescent="0.15">
      <c r="A73" s="50" t="s">
        <v>113</v>
      </c>
      <c r="B73" s="50" t="s">
        <v>114</v>
      </c>
      <c r="C73" s="50" t="s">
        <v>115</v>
      </c>
      <c r="D73" s="50" t="s">
        <v>116</v>
      </c>
      <c r="E73" s="50" t="s">
        <v>117</v>
      </c>
    </row>
    <row r="74" spans="1:5" s="51" customFormat="1" x14ac:dyDescent="0.15">
      <c r="A74" s="50" t="s">
        <v>118</v>
      </c>
      <c r="B74" s="50" t="s">
        <v>119</v>
      </c>
      <c r="C74" s="50" t="s">
        <v>120</v>
      </c>
      <c r="D74" s="50" t="s">
        <v>121</v>
      </c>
      <c r="E74" s="50" t="s">
        <v>122</v>
      </c>
    </row>
    <row r="75" spans="1:5" s="51" customFormat="1" x14ac:dyDescent="0.15">
      <c r="A75" s="50" t="s">
        <v>123</v>
      </c>
      <c r="B75" s="50" t="s">
        <v>124</v>
      </c>
      <c r="C75" s="50" t="s">
        <v>125</v>
      </c>
      <c r="D75" s="50" t="s">
        <v>10</v>
      </c>
      <c r="E75" s="50" t="s">
        <v>126</v>
      </c>
    </row>
    <row r="76" spans="1:5" s="51" customFormat="1" x14ac:dyDescent="0.15">
      <c r="A76" s="50" t="s">
        <v>127</v>
      </c>
      <c r="B76" s="50" t="s">
        <v>128</v>
      </c>
      <c r="C76" s="50" t="s">
        <v>129</v>
      </c>
      <c r="D76" s="50" t="s">
        <v>130</v>
      </c>
      <c r="E76" s="50" t="s">
        <v>131</v>
      </c>
    </row>
    <row r="77" spans="1:5" s="51" customFormat="1" x14ac:dyDescent="0.15">
      <c r="A77" s="50" t="s">
        <v>132</v>
      </c>
      <c r="B77" s="50" t="s">
        <v>133</v>
      </c>
      <c r="C77" s="50" t="s">
        <v>134</v>
      </c>
      <c r="D77" s="50" t="s">
        <v>135</v>
      </c>
      <c r="E77" s="50" t="s">
        <v>136</v>
      </c>
    </row>
    <row r="78" spans="1:5" s="51" customFormat="1" x14ac:dyDescent="0.15">
      <c r="A78" s="50" t="s">
        <v>137</v>
      </c>
      <c r="B78" s="50" t="s">
        <v>138</v>
      </c>
      <c r="C78" s="50" t="s">
        <v>139</v>
      </c>
      <c r="D78" s="50" t="s">
        <v>140</v>
      </c>
      <c r="E78" s="50" t="s">
        <v>141</v>
      </c>
    </row>
    <row r="79" spans="1:5" s="51" customFormat="1" x14ac:dyDescent="0.15">
      <c r="A79" s="50" t="s">
        <v>142</v>
      </c>
      <c r="B79" s="50" t="s">
        <v>143</v>
      </c>
      <c r="C79" s="50" t="s">
        <v>144</v>
      </c>
      <c r="D79" s="50" t="s">
        <v>145</v>
      </c>
      <c r="E79" s="50" t="s">
        <v>146</v>
      </c>
    </row>
    <row r="80" spans="1:5" s="51" customFormat="1" x14ac:dyDescent="0.15">
      <c r="A80" s="50" t="s">
        <v>147</v>
      </c>
      <c r="B80" s="50" t="s">
        <v>148</v>
      </c>
      <c r="C80" s="50" t="s">
        <v>149</v>
      </c>
      <c r="D80" s="50" t="s">
        <v>150</v>
      </c>
      <c r="E80" s="50" t="s">
        <v>151</v>
      </c>
    </row>
    <row r="81" spans="1:5" s="51" customFormat="1" x14ac:dyDescent="0.15">
      <c r="A81" s="50" t="s">
        <v>152</v>
      </c>
      <c r="B81" s="50" t="s">
        <v>153</v>
      </c>
      <c r="C81" s="50" t="s">
        <v>154</v>
      </c>
      <c r="D81" s="50" t="s">
        <v>155</v>
      </c>
      <c r="E81" s="50" t="s">
        <v>156</v>
      </c>
    </row>
    <row r="82" spans="1:5" s="51" customFormat="1" x14ac:dyDescent="0.15">
      <c r="A82" s="50" t="s">
        <v>157</v>
      </c>
      <c r="B82" s="50" t="s">
        <v>158</v>
      </c>
      <c r="C82" s="50" t="s">
        <v>159</v>
      </c>
      <c r="D82" s="50" t="s">
        <v>86</v>
      </c>
      <c r="E82" s="50" t="s">
        <v>160</v>
      </c>
    </row>
    <row r="83" spans="1:5" s="51" customFormat="1" x14ac:dyDescent="0.15">
      <c r="A83" s="50" t="s">
        <v>161</v>
      </c>
      <c r="B83" s="50" t="s">
        <v>162</v>
      </c>
      <c r="C83" s="50" t="s">
        <v>163</v>
      </c>
      <c r="D83" s="50" t="s">
        <v>130</v>
      </c>
      <c r="E83" s="50" t="s">
        <v>164</v>
      </c>
    </row>
    <row r="84" spans="1:5" s="51" customFormat="1" x14ac:dyDescent="0.15">
      <c r="A84" s="50" t="s">
        <v>165</v>
      </c>
      <c r="B84" s="50" t="s">
        <v>166</v>
      </c>
      <c r="C84" s="50" t="s">
        <v>167</v>
      </c>
      <c r="D84" s="50" t="s">
        <v>130</v>
      </c>
      <c r="E84" s="50" t="s">
        <v>168</v>
      </c>
    </row>
    <row r="85" spans="1:5" s="51" customFormat="1" x14ac:dyDescent="0.15">
      <c r="A85" s="50" t="s">
        <v>169</v>
      </c>
      <c r="B85" s="50" t="s">
        <v>170</v>
      </c>
      <c r="C85" s="50" t="s">
        <v>171</v>
      </c>
      <c r="D85" s="50" t="s">
        <v>130</v>
      </c>
      <c r="E85" s="50" t="s">
        <v>172</v>
      </c>
    </row>
    <row r="86" spans="1:5" s="51" customFormat="1" x14ac:dyDescent="0.15">
      <c r="A86" s="50" t="s">
        <v>173</v>
      </c>
      <c r="B86" s="50" t="s">
        <v>174</v>
      </c>
      <c r="C86" s="50" t="s">
        <v>175</v>
      </c>
      <c r="D86" s="50" t="s">
        <v>101</v>
      </c>
      <c r="E86" s="50" t="s">
        <v>176</v>
      </c>
    </row>
    <row r="87" spans="1:5" s="51" customFormat="1" x14ac:dyDescent="0.15">
      <c r="A87" s="50" t="s">
        <v>177</v>
      </c>
      <c r="B87" s="50" t="s">
        <v>178</v>
      </c>
      <c r="C87" s="50" t="s">
        <v>179</v>
      </c>
      <c r="D87" s="50" t="s">
        <v>180</v>
      </c>
      <c r="E87" s="50" t="s">
        <v>181</v>
      </c>
    </row>
    <row r="88" spans="1:5" s="51" customFormat="1" x14ac:dyDescent="0.15">
      <c r="A88" s="50" t="s">
        <v>182</v>
      </c>
      <c r="B88" s="50" t="s">
        <v>183</v>
      </c>
      <c r="C88" s="50" t="s">
        <v>184</v>
      </c>
      <c r="D88" s="50" t="s">
        <v>66</v>
      </c>
      <c r="E88" s="50" t="s">
        <v>185</v>
      </c>
    </row>
    <row r="89" spans="1:5" s="51" customFormat="1" x14ac:dyDescent="0.15">
      <c r="A89" s="50" t="s">
        <v>186</v>
      </c>
      <c r="B89" s="50" t="s">
        <v>187</v>
      </c>
      <c r="C89" s="50" t="s">
        <v>188</v>
      </c>
      <c r="D89" s="50" t="s">
        <v>86</v>
      </c>
      <c r="E89" s="50" t="s">
        <v>189</v>
      </c>
    </row>
    <row r="90" spans="1:5" s="51" customFormat="1" x14ac:dyDescent="0.15">
      <c r="A90" s="50" t="s">
        <v>190</v>
      </c>
      <c r="B90" s="50" t="s">
        <v>191</v>
      </c>
      <c r="C90" s="50" t="s">
        <v>192</v>
      </c>
      <c r="D90" s="50" t="s">
        <v>193</v>
      </c>
      <c r="E90" s="50" t="s">
        <v>194</v>
      </c>
    </row>
    <row r="91" spans="1:5" s="51" customFormat="1" x14ac:dyDescent="0.15">
      <c r="A91" s="50" t="s">
        <v>195</v>
      </c>
      <c r="B91" s="50" t="s">
        <v>196</v>
      </c>
      <c r="C91" s="50" t="s">
        <v>197</v>
      </c>
      <c r="D91" s="50" t="s">
        <v>10</v>
      </c>
      <c r="E91" s="50" t="s">
        <v>198</v>
      </c>
    </row>
    <row r="92" spans="1:5" s="51" customFormat="1" x14ac:dyDescent="0.15">
      <c r="A92" s="50" t="s">
        <v>199</v>
      </c>
      <c r="B92" s="50" t="s">
        <v>200</v>
      </c>
      <c r="C92" s="50" t="s">
        <v>201</v>
      </c>
      <c r="D92" s="50" t="s">
        <v>202</v>
      </c>
      <c r="E92" s="50" t="s">
        <v>203</v>
      </c>
    </row>
    <row r="93" spans="1:5" s="51" customFormat="1" x14ac:dyDescent="0.15">
      <c r="A93" s="50" t="s">
        <v>204</v>
      </c>
      <c r="B93" s="50" t="s">
        <v>205</v>
      </c>
      <c r="C93" s="50" t="s">
        <v>206</v>
      </c>
      <c r="D93" s="50" t="s">
        <v>51</v>
      </c>
      <c r="E93" s="50" t="s">
        <v>207</v>
      </c>
    </row>
    <row r="94" spans="1:5" s="51" customFormat="1" x14ac:dyDescent="0.15">
      <c r="A94" s="50" t="s">
        <v>208</v>
      </c>
      <c r="B94" s="50" t="s">
        <v>209</v>
      </c>
      <c r="C94" s="50" t="s">
        <v>210</v>
      </c>
      <c r="D94" s="50" t="s">
        <v>202</v>
      </c>
      <c r="E94" s="50" t="s">
        <v>211</v>
      </c>
    </row>
    <row r="95" spans="1:5" s="51" customFormat="1" x14ac:dyDescent="0.15">
      <c r="A95" s="50" t="s">
        <v>212</v>
      </c>
      <c r="B95" s="50" t="s">
        <v>213</v>
      </c>
      <c r="C95" s="50" t="s">
        <v>214</v>
      </c>
      <c r="D95" s="50" t="s">
        <v>116</v>
      </c>
      <c r="E95" s="50" t="s">
        <v>215</v>
      </c>
    </row>
    <row r="96" spans="1:5" s="51" customFormat="1" x14ac:dyDescent="0.15">
      <c r="A96" s="50" t="s">
        <v>216</v>
      </c>
      <c r="B96" s="50" t="s">
        <v>217</v>
      </c>
      <c r="C96" s="50" t="s">
        <v>218</v>
      </c>
      <c r="D96" s="50" t="s">
        <v>219</v>
      </c>
      <c r="E96" s="50" t="s">
        <v>220</v>
      </c>
    </row>
    <row r="97" spans="1:5" s="51" customFormat="1" x14ac:dyDescent="0.15">
      <c r="A97" s="50" t="s">
        <v>221</v>
      </c>
      <c r="B97" s="50" t="s">
        <v>222</v>
      </c>
      <c r="C97" s="50" t="s">
        <v>223</v>
      </c>
      <c r="D97" s="50" t="s">
        <v>219</v>
      </c>
      <c r="E97" s="50" t="s">
        <v>224</v>
      </c>
    </row>
    <row r="98" spans="1:5" s="51" customFormat="1" x14ac:dyDescent="0.15">
      <c r="A98" s="50" t="s">
        <v>225</v>
      </c>
      <c r="B98" s="50" t="s">
        <v>226</v>
      </c>
      <c r="C98" s="50" t="s">
        <v>227</v>
      </c>
      <c r="D98" s="50" t="s">
        <v>228</v>
      </c>
      <c r="E98" s="50" t="s">
        <v>229</v>
      </c>
    </row>
    <row r="99" spans="1:5" s="51" customFormat="1" x14ac:dyDescent="0.15">
      <c r="A99" s="50" t="s">
        <v>230</v>
      </c>
      <c r="B99" s="50" t="s">
        <v>231</v>
      </c>
      <c r="C99" s="50" t="s">
        <v>232</v>
      </c>
      <c r="D99" s="50" t="s">
        <v>228</v>
      </c>
      <c r="E99" s="50" t="s">
        <v>233</v>
      </c>
    </row>
    <row r="100" spans="1:5" s="51" customFormat="1" x14ac:dyDescent="0.15">
      <c r="A100" s="50" t="s">
        <v>234</v>
      </c>
      <c r="B100" s="50" t="s">
        <v>235</v>
      </c>
      <c r="C100" s="50" t="s">
        <v>236</v>
      </c>
      <c r="D100" s="50" t="s">
        <v>51</v>
      </c>
      <c r="E100" s="50" t="s">
        <v>237</v>
      </c>
    </row>
    <row r="101" spans="1:5" s="51" customFormat="1" x14ac:dyDescent="0.15">
      <c r="A101" s="50" t="s">
        <v>238</v>
      </c>
      <c r="B101" s="50" t="s">
        <v>239</v>
      </c>
      <c r="C101" s="50" t="s">
        <v>240</v>
      </c>
      <c r="D101" s="50" t="s">
        <v>241</v>
      </c>
      <c r="E101" s="50" t="s">
        <v>242</v>
      </c>
    </row>
    <row r="102" spans="1:5" s="51" customFormat="1" x14ac:dyDescent="0.15">
      <c r="A102" s="50" t="s">
        <v>243</v>
      </c>
      <c r="B102" s="50" t="s">
        <v>244</v>
      </c>
      <c r="C102" s="50" t="s">
        <v>245</v>
      </c>
      <c r="D102" s="50" t="s">
        <v>246</v>
      </c>
      <c r="E102" s="50" t="s">
        <v>247</v>
      </c>
    </row>
    <row r="103" spans="1:5" s="51" customFormat="1" x14ac:dyDescent="0.15">
      <c r="A103" s="50" t="s">
        <v>248</v>
      </c>
      <c r="B103" s="50" t="s">
        <v>249</v>
      </c>
      <c r="C103" s="50" t="s">
        <v>250</v>
      </c>
      <c r="D103" s="50" t="s">
        <v>251</v>
      </c>
      <c r="E103" s="50" t="s">
        <v>252</v>
      </c>
    </row>
    <row r="104" spans="1:5" s="51" customFormat="1" x14ac:dyDescent="0.15">
      <c r="A104" s="50" t="s">
        <v>253</v>
      </c>
      <c r="B104" s="50" t="s">
        <v>254</v>
      </c>
      <c r="C104" s="50" t="s">
        <v>255</v>
      </c>
      <c r="D104" s="50" t="s">
        <v>256</v>
      </c>
      <c r="E104" s="50" t="s">
        <v>257</v>
      </c>
    </row>
    <row r="105" spans="1:5" s="51" customFormat="1" x14ac:dyDescent="0.15">
      <c r="A105" s="50" t="s">
        <v>258</v>
      </c>
      <c r="B105" s="50" t="s">
        <v>259</v>
      </c>
      <c r="C105" s="50" t="s">
        <v>260</v>
      </c>
      <c r="D105" s="50" t="s">
        <v>219</v>
      </c>
      <c r="E105" s="50" t="s">
        <v>261</v>
      </c>
    </row>
    <row r="106" spans="1:5" s="51" customFormat="1" x14ac:dyDescent="0.15">
      <c r="A106" s="50" t="s">
        <v>262</v>
      </c>
      <c r="B106" s="50" t="s">
        <v>263</v>
      </c>
      <c r="C106" s="50" t="s">
        <v>264</v>
      </c>
      <c r="D106" s="50" t="s">
        <v>219</v>
      </c>
      <c r="E106" s="50" t="s">
        <v>265</v>
      </c>
    </row>
    <row r="107" spans="1:5" s="51" customFormat="1" x14ac:dyDescent="0.15">
      <c r="A107" s="50" t="s">
        <v>266</v>
      </c>
      <c r="B107" s="50" t="s">
        <v>267</v>
      </c>
      <c r="C107" s="50" t="s">
        <v>268</v>
      </c>
      <c r="D107" s="50" t="s">
        <v>219</v>
      </c>
      <c r="E107" s="50" t="s">
        <v>269</v>
      </c>
    </row>
    <row r="108" spans="1:5" s="51" customFormat="1" x14ac:dyDescent="0.15">
      <c r="A108" s="50" t="s">
        <v>270</v>
      </c>
      <c r="B108" s="50" t="s">
        <v>271</v>
      </c>
      <c r="C108" s="50" t="s">
        <v>272</v>
      </c>
      <c r="D108" s="50" t="s">
        <v>219</v>
      </c>
      <c r="E108" s="50" t="s">
        <v>273</v>
      </c>
    </row>
    <row r="109" spans="1:5" s="51" customFormat="1" x14ac:dyDescent="0.15">
      <c r="A109" s="50" t="s">
        <v>274</v>
      </c>
      <c r="B109" s="50" t="s">
        <v>275</v>
      </c>
      <c r="C109" s="50" t="s">
        <v>276</v>
      </c>
      <c r="D109" s="50" t="s">
        <v>277</v>
      </c>
      <c r="E109" s="50" t="s">
        <v>278</v>
      </c>
    </row>
    <row r="110" spans="1:5" s="51" customFormat="1" x14ac:dyDescent="0.15">
      <c r="A110" s="50" t="s">
        <v>279</v>
      </c>
      <c r="B110" s="50" t="s">
        <v>280</v>
      </c>
      <c r="C110" s="50" t="s">
        <v>281</v>
      </c>
      <c r="D110" s="50" t="s">
        <v>282</v>
      </c>
      <c r="E110" s="50" t="s">
        <v>283</v>
      </c>
    </row>
    <row r="111" spans="1:5" s="51" customFormat="1" x14ac:dyDescent="0.15">
      <c r="A111" s="50" t="s">
        <v>284</v>
      </c>
      <c r="B111" s="50" t="s">
        <v>285</v>
      </c>
      <c r="C111" s="50" t="s">
        <v>286</v>
      </c>
      <c r="D111" s="50" t="s">
        <v>287</v>
      </c>
      <c r="E111" s="50" t="s">
        <v>288</v>
      </c>
    </row>
    <row r="112" spans="1:5" s="51" customFormat="1" x14ac:dyDescent="0.15">
      <c r="A112" s="50" t="s">
        <v>289</v>
      </c>
      <c r="B112" s="50" t="s">
        <v>290</v>
      </c>
      <c r="C112" s="50" t="s">
        <v>291</v>
      </c>
      <c r="D112" s="50" t="s">
        <v>292</v>
      </c>
      <c r="E112" s="50" t="s">
        <v>293</v>
      </c>
    </row>
    <row r="113" spans="1:5" s="51" customFormat="1" x14ac:dyDescent="0.15">
      <c r="A113" s="50" t="s">
        <v>228</v>
      </c>
      <c r="B113" s="50" t="s">
        <v>294</v>
      </c>
      <c r="C113" s="50" t="s">
        <v>295</v>
      </c>
      <c r="D113" s="50" t="s">
        <v>292</v>
      </c>
      <c r="E113" s="50" t="s">
        <v>296</v>
      </c>
    </row>
    <row r="114" spans="1:5" s="51" customFormat="1" x14ac:dyDescent="0.15">
      <c r="A114" s="50" t="s">
        <v>297</v>
      </c>
      <c r="B114" s="50" t="s">
        <v>298</v>
      </c>
      <c r="C114" s="50" t="s">
        <v>299</v>
      </c>
      <c r="D114" s="50" t="s">
        <v>292</v>
      </c>
      <c r="E114" s="50" t="s">
        <v>300</v>
      </c>
    </row>
    <row r="115" spans="1:5" s="51" customFormat="1" x14ac:dyDescent="0.15">
      <c r="A115" s="50" t="s">
        <v>301</v>
      </c>
      <c r="B115" s="50" t="s">
        <v>302</v>
      </c>
      <c r="C115" s="50" t="s">
        <v>303</v>
      </c>
      <c r="D115" s="50" t="s">
        <v>292</v>
      </c>
      <c r="E115" s="50" t="s">
        <v>304</v>
      </c>
    </row>
    <row r="116" spans="1:5" s="51" customFormat="1" x14ac:dyDescent="0.15">
      <c r="A116" s="50" t="s">
        <v>305</v>
      </c>
      <c r="B116" s="50" t="s">
        <v>306</v>
      </c>
      <c r="C116" s="50" t="s">
        <v>307</v>
      </c>
      <c r="D116" s="50" t="s">
        <v>292</v>
      </c>
      <c r="E116" s="50" t="s">
        <v>308</v>
      </c>
    </row>
    <row r="117" spans="1:5" s="51" customFormat="1" x14ac:dyDescent="0.15">
      <c r="A117" s="50" t="s">
        <v>309</v>
      </c>
      <c r="B117" s="50" t="s">
        <v>310</v>
      </c>
      <c r="C117" s="50" t="s">
        <v>311</v>
      </c>
      <c r="D117" s="50" t="s">
        <v>292</v>
      </c>
      <c r="E117" s="50" t="s">
        <v>312</v>
      </c>
    </row>
    <row r="118" spans="1:5" s="51" customFormat="1" x14ac:dyDescent="0.15">
      <c r="A118" s="50" t="s">
        <v>277</v>
      </c>
      <c r="B118" s="50" t="s">
        <v>313</v>
      </c>
      <c r="C118" s="50" t="s">
        <v>314</v>
      </c>
      <c r="D118" s="50" t="s">
        <v>292</v>
      </c>
      <c r="E118" s="50" t="s">
        <v>315</v>
      </c>
    </row>
    <row r="119" spans="1:5" s="51" customFormat="1" x14ac:dyDescent="0.15">
      <c r="A119" s="50" t="s">
        <v>316</v>
      </c>
      <c r="B119" s="50" t="s">
        <v>317</v>
      </c>
      <c r="C119" s="50" t="s">
        <v>318</v>
      </c>
      <c r="D119" s="50" t="s">
        <v>292</v>
      </c>
      <c r="E119" s="50" t="s">
        <v>319</v>
      </c>
    </row>
    <row r="120" spans="1:5" s="51" customFormat="1" x14ac:dyDescent="0.15">
      <c r="A120" s="50" t="s">
        <v>320</v>
      </c>
      <c r="B120" s="50" t="s">
        <v>321</v>
      </c>
      <c r="C120" s="50" t="s">
        <v>322</v>
      </c>
      <c r="D120" s="50" t="s">
        <v>292</v>
      </c>
      <c r="E120" s="50" t="s">
        <v>323</v>
      </c>
    </row>
    <row r="121" spans="1:5" s="51" customFormat="1" x14ac:dyDescent="0.15">
      <c r="A121" s="50" t="s">
        <v>324</v>
      </c>
      <c r="B121" s="50" t="s">
        <v>325</v>
      </c>
      <c r="C121" s="50" t="s">
        <v>326</v>
      </c>
      <c r="D121" s="50" t="s">
        <v>292</v>
      </c>
      <c r="E121" s="50" t="s">
        <v>327</v>
      </c>
    </row>
    <row r="122" spans="1:5" s="51" customFormat="1" x14ac:dyDescent="0.15">
      <c r="A122" s="50" t="s">
        <v>328</v>
      </c>
      <c r="B122" s="50" t="s">
        <v>329</v>
      </c>
      <c r="C122" s="50" t="s">
        <v>330</v>
      </c>
      <c r="D122" s="50" t="s">
        <v>331</v>
      </c>
      <c r="E122" s="50" t="s">
        <v>332</v>
      </c>
    </row>
    <row r="123" spans="1:5" s="51" customFormat="1" x14ac:dyDescent="0.15">
      <c r="A123" s="50" t="s">
        <v>333</v>
      </c>
      <c r="B123" s="50" t="s">
        <v>334</v>
      </c>
      <c r="C123" s="50" t="s">
        <v>335</v>
      </c>
      <c r="D123" s="50" t="s">
        <v>331</v>
      </c>
      <c r="E123" s="50" t="s">
        <v>336</v>
      </c>
    </row>
    <row r="124" spans="1:5" s="51" customFormat="1" x14ac:dyDescent="0.15">
      <c r="A124" s="50" t="s">
        <v>337</v>
      </c>
      <c r="B124" s="50" t="s">
        <v>338</v>
      </c>
      <c r="C124" s="50" t="s">
        <v>339</v>
      </c>
      <c r="D124" s="50" t="s">
        <v>331</v>
      </c>
      <c r="E124" s="50" t="s">
        <v>340</v>
      </c>
    </row>
    <row r="125" spans="1:5" s="51" customFormat="1" x14ac:dyDescent="0.15">
      <c r="A125" s="50" t="s">
        <v>341</v>
      </c>
      <c r="B125" s="50" t="s">
        <v>342</v>
      </c>
      <c r="C125" s="50" t="s">
        <v>343</v>
      </c>
      <c r="D125" s="50" t="s">
        <v>331</v>
      </c>
      <c r="E125" s="50" t="s">
        <v>344</v>
      </c>
    </row>
    <row r="126" spans="1:5" s="51" customFormat="1" x14ac:dyDescent="0.15">
      <c r="A126" s="50" t="s">
        <v>345</v>
      </c>
      <c r="B126" s="50" t="s">
        <v>346</v>
      </c>
      <c r="C126" s="50" t="s">
        <v>347</v>
      </c>
      <c r="D126" s="50" t="s">
        <v>331</v>
      </c>
      <c r="E126" s="50" t="s">
        <v>348</v>
      </c>
    </row>
    <row r="127" spans="1:5" s="51" customFormat="1" x14ac:dyDescent="0.15">
      <c r="A127" s="50" t="s">
        <v>349</v>
      </c>
      <c r="B127" s="50" t="s">
        <v>350</v>
      </c>
      <c r="C127" s="50" t="s">
        <v>351</v>
      </c>
      <c r="D127" s="50" t="s">
        <v>331</v>
      </c>
      <c r="E127" s="50" t="s">
        <v>352</v>
      </c>
    </row>
    <row r="128" spans="1:5" s="51" customFormat="1" x14ac:dyDescent="0.15">
      <c r="A128" s="50" t="s">
        <v>353</v>
      </c>
      <c r="B128" s="50" t="s">
        <v>354</v>
      </c>
      <c r="C128" s="50" t="s">
        <v>355</v>
      </c>
      <c r="D128" s="50" t="s">
        <v>331</v>
      </c>
      <c r="E128" s="50" t="s">
        <v>356</v>
      </c>
    </row>
    <row r="129" spans="1:5" s="51" customFormat="1" x14ac:dyDescent="0.15">
      <c r="A129" s="50" t="s">
        <v>357</v>
      </c>
      <c r="B129" s="50" t="s">
        <v>358</v>
      </c>
      <c r="C129" s="50" t="s">
        <v>359</v>
      </c>
      <c r="D129" s="50" t="s">
        <v>331</v>
      </c>
      <c r="E129" s="50" t="s">
        <v>360</v>
      </c>
    </row>
    <row r="130" spans="1:5" s="51" customFormat="1" x14ac:dyDescent="0.15">
      <c r="A130" s="50" t="s">
        <v>361</v>
      </c>
      <c r="B130" s="50" t="s">
        <v>362</v>
      </c>
      <c r="C130" s="50" t="s">
        <v>363</v>
      </c>
      <c r="D130" s="50" t="s">
        <v>331</v>
      </c>
      <c r="E130" s="50" t="s">
        <v>364</v>
      </c>
    </row>
    <row r="131" spans="1:5" s="51" customFormat="1" x14ac:dyDescent="0.15">
      <c r="A131" s="50" t="s">
        <v>365</v>
      </c>
      <c r="B131" s="50" t="s">
        <v>366</v>
      </c>
      <c r="C131" s="50" t="s">
        <v>367</v>
      </c>
      <c r="D131" s="50" t="s">
        <v>10</v>
      </c>
      <c r="E131" s="50" t="s">
        <v>368</v>
      </c>
    </row>
    <row r="132" spans="1:5" s="51" customFormat="1" x14ac:dyDescent="0.15">
      <c r="A132" s="50" t="s">
        <v>369</v>
      </c>
      <c r="B132" s="50" t="s">
        <v>370</v>
      </c>
      <c r="C132" s="50" t="s">
        <v>371</v>
      </c>
      <c r="D132" s="50" t="s">
        <v>130</v>
      </c>
      <c r="E132" s="50" t="s">
        <v>372</v>
      </c>
    </row>
    <row r="133" spans="1:5" s="51" customFormat="1" x14ac:dyDescent="0.15">
      <c r="A133" s="50" t="s">
        <v>373</v>
      </c>
      <c r="B133" s="50" t="s">
        <v>374</v>
      </c>
      <c r="C133" s="50" t="s">
        <v>375</v>
      </c>
      <c r="D133" s="50" t="s">
        <v>130</v>
      </c>
      <c r="E133" s="50" t="s">
        <v>376</v>
      </c>
    </row>
    <row r="134" spans="1:5" s="51" customFormat="1" x14ac:dyDescent="0.15">
      <c r="A134" s="50" t="s">
        <v>377</v>
      </c>
      <c r="B134" s="50" t="s">
        <v>378</v>
      </c>
      <c r="C134" s="50" t="s">
        <v>379</v>
      </c>
      <c r="D134" s="50" t="s">
        <v>86</v>
      </c>
      <c r="E134" s="50" t="s">
        <v>380</v>
      </c>
    </row>
    <row r="135" spans="1:5" s="51" customFormat="1" x14ac:dyDescent="0.15">
      <c r="A135" s="50" t="s">
        <v>381</v>
      </c>
      <c r="B135" s="50" t="s">
        <v>382</v>
      </c>
      <c r="C135" s="50" t="s">
        <v>383</v>
      </c>
      <c r="D135" s="50" t="s">
        <v>86</v>
      </c>
      <c r="E135" s="50" t="s">
        <v>384</v>
      </c>
    </row>
    <row r="136" spans="1:5" s="51" customFormat="1" x14ac:dyDescent="0.15">
      <c r="A136" s="50" t="s">
        <v>385</v>
      </c>
      <c r="B136" s="50" t="s">
        <v>386</v>
      </c>
      <c r="C136" s="50" t="s">
        <v>387</v>
      </c>
      <c r="D136" s="50" t="s">
        <v>86</v>
      </c>
      <c r="E136" s="50" t="s">
        <v>388</v>
      </c>
    </row>
    <row r="137" spans="1:5" s="51" customFormat="1" x14ac:dyDescent="0.15">
      <c r="A137" s="50" t="s">
        <v>389</v>
      </c>
      <c r="B137" s="50" t="s">
        <v>390</v>
      </c>
      <c r="C137" s="50" t="s">
        <v>391</v>
      </c>
      <c r="D137" s="50" t="s">
        <v>116</v>
      </c>
      <c r="E137" s="50" t="s">
        <v>392</v>
      </c>
    </row>
    <row r="138" spans="1:5" s="51" customFormat="1" x14ac:dyDescent="0.15">
      <c r="A138" s="50" t="s">
        <v>393</v>
      </c>
      <c r="B138" s="50" t="s">
        <v>394</v>
      </c>
      <c r="C138" s="50" t="s">
        <v>395</v>
      </c>
      <c r="D138" s="50" t="s">
        <v>130</v>
      </c>
      <c r="E138" s="50" t="s">
        <v>396</v>
      </c>
    </row>
    <row r="139" spans="1:5" s="51" customFormat="1" x14ac:dyDescent="0.15">
      <c r="A139" s="50" t="s">
        <v>397</v>
      </c>
      <c r="B139" s="50" t="s">
        <v>398</v>
      </c>
      <c r="C139" s="50" t="s">
        <v>399</v>
      </c>
      <c r="D139" s="50" t="s">
        <v>130</v>
      </c>
      <c r="E139" s="50" t="s">
        <v>400</v>
      </c>
    </row>
    <row r="140" spans="1:5" s="51" customFormat="1" x14ac:dyDescent="0.15">
      <c r="A140" s="50" t="s">
        <v>401</v>
      </c>
      <c r="B140" s="50" t="s">
        <v>402</v>
      </c>
      <c r="C140" s="50" t="s">
        <v>403</v>
      </c>
      <c r="D140" s="50" t="s">
        <v>101</v>
      </c>
      <c r="E140" s="50" t="s">
        <v>404</v>
      </c>
    </row>
    <row r="141" spans="1:5" s="51" customFormat="1" x14ac:dyDescent="0.15">
      <c r="A141" s="50" t="s">
        <v>405</v>
      </c>
      <c r="B141" s="50" t="s">
        <v>406</v>
      </c>
      <c r="C141" s="50" t="s">
        <v>407</v>
      </c>
      <c r="D141" s="50" t="s">
        <v>101</v>
      </c>
      <c r="E141" s="50" t="s">
        <v>408</v>
      </c>
    </row>
    <row r="142" spans="1:5" s="51" customFormat="1" x14ac:dyDescent="0.15">
      <c r="A142" s="50" t="s">
        <v>409</v>
      </c>
      <c r="B142" s="50" t="s">
        <v>410</v>
      </c>
      <c r="C142" s="50" t="s">
        <v>411</v>
      </c>
      <c r="D142" s="50" t="s">
        <v>130</v>
      </c>
      <c r="E142" s="50" t="s">
        <v>412</v>
      </c>
    </row>
    <row r="143" spans="1:5" s="51" customFormat="1" x14ac:dyDescent="0.15">
      <c r="A143" s="50" t="s">
        <v>413</v>
      </c>
      <c r="B143" s="50" t="s">
        <v>414</v>
      </c>
      <c r="C143" s="50" t="s">
        <v>415</v>
      </c>
      <c r="D143" s="50" t="s">
        <v>101</v>
      </c>
      <c r="E143" s="50" t="s">
        <v>416</v>
      </c>
    </row>
    <row r="144" spans="1:5" s="51" customFormat="1" x14ac:dyDescent="0.15">
      <c r="A144" s="50" t="s">
        <v>417</v>
      </c>
      <c r="B144" s="50" t="s">
        <v>418</v>
      </c>
      <c r="C144" s="50" t="s">
        <v>419</v>
      </c>
      <c r="D144" s="50" t="s">
        <v>101</v>
      </c>
      <c r="E144" s="50" t="s">
        <v>420</v>
      </c>
    </row>
    <row r="145" spans="1:5" s="51" customFormat="1" x14ac:dyDescent="0.15">
      <c r="A145" s="50" t="s">
        <v>421</v>
      </c>
      <c r="B145" s="50" t="s">
        <v>422</v>
      </c>
      <c r="C145" s="50" t="s">
        <v>423</v>
      </c>
      <c r="D145" s="50" t="s">
        <v>61</v>
      </c>
      <c r="E145" s="50" t="s">
        <v>424</v>
      </c>
    </row>
    <row r="146" spans="1:5" s="51" customFormat="1" x14ac:dyDescent="0.15">
      <c r="A146" s="50" t="s">
        <v>425</v>
      </c>
      <c r="B146" s="50" t="s">
        <v>426</v>
      </c>
      <c r="C146" s="50" t="s">
        <v>427</v>
      </c>
      <c r="D146" s="50" t="s">
        <v>61</v>
      </c>
      <c r="E146" s="50" t="s">
        <v>428</v>
      </c>
    </row>
    <row r="147" spans="1:5" s="51" customFormat="1" x14ac:dyDescent="0.15">
      <c r="A147" s="50" t="s">
        <v>429</v>
      </c>
      <c r="B147" s="50" t="s">
        <v>430</v>
      </c>
      <c r="C147" s="50" t="s">
        <v>431</v>
      </c>
      <c r="D147" s="50" t="s">
        <v>61</v>
      </c>
      <c r="E147" s="50" t="s">
        <v>432</v>
      </c>
    </row>
    <row r="148" spans="1:5" s="51" customFormat="1" x14ac:dyDescent="0.15">
      <c r="A148" s="50" t="s">
        <v>433</v>
      </c>
      <c r="B148" s="50" t="s">
        <v>434</v>
      </c>
      <c r="C148" s="50" t="s">
        <v>435</v>
      </c>
      <c r="D148" s="50" t="s">
        <v>61</v>
      </c>
      <c r="E148" s="50" t="s">
        <v>436</v>
      </c>
    </row>
    <row r="149" spans="1:5" s="51" customFormat="1" x14ac:dyDescent="0.15">
      <c r="A149" s="50" t="s">
        <v>437</v>
      </c>
      <c r="B149" s="50" t="s">
        <v>438</v>
      </c>
      <c r="C149" s="50" t="s">
        <v>439</v>
      </c>
      <c r="D149" s="50" t="s">
        <v>440</v>
      </c>
      <c r="E149" s="50" t="s">
        <v>441</v>
      </c>
    </row>
    <row r="150" spans="1:5" s="51" customFormat="1" x14ac:dyDescent="0.15">
      <c r="A150" s="50" t="s">
        <v>442</v>
      </c>
      <c r="B150" s="50" t="s">
        <v>443</v>
      </c>
      <c r="C150" s="50" t="s">
        <v>444</v>
      </c>
      <c r="D150" s="50" t="s">
        <v>440</v>
      </c>
      <c r="E150" s="50" t="s">
        <v>445</v>
      </c>
    </row>
    <row r="151" spans="1:5" s="51" customFormat="1" x14ac:dyDescent="0.15">
      <c r="A151" s="50" t="s">
        <v>446</v>
      </c>
      <c r="B151" s="50" t="s">
        <v>447</v>
      </c>
      <c r="C151" s="50" t="s">
        <v>448</v>
      </c>
      <c r="D151" s="50" t="s">
        <v>61</v>
      </c>
      <c r="E151" s="50" t="s">
        <v>449</v>
      </c>
    </row>
    <row r="152" spans="1:5" s="51" customFormat="1" x14ac:dyDescent="0.15">
      <c r="A152" s="50" t="s">
        <v>450</v>
      </c>
      <c r="B152" s="50" t="s">
        <v>451</v>
      </c>
      <c r="C152" s="50" t="s">
        <v>452</v>
      </c>
      <c r="D152" s="50" t="s">
        <v>61</v>
      </c>
      <c r="E152" s="50" t="s">
        <v>453</v>
      </c>
    </row>
    <row r="153" spans="1:5" s="51" customFormat="1" x14ac:dyDescent="0.15">
      <c r="A153" s="50" t="s">
        <v>454</v>
      </c>
      <c r="B153" s="50" t="s">
        <v>455</v>
      </c>
      <c r="C153" s="50" t="s">
        <v>456</v>
      </c>
      <c r="D153" s="50" t="s">
        <v>180</v>
      </c>
      <c r="E153" s="50" t="s">
        <v>457</v>
      </c>
    </row>
    <row r="154" spans="1:5" s="51" customFormat="1" x14ac:dyDescent="0.15">
      <c r="A154" s="50" t="s">
        <v>458</v>
      </c>
      <c r="B154" s="50" t="s">
        <v>459</v>
      </c>
      <c r="C154" s="50" t="s">
        <v>460</v>
      </c>
      <c r="D154" s="50" t="s">
        <v>180</v>
      </c>
      <c r="E154" s="50" t="s">
        <v>461</v>
      </c>
    </row>
    <row r="155" spans="1:5" s="51" customFormat="1" x14ac:dyDescent="0.15">
      <c r="A155" s="50" t="s">
        <v>462</v>
      </c>
      <c r="B155" s="50" t="s">
        <v>463</v>
      </c>
      <c r="C155" s="50" t="s">
        <v>464</v>
      </c>
      <c r="D155" s="50" t="s">
        <v>180</v>
      </c>
      <c r="E155" s="50" t="s">
        <v>465</v>
      </c>
    </row>
    <row r="156" spans="1:5" s="51" customFormat="1" x14ac:dyDescent="0.15">
      <c r="A156" s="50" t="s">
        <v>466</v>
      </c>
      <c r="B156" s="50" t="s">
        <v>467</v>
      </c>
      <c r="C156" s="50" t="s">
        <v>468</v>
      </c>
      <c r="D156" s="50" t="s">
        <v>180</v>
      </c>
      <c r="E156" s="50" t="s">
        <v>469</v>
      </c>
    </row>
    <row r="157" spans="1:5" s="51" customFormat="1" x14ac:dyDescent="0.15">
      <c r="A157" s="50" t="s">
        <v>470</v>
      </c>
      <c r="B157" s="50" t="s">
        <v>471</v>
      </c>
      <c r="C157" s="50" t="s">
        <v>472</v>
      </c>
      <c r="D157" s="50" t="s">
        <v>140</v>
      </c>
      <c r="E157" s="50" t="s">
        <v>473</v>
      </c>
    </row>
    <row r="158" spans="1:5" s="51" customFormat="1" x14ac:dyDescent="0.15">
      <c r="A158" s="50" t="s">
        <v>474</v>
      </c>
      <c r="B158" s="50" t="s">
        <v>475</v>
      </c>
      <c r="C158" s="50" t="s">
        <v>476</v>
      </c>
      <c r="D158" s="50" t="s">
        <v>140</v>
      </c>
      <c r="E158" s="50" t="s">
        <v>477</v>
      </c>
    </row>
    <row r="159" spans="1:5" s="51" customFormat="1" x14ac:dyDescent="0.15">
      <c r="A159" s="50" t="s">
        <v>478</v>
      </c>
      <c r="B159" s="50" t="s">
        <v>479</v>
      </c>
      <c r="C159" s="50" t="s">
        <v>480</v>
      </c>
      <c r="D159" s="50" t="s">
        <v>481</v>
      </c>
      <c r="E159" s="50" t="s">
        <v>482</v>
      </c>
    </row>
    <row r="160" spans="1:5" s="51" customFormat="1" x14ac:dyDescent="0.15">
      <c r="A160" s="50" t="s">
        <v>483</v>
      </c>
      <c r="B160" s="50" t="s">
        <v>484</v>
      </c>
      <c r="C160" s="50" t="s">
        <v>485</v>
      </c>
      <c r="D160" s="50" t="s">
        <v>486</v>
      </c>
      <c r="E160" s="50" t="s">
        <v>487</v>
      </c>
    </row>
    <row r="161" spans="1:6" s="51" customFormat="1" x14ac:dyDescent="0.15">
      <c r="A161" s="50" t="s">
        <v>488</v>
      </c>
      <c r="B161" s="50" t="s">
        <v>489</v>
      </c>
      <c r="C161" s="50" t="s">
        <v>490</v>
      </c>
      <c r="D161" s="50" t="s">
        <v>486</v>
      </c>
      <c r="E161" s="50" t="s">
        <v>491</v>
      </c>
    </row>
    <row r="162" spans="1:6" s="51" customFormat="1" x14ac:dyDescent="0.15">
      <c r="A162" s="50" t="s">
        <v>492</v>
      </c>
      <c r="B162" s="50" t="s">
        <v>493</v>
      </c>
      <c r="C162" s="50" t="s">
        <v>494</v>
      </c>
      <c r="D162" s="50" t="s">
        <v>486</v>
      </c>
      <c r="E162" s="50" t="s">
        <v>495</v>
      </c>
    </row>
    <row r="163" spans="1:6" s="51" customFormat="1" x14ac:dyDescent="0.15">
      <c r="A163" s="50" t="s">
        <v>496</v>
      </c>
      <c r="B163" s="50" t="s">
        <v>8297</v>
      </c>
      <c r="C163" s="50" t="s">
        <v>497</v>
      </c>
      <c r="D163" s="50" t="s">
        <v>140</v>
      </c>
      <c r="E163" s="50" t="s">
        <v>498</v>
      </c>
      <c r="F163" s="51" t="s">
        <v>8298</v>
      </c>
    </row>
    <row r="164" spans="1:6" s="51" customFormat="1" x14ac:dyDescent="0.15">
      <c r="A164" s="50" t="s">
        <v>499</v>
      </c>
      <c r="B164" s="50" t="s">
        <v>500</v>
      </c>
      <c r="C164" s="50" t="s">
        <v>501</v>
      </c>
      <c r="D164" s="50" t="s">
        <v>101</v>
      </c>
      <c r="E164" s="50" t="s">
        <v>502</v>
      </c>
    </row>
    <row r="165" spans="1:6" s="51" customFormat="1" x14ac:dyDescent="0.15">
      <c r="A165" s="50" t="s">
        <v>503</v>
      </c>
      <c r="B165" s="50" t="s">
        <v>504</v>
      </c>
      <c r="C165" s="50" t="s">
        <v>505</v>
      </c>
      <c r="D165" s="50" t="s">
        <v>101</v>
      </c>
      <c r="E165" s="50" t="s">
        <v>506</v>
      </c>
    </row>
    <row r="166" spans="1:6" s="51" customFormat="1" x14ac:dyDescent="0.15">
      <c r="A166" s="50" t="s">
        <v>507</v>
      </c>
      <c r="B166" s="50" t="s">
        <v>508</v>
      </c>
      <c r="C166" s="50" t="s">
        <v>509</v>
      </c>
      <c r="D166" s="50" t="s">
        <v>101</v>
      </c>
      <c r="E166" s="50" t="s">
        <v>510</v>
      </c>
    </row>
    <row r="167" spans="1:6" s="51" customFormat="1" x14ac:dyDescent="0.15">
      <c r="A167" s="50" t="s">
        <v>511</v>
      </c>
      <c r="B167" s="50" t="s">
        <v>512</v>
      </c>
      <c r="C167" s="50" t="s">
        <v>513</v>
      </c>
      <c r="D167" s="50" t="s">
        <v>514</v>
      </c>
      <c r="E167" s="50" t="s">
        <v>515</v>
      </c>
    </row>
    <row r="168" spans="1:6" s="51" customFormat="1" x14ac:dyDescent="0.15">
      <c r="A168" s="50" t="s">
        <v>516</v>
      </c>
      <c r="B168" s="50" t="s">
        <v>517</v>
      </c>
      <c r="C168" s="50" t="s">
        <v>518</v>
      </c>
      <c r="D168" s="50" t="s">
        <v>101</v>
      </c>
      <c r="E168" s="50" t="s">
        <v>519</v>
      </c>
    </row>
    <row r="169" spans="1:6" s="51" customFormat="1" x14ac:dyDescent="0.15">
      <c r="A169" s="50" t="s">
        <v>520</v>
      </c>
      <c r="B169" s="50" t="s">
        <v>521</v>
      </c>
      <c r="C169" s="50" t="s">
        <v>522</v>
      </c>
      <c r="D169" s="50" t="s">
        <v>523</v>
      </c>
      <c r="E169" s="50" t="s">
        <v>524</v>
      </c>
    </row>
    <row r="170" spans="1:6" s="51" customFormat="1" x14ac:dyDescent="0.15">
      <c r="A170" s="50" t="s">
        <v>525</v>
      </c>
      <c r="B170" s="50" t="s">
        <v>526</v>
      </c>
      <c r="C170" s="50" t="s">
        <v>527</v>
      </c>
      <c r="D170" s="50" t="s">
        <v>523</v>
      </c>
      <c r="E170" s="50" t="s">
        <v>528</v>
      </c>
    </row>
    <row r="171" spans="1:6" s="51" customFormat="1" x14ac:dyDescent="0.15">
      <c r="A171" s="50" t="s">
        <v>529</v>
      </c>
      <c r="B171" s="50" t="s">
        <v>530</v>
      </c>
      <c r="C171" s="50" t="s">
        <v>531</v>
      </c>
      <c r="D171" s="50" t="s">
        <v>532</v>
      </c>
      <c r="E171" s="50" t="s">
        <v>533</v>
      </c>
    </row>
    <row r="172" spans="1:6" s="51" customFormat="1" x14ac:dyDescent="0.15">
      <c r="A172" s="50" t="s">
        <v>534</v>
      </c>
      <c r="B172" s="50" t="s">
        <v>535</v>
      </c>
      <c r="C172" s="50" t="s">
        <v>536</v>
      </c>
      <c r="D172" s="50" t="s">
        <v>537</v>
      </c>
      <c r="E172" s="50" t="s">
        <v>538</v>
      </c>
    </row>
    <row r="173" spans="1:6" s="51" customFormat="1" x14ac:dyDescent="0.15">
      <c r="A173" s="50" t="s">
        <v>539</v>
      </c>
      <c r="B173" s="50" t="s">
        <v>540</v>
      </c>
      <c r="C173" s="50" t="s">
        <v>541</v>
      </c>
      <c r="D173" s="50" t="s">
        <v>537</v>
      </c>
      <c r="E173" s="50" t="s">
        <v>542</v>
      </c>
    </row>
    <row r="174" spans="1:6" s="51" customFormat="1" x14ac:dyDescent="0.15">
      <c r="A174" s="50" t="s">
        <v>543</v>
      </c>
      <c r="B174" s="50" t="s">
        <v>544</v>
      </c>
      <c r="C174" s="50" t="s">
        <v>545</v>
      </c>
      <c r="D174" s="50" t="s">
        <v>546</v>
      </c>
      <c r="E174" s="50" t="s">
        <v>547</v>
      </c>
    </row>
    <row r="175" spans="1:6" s="51" customFormat="1" x14ac:dyDescent="0.15">
      <c r="A175" s="50" t="s">
        <v>548</v>
      </c>
      <c r="B175" s="50" t="s">
        <v>549</v>
      </c>
      <c r="C175" s="50" t="s">
        <v>550</v>
      </c>
      <c r="D175" s="50" t="s">
        <v>111</v>
      </c>
      <c r="E175" s="50" t="s">
        <v>551</v>
      </c>
    </row>
    <row r="176" spans="1:6" s="51" customFormat="1" x14ac:dyDescent="0.15">
      <c r="A176" s="50" t="s">
        <v>552</v>
      </c>
      <c r="B176" s="50" t="s">
        <v>553</v>
      </c>
      <c r="C176" s="50" t="s">
        <v>554</v>
      </c>
      <c r="D176" s="50" t="s">
        <v>546</v>
      </c>
      <c r="E176" s="50" t="s">
        <v>555</v>
      </c>
    </row>
    <row r="177" spans="1:6" s="51" customFormat="1" x14ac:dyDescent="0.15">
      <c r="A177" s="50" t="s">
        <v>556</v>
      </c>
      <c r="B177" s="50" t="s">
        <v>557</v>
      </c>
      <c r="C177" s="50" t="s">
        <v>558</v>
      </c>
      <c r="D177" s="50" t="s">
        <v>546</v>
      </c>
      <c r="E177" s="50" t="s">
        <v>559</v>
      </c>
    </row>
    <row r="178" spans="1:6" s="51" customFormat="1" x14ac:dyDescent="0.15">
      <c r="A178" s="50" t="s">
        <v>560</v>
      </c>
      <c r="B178" s="50" t="s">
        <v>561</v>
      </c>
      <c r="C178" s="50" t="s">
        <v>562</v>
      </c>
      <c r="D178" s="50" t="s">
        <v>546</v>
      </c>
      <c r="E178" s="50" t="s">
        <v>563</v>
      </c>
    </row>
    <row r="179" spans="1:6" s="51" customFormat="1" x14ac:dyDescent="0.15">
      <c r="A179" s="50" t="s">
        <v>564</v>
      </c>
      <c r="B179" s="50" t="s">
        <v>8299</v>
      </c>
      <c r="C179" s="50" t="s">
        <v>565</v>
      </c>
      <c r="D179" s="50" t="s">
        <v>523</v>
      </c>
      <c r="E179" s="50" t="s">
        <v>566</v>
      </c>
      <c r="F179" s="51" t="s">
        <v>8300</v>
      </c>
    </row>
    <row r="180" spans="1:6" s="51" customFormat="1" x14ac:dyDescent="0.15">
      <c r="A180" s="50" t="s">
        <v>567</v>
      </c>
      <c r="B180" s="50" t="s">
        <v>568</v>
      </c>
      <c r="C180" s="50" t="s">
        <v>569</v>
      </c>
      <c r="D180" s="50" t="s">
        <v>96</v>
      </c>
      <c r="E180" s="50" t="s">
        <v>570</v>
      </c>
    </row>
    <row r="181" spans="1:6" s="51" customFormat="1" x14ac:dyDescent="0.15">
      <c r="A181" s="50" t="s">
        <v>571</v>
      </c>
      <c r="B181" s="50" t="s">
        <v>572</v>
      </c>
      <c r="C181" s="50" t="s">
        <v>573</v>
      </c>
      <c r="D181" s="50" t="s">
        <v>96</v>
      </c>
      <c r="E181" s="50" t="s">
        <v>574</v>
      </c>
    </row>
    <row r="182" spans="1:6" s="51" customFormat="1" x14ac:dyDescent="0.15">
      <c r="A182" s="50" t="s">
        <v>575</v>
      </c>
      <c r="B182" s="50" t="s">
        <v>576</v>
      </c>
      <c r="C182" s="50" t="s">
        <v>577</v>
      </c>
      <c r="D182" s="50" t="s">
        <v>96</v>
      </c>
      <c r="E182" s="50" t="s">
        <v>578</v>
      </c>
    </row>
    <row r="183" spans="1:6" s="51" customFormat="1" x14ac:dyDescent="0.15">
      <c r="A183" s="50" t="s">
        <v>579</v>
      </c>
      <c r="B183" s="50" t="s">
        <v>580</v>
      </c>
      <c r="C183" s="50" t="s">
        <v>581</v>
      </c>
      <c r="D183" s="50" t="s">
        <v>96</v>
      </c>
      <c r="E183" s="50" t="s">
        <v>582</v>
      </c>
    </row>
    <row r="184" spans="1:6" s="51" customFormat="1" x14ac:dyDescent="0.15">
      <c r="A184" s="50" t="s">
        <v>583</v>
      </c>
      <c r="B184" s="50" t="s">
        <v>584</v>
      </c>
      <c r="C184" s="50" t="s">
        <v>585</v>
      </c>
      <c r="D184" s="50" t="s">
        <v>96</v>
      </c>
      <c r="E184" s="50" t="s">
        <v>586</v>
      </c>
    </row>
    <row r="185" spans="1:6" s="51" customFormat="1" x14ac:dyDescent="0.15">
      <c r="A185" s="50" t="s">
        <v>587</v>
      </c>
      <c r="B185" s="50" t="s">
        <v>588</v>
      </c>
      <c r="C185" s="50" t="s">
        <v>589</v>
      </c>
      <c r="D185" s="50" t="s">
        <v>590</v>
      </c>
      <c r="E185" s="50" t="s">
        <v>591</v>
      </c>
    </row>
    <row r="186" spans="1:6" s="51" customFormat="1" x14ac:dyDescent="0.15">
      <c r="A186" s="50" t="s">
        <v>592</v>
      </c>
      <c r="B186" s="50" t="s">
        <v>593</v>
      </c>
      <c r="C186" s="50" t="s">
        <v>594</v>
      </c>
      <c r="D186" s="50" t="s">
        <v>590</v>
      </c>
      <c r="E186" s="50" t="s">
        <v>595</v>
      </c>
    </row>
    <row r="187" spans="1:6" s="51" customFormat="1" x14ac:dyDescent="0.15">
      <c r="A187" s="50" t="s">
        <v>596</v>
      </c>
      <c r="B187" s="50" t="s">
        <v>597</v>
      </c>
      <c r="C187" s="50" t="s">
        <v>598</v>
      </c>
      <c r="D187" s="50" t="s">
        <v>599</v>
      </c>
      <c r="E187" s="50" t="s">
        <v>600</v>
      </c>
    </row>
    <row r="188" spans="1:6" s="51" customFormat="1" x14ac:dyDescent="0.15">
      <c r="A188" s="50" t="s">
        <v>601</v>
      </c>
      <c r="B188" s="50" t="s">
        <v>602</v>
      </c>
      <c r="C188" s="50" t="s">
        <v>603</v>
      </c>
      <c r="D188" s="50" t="s">
        <v>135</v>
      </c>
      <c r="E188" s="50" t="s">
        <v>604</v>
      </c>
    </row>
    <row r="189" spans="1:6" s="51" customFormat="1" x14ac:dyDescent="0.15">
      <c r="A189" s="50" t="s">
        <v>605</v>
      </c>
      <c r="B189" s="50" t="s">
        <v>606</v>
      </c>
      <c r="C189" s="50" t="s">
        <v>607</v>
      </c>
      <c r="D189" s="50" t="s">
        <v>608</v>
      </c>
      <c r="E189" s="50" t="s">
        <v>609</v>
      </c>
    </row>
    <row r="190" spans="1:6" s="51" customFormat="1" x14ac:dyDescent="0.15">
      <c r="A190" s="50" t="s">
        <v>610</v>
      </c>
      <c r="B190" s="50" t="s">
        <v>611</v>
      </c>
      <c r="C190" s="50" t="s">
        <v>612</v>
      </c>
      <c r="D190" s="50" t="s">
        <v>135</v>
      </c>
      <c r="E190" s="50" t="s">
        <v>613</v>
      </c>
    </row>
    <row r="191" spans="1:6" s="51" customFormat="1" x14ac:dyDescent="0.15">
      <c r="A191" s="50" t="s">
        <v>614</v>
      </c>
      <c r="B191" s="50" t="s">
        <v>615</v>
      </c>
      <c r="C191" s="50" t="s">
        <v>616</v>
      </c>
      <c r="D191" s="50" t="s">
        <v>135</v>
      </c>
      <c r="E191" s="50" t="s">
        <v>617</v>
      </c>
    </row>
    <row r="192" spans="1:6" s="51" customFormat="1" x14ac:dyDescent="0.15">
      <c r="A192" s="50" t="s">
        <v>618</v>
      </c>
      <c r="B192" s="50" t="s">
        <v>619</v>
      </c>
      <c r="C192" s="50" t="s">
        <v>620</v>
      </c>
      <c r="D192" s="50" t="s">
        <v>135</v>
      </c>
      <c r="E192" s="50" t="s">
        <v>621</v>
      </c>
    </row>
    <row r="193" spans="1:5" s="51" customFormat="1" x14ac:dyDescent="0.15">
      <c r="A193" s="50" t="s">
        <v>622</v>
      </c>
      <c r="B193" s="50" t="s">
        <v>623</v>
      </c>
      <c r="C193" s="50" t="s">
        <v>624</v>
      </c>
      <c r="D193" s="50" t="s">
        <v>135</v>
      </c>
      <c r="E193" s="50" t="s">
        <v>625</v>
      </c>
    </row>
    <row r="194" spans="1:5" s="51" customFormat="1" x14ac:dyDescent="0.15">
      <c r="A194" s="50" t="s">
        <v>626</v>
      </c>
      <c r="B194" s="50" t="s">
        <v>627</v>
      </c>
      <c r="C194" s="50" t="s">
        <v>628</v>
      </c>
      <c r="D194" s="50" t="s">
        <v>96</v>
      </c>
      <c r="E194" s="50" t="s">
        <v>629</v>
      </c>
    </row>
    <row r="195" spans="1:5" s="51" customFormat="1" x14ac:dyDescent="0.15">
      <c r="A195" s="50" t="s">
        <v>630</v>
      </c>
      <c r="B195" s="50" t="s">
        <v>631</v>
      </c>
      <c r="C195" s="50" t="s">
        <v>632</v>
      </c>
      <c r="D195" s="50" t="s">
        <v>193</v>
      </c>
      <c r="E195" s="50" t="s">
        <v>633</v>
      </c>
    </row>
    <row r="196" spans="1:5" s="51" customFormat="1" x14ac:dyDescent="0.15">
      <c r="A196" s="50" t="s">
        <v>634</v>
      </c>
      <c r="B196" s="50" t="s">
        <v>635</v>
      </c>
      <c r="C196" s="50" t="s">
        <v>636</v>
      </c>
      <c r="D196" s="50" t="s">
        <v>193</v>
      </c>
      <c r="E196" s="50" t="s">
        <v>637</v>
      </c>
    </row>
    <row r="197" spans="1:5" s="51" customFormat="1" x14ac:dyDescent="0.15">
      <c r="A197" s="50" t="s">
        <v>638</v>
      </c>
      <c r="B197" s="50" t="s">
        <v>639</v>
      </c>
      <c r="C197" s="50" t="s">
        <v>640</v>
      </c>
      <c r="D197" s="50" t="s">
        <v>106</v>
      </c>
      <c r="E197" s="50" t="s">
        <v>641</v>
      </c>
    </row>
    <row r="198" spans="1:5" s="51" customFormat="1" x14ac:dyDescent="0.15">
      <c r="A198" s="50" t="s">
        <v>642</v>
      </c>
      <c r="B198" s="50" t="s">
        <v>643</v>
      </c>
      <c r="C198" s="50" t="s">
        <v>644</v>
      </c>
      <c r="D198" s="50" t="s">
        <v>645</v>
      </c>
      <c r="E198" s="50" t="s">
        <v>646</v>
      </c>
    </row>
    <row r="199" spans="1:5" s="51" customFormat="1" x14ac:dyDescent="0.15">
      <c r="A199" s="50" t="s">
        <v>647</v>
      </c>
      <c r="B199" s="50" t="s">
        <v>648</v>
      </c>
      <c r="C199" s="50" t="s">
        <v>649</v>
      </c>
      <c r="D199" s="50" t="s">
        <v>193</v>
      </c>
      <c r="E199" s="50" t="s">
        <v>650</v>
      </c>
    </row>
    <row r="200" spans="1:5" s="51" customFormat="1" x14ac:dyDescent="0.15">
      <c r="A200" s="50" t="s">
        <v>651</v>
      </c>
      <c r="B200" s="50" t="s">
        <v>652</v>
      </c>
      <c r="C200" s="50" t="s">
        <v>653</v>
      </c>
      <c r="D200" s="50" t="s">
        <v>645</v>
      </c>
      <c r="E200" s="50" t="s">
        <v>654</v>
      </c>
    </row>
    <row r="201" spans="1:5" s="51" customFormat="1" x14ac:dyDescent="0.15">
      <c r="A201" s="50" t="s">
        <v>608</v>
      </c>
      <c r="B201" s="50" t="s">
        <v>655</v>
      </c>
      <c r="C201" s="50" t="s">
        <v>656</v>
      </c>
      <c r="D201" s="50" t="s">
        <v>645</v>
      </c>
      <c r="E201" s="50" t="s">
        <v>657</v>
      </c>
    </row>
    <row r="202" spans="1:5" s="51" customFormat="1" x14ac:dyDescent="0.15">
      <c r="A202" s="50" t="s">
        <v>658</v>
      </c>
      <c r="B202" s="50" t="s">
        <v>659</v>
      </c>
      <c r="C202" s="50" t="s">
        <v>660</v>
      </c>
      <c r="D202" s="50" t="s">
        <v>661</v>
      </c>
      <c r="E202" s="50" t="s">
        <v>662</v>
      </c>
    </row>
    <row r="203" spans="1:5" s="51" customFormat="1" x14ac:dyDescent="0.15">
      <c r="A203" s="50" t="s">
        <v>663</v>
      </c>
      <c r="B203" s="50" t="s">
        <v>664</v>
      </c>
      <c r="C203" s="50" t="s">
        <v>665</v>
      </c>
      <c r="D203" s="50" t="s">
        <v>442</v>
      </c>
      <c r="E203" s="50" t="s">
        <v>666</v>
      </c>
    </row>
    <row r="204" spans="1:5" s="51" customFormat="1" x14ac:dyDescent="0.15">
      <c r="A204" s="50" t="s">
        <v>667</v>
      </c>
      <c r="B204" s="50" t="s">
        <v>668</v>
      </c>
      <c r="C204" s="50" t="s">
        <v>669</v>
      </c>
      <c r="D204" s="50" t="s">
        <v>670</v>
      </c>
      <c r="E204" s="50" t="s">
        <v>671</v>
      </c>
    </row>
    <row r="205" spans="1:5" s="51" customFormat="1" x14ac:dyDescent="0.15">
      <c r="A205" s="50" t="s">
        <v>672</v>
      </c>
      <c r="B205" s="50" t="s">
        <v>673</v>
      </c>
      <c r="C205" s="50" t="s">
        <v>674</v>
      </c>
      <c r="D205" s="50" t="s">
        <v>675</v>
      </c>
      <c r="E205" s="50" t="s">
        <v>676</v>
      </c>
    </row>
    <row r="206" spans="1:5" s="51" customFormat="1" x14ac:dyDescent="0.15">
      <c r="A206" s="50" t="s">
        <v>677</v>
      </c>
      <c r="B206" s="50" t="s">
        <v>678</v>
      </c>
      <c r="C206" s="50" t="s">
        <v>679</v>
      </c>
      <c r="D206" s="50" t="s">
        <v>675</v>
      </c>
      <c r="E206" s="50" t="s">
        <v>680</v>
      </c>
    </row>
    <row r="207" spans="1:5" s="51" customFormat="1" x14ac:dyDescent="0.15">
      <c r="A207" s="50" t="s">
        <v>681</v>
      </c>
      <c r="B207" s="50" t="s">
        <v>682</v>
      </c>
      <c r="C207" s="50" t="s">
        <v>683</v>
      </c>
      <c r="D207" s="50" t="s">
        <v>684</v>
      </c>
      <c r="E207" s="50" t="s">
        <v>685</v>
      </c>
    </row>
    <row r="208" spans="1:5" s="51" customFormat="1" x14ac:dyDescent="0.15">
      <c r="A208" s="50" t="s">
        <v>686</v>
      </c>
      <c r="B208" s="50" t="s">
        <v>687</v>
      </c>
      <c r="C208" s="50" t="s">
        <v>688</v>
      </c>
      <c r="D208" s="50" t="s">
        <v>675</v>
      </c>
      <c r="E208" s="50" t="s">
        <v>689</v>
      </c>
    </row>
    <row r="209" spans="1:5" s="51" customFormat="1" x14ac:dyDescent="0.15">
      <c r="A209" s="50" t="s">
        <v>690</v>
      </c>
      <c r="B209" s="50" t="s">
        <v>691</v>
      </c>
      <c r="C209" s="50" t="s">
        <v>692</v>
      </c>
      <c r="D209" s="50" t="s">
        <v>76</v>
      </c>
      <c r="E209" s="50" t="s">
        <v>693</v>
      </c>
    </row>
    <row r="210" spans="1:5" s="51" customFormat="1" x14ac:dyDescent="0.15">
      <c r="A210" s="50" t="s">
        <v>523</v>
      </c>
      <c r="B210" s="50" t="s">
        <v>694</v>
      </c>
      <c r="C210" s="50" t="s">
        <v>695</v>
      </c>
      <c r="D210" s="50" t="s">
        <v>626</v>
      </c>
      <c r="E210" s="50" t="s">
        <v>696</v>
      </c>
    </row>
    <row r="211" spans="1:5" s="51" customFormat="1" x14ac:dyDescent="0.15">
      <c r="A211" s="50" t="s">
        <v>697</v>
      </c>
      <c r="B211" s="50" t="s">
        <v>698</v>
      </c>
      <c r="C211" s="50" t="s">
        <v>699</v>
      </c>
      <c r="D211" s="50" t="s">
        <v>626</v>
      </c>
      <c r="E211" s="50" t="s">
        <v>700</v>
      </c>
    </row>
    <row r="212" spans="1:5" s="51" customFormat="1" x14ac:dyDescent="0.15">
      <c r="A212" s="50" t="s">
        <v>537</v>
      </c>
      <c r="B212" s="50" t="s">
        <v>701</v>
      </c>
      <c r="C212" s="50" t="s">
        <v>702</v>
      </c>
      <c r="D212" s="50" t="s">
        <v>703</v>
      </c>
      <c r="E212" s="50" t="s">
        <v>704</v>
      </c>
    </row>
    <row r="213" spans="1:5" s="51" customFormat="1" x14ac:dyDescent="0.15">
      <c r="A213" s="50" t="s">
        <v>532</v>
      </c>
      <c r="B213" s="50" t="s">
        <v>705</v>
      </c>
      <c r="C213" s="50" t="s">
        <v>706</v>
      </c>
      <c r="D213" s="50" t="s">
        <v>703</v>
      </c>
      <c r="E213" s="50" t="s">
        <v>707</v>
      </c>
    </row>
    <row r="214" spans="1:5" s="51" customFormat="1" x14ac:dyDescent="0.15">
      <c r="A214" s="50" t="s">
        <v>708</v>
      </c>
      <c r="B214" s="50" t="s">
        <v>709</v>
      </c>
      <c r="C214" s="50" t="s">
        <v>710</v>
      </c>
      <c r="D214" s="50" t="s">
        <v>703</v>
      </c>
      <c r="E214" s="50" t="s">
        <v>711</v>
      </c>
    </row>
    <row r="215" spans="1:5" s="51" customFormat="1" x14ac:dyDescent="0.15">
      <c r="A215" s="50" t="s">
        <v>712</v>
      </c>
      <c r="B215" s="50" t="s">
        <v>713</v>
      </c>
      <c r="C215" s="50" t="s">
        <v>714</v>
      </c>
      <c r="D215" s="50" t="s">
        <v>76</v>
      </c>
      <c r="E215" s="50" t="s">
        <v>715</v>
      </c>
    </row>
    <row r="216" spans="1:5" s="51" customFormat="1" x14ac:dyDescent="0.15">
      <c r="A216" s="50" t="s">
        <v>716</v>
      </c>
      <c r="B216" s="50" t="s">
        <v>717</v>
      </c>
      <c r="C216" s="50" t="s">
        <v>718</v>
      </c>
      <c r="D216" s="50" t="s">
        <v>76</v>
      </c>
      <c r="E216" s="50" t="s">
        <v>719</v>
      </c>
    </row>
    <row r="217" spans="1:5" s="51" customFormat="1" x14ac:dyDescent="0.15">
      <c r="A217" s="50" t="s">
        <v>720</v>
      </c>
      <c r="B217" s="50" t="s">
        <v>721</v>
      </c>
      <c r="C217" s="50" t="s">
        <v>722</v>
      </c>
      <c r="D217" s="50" t="s">
        <v>76</v>
      </c>
      <c r="E217" s="50" t="s">
        <v>723</v>
      </c>
    </row>
    <row r="218" spans="1:5" s="51" customFormat="1" x14ac:dyDescent="0.15">
      <c r="A218" s="50" t="s">
        <v>724</v>
      </c>
      <c r="B218" s="50" t="s">
        <v>725</v>
      </c>
      <c r="C218" s="50" t="s">
        <v>726</v>
      </c>
      <c r="D218" s="50" t="s">
        <v>727</v>
      </c>
      <c r="E218" s="50" t="s">
        <v>728</v>
      </c>
    </row>
    <row r="219" spans="1:5" s="51" customFormat="1" x14ac:dyDescent="0.15">
      <c r="A219" s="50" t="s">
        <v>729</v>
      </c>
      <c r="B219" s="50" t="s">
        <v>730</v>
      </c>
      <c r="C219" s="50" t="s">
        <v>731</v>
      </c>
      <c r="D219" s="50" t="s">
        <v>727</v>
      </c>
      <c r="E219" s="50" t="s">
        <v>732</v>
      </c>
    </row>
    <row r="220" spans="1:5" s="51" customFormat="1" x14ac:dyDescent="0.15">
      <c r="A220" s="50" t="s">
        <v>733</v>
      </c>
      <c r="B220" s="50" t="s">
        <v>734</v>
      </c>
      <c r="C220" s="50" t="s">
        <v>735</v>
      </c>
      <c r="D220" s="50" t="s">
        <v>736</v>
      </c>
      <c r="E220" s="50" t="s">
        <v>737</v>
      </c>
    </row>
    <row r="221" spans="1:5" s="51" customFormat="1" x14ac:dyDescent="0.15">
      <c r="A221" s="50" t="s">
        <v>738</v>
      </c>
      <c r="B221" s="50" t="s">
        <v>739</v>
      </c>
      <c r="C221" s="50" t="s">
        <v>740</v>
      </c>
      <c r="D221" s="50" t="s">
        <v>741</v>
      </c>
      <c r="E221" s="50" t="s">
        <v>742</v>
      </c>
    </row>
    <row r="222" spans="1:5" s="51" customFormat="1" x14ac:dyDescent="0.15">
      <c r="A222" s="50" t="s">
        <v>743</v>
      </c>
      <c r="B222" s="50" t="s">
        <v>744</v>
      </c>
      <c r="C222" s="50" t="s">
        <v>745</v>
      </c>
      <c r="D222" s="50" t="s">
        <v>741</v>
      </c>
      <c r="E222" s="50" t="s">
        <v>746</v>
      </c>
    </row>
    <row r="223" spans="1:5" s="51" customFormat="1" x14ac:dyDescent="0.15">
      <c r="A223" s="50" t="s">
        <v>747</v>
      </c>
      <c r="B223" s="50" t="s">
        <v>748</v>
      </c>
      <c r="C223" s="50" t="s">
        <v>749</v>
      </c>
      <c r="D223" s="50" t="s">
        <v>703</v>
      </c>
      <c r="E223" s="50" t="s">
        <v>750</v>
      </c>
    </row>
    <row r="224" spans="1:5" s="51" customFormat="1" x14ac:dyDescent="0.15">
      <c r="A224" s="50" t="s">
        <v>751</v>
      </c>
      <c r="B224" s="50" t="s">
        <v>752</v>
      </c>
      <c r="C224" s="50" t="s">
        <v>753</v>
      </c>
      <c r="D224" s="50" t="s">
        <v>703</v>
      </c>
      <c r="E224" s="50" t="s">
        <v>754</v>
      </c>
    </row>
    <row r="225" spans="1:5" s="51" customFormat="1" x14ac:dyDescent="0.15">
      <c r="A225" s="50" t="s">
        <v>755</v>
      </c>
      <c r="B225" s="50" t="s">
        <v>756</v>
      </c>
      <c r="C225" s="50" t="s">
        <v>757</v>
      </c>
      <c r="D225" s="50" t="s">
        <v>703</v>
      </c>
      <c r="E225" s="50" t="s">
        <v>758</v>
      </c>
    </row>
    <row r="226" spans="1:5" s="51" customFormat="1" x14ac:dyDescent="0.15">
      <c r="A226" s="50" t="s">
        <v>759</v>
      </c>
      <c r="B226" s="50" t="s">
        <v>760</v>
      </c>
      <c r="C226" s="50" t="s">
        <v>761</v>
      </c>
      <c r="D226" s="50" t="s">
        <v>741</v>
      </c>
      <c r="E226" s="50" t="s">
        <v>762</v>
      </c>
    </row>
    <row r="227" spans="1:5" s="51" customFormat="1" x14ac:dyDescent="0.15">
      <c r="A227" s="50" t="s">
        <v>763</v>
      </c>
      <c r="B227" s="50" t="s">
        <v>764</v>
      </c>
      <c r="C227" s="50" t="s">
        <v>765</v>
      </c>
      <c r="D227" s="50" t="s">
        <v>766</v>
      </c>
      <c r="E227" s="50" t="s">
        <v>767</v>
      </c>
    </row>
    <row r="228" spans="1:5" s="51" customFormat="1" x14ac:dyDescent="0.15">
      <c r="A228" s="50" t="s">
        <v>768</v>
      </c>
      <c r="B228" s="50" t="s">
        <v>769</v>
      </c>
      <c r="C228" s="50" t="s">
        <v>770</v>
      </c>
      <c r="D228" s="50" t="s">
        <v>155</v>
      </c>
      <c r="E228" s="50" t="s">
        <v>771</v>
      </c>
    </row>
    <row r="229" spans="1:5" s="51" customFormat="1" x14ac:dyDescent="0.15">
      <c r="A229" s="50" t="s">
        <v>772</v>
      </c>
      <c r="B229" s="50" t="s">
        <v>773</v>
      </c>
      <c r="C229" s="50" t="s">
        <v>774</v>
      </c>
      <c r="D229" s="50" t="s">
        <v>155</v>
      </c>
      <c r="E229" s="50" t="s">
        <v>775</v>
      </c>
    </row>
    <row r="230" spans="1:5" s="51" customFormat="1" x14ac:dyDescent="0.15">
      <c r="A230" s="50" t="s">
        <v>776</v>
      </c>
      <c r="B230" s="50" t="s">
        <v>777</v>
      </c>
      <c r="C230" s="50" t="s">
        <v>778</v>
      </c>
      <c r="D230" s="50" t="s">
        <v>741</v>
      </c>
      <c r="E230" s="50" t="s">
        <v>779</v>
      </c>
    </row>
    <row r="231" spans="1:5" s="51" customFormat="1" x14ac:dyDescent="0.15">
      <c r="A231" s="50" t="s">
        <v>780</v>
      </c>
      <c r="B231" s="50" t="s">
        <v>781</v>
      </c>
      <c r="C231" s="50" t="s">
        <v>782</v>
      </c>
      <c r="D231" s="50" t="s">
        <v>741</v>
      </c>
      <c r="E231" s="50" t="s">
        <v>783</v>
      </c>
    </row>
    <row r="232" spans="1:5" s="51" customFormat="1" x14ac:dyDescent="0.15">
      <c r="A232" s="50" t="s">
        <v>784</v>
      </c>
      <c r="B232" s="50" t="s">
        <v>785</v>
      </c>
      <c r="C232" s="50" t="s">
        <v>786</v>
      </c>
      <c r="D232" s="50" t="s">
        <v>766</v>
      </c>
      <c r="E232" s="50" t="s">
        <v>787</v>
      </c>
    </row>
    <row r="233" spans="1:5" s="51" customFormat="1" x14ac:dyDescent="0.15">
      <c r="A233" s="50" t="s">
        <v>788</v>
      </c>
      <c r="B233" s="50" t="s">
        <v>789</v>
      </c>
      <c r="C233" s="50" t="s">
        <v>790</v>
      </c>
      <c r="D233" s="50" t="s">
        <v>583</v>
      </c>
      <c r="E233" s="50" t="s">
        <v>791</v>
      </c>
    </row>
    <row r="234" spans="1:5" s="51" customFormat="1" x14ac:dyDescent="0.15">
      <c r="A234" s="50" t="s">
        <v>792</v>
      </c>
      <c r="B234" s="50" t="s">
        <v>793</v>
      </c>
      <c r="C234" s="50" t="s">
        <v>794</v>
      </c>
      <c r="D234" s="50" t="s">
        <v>155</v>
      </c>
      <c r="E234" s="50" t="s">
        <v>795</v>
      </c>
    </row>
    <row r="235" spans="1:5" s="51" customFormat="1" x14ac:dyDescent="0.15">
      <c r="A235" s="50" t="s">
        <v>796</v>
      </c>
      <c r="B235" s="50" t="s">
        <v>797</v>
      </c>
      <c r="C235" s="50" t="s">
        <v>798</v>
      </c>
      <c r="D235" s="50" t="s">
        <v>155</v>
      </c>
      <c r="E235" s="50" t="s">
        <v>799</v>
      </c>
    </row>
    <row r="236" spans="1:5" s="51" customFormat="1" x14ac:dyDescent="0.15">
      <c r="A236" s="50" t="s">
        <v>800</v>
      </c>
      <c r="B236" s="50" t="s">
        <v>801</v>
      </c>
      <c r="C236" s="50" t="s">
        <v>802</v>
      </c>
      <c r="D236" s="50" t="s">
        <v>155</v>
      </c>
      <c r="E236" s="50" t="s">
        <v>803</v>
      </c>
    </row>
    <row r="237" spans="1:5" s="51" customFormat="1" x14ac:dyDescent="0.15">
      <c r="A237" s="50" t="s">
        <v>804</v>
      </c>
      <c r="B237" s="50" t="s">
        <v>805</v>
      </c>
      <c r="C237" s="50" t="s">
        <v>806</v>
      </c>
      <c r="D237" s="50" t="s">
        <v>155</v>
      </c>
      <c r="E237" s="50" t="s">
        <v>807</v>
      </c>
    </row>
    <row r="238" spans="1:5" s="51" customFormat="1" x14ac:dyDescent="0.15">
      <c r="A238" s="50" t="s">
        <v>808</v>
      </c>
      <c r="B238" s="50" t="s">
        <v>809</v>
      </c>
      <c r="C238" s="50" t="s">
        <v>810</v>
      </c>
      <c r="D238" s="50" t="s">
        <v>811</v>
      </c>
      <c r="E238" s="50" t="s">
        <v>812</v>
      </c>
    </row>
    <row r="239" spans="1:5" s="51" customFormat="1" x14ac:dyDescent="0.15">
      <c r="A239" s="50" t="s">
        <v>813</v>
      </c>
      <c r="B239" s="50" t="s">
        <v>814</v>
      </c>
      <c r="C239" s="50" t="s">
        <v>815</v>
      </c>
      <c r="D239" s="50" t="s">
        <v>816</v>
      </c>
      <c r="E239" s="50" t="s">
        <v>817</v>
      </c>
    </row>
    <row r="240" spans="1:5" s="51" customFormat="1" x14ac:dyDescent="0.15">
      <c r="A240" s="50" t="s">
        <v>818</v>
      </c>
      <c r="B240" s="50" t="s">
        <v>819</v>
      </c>
      <c r="C240" s="50" t="s">
        <v>820</v>
      </c>
      <c r="D240" s="50" t="s">
        <v>821</v>
      </c>
      <c r="E240" s="50" t="s">
        <v>822</v>
      </c>
    </row>
    <row r="241" spans="1:5" s="51" customFormat="1" x14ac:dyDescent="0.15">
      <c r="A241" s="50" t="s">
        <v>823</v>
      </c>
      <c r="B241" s="50" t="s">
        <v>824</v>
      </c>
      <c r="C241" s="50" t="s">
        <v>825</v>
      </c>
      <c r="D241" s="50" t="s">
        <v>816</v>
      </c>
      <c r="E241" s="50" t="s">
        <v>826</v>
      </c>
    </row>
    <row r="242" spans="1:5" s="51" customFormat="1" x14ac:dyDescent="0.15">
      <c r="A242" s="50" t="s">
        <v>827</v>
      </c>
      <c r="B242" s="50" t="s">
        <v>828</v>
      </c>
      <c r="C242" s="50" t="s">
        <v>829</v>
      </c>
      <c r="D242" s="50" t="s">
        <v>830</v>
      </c>
      <c r="E242" s="50" t="s">
        <v>831</v>
      </c>
    </row>
    <row r="243" spans="1:5" s="51" customFormat="1" x14ac:dyDescent="0.15">
      <c r="A243" s="50" t="s">
        <v>832</v>
      </c>
      <c r="B243" s="50" t="s">
        <v>833</v>
      </c>
      <c r="C243" s="50" t="s">
        <v>834</v>
      </c>
      <c r="D243" s="50" t="s">
        <v>835</v>
      </c>
      <c r="E243" s="50" t="s">
        <v>836</v>
      </c>
    </row>
    <row r="244" spans="1:5" s="51" customFormat="1" x14ac:dyDescent="0.15">
      <c r="A244" s="50" t="s">
        <v>837</v>
      </c>
      <c r="B244" s="50" t="s">
        <v>838</v>
      </c>
      <c r="C244" s="50" t="s">
        <v>839</v>
      </c>
      <c r="D244" s="50" t="s">
        <v>835</v>
      </c>
      <c r="E244" s="50" t="s">
        <v>840</v>
      </c>
    </row>
    <row r="245" spans="1:5" s="51" customFormat="1" x14ac:dyDescent="0.15">
      <c r="A245" s="50" t="s">
        <v>841</v>
      </c>
      <c r="B245" s="50" t="s">
        <v>842</v>
      </c>
      <c r="C245" s="50" t="s">
        <v>843</v>
      </c>
      <c r="D245" s="50" t="s">
        <v>844</v>
      </c>
      <c r="E245" s="50" t="s">
        <v>845</v>
      </c>
    </row>
    <row r="246" spans="1:5" s="51" customFormat="1" x14ac:dyDescent="0.15">
      <c r="A246" s="50" t="s">
        <v>846</v>
      </c>
      <c r="B246" s="50" t="s">
        <v>847</v>
      </c>
      <c r="C246" s="50" t="s">
        <v>848</v>
      </c>
      <c r="D246" s="50" t="s">
        <v>830</v>
      </c>
      <c r="E246" s="50" t="s">
        <v>849</v>
      </c>
    </row>
    <row r="247" spans="1:5" s="51" customFormat="1" x14ac:dyDescent="0.15">
      <c r="A247" s="50" t="s">
        <v>850</v>
      </c>
      <c r="B247" s="50" t="s">
        <v>851</v>
      </c>
      <c r="C247" s="50" t="s">
        <v>852</v>
      </c>
      <c r="D247" s="50" t="s">
        <v>816</v>
      </c>
      <c r="E247" s="50" t="s">
        <v>853</v>
      </c>
    </row>
    <row r="248" spans="1:5" s="51" customFormat="1" x14ac:dyDescent="0.15">
      <c r="A248" s="50" t="s">
        <v>854</v>
      </c>
      <c r="B248" s="50" t="s">
        <v>855</v>
      </c>
      <c r="C248" s="50" t="s">
        <v>856</v>
      </c>
      <c r="D248" s="50" t="s">
        <v>857</v>
      </c>
      <c r="E248" s="50" t="s">
        <v>858</v>
      </c>
    </row>
    <row r="249" spans="1:5" s="51" customFormat="1" x14ac:dyDescent="0.15">
      <c r="A249" s="50" t="s">
        <v>859</v>
      </c>
      <c r="B249" s="50" t="s">
        <v>860</v>
      </c>
      <c r="C249" s="50" t="s">
        <v>861</v>
      </c>
      <c r="D249" s="50" t="s">
        <v>862</v>
      </c>
      <c r="E249" s="50" t="s">
        <v>863</v>
      </c>
    </row>
    <row r="250" spans="1:5" s="51" customFormat="1" x14ac:dyDescent="0.15">
      <c r="A250" s="50" t="s">
        <v>864</v>
      </c>
      <c r="B250" s="50" t="s">
        <v>865</v>
      </c>
      <c r="C250" s="50" t="s">
        <v>866</v>
      </c>
      <c r="D250" s="50" t="s">
        <v>862</v>
      </c>
      <c r="E250" s="50" t="s">
        <v>867</v>
      </c>
    </row>
    <row r="251" spans="1:5" s="51" customFormat="1" x14ac:dyDescent="0.15">
      <c r="A251" s="50" t="s">
        <v>868</v>
      </c>
      <c r="B251" s="50" t="s">
        <v>869</v>
      </c>
      <c r="C251" s="50" t="s">
        <v>870</v>
      </c>
      <c r="D251" s="50" t="s">
        <v>862</v>
      </c>
      <c r="E251" s="50" t="s">
        <v>871</v>
      </c>
    </row>
    <row r="252" spans="1:5" s="51" customFormat="1" x14ac:dyDescent="0.15">
      <c r="A252" s="50" t="s">
        <v>872</v>
      </c>
      <c r="B252" s="50" t="s">
        <v>873</v>
      </c>
      <c r="C252" s="50" t="s">
        <v>874</v>
      </c>
      <c r="D252" s="50" t="s">
        <v>830</v>
      </c>
      <c r="E252" s="50" t="s">
        <v>875</v>
      </c>
    </row>
    <row r="253" spans="1:5" s="51" customFormat="1" x14ac:dyDescent="0.15">
      <c r="A253" s="50" t="s">
        <v>876</v>
      </c>
      <c r="B253" s="50" t="s">
        <v>877</v>
      </c>
      <c r="C253" s="50" t="s">
        <v>878</v>
      </c>
      <c r="D253" s="50" t="s">
        <v>830</v>
      </c>
      <c r="E253" s="50" t="s">
        <v>879</v>
      </c>
    </row>
    <row r="254" spans="1:5" s="51" customFormat="1" x14ac:dyDescent="0.15">
      <c r="A254" s="50" t="s">
        <v>880</v>
      </c>
      <c r="B254" s="50" t="s">
        <v>881</v>
      </c>
      <c r="C254" s="50" t="s">
        <v>882</v>
      </c>
      <c r="D254" s="50" t="s">
        <v>816</v>
      </c>
      <c r="E254" s="50" t="s">
        <v>883</v>
      </c>
    </row>
    <row r="255" spans="1:5" s="51" customFormat="1" x14ac:dyDescent="0.15">
      <c r="A255" s="50" t="s">
        <v>884</v>
      </c>
      <c r="B255" s="50" t="s">
        <v>885</v>
      </c>
      <c r="C255" s="50" t="s">
        <v>886</v>
      </c>
      <c r="D255" s="50" t="s">
        <v>816</v>
      </c>
      <c r="E255" s="50" t="s">
        <v>887</v>
      </c>
    </row>
    <row r="256" spans="1:5" s="51" customFormat="1" x14ac:dyDescent="0.15">
      <c r="A256" s="50" t="s">
        <v>888</v>
      </c>
      <c r="B256" s="50" t="s">
        <v>889</v>
      </c>
      <c r="C256" s="50" t="s">
        <v>890</v>
      </c>
      <c r="D256" s="50" t="s">
        <v>816</v>
      </c>
      <c r="E256" s="50" t="s">
        <v>891</v>
      </c>
    </row>
    <row r="257" spans="1:5" s="51" customFormat="1" x14ac:dyDescent="0.15">
      <c r="A257" s="50" t="s">
        <v>892</v>
      </c>
      <c r="B257" s="50" t="s">
        <v>893</v>
      </c>
      <c r="C257" s="50" t="s">
        <v>894</v>
      </c>
      <c r="D257" s="50" t="s">
        <v>816</v>
      </c>
      <c r="E257" s="50" t="s">
        <v>895</v>
      </c>
    </row>
    <row r="258" spans="1:5" s="51" customFormat="1" x14ac:dyDescent="0.15">
      <c r="A258" s="50" t="s">
        <v>896</v>
      </c>
      <c r="B258" s="50" t="s">
        <v>897</v>
      </c>
      <c r="C258" s="50" t="s">
        <v>898</v>
      </c>
      <c r="D258" s="50" t="s">
        <v>816</v>
      </c>
      <c r="E258" s="50" t="s">
        <v>899</v>
      </c>
    </row>
    <row r="259" spans="1:5" s="51" customFormat="1" x14ac:dyDescent="0.15">
      <c r="A259" s="50" t="s">
        <v>900</v>
      </c>
      <c r="B259" s="50" t="s">
        <v>901</v>
      </c>
      <c r="C259" s="50" t="s">
        <v>902</v>
      </c>
      <c r="D259" s="50" t="s">
        <v>830</v>
      </c>
      <c r="E259" s="50" t="s">
        <v>903</v>
      </c>
    </row>
    <row r="260" spans="1:5" s="51" customFormat="1" x14ac:dyDescent="0.15">
      <c r="A260" s="50" t="s">
        <v>904</v>
      </c>
      <c r="B260" s="50" t="s">
        <v>905</v>
      </c>
      <c r="C260" s="50" t="s">
        <v>906</v>
      </c>
      <c r="D260" s="50" t="s">
        <v>830</v>
      </c>
      <c r="E260" s="50" t="s">
        <v>907</v>
      </c>
    </row>
    <row r="261" spans="1:5" s="51" customFormat="1" x14ac:dyDescent="0.15">
      <c r="A261" s="50" t="s">
        <v>908</v>
      </c>
      <c r="B261" s="50" t="s">
        <v>909</v>
      </c>
      <c r="C261" s="50" t="s">
        <v>910</v>
      </c>
      <c r="D261" s="50" t="s">
        <v>844</v>
      </c>
      <c r="E261" s="50" t="s">
        <v>911</v>
      </c>
    </row>
    <row r="262" spans="1:5" s="51" customFormat="1" x14ac:dyDescent="0.15">
      <c r="A262" s="50" t="s">
        <v>912</v>
      </c>
      <c r="B262" s="50" t="s">
        <v>913</v>
      </c>
      <c r="C262" s="50" t="s">
        <v>914</v>
      </c>
      <c r="D262" s="50" t="s">
        <v>835</v>
      </c>
      <c r="E262" s="50" t="s">
        <v>915</v>
      </c>
    </row>
    <row r="263" spans="1:5" s="51" customFormat="1" x14ac:dyDescent="0.15">
      <c r="A263" s="50" t="s">
        <v>916</v>
      </c>
      <c r="B263" s="50" t="s">
        <v>917</v>
      </c>
      <c r="C263" s="50" t="s">
        <v>918</v>
      </c>
      <c r="D263" s="50" t="s">
        <v>835</v>
      </c>
      <c r="E263" s="50" t="s">
        <v>919</v>
      </c>
    </row>
    <row r="264" spans="1:5" s="51" customFormat="1" x14ac:dyDescent="0.15">
      <c r="A264" s="50" t="s">
        <v>920</v>
      </c>
      <c r="B264" s="50" t="s">
        <v>921</v>
      </c>
      <c r="C264" s="50" t="s">
        <v>922</v>
      </c>
      <c r="D264" s="50" t="s">
        <v>844</v>
      </c>
      <c r="E264" s="50" t="s">
        <v>923</v>
      </c>
    </row>
    <row r="265" spans="1:5" s="51" customFormat="1" x14ac:dyDescent="0.15">
      <c r="A265" s="50" t="s">
        <v>924</v>
      </c>
      <c r="B265" s="50" t="s">
        <v>925</v>
      </c>
      <c r="C265" s="50" t="s">
        <v>926</v>
      </c>
      <c r="D265" s="50" t="s">
        <v>927</v>
      </c>
      <c r="E265" s="50" t="s">
        <v>928</v>
      </c>
    </row>
    <row r="266" spans="1:5" s="51" customFormat="1" x14ac:dyDescent="0.15">
      <c r="A266" s="50" t="s">
        <v>929</v>
      </c>
      <c r="B266" s="50" t="s">
        <v>930</v>
      </c>
      <c r="C266" s="50" t="s">
        <v>931</v>
      </c>
      <c r="D266" s="50" t="s">
        <v>844</v>
      </c>
      <c r="E266" s="50" t="s">
        <v>932</v>
      </c>
    </row>
    <row r="267" spans="1:5" s="51" customFormat="1" x14ac:dyDescent="0.15">
      <c r="A267" s="50" t="s">
        <v>933</v>
      </c>
      <c r="B267" s="50" t="s">
        <v>934</v>
      </c>
      <c r="C267" s="50" t="s">
        <v>935</v>
      </c>
      <c r="D267" s="50" t="s">
        <v>821</v>
      </c>
      <c r="E267" s="50" t="s">
        <v>936</v>
      </c>
    </row>
    <row r="268" spans="1:5" s="51" customFormat="1" x14ac:dyDescent="0.15">
      <c r="A268" s="50" t="s">
        <v>937</v>
      </c>
      <c r="B268" s="50" t="s">
        <v>938</v>
      </c>
      <c r="C268" s="50" t="s">
        <v>939</v>
      </c>
      <c r="D268" s="50" t="s">
        <v>844</v>
      </c>
      <c r="E268" s="50" t="s">
        <v>940</v>
      </c>
    </row>
    <row r="269" spans="1:5" s="51" customFormat="1" x14ac:dyDescent="0.15">
      <c r="A269" s="50" t="s">
        <v>941</v>
      </c>
      <c r="B269" s="50" t="s">
        <v>942</v>
      </c>
      <c r="C269" s="50" t="s">
        <v>943</v>
      </c>
      <c r="D269" s="50" t="s">
        <v>844</v>
      </c>
      <c r="E269" s="50" t="s">
        <v>944</v>
      </c>
    </row>
    <row r="270" spans="1:5" s="51" customFormat="1" x14ac:dyDescent="0.15">
      <c r="A270" s="50" t="s">
        <v>945</v>
      </c>
      <c r="B270" s="50" t="s">
        <v>946</v>
      </c>
      <c r="C270" s="50" t="s">
        <v>947</v>
      </c>
      <c r="D270" s="50" t="s">
        <v>844</v>
      </c>
      <c r="E270" s="50" t="s">
        <v>948</v>
      </c>
    </row>
    <row r="271" spans="1:5" s="51" customFormat="1" x14ac:dyDescent="0.15">
      <c r="A271" s="50" t="s">
        <v>949</v>
      </c>
      <c r="B271" s="50" t="s">
        <v>950</v>
      </c>
      <c r="C271" s="50" t="s">
        <v>951</v>
      </c>
      <c r="D271" s="50" t="s">
        <v>844</v>
      </c>
      <c r="E271" s="50" t="s">
        <v>952</v>
      </c>
    </row>
    <row r="272" spans="1:5" s="51" customFormat="1" x14ac:dyDescent="0.15">
      <c r="A272" s="50" t="s">
        <v>953</v>
      </c>
      <c r="B272" s="50" t="s">
        <v>954</v>
      </c>
      <c r="C272" s="50" t="s">
        <v>955</v>
      </c>
      <c r="D272" s="50" t="s">
        <v>956</v>
      </c>
      <c r="E272" s="50" t="s">
        <v>957</v>
      </c>
    </row>
    <row r="273" spans="1:5" s="51" customFormat="1" x14ac:dyDescent="0.15">
      <c r="A273" s="50" t="s">
        <v>958</v>
      </c>
      <c r="B273" s="50" t="s">
        <v>959</v>
      </c>
      <c r="C273" s="50" t="s">
        <v>960</v>
      </c>
      <c r="D273" s="50" t="s">
        <v>821</v>
      </c>
      <c r="E273" s="50" t="s">
        <v>961</v>
      </c>
    </row>
    <row r="274" spans="1:5" s="51" customFormat="1" x14ac:dyDescent="0.15">
      <c r="A274" s="50" t="s">
        <v>962</v>
      </c>
      <c r="B274" s="50" t="s">
        <v>963</v>
      </c>
      <c r="C274" s="50" t="s">
        <v>964</v>
      </c>
      <c r="D274" s="50" t="s">
        <v>956</v>
      </c>
      <c r="E274" s="50" t="s">
        <v>965</v>
      </c>
    </row>
    <row r="275" spans="1:5" s="51" customFormat="1" x14ac:dyDescent="0.15">
      <c r="A275" s="50" t="s">
        <v>966</v>
      </c>
      <c r="B275" s="50" t="s">
        <v>967</v>
      </c>
      <c r="C275" s="50" t="s">
        <v>968</v>
      </c>
      <c r="D275" s="50" t="s">
        <v>969</v>
      </c>
      <c r="E275" s="50" t="s">
        <v>970</v>
      </c>
    </row>
    <row r="276" spans="1:5" s="51" customFormat="1" x14ac:dyDescent="0.15">
      <c r="A276" s="50" t="s">
        <v>971</v>
      </c>
      <c r="B276" s="50" t="s">
        <v>972</v>
      </c>
      <c r="C276" s="50" t="s">
        <v>973</v>
      </c>
      <c r="D276" s="50" t="s">
        <v>821</v>
      </c>
      <c r="E276" s="50" t="s">
        <v>974</v>
      </c>
    </row>
    <row r="277" spans="1:5" s="51" customFormat="1" x14ac:dyDescent="0.15">
      <c r="A277" s="50" t="s">
        <v>975</v>
      </c>
      <c r="B277" s="50" t="s">
        <v>976</v>
      </c>
      <c r="C277" s="50" t="s">
        <v>977</v>
      </c>
      <c r="D277" s="50" t="s">
        <v>821</v>
      </c>
      <c r="E277" s="50" t="s">
        <v>978</v>
      </c>
    </row>
    <row r="278" spans="1:5" s="51" customFormat="1" x14ac:dyDescent="0.15">
      <c r="A278" s="50" t="s">
        <v>979</v>
      </c>
      <c r="B278" s="50" t="s">
        <v>980</v>
      </c>
      <c r="C278" s="50" t="s">
        <v>981</v>
      </c>
      <c r="D278" s="50" t="s">
        <v>982</v>
      </c>
      <c r="E278" s="50" t="s">
        <v>983</v>
      </c>
    </row>
    <row r="279" spans="1:5" s="51" customFormat="1" x14ac:dyDescent="0.15">
      <c r="A279" s="50" t="s">
        <v>984</v>
      </c>
      <c r="B279" s="50" t="s">
        <v>985</v>
      </c>
      <c r="C279" s="50" t="s">
        <v>986</v>
      </c>
      <c r="D279" s="50" t="s">
        <v>987</v>
      </c>
      <c r="E279" s="50" t="s">
        <v>988</v>
      </c>
    </row>
    <row r="280" spans="1:5" s="51" customFormat="1" x14ac:dyDescent="0.15">
      <c r="A280" s="50" t="s">
        <v>989</v>
      </c>
      <c r="B280" s="50" t="s">
        <v>990</v>
      </c>
      <c r="C280" s="50" t="s">
        <v>991</v>
      </c>
      <c r="D280" s="50" t="s">
        <v>992</v>
      </c>
      <c r="E280" s="50" t="s">
        <v>993</v>
      </c>
    </row>
    <row r="281" spans="1:5" s="51" customFormat="1" x14ac:dyDescent="0.15">
      <c r="A281" s="50" t="s">
        <v>994</v>
      </c>
      <c r="B281" s="50" t="s">
        <v>995</v>
      </c>
      <c r="C281" s="50" t="s">
        <v>996</v>
      </c>
      <c r="D281" s="50" t="s">
        <v>997</v>
      </c>
      <c r="E281" s="50" t="s">
        <v>998</v>
      </c>
    </row>
    <row r="282" spans="1:5" s="51" customFormat="1" x14ac:dyDescent="0.15">
      <c r="A282" s="50" t="s">
        <v>999</v>
      </c>
      <c r="B282" s="50" t="s">
        <v>1000</v>
      </c>
      <c r="C282" s="50" t="s">
        <v>1001</v>
      </c>
      <c r="D282" s="50" t="s">
        <v>1002</v>
      </c>
      <c r="E282" s="50" t="s">
        <v>1003</v>
      </c>
    </row>
    <row r="283" spans="1:5" s="51" customFormat="1" x14ac:dyDescent="0.15">
      <c r="A283" s="50" t="s">
        <v>1004</v>
      </c>
      <c r="B283" s="50" t="s">
        <v>1005</v>
      </c>
      <c r="C283" s="50" t="s">
        <v>1006</v>
      </c>
      <c r="D283" s="50" t="s">
        <v>1007</v>
      </c>
      <c r="E283" s="50" t="s">
        <v>1008</v>
      </c>
    </row>
    <row r="284" spans="1:5" s="51" customFormat="1" x14ac:dyDescent="0.15">
      <c r="A284" s="50" t="s">
        <v>1009</v>
      </c>
      <c r="B284" s="50" t="s">
        <v>1010</v>
      </c>
      <c r="C284" s="50" t="s">
        <v>1011</v>
      </c>
      <c r="D284" s="50" t="s">
        <v>997</v>
      </c>
      <c r="E284" s="50" t="s">
        <v>1012</v>
      </c>
    </row>
    <row r="285" spans="1:5" s="51" customFormat="1" x14ac:dyDescent="0.15">
      <c r="A285" s="50" t="s">
        <v>1013</v>
      </c>
      <c r="B285" s="50" t="s">
        <v>1014</v>
      </c>
      <c r="C285" s="50" t="s">
        <v>1015</v>
      </c>
      <c r="D285" s="50" t="s">
        <v>1016</v>
      </c>
      <c r="E285" s="50" t="s">
        <v>1017</v>
      </c>
    </row>
    <row r="286" spans="1:5" s="51" customFormat="1" x14ac:dyDescent="0.15">
      <c r="A286" s="50" t="s">
        <v>1018</v>
      </c>
      <c r="B286" s="50" t="s">
        <v>1019</v>
      </c>
      <c r="C286" s="50" t="s">
        <v>1020</v>
      </c>
      <c r="D286" s="50" t="s">
        <v>992</v>
      </c>
      <c r="E286" s="50" t="s">
        <v>1021</v>
      </c>
    </row>
    <row r="287" spans="1:5" s="51" customFormat="1" x14ac:dyDescent="0.15">
      <c r="A287" s="50" t="s">
        <v>1022</v>
      </c>
      <c r="B287" s="50" t="s">
        <v>1023</v>
      </c>
      <c r="C287" s="50" t="s">
        <v>1024</v>
      </c>
      <c r="D287" s="50" t="s">
        <v>987</v>
      </c>
      <c r="E287" s="50" t="s">
        <v>1025</v>
      </c>
    </row>
    <row r="288" spans="1:5" s="51" customFormat="1" x14ac:dyDescent="0.15">
      <c r="A288" s="50" t="s">
        <v>1026</v>
      </c>
      <c r="B288" s="50" t="s">
        <v>1027</v>
      </c>
      <c r="C288" s="50" t="s">
        <v>1028</v>
      </c>
      <c r="D288" s="50" t="s">
        <v>1029</v>
      </c>
      <c r="E288" s="50" t="s">
        <v>1030</v>
      </c>
    </row>
    <row r="289" spans="1:5" s="51" customFormat="1" x14ac:dyDescent="0.15">
      <c r="A289" s="50" t="s">
        <v>1031</v>
      </c>
      <c r="B289" s="50" t="s">
        <v>1032</v>
      </c>
      <c r="C289" s="50" t="s">
        <v>1033</v>
      </c>
      <c r="D289" s="50" t="s">
        <v>1029</v>
      </c>
      <c r="E289" s="50" t="s">
        <v>1034</v>
      </c>
    </row>
    <row r="290" spans="1:5" s="51" customFormat="1" x14ac:dyDescent="0.15">
      <c r="A290" s="50" t="s">
        <v>1035</v>
      </c>
      <c r="B290" s="50" t="s">
        <v>1036</v>
      </c>
      <c r="C290" s="50" t="s">
        <v>1037</v>
      </c>
      <c r="D290" s="50" t="s">
        <v>1002</v>
      </c>
      <c r="E290" s="50" t="s">
        <v>1038</v>
      </c>
    </row>
    <row r="291" spans="1:5" s="51" customFormat="1" x14ac:dyDescent="0.15">
      <c r="A291" s="50" t="s">
        <v>1039</v>
      </c>
      <c r="B291" s="50" t="s">
        <v>1040</v>
      </c>
      <c r="C291" s="50" t="s">
        <v>1041</v>
      </c>
      <c r="D291" s="50" t="s">
        <v>982</v>
      </c>
      <c r="E291" s="50" t="s">
        <v>1042</v>
      </c>
    </row>
    <row r="292" spans="1:5" s="51" customFormat="1" x14ac:dyDescent="0.15">
      <c r="A292" s="50" t="s">
        <v>1043</v>
      </c>
      <c r="B292" s="50" t="s">
        <v>1044</v>
      </c>
      <c r="C292" s="50" t="s">
        <v>1045</v>
      </c>
      <c r="D292" s="50" t="s">
        <v>1029</v>
      </c>
      <c r="E292" s="50" t="s">
        <v>1046</v>
      </c>
    </row>
    <row r="293" spans="1:5" s="51" customFormat="1" x14ac:dyDescent="0.15">
      <c r="A293" s="50" t="s">
        <v>1047</v>
      </c>
      <c r="B293" s="50" t="s">
        <v>1048</v>
      </c>
      <c r="C293" s="50" t="s">
        <v>1049</v>
      </c>
      <c r="D293" s="50" t="s">
        <v>1029</v>
      </c>
      <c r="E293" s="50" t="s">
        <v>1050</v>
      </c>
    </row>
    <row r="294" spans="1:5" s="51" customFormat="1" x14ac:dyDescent="0.15">
      <c r="A294" s="50" t="s">
        <v>1051</v>
      </c>
      <c r="B294" s="50" t="s">
        <v>1052</v>
      </c>
      <c r="C294" s="50" t="s">
        <v>1053</v>
      </c>
      <c r="D294" s="50" t="s">
        <v>982</v>
      </c>
      <c r="E294" s="50" t="s">
        <v>1054</v>
      </c>
    </row>
    <row r="295" spans="1:5" s="51" customFormat="1" x14ac:dyDescent="0.15">
      <c r="A295" s="50" t="s">
        <v>1055</v>
      </c>
      <c r="B295" s="50" t="s">
        <v>1056</v>
      </c>
      <c r="C295" s="50" t="s">
        <v>1057</v>
      </c>
      <c r="D295" s="50" t="s">
        <v>982</v>
      </c>
      <c r="E295" s="50" t="s">
        <v>1058</v>
      </c>
    </row>
    <row r="296" spans="1:5" s="51" customFormat="1" x14ac:dyDescent="0.15">
      <c r="A296" s="50" t="s">
        <v>1059</v>
      </c>
      <c r="B296" s="50" t="s">
        <v>1060</v>
      </c>
      <c r="C296" s="50" t="s">
        <v>1061</v>
      </c>
      <c r="D296" s="50" t="s">
        <v>982</v>
      </c>
      <c r="E296" s="50" t="s">
        <v>1062</v>
      </c>
    </row>
    <row r="297" spans="1:5" s="51" customFormat="1" x14ac:dyDescent="0.15">
      <c r="A297" s="50" t="s">
        <v>1063</v>
      </c>
      <c r="B297" s="50" t="s">
        <v>1064</v>
      </c>
      <c r="C297" s="50" t="s">
        <v>1065</v>
      </c>
      <c r="D297" s="50" t="s">
        <v>1002</v>
      </c>
      <c r="E297" s="50" t="s">
        <v>1066</v>
      </c>
    </row>
    <row r="298" spans="1:5" s="51" customFormat="1" x14ac:dyDescent="0.15">
      <c r="A298" s="50" t="s">
        <v>1067</v>
      </c>
      <c r="B298" s="50" t="s">
        <v>1068</v>
      </c>
      <c r="C298" s="50" t="s">
        <v>1069</v>
      </c>
      <c r="D298" s="50" t="s">
        <v>1002</v>
      </c>
      <c r="E298" s="50" t="s">
        <v>1070</v>
      </c>
    </row>
    <row r="299" spans="1:5" s="51" customFormat="1" x14ac:dyDescent="0.15">
      <c r="A299" s="50" t="s">
        <v>1071</v>
      </c>
      <c r="B299" s="50" t="s">
        <v>1072</v>
      </c>
      <c r="C299" s="50" t="s">
        <v>1073</v>
      </c>
      <c r="D299" s="50" t="s">
        <v>1016</v>
      </c>
      <c r="E299" s="50" t="s">
        <v>1074</v>
      </c>
    </row>
    <row r="300" spans="1:5" s="51" customFormat="1" x14ac:dyDescent="0.15">
      <c r="A300" s="50" t="s">
        <v>1075</v>
      </c>
      <c r="B300" s="50" t="s">
        <v>1076</v>
      </c>
      <c r="C300" s="50" t="s">
        <v>1077</v>
      </c>
      <c r="D300" s="50" t="s">
        <v>992</v>
      </c>
      <c r="E300" s="50" t="s">
        <v>1078</v>
      </c>
    </row>
    <row r="301" spans="1:5" s="51" customFormat="1" x14ac:dyDescent="0.15">
      <c r="A301" s="50" t="s">
        <v>1079</v>
      </c>
      <c r="B301" s="50" t="s">
        <v>1080</v>
      </c>
      <c r="C301" s="50" t="s">
        <v>1081</v>
      </c>
      <c r="D301" s="50" t="s">
        <v>987</v>
      </c>
      <c r="E301" s="50" t="s">
        <v>1082</v>
      </c>
    </row>
    <row r="302" spans="1:5" s="51" customFormat="1" x14ac:dyDescent="0.15">
      <c r="A302" s="50" t="s">
        <v>1083</v>
      </c>
      <c r="B302" s="50" t="s">
        <v>1084</v>
      </c>
      <c r="C302" s="50" t="s">
        <v>1085</v>
      </c>
      <c r="D302" s="50" t="s">
        <v>987</v>
      </c>
      <c r="E302" s="50" t="s">
        <v>1086</v>
      </c>
    </row>
    <row r="303" spans="1:5" s="51" customFormat="1" x14ac:dyDescent="0.15">
      <c r="A303" s="50" t="s">
        <v>1087</v>
      </c>
      <c r="B303" s="50" t="s">
        <v>1088</v>
      </c>
      <c r="C303" s="50" t="s">
        <v>1089</v>
      </c>
      <c r="D303" s="50" t="s">
        <v>1007</v>
      </c>
      <c r="E303" s="50" t="s">
        <v>1090</v>
      </c>
    </row>
    <row r="304" spans="1:5" s="51" customFormat="1" x14ac:dyDescent="0.15">
      <c r="A304" s="50" t="s">
        <v>1091</v>
      </c>
      <c r="B304" s="50" t="s">
        <v>1092</v>
      </c>
      <c r="C304" s="50" t="s">
        <v>1093</v>
      </c>
      <c r="D304" s="50" t="s">
        <v>1007</v>
      </c>
      <c r="E304" s="50" t="s">
        <v>1094</v>
      </c>
    </row>
    <row r="305" spans="1:5" s="51" customFormat="1" x14ac:dyDescent="0.15">
      <c r="A305" s="50" t="s">
        <v>1095</v>
      </c>
      <c r="B305" s="50" t="s">
        <v>1096</v>
      </c>
      <c r="C305" s="50" t="s">
        <v>1097</v>
      </c>
      <c r="D305" s="50" t="s">
        <v>1007</v>
      </c>
      <c r="E305" s="50" t="s">
        <v>1098</v>
      </c>
    </row>
    <row r="306" spans="1:5" s="51" customFormat="1" x14ac:dyDescent="0.15">
      <c r="A306" s="50" t="s">
        <v>1099</v>
      </c>
      <c r="B306" s="50" t="s">
        <v>1100</v>
      </c>
      <c r="C306" s="50" t="s">
        <v>1101</v>
      </c>
      <c r="D306" s="50" t="s">
        <v>1029</v>
      </c>
      <c r="E306" s="50" t="s">
        <v>1102</v>
      </c>
    </row>
    <row r="307" spans="1:5" s="51" customFormat="1" x14ac:dyDescent="0.15">
      <c r="A307" s="50" t="s">
        <v>1103</v>
      </c>
      <c r="B307" s="50" t="s">
        <v>1104</v>
      </c>
      <c r="C307" s="50" t="s">
        <v>1105</v>
      </c>
      <c r="D307" s="50" t="s">
        <v>1007</v>
      </c>
      <c r="E307" s="50" t="s">
        <v>1106</v>
      </c>
    </row>
    <row r="308" spans="1:5" s="51" customFormat="1" x14ac:dyDescent="0.15">
      <c r="A308" s="50" t="s">
        <v>1107</v>
      </c>
      <c r="B308" s="50" t="s">
        <v>1108</v>
      </c>
      <c r="C308" s="50" t="s">
        <v>1109</v>
      </c>
      <c r="D308" s="50" t="s">
        <v>1029</v>
      </c>
      <c r="E308" s="50" t="s">
        <v>1110</v>
      </c>
    </row>
    <row r="309" spans="1:5" s="51" customFormat="1" x14ac:dyDescent="0.15">
      <c r="A309" s="50" t="s">
        <v>1111</v>
      </c>
      <c r="B309" s="50" t="s">
        <v>1112</v>
      </c>
      <c r="C309" s="50" t="s">
        <v>1113</v>
      </c>
      <c r="D309" s="50" t="s">
        <v>1007</v>
      </c>
      <c r="E309" s="50" t="s">
        <v>1114</v>
      </c>
    </row>
    <row r="310" spans="1:5" s="51" customFormat="1" x14ac:dyDescent="0.15">
      <c r="A310" s="50" t="s">
        <v>1115</v>
      </c>
      <c r="B310" s="50" t="s">
        <v>1116</v>
      </c>
      <c r="C310" s="50" t="s">
        <v>1117</v>
      </c>
      <c r="D310" s="50" t="s">
        <v>1029</v>
      </c>
      <c r="E310" s="50" t="s">
        <v>1118</v>
      </c>
    </row>
    <row r="311" spans="1:5" s="51" customFormat="1" x14ac:dyDescent="0.15">
      <c r="A311" s="50" t="s">
        <v>1119</v>
      </c>
      <c r="B311" s="50" t="s">
        <v>1120</v>
      </c>
      <c r="C311" s="50" t="s">
        <v>1121</v>
      </c>
    </row>
    <row r="312" spans="1:5" s="51" customFormat="1" x14ac:dyDescent="0.15">
      <c r="A312" s="50" t="s">
        <v>1122</v>
      </c>
      <c r="B312" s="50" t="s">
        <v>1123</v>
      </c>
      <c r="C312" s="50" t="s">
        <v>1124</v>
      </c>
      <c r="D312" s="50" t="s">
        <v>1125</v>
      </c>
      <c r="E312" s="50" t="s">
        <v>1126</v>
      </c>
    </row>
    <row r="313" spans="1:5" s="51" customFormat="1" x14ac:dyDescent="0.15">
      <c r="A313" s="50" t="s">
        <v>1127</v>
      </c>
      <c r="B313" s="50" t="s">
        <v>1128</v>
      </c>
      <c r="C313" s="50" t="s">
        <v>1129</v>
      </c>
      <c r="D313" s="50" t="s">
        <v>1125</v>
      </c>
      <c r="E313" s="50" t="s">
        <v>1130</v>
      </c>
    </row>
    <row r="314" spans="1:5" s="51" customFormat="1" x14ac:dyDescent="0.15">
      <c r="A314" s="50" t="s">
        <v>1131</v>
      </c>
      <c r="B314" s="50" t="s">
        <v>1132</v>
      </c>
      <c r="C314" s="50" t="s">
        <v>1133</v>
      </c>
      <c r="D314" s="50" t="s">
        <v>1125</v>
      </c>
      <c r="E314" s="50" t="s">
        <v>1134</v>
      </c>
    </row>
    <row r="315" spans="1:5" s="51" customFormat="1" x14ac:dyDescent="0.15">
      <c r="A315" s="50" t="s">
        <v>1135</v>
      </c>
      <c r="B315" s="50" t="s">
        <v>1136</v>
      </c>
      <c r="C315" s="50" t="s">
        <v>1137</v>
      </c>
      <c r="D315" s="50" t="s">
        <v>1125</v>
      </c>
      <c r="E315" s="50" t="s">
        <v>1138</v>
      </c>
    </row>
    <row r="316" spans="1:5" s="51" customFormat="1" x14ac:dyDescent="0.15">
      <c r="A316" s="50" t="s">
        <v>1139</v>
      </c>
      <c r="B316" s="50" t="s">
        <v>1140</v>
      </c>
      <c r="C316" s="50" t="s">
        <v>1141</v>
      </c>
      <c r="D316" s="50" t="s">
        <v>1125</v>
      </c>
      <c r="E316" s="50" t="s">
        <v>1142</v>
      </c>
    </row>
    <row r="317" spans="1:5" s="51" customFormat="1" x14ac:dyDescent="0.15">
      <c r="A317" s="50" t="s">
        <v>1143</v>
      </c>
      <c r="B317" s="50" t="s">
        <v>1144</v>
      </c>
      <c r="C317" s="50" t="s">
        <v>1145</v>
      </c>
      <c r="D317" s="50" t="s">
        <v>1146</v>
      </c>
      <c r="E317" s="50" t="s">
        <v>1147</v>
      </c>
    </row>
    <row r="318" spans="1:5" s="51" customFormat="1" x14ac:dyDescent="0.15">
      <c r="A318" s="50" t="s">
        <v>1148</v>
      </c>
      <c r="B318" s="50" t="s">
        <v>1149</v>
      </c>
      <c r="C318" s="50" t="s">
        <v>1150</v>
      </c>
      <c r="D318" s="50" t="s">
        <v>1125</v>
      </c>
      <c r="E318" s="50" t="s">
        <v>1151</v>
      </c>
    </row>
    <row r="319" spans="1:5" s="51" customFormat="1" x14ac:dyDescent="0.15">
      <c r="A319" s="50" t="s">
        <v>1152</v>
      </c>
      <c r="B319" s="50" t="s">
        <v>1153</v>
      </c>
      <c r="C319" s="50" t="s">
        <v>1154</v>
      </c>
      <c r="D319" s="50" t="s">
        <v>1155</v>
      </c>
      <c r="E319" s="50" t="s">
        <v>1156</v>
      </c>
    </row>
    <row r="320" spans="1:5" s="51" customFormat="1" x14ac:dyDescent="0.15">
      <c r="A320" s="50" t="s">
        <v>1157</v>
      </c>
      <c r="B320" s="50" t="s">
        <v>1158</v>
      </c>
      <c r="C320" s="50" t="s">
        <v>1159</v>
      </c>
      <c r="D320" s="50" t="s">
        <v>1160</v>
      </c>
      <c r="E320" s="50" t="s">
        <v>1161</v>
      </c>
    </row>
    <row r="321" spans="1:5" s="51" customFormat="1" x14ac:dyDescent="0.15">
      <c r="A321" s="50" t="s">
        <v>1162</v>
      </c>
      <c r="B321" s="50" t="s">
        <v>1163</v>
      </c>
      <c r="C321" s="50" t="s">
        <v>1164</v>
      </c>
      <c r="D321" s="50" t="s">
        <v>1165</v>
      </c>
      <c r="E321" s="50" t="s">
        <v>1166</v>
      </c>
    </row>
    <row r="322" spans="1:5" s="51" customFormat="1" x14ac:dyDescent="0.15">
      <c r="A322" s="50" t="s">
        <v>1167</v>
      </c>
      <c r="B322" s="50" t="s">
        <v>1168</v>
      </c>
      <c r="C322" s="50" t="s">
        <v>1169</v>
      </c>
      <c r="D322" s="50" t="s">
        <v>1160</v>
      </c>
      <c r="E322" s="50" t="s">
        <v>1170</v>
      </c>
    </row>
    <row r="323" spans="1:5" s="51" customFormat="1" x14ac:dyDescent="0.15">
      <c r="A323" s="50" t="s">
        <v>1171</v>
      </c>
      <c r="B323" s="50" t="s">
        <v>1172</v>
      </c>
      <c r="C323" s="50" t="s">
        <v>1173</v>
      </c>
      <c r="D323" s="50" t="s">
        <v>1125</v>
      </c>
      <c r="E323" s="50" t="s">
        <v>1174</v>
      </c>
    </row>
    <row r="324" spans="1:5" s="51" customFormat="1" x14ac:dyDescent="0.15">
      <c r="A324" s="50" t="s">
        <v>1175</v>
      </c>
      <c r="B324" s="50" t="s">
        <v>1176</v>
      </c>
      <c r="C324" s="50" t="s">
        <v>1177</v>
      </c>
      <c r="D324" s="50" t="s">
        <v>1178</v>
      </c>
      <c r="E324" s="50" t="s">
        <v>1179</v>
      </c>
    </row>
    <row r="325" spans="1:5" s="51" customFormat="1" x14ac:dyDescent="0.15">
      <c r="A325" s="50" t="s">
        <v>1180</v>
      </c>
      <c r="B325" s="50" t="s">
        <v>1181</v>
      </c>
      <c r="C325" s="50" t="s">
        <v>1182</v>
      </c>
      <c r="D325" s="50" t="s">
        <v>1183</v>
      </c>
      <c r="E325" s="50" t="s">
        <v>1184</v>
      </c>
    </row>
    <row r="326" spans="1:5" s="51" customFormat="1" x14ac:dyDescent="0.15">
      <c r="A326" s="50" t="s">
        <v>1185</v>
      </c>
      <c r="B326" s="50" t="s">
        <v>1186</v>
      </c>
      <c r="C326" s="50" t="s">
        <v>1187</v>
      </c>
      <c r="D326" s="50" t="s">
        <v>1188</v>
      </c>
      <c r="E326" s="50" t="s">
        <v>1189</v>
      </c>
    </row>
    <row r="327" spans="1:5" s="51" customFormat="1" x14ac:dyDescent="0.15">
      <c r="A327" s="50" t="s">
        <v>1190</v>
      </c>
      <c r="B327" s="50" t="s">
        <v>1191</v>
      </c>
      <c r="C327" s="50" t="s">
        <v>1192</v>
      </c>
      <c r="D327" s="50" t="s">
        <v>1146</v>
      </c>
      <c r="E327" s="50" t="s">
        <v>1193</v>
      </c>
    </row>
    <row r="328" spans="1:5" s="51" customFormat="1" x14ac:dyDescent="0.15">
      <c r="A328" s="50" t="s">
        <v>1194</v>
      </c>
      <c r="B328" s="50" t="s">
        <v>1195</v>
      </c>
      <c r="C328" s="50" t="s">
        <v>1196</v>
      </c>
      <c r="D328" s="50" t="s">
        <v>1197</v>
      </c>
      <c r="E328" s="50" t="s">
        <v>1198</v>
      </c>
    </row>
    <row r="329" spans="1:5" s="51" customFormat="1" x14ac:dyDescent="0.15">
      <c r="A329" s="50" t="s">
        <v>1199</v>
      </c>
      <c r="B329" s="50" t="s">
        <v>1200</v>
      </c>
      <c r="C329" s="50" t="s">
        <v>1201</v>
      </c>
      <c r="D329" s="50" t="s">
        <v>1160</v>
      </c>
      <c r="E329" s="50" t="s">
        <v>1202</v>
      </c>
    </row>
    <row r="330" spans="1:5" s="51" customFormat="1" x14ac:dyDescent="0.15">
      <c r="A330" s="50" t="s">
        <v>1203</v>
      </c>
      <c r="B330" s="50" t="s">
        <v>1204</v>
      </c>
      <c r="C330" s="50" t="s">
        <v>1205</v>
      </c>
      <c r="D330" s="50" t="s">
        <v>1160</v>
      </c>
      <c r="E330" s="50" t="s">
        <v>1206</v>
      </c>
    </row>
    <row r="331" spans="1:5" s="51" customFormat="1" x14ac:dyDescent="0.15">
      <c r="A331" s="50" t="s">
        <v>1207</v>
      </c>
      <c r="B331" s="50" t="s">
        <v>1208</v>
      </c>
      <c r="C331" s="50" t="s">
        <v>1209</v>
      </c>
      <c r="D331" s="50" t="s">
        <v>1160</v>
      </c>
      <c r="E331" s="50" t="s">
        <v>1210</v>
      </c>
    </row>
    <row r="332" spans="1:5" s="51" customFormat="1" x14ac:dyDescent="0.15">
      <c r="A332" s="50" t="s">
        <v>1211</v>
      </c>
      <c r="B332" s="50" t="s">
        <v>1212</v>
      </c>
      <c r="C332" s="50" t="s">
        <v>1213</v>
      </c>
      <c r="D332" s="50" t="s">
        <v>1160</v>
      </c>
      <c r="E332" s="50" t="s">
        <v>1214</v>
      </c>
    </row>
    <row r="333" spans="1:5" s="51" customFormat="1" x14ac:dyDescent="0.15">
      <c r="A333" s="50" t="s">
        <v>1215</v>
      </c>
      <c r="B333" s="50" t="s">
        <v>1216</v>
      </c>
      <c r="C333" s="50" t="s">
        <v>1217</v>
      </c>
      <c r="D333" s="50" t="s">
        <v>1160</v>
      </c>
      <c r="E333" s="50" t="s">
        <v>1218</v>
      </c>
    </row>
    <row r="334" spans="1:5" s="51" customFormat="1" x14ac:dyDescent="0.15">
      <c r="A334" s="50" t="s">
        <v>1219</v>
      </c>
      <c r="B334" s="50" t="s">
        <v>1220</v>
      </c>
      <c r="C334" s="50" t="s">
        <v>1221</v>
      </c>
      <c r="D334" s="50" t="s">
        <v>1160</v>
      </c>
      <c r="E334" s="50" t="s">
        <v>1222</v>
      </c>
    </row>
    <row r="335" spans="1:5" s="51" customFormat="1" x14ac:dyDescent="0.15">
      <c r="A335" s="50" t="s">
        <v>1223</v>
      </c>
      <c r="B335" s="50" t="s">
        <v>1224</v>
      </c>
      <c r="C335" s="50" t="s">
        <v>1225</v>
      </c>
      <c r="D335" s="50" t="s">
        <v>1160</v>
      </c>
      <c r="E335" s="50" t="s">
        <v>1226</v>
      </c>
    </row>
    <row r="336" spans="1:5" s="51" customFormat="1" x14ac:dyDescent="0.15">
      <c r="A336" s="50" t="s">
        <v>1227</v>
      </c>
      <c r="B336" s="50" t="s">
        <v>1228</v>
      </c>
      <c r="C336" s="50" t="s">
        <v>1229</v>
      </c>
      <c r="D336" s="50" t="s">
        <v>1178</v>
      </c>
      <c r="E336" s="50" t="s">
        <v>1230</v>
      </c>
    </row>
    <row r="337" spans="1:5" s="51" customFormat="1" x14ac:dyDescent="0.15">
      <c r="A337" s="50" t="s">
        <v>1231</v>
      </c>
      <c r="B337" s="50" t="s">
        <v>1232</v>
      </c>
      <c r="C337" s="50" t="s">
        <v>1233</v>
      </c>
      <c r="D337" s="50" t="s">
        <v>1178</v>
      </c>
      <c r="E337" s="50" t="s">
        <v>1234</v>
      </c>
    </row>
    <row r="338" spans="1:5" s="51" customFormat="1" x14ac:dyDescent="0.15">
      <c r="A338" s="50" t="s">
        <v>1235</v>
      </c>
      <c r="B338" s="50" t="s">
        <v>1236</v>
      </c>
      <c r="C338" s="50" t="s">
        <v>1237</v>
      </c>
      <c r="D338" s="50" t="s">
        <v>1125</v>
      </c>
      <c r="E338" s="50" t="s">
        <v>1238</v>
      </c>
    </row>
    <row r="339" spans="1:5" s="51" customFormat="1" x14ac:dyDescent="0.15">
      <c r="A339" s="50" t="s">
        <v>1239</v>
      </c>
      <c r="B339" s="50" t="s">
        <v>1240</v>
      </c>
      <c r="C339" s="50" t="s">
        <v>1241</v>
      </c>
      <c r="D339" s="50" t="s">
        <v>1125</v>
      </c>
      <c r="E339" s="50" t="s">
        <v>1174</v>
      </c>
    </row>
    <row r="340" spans="1:5" s="51" customFormat="1" x14ac:dyDescent="0.15">
      <c r="A340" s="50" t="s">
        <v>1242</v>
      </c>
      <c r="B340" s="50" t="s">
        <v>1243</v>
      </c>
      <c r="C340" s="50" t="s">
        <v>1244</v>
      </c>
      <c r="D340" s="50" t="s">
        <v>1125</v>
      </c>
      <c r="E340" s="50" t="s">
        <v>1245</v>
      </c>
    </row>
    <row r="341" spans="1:5" s="51" customFormat="1" x14ac:dyDescent="0.15">
      <c r="A341" s="50" t="s">
        <v>1246</v>
      </c>
      <c r="B341" s="50" t="s">
        <v>1247</v>
      </c>
      <c r="C341" s="50" t="s">
        <v>1248</v>
      </c>
      <c r="D341" s="50" t="s">
        <v>1125</v>
      </c>
      <c r="E341" s="50" t="s">
        <v>1249</v>
      </c>
    </row>
    <row r="342" spans="1:5" s="51" customFormat="1" x14ac:dyDescent="0.15">
      <c r="A342" s="50" t="s">
        <v>1250</v>
      </c>
      <c r="B342" s="50" t="s">
        <v>1251</v>
      </c>
      <c r="C342" s="50" t="s">
        <v>1252</v>
      </c>
      <c r="D342" s="50" t="s">
        <v>1125</v>
      </c>
      <c r="E342" s="50" t="s">
        <v>1253</v>
      </c>
    </row>
    <row r="343" spans="1:5" s="51" customFormat="1" x14ac:dyDescent="0.15">
      <c r="A343" s="50" t="s">
        <v>1254</v>
      </c>
      <c r="B343" s="50" t="s">
        <v>1255</v>
      </c>
      <c r="C343" s="50" t="s">
        <v>1256</v>
      </c>
      <c r="D343" s="50" t="s">
        <v>1125</v>
      </c>
      <c r="E343" s="50" t="s">
        <v>1257</v>
      </c>
    </row>
    <row r="344" spans="1:5" s="51" customFormat="1" x14ac:dyDescent="0.15">
      <c r="A344" s="50" t="s">
        <v>1258</v>
      </c>
      <c r="B344" s="50" t="s">
        <v>1259</v>
      </c>
      <c r="C344" s="50" t="s">
        <v>1260</v>
      </c>
      <c r="D344" s="50" t="s">
        <v>1125</v>
      </c>
      <c r="E344" s="50" t="s">
        <v>1261</v>
      </c>
    </row>
    <row r="345" spans="1:5" s="51" customFormat="1" x14ac:dyDescent="0.15">
      <c r="A345" s="50" t="s">
        <v>1262</v>
      </c>
      <c r="B345" s="50" t="s">
        <v>1263</v>
      </c>
      <c r="C345" s="50" t="s">
        <v>1264</v>
      </c>
      <c r="D345" s="50" t="s">
        <v>1197</v>
      </c>
      <c r="E345" s="50" t="s">
        <v>1265</v>
      </c>
    </row>
    <row r="346" spans="1:5" s="51" customFormat="1" x14ac:dyDescent="0.15">
      <c r="A346" s="50" t="s">
        <v>1266</v>
      </c>
      <c r="B346" s="50" t="s">
        <v>1267</v>
      </c>
      <c r="C346" s="50" t="s">
        <v>1268</v>
      </c>
      <c r="D346" s="50" t="s">
        <v>1197</v>
      </c>
      <c r="E346" s="50" t="s">
        <v>1269</v>
      </c>
    </row>
    <row r="347" spans="1:5" s="51" customFormat="1" x14ac:dyDescent="0.15">
      <c r="A347" s="50" t="s">
        <v>1270</v>
      </c>
      <c r="B347" s="50" t="s">
        <v>1271</v>
      </c>
      <c r="C347" s="50" t="s">
        <v>1272</v>
      </c>
      <c r="D347" s="50" t="s">
        <v>1197</v>
      </c>
      <c r="E347" s="50" t="s">
        <v>1273</v>
      </c>
    </row>
    <row r="348" spans="1:5" s="51" customFormat="1" x14ac:dyDescent="0.15">
      <c r="A348" s="50" t="s">
        <v>1274</v>
      </c>
      <c r="B348" s="50" t="s">
        <v>1275</v>
      </c>
      <c r="C348" s="50" t="s">
        <v>1276</v>
      </c>
      <c r="D348" s="50" t="s">
        <v>1197</v>
      </c>
      <c r="E348" s="50" t="s">
        <v>1277</v>
      </c>
    </row>
    <row r="349" spans="1:5" s="51" customFormat="1" x14ac:dyDescent="0.15">
      <c r="A349" s="50" t="s">
        <v>1278</v>
      </c>
      <c r="B349" s="50" t="s">
        <v>1279</v>
      </c>
      <c r="C349" s="50" t="s">
        <v>1280</v>
      </c>
      <c r="D349" s="50" t="s">
        <v>1146</v>
      </c>
      <c r="E349" s="50" t="s">
        <v>1281</v>
      </c>
    </row>
    <row r="350" spans="1:5" s="51" customFormat="1" x14ac:dyDescent="0.15">
      <c r="A350" s="50" t="s">
        <v>1282</v>
      </c>
      <c r="B350" s="50" t="s">
        <v>1283</v>
      </c>
      <c r="C350" s="50" t="s">
        <v>1284</v>
      </c>
      <c r="D350" s="50" t="s">
        <v>1155</v>
      </c>
      <c r="E350" s="50" t="s">
        <v>1285</v>
      </c>
    </row>
    <row r="351" spans="1:5" s="51" customFormat="1" x14ac:dyDescent="0.15">
      <c r="A351" s="50" t="s">
        <v>1286</v>
      </c>
      <c r="B351" s="50" t="s">
        <v>1287</v>
      </c>
      <c r="C351" s="50" t="s">
        <v>1288</v>
      </c>
      <c r="D351" s="50" t="s">
        <v>1289</v>
      </c>
      <c r="E351" s="50" t="s">
        <v>1290</v>
      </c>
    </row>
    <row r="352" spans="1:5" s="51" customFormat="1" x14ac:dyDescent="0.15">
      <c r="A352" s="50" t="s">
        <v>1291</v>
      </c>
      <c r="B352" s="50" t="s">
        <v>1292</v>
      </c>
      <c r="C352" s="50" t="s">
        <v>1293</v>
      </c>
      <c r="D352" s="50" t="s">
        <v>1294</v>
      </c>
      <c r="E352" s="50" t="s">
        <v>1295</v>
      </c>
    </row>
    <row r="353" spans="1:5" s="51" customFormat="1" x14ac:dyDescent="0.15">
      <c r="A353" s="50" t="s">
        <v>1296</v>
      </c>
      <c r="B353" s="50" t="s">
        <v>1297</v>
      </c>
      <c r="C353" s="50" t="s">
        <v>1298</v>
      </c>
      <c r="D353" s="50" t="s">
        <v>1299</v>
      </c>
      <c r="E353" s="50" t="s">
        <v>1300</v>
      </c>
    </row>
    <row r="354" spans="1:5" s="51" customFormat="1" x14ac:dyDescent="0.15">
      <c r="A354" s="50" t="s">
        <v>1301</v>
      </c>
      <c r="B354" s="50" t="s">
        <v>1302</v>
      </c>
      <c r="C354" s="50" t="s">
        <v>1303</v>
      </c>
      <c r="D354" s="50" t="s">
        <v>1304</v>
      </c>
      <c r="E354" s="50" t="s">
        <v>1305</v>
      </c>
    </row>
    <row r="355" spans="1:5" s="51" customFormat="1" x14ac:dyDescent="0.15">
      <c r="A355" s="50" t="s">
        <v>1306</v>
      </c>
      <c r="B355" s="50" t="s">
        <v>1307</v>
      </c>
      <c r="C355" s="50" t="s">
        <v>1308</v>
      </c>
      <c r="D355" s="50" t="s">
        <v>1294</v>
      </c>
      <c r="E355" s="50" t="s">
        <v>1309</v>
      </c>
    </row>
    <row r="356" spans="1:5" s="51" customFormat="1" x14ac:dyDescent="0.15">
      <c r="A356" s="50" t="s">
        <v>1310</v>
      </c>
      <c r="B356" s="50" t="s">
        <v>1311</v>
      </c>
      <c r="C356" s="50" t="s">
        <v>1312</v>
      </c>
      <c r="D356" s="50" t="s">
        <v>1313</v>
      </c>
      <c r="E356" s="50" t="s">
        <v>1314</v>
      </c>
    </row>
    <row r="357" spans="1:5" s="51" customFormat="1" x14ac:dyDescent="0.15">
      <c r="A357" s="50" t="s">
        <v>1315</v>
      </c>
      <c r="B357" s="50" t="s">
        <v>1316</v>
      </c>
      <c r="C357" s="50" t="s">
        <v>1317</v>
      </c>
      <c r="D357" s="50" t="s">
        <v>1304</v>
      </c>
      <c r="E357" s="50" t="s">
        <v>1318</v>
      </c>
    </row>
    <row r="358" spans="1:5" s="51" customFormat="1" x14ac:dyDescent="0.15">
      <c r="A358" s="50" t="s">
        <v>1319</v>
      </c>
      <c r="B358" s="50" t="s">
        <v>1320</v>
      </c>
      <c r="C358" s="50" t="s">
        <v>1321</v>
      </c>
      <c r="D358" s="50" t="s">
        <v>1322</v>
      </c>
      <c r="E358" s="50" t="s">
        <v>1323</v>
      </c>
    </row>
    <row r="359" spans="1:5" s="51" customFormat="1" x14ac:dyDescent="0.15">
      <c r="A359" s="50" t="s">
        <v>1324</v>
      </c>
      <c r="B359" s="50" t="s">
        <v>1325</v>
      </c>
      <c r="C359" s="50" t="s">
        <v>1326</v>
      </c>
      <c r="D359" s="50" t="s">
        <v>1289</v>
      </c>
      <c r="E359" s="50" t="s">
        <v>1327</v>
      </c>
    </row>
    <row r="360" spans="1:5" s="51" customFormat="1" x14ac:dyDescent="0.15">
      <c r="A360" s="50" t="s">
        <v>1328</v>
      </c>
      <c r="B360" s="50" t="s">
        <v>1329</v>
      </c>
      <c r="C360" s="50" t="s">
        <v>1330</v>
      </c>
      <c r="D360" s="50" t="s">
        <v>1331</v>
      </c>
      <c r="E360" s="50" t="s">
        <v>1332</v>
      </c>
    </row>
    <row r="361" spans="1:5" s="51" customFormat="1" x14ac:dyDescent="0.15">
      <c r="A361" s="50" t="s">
        <v>1333</v>
      </c>
      <c r="B361" s="50" t="s">
        <v>1334</v>
      </c>
      <c r="C361" s="50" t="s">
        <v>1335</v>
      </c>
      <c r="D361" s="50" t="s">
        <v>1304</v>
      </c>
      <c r="E361" s="50" t="s">
        <v>1336</v>
      </c>
    </row>
    <row r="362" spans="1:5" s="51" customFormat="1" x14ac:dyDescent="0.15">
      <c r="A362" s="50" t="s">
        <v>1337</v>
      </c>
      <c r="B362" s="50" t="s">
        <v>1338</v>
      </c>
      <c r="C362" s="50" t="s">
        <v>1339</v>
      </c>
      <c r="D362" s="50" t="s">
        <v>1322</v>
      </c>
      <c r="E362" s="50" t="s">
        <v>1340</v>
      </c>
    </row>
    <row r="363" spans="1:5" s="51" customFormat="1" x14ac:dyDescent="0.15">
      <c r="A363" s="50" t="s">
        <v>1341</v>
      </c>
      <c r="B363" s="50" t="s">
        <v>1342</v>
      </c>
      <c r="C363" s="50" t="s">
        <v>1343</v>
      </c>
      <c r="D363" s="50" t="s">
        <v>1344</v>
      </c>
      <c r="E363" s="50" t="s">
        <v>1345</v>
      </c>
    </row>
    <row r="364" spans="1:5" s="51" customFormat="1" x14ac:dyDescent="0.15">
      <c r="A364" s="50" t="s">
        <v>1346</v>
      </c>
      <c r="B364" s="50" t="s">
        <v>1347</v>
      </c>
      <c r="C364" s="50" t="s">
        <v>1348</v>
      </c>
      <c r="D364" s="50" t="s">
        <v>1349</v>
      </c>
      <c r="E364" s="50" t="s">
        <v>1350</v>
      </c>
    </row>
    <row r="365" spans="1:5" s="51" customFormat="1" x14ac:dyDescent="0.15">
      <c r="A365" s="50" t="s">
        <v>1351</v>
      </c>
      <c r="B365" s="50" t="s">
        <v>1352</v>
      </c>
      <c r="C365" s="50" t="s">
        <v>1353</v>
      </c>
      <c r="D365" s="50" t="s">
        <v>1304</v>
      </c>
      <c r="E365" s="50" t="s">
        <v>1354</v>
      </c>
    </row>
    <row r="366" spans="1:5" s="51" customFormat="1" x14ac:dyDescent="0.15">
      <c r="A366" s="50" t="s">
        <v>1355</v>
      </c>
      <c r="B366" s="50" t="s">
        <v>1356</v>
      </c>
      <c r="C366" s="50" t="s">
        <v>1357</v>
      </c>
      <c r="D366" s="50" t="s">
        <v>1294</v>
      </c>
      <c r="E366" s="50" t="s">
        <v>1358</v>
      </c>
    </row>
    <row r="367" spans="1:5" s="51" customFormat="1" x14ac:dyDescent="0.15">
      <c r="A367" s="50" t="s">
        <v>1359</v>
      </c>
      <c r="B367" s="50" t="s">
        <v>1360</v>
      </c>
      <c r="C367" s="50" t="s">
        <v>1361</v>
      </c>
      <c r="D367" s="50" t="s">
        <v>1294</v>
      </c>
      <c r="E367" s="50" t="s">
        <v>1362</v>
      </c>
    </row>
    <row r="368" spans="1:5" s="51" customFormat="1" x14ac:dyDescent="0.15">
      <c r="A368" s="50" t="s">
        <v>1363</v>
      </c>
      <c r="B368" s="50" t="s">
        <v>1364</v>
      </c>
      <c r="C368" s="50" t="s">
        <v>1365</v>
      </c>
      <c r="D368" s="50" t="s">
        <v>1294</v>
      </c>
      <c r="E368" s="50" t="s">
        <v>1366</v>
      </c>
    </row>
    <row r="369" spans="1:5" s="51" customFormat="1" x14ac:dyDescent="0.15">
      <c r="A369" s="50" t="s">
        <v>1367</v>
      </c>
      <c r="B369" s="50" t="s">
        <v>1368</v>
      </c>
      <c r="C369" s="50" t="s">
        <v>1369</v>
      </c>
      <c r="D369" s="50" t="s">
        <v>1289</v>
      </c>
      <c r="E369" s="50" t="s">
        <v>1370</v>
      </c>
    </row>
    <row r="370" spans="1:5" s="51" customFormat="1" x14ac:dyDescent="0.15">
      <c r="A370" s="50" t="s">
        <v>1371</v>
      </c>
      <c r="B370" s="50" t="s">
        <v>1372</v>
      </c>
      <c r="C370" s="50" t="s">
        <v>1373</v>
      </c>
      <c r="D370" s="50" t="s">
        <v>1289</v>
      </c>
      <c r="E370" s="50" t="s">
        <v>1374</v>
      </c>
    </row>
    <row r="371" spans="1:5" s="51" customFormat="1" x14ac:dyDescent="0.15">
      <c r="A371" s="50" t="s">
        <v>1375</v>
      </c>
      <c r="B371" s="50" t="s">
        <v>1376</v>
      </c>
      <c r="C371" s="50" t="s">
        <v>1377</v>
      </c>
      <c r="D371" s="50" t="s">
        <v>1289</v>
      </c>
      <c r="E371" s="50" t="s">
        <v>1378</v>
      </c>
    </row>
    <row r="372" spans="1:5" s="51" customFormat="1" x14ac:dyDescent="0.15">
      <c r="A372" s="50" t="s">
        <v>1379</v>
      </c>
      <c r="B372" s="50" t="s">
        <v>1380</v>
      </c>
      <c r="C372" s="50" t="s">
        <v>1381</v>
      </c>
      <c r="D372" s="50" t="s">
        <v>1294</v>
      </c>
      <c r="E372" s="50" t="s">
        <v>1382</v>
      </c>
    </row>
    <row r="373" spans="1:5" s="51" customFormat="1" x14ac:dyDescent="0.15">
      <c r="A373" s="50" t="s">
        <v>1383</v>
      </c>
      <c r="B373" s="50" t="s">
        <v>1384</v>
      </c>
      <c r="C373" s="50" t="s">
        <v>1385</v>
      </c>
      <c r="D373" s="50" t="s">
        <v>1386</v>
      </c>
      <c r="E373" s="50" t="s">
        <v>1387</v>
      </c>
    </row>
    <row r="374" spans="1:5" s="51" customFormat="1" x14ac:dyDescent="0.15">
      <c r="A374" s="50" t="s">
        <v>1388</v>
      </c>
      <c r="B374" s="50" t="s">
        <v>1389</v>
      </c>
      <c r="C374" s="50" t="s">
        <v>1390</v>
      </c>
      <c r="D374" s="50" t="s">
        <v>1313</v>
      </c>
      <c r="E374" s="50" t="s">
        <v>1391</v>
      </c>
    </row>
    <row r="375" spans="1:5" s="51" customFormat="1" x14ac:dyDescent="0.15">
      <c r="A375" s="50" t="s">
        <v>1392</v>
      </c>
      <c r="B375" s="50" t="s">
        <v>1393</v>
      </c>
      <c r="C375" s="50" t="s">
        <v>1394</v>
      </c>
      <c r="D375" s="50" t="s">
        <v>1299</v>
      </c>
      <c r="E375" s="50" t="s">
        <v>1395</v>
      </c>
    </row>
    <row r="376" spans="1:5" s="51" customFormat="1" x14ac:dyDescent="0.15">
      <c r="A376" s="50" t="s">
        <v>1396</v>
      </c>
      <c r="B376" s="50" t="s">
        <v>1397</v>
      </c>
      <c r="C376" s="50" t="s">
        <v>1398</v>
      </c>
      <c r="D376" s="50" t="s">
        <v>1399</v>
      </c>
      <c r="E376" s="50" t="s">
        <v>1400</v>
      </c>
    </row>
    <row r="377" spans="1:5" s="51" customFormat="1" x14ac:dyDescent="0.15">
      <c r="A377" s="50" t="s">
        <v>1401</v>
      </c>
      <c r="B377" s="50" t="s">
        <v>1402</v>
      </c>
      <c r="C377" s="50" t="s">
        <v>1403</v>
      </c>
      <c r="D377" s="50" t="s">
        <v>1404</v>
      </c>
      <c r="E377" s="50" t="s">
        <v>1405</v>
      </c>
    </row>
    <row r="378" spans="1:5" s="51" customFormat="1" x14ac:dyDescent="0.15">
      <c r="A378" s="50" t="s">
        <v>1406</v>
      </c>
      <c r="B378" s="50" t="s">
        <v>1407</v>
      </c>
      <c r="C378" s="50" t="s">
        <v>1408</v>
      </c>
      <c r="D378" s="50" t="s">
        <v>1409</v>
      </c>
      <c r="E378" s="50" t="s">
        <v>1410</v>
      </c>
    </row>
    <row r="379" spans="1:5" s="51" customFormat="1" x14ac:dyDescent="0.15">
      <c r="A379" s="50" t="s">
        <v>1411</v>
      </c>
      <c r="B379" s="50" t="s">
        <v>1412</v>
      </c>
      <c r="C379" s="50" t="s">
        <v>1413</v>
      </c>
      <c r="D379" s="50" t="s">
        <v>1414</v>
      </c>
      <c r="E379" s="50" t="s">
        <v>1415</v>
      </c>
    </row>
    <row r="380" spans="1:5" s="51" customFormat="1" x14ac:dyDescent="0.15">
      <c r="A380" s="50" t="s">
        <v>1416</v>
      </c>
      <c r="B380" s="50" t="s">
        <v>1417</v>
      </c>
      <c r="C380" s="50" t="s">
        <v>1418</v>
      </c>
      <c r="D380" s="50" t="s">
        <v>1419</v>
      </c>
      <c r="E380" s="50" t="s">
        <v>1420</v>
      </c>
    </row>
    <row r="381" spans="1:5" s="51" customFormat="1" x14ac:dyDescent="0.15">
      <c r="A381" s="50" t="s">
        <v>1421</v>
      </c>
      <c r="B381" s="50" t="s">
        <v>1422</v>
      </c>
      <c r="C381" s="50" t="s">
        <v>1423</v>
      </c>
      <c r="D381" s="50" t="s">
        <v>1424</v>
      </c>
      <c r="E381" s="50" t="s">
        <v>1425</v>
      </c>
    </row>
    <row r="382" spans="1:5" s="51" customFormat="1" x14ac:dyDescent="0.15">
      <c r="A382" s="50" t="s">
        <v>1426</v>
      </c>
      <c r="B382" s="50" t="s">
        <v>1427</v>
      </c>
      <c r="C382" s="50" t="s">
        <v>1428</v>
      </c>
      <c r="D382" s="50" t="s">
        <v>1399</v>
      </c>
      <c r="E382" s="50" t="s">
        <v>1429</v>
      </c>
    </row>
    <row r="383" spans="1:5" s="51" customFormat="1" x14ac:dyDescent="0.15">
      <c r="A383" s="50" t="s">
        <v>1430</v>
      </c>
      <c r="B383" s="50" t="s">
        <v>1431</v>
      </c>
      <c r="C383" s="50" t="s">
        <v>1432</v>
      </c>
      <c r="D383" s="50" t="s">
        <v>1424</v>
      </c>
      <c r="E383" s="50" t="s">
        <v>1433</v>
      </c>
    </row>
    <row r="384" spans="1:5" s="51" customFormat="1" x14ac:dyDescent="0.15">
      <c r="A384" s="50" t="s">
        <v>1434</v>
      </c>
      <c r="B384" s="50" t="s">
        <v>1435</v>
      </c>
      <c r="C384" s="50" t="s">
        <v>1436</v>
      </c>
      <c r="D384" s="50" t="s">
        <v>1404</v>
      </c>
      <c r="E384" s="50" t="s">
        <v>1437</v>
      </c>
    </row>
    <row r="385" spans="1:5" s="51" customFormat="1" x14ac:dyDescent="0.15">
      <c r="A385" s="50" t="s">
        <v>1438</v>
      </c>
      <c r="B385" s="50" t="s">
        <v>1439</v>
      </c>
      <c r="C385" s="50" t="s">
        <v>1440</v>
      </c>
      <c r="D385" s="50" t="s">
        <v>1399</v>
      </c>
      <c r="E385" s="50" t="s">
        <v>1441</v>
      </c>
    </row>
    <row r="386" spans="1:5" s="51" customFormat="1" x14ac:dyDescent="0.15">
      <c r="A386" s="50" t="s">
        <v>1442</v>
      </c>
      <c r="B386" s="50" t="s">
        <v>1443</v>
      </c>
      <c r="C386" s="50" t="s">
        <v>1444</v>
      </c>
      <c r="D386" s="50" t="s">
        <v>1424</v>
      </c>
      <c r="E386" s="50" t="s">
        <v>1445</v>
      </c>
    </row>
    <row r="387" spans="1:5" s="51" customFormat="1" x14ac:dyDescent="0.15">
      <c r="A387" s="50" t="s">
        <v>1446</v>
      </c>
      <c r="B387" s="50" t="s">
        <v>1447</v>
      </c>
      <c r="C387" s="50" t="s">
        <v>1448</v>
      </c>
      <c r="D387" s="50" t="s">
        <v>1424</v>
      </c>
      <c r="E387" s="50" t="s">
        <v>1449</v>
      </c>
    </row>
    <row r="388" spans="1:5" s="51" customFormat="1" x14ac:dyDescent="0.15">
      <c r="A388" s="50" t="s">
        <v>1450</v>
      </c>
      <c r="B388" s="50" t="s">
        <v>1451</v>
      </c>
      <c r="C388" s="50" t="s">
        <v>1452</v>
      </c>
      <c r="D388" s="50" t="s">
        <v>1404</v>
      </c>
      <c r="E388" s="50" t="s">
        <v>1453</v>
      </c>
    </row>
    <row r="389" spans="1:5" s="51" customFormat="1" x14ac:dyDescent="0.15">
      <c r="A389" s="50" t="s">
        <v>1454</v>
      </c>
      <c r="B389" s="50" t="s">
        <v>1455</v>
      </c>
      <c r="C389" s="50" t="s">
        <v>1456</v>
      </c>
      <c r="D389" s="50" t="s">
        <v>1399</v>
      </c>
      <c r="E389" s="50" t="s">
        <v>1457</v>
      </c>
    </row>
    <row r="390" spans="1:5" s="51" customFormat="1" x14ac:dyDescent="0.15">
      <c r="A390" s="50" t="s">
        <v>1458</v>
      </c>
      <c r="B390" s="50" t="s">
        <v>1459</v>
      </c>
      <c r="C390" s="50" t="s">
        <v>1460</v>
      </c>
      <c r="D390" s="50" t="s">
        <v>1399</v>
      </c>
      <c r="E390" s="50" t="s">
        <v>1461</v>
      </c>
    </row>
    <row r="391" spans="1:5" s="51" customFormat="1" x14ac:dyDescent="0.15">
      <c r="A391" s="50" t="s">
        <v>1462</v>
      </c>
      <c r="B391" s="50" t="s">
        <v>1463</v>
      </c>
      <c r="C391" s="50" t="s">
        <v>1464</v>
      </c>
      <c r="D391" s="50" t="s">
        <v>1424</v>
      </c>
      <c r="E391" s="50" t="s">
        <v>1465</v>
      </c>
    </row>
    <row r="392" spans="1:5" s="51" customFormat="1" x14ac:dyDescent="0.15">
      <c r="A392" s="50" t="s">
        <v>1466</v>
      </c>
      <c r="B392" s="50" t="s">
        <v>1467</v>
      </c>
      <c r="C392" s="50" t="s">
        <v>1468</v>
      </c>
      <c r="D392" s="50" t="s">
        <v>1424</v>
      </c>
      <c r="E392" s="50" t="s">
        <v>1469</v>
      </c>
    </row>
    <row r="393" spans="1:5" s="51" customFormat="1" x14ac:dyDescent="0.15">
      <c r="A393" s="50" t="s">
        <v>1470</v>
      </c>
      <c r="B393" s="50" t="s">
        <v>1471</v>
      </c>
      <c r="C393" s="50" t="s">
        <v>1472</v>
      </c>
      <c r="D393" s="50" t="s">
        <v>1424</v>
      </c>
      <c r="E393" s="50" t="s">
        <v>1473</v>
      </c>
    </row>
    <row r="394" spans="1:5" s="51" customFormat="1" x14ac:dyDescent="0.15">
      <c r="A394" s="50" t="s">
        <v>1474</v>
      </c>
      <c r="B394" s="50" t="s">
        <v>1475</v>
      </c>
      <c r="C394" s="50" t="s">
        <v>1476</v>
      </c>
      <c r="D394" s="50" t="s">
        <v>1424</v>
      </c>
      <c r="E394" s="50" t="s">
        <v>1477</v>
      </c>
    </row>
    <row r="395" spans="1:5" s="51" customFormat="1" x14ac:dyDescent="0.15">
      <c r="A395" s="50" t="s">
        <v>1478</v>
      </c>
      <c r="B395" s="50" t="s">
        <v>1479</v>
      </c>
      <c r="C395" s="50" t="s">
        <v>1480</v>
      </c>
      <c r="D395" s="50" t="s">
        <v>1424</v>
      </c>
      <c r="E395" s="50" t="s">
        <v>1481</v>
      </c>
    </row>
    <row r="396" spans="1:5" s="51" customFormat="1" x14ac:dyDescent="0.15">
      <c r="A396" s="50" t="s">
        <v>1482</v>
      </c>
      <c r="B396" s="50" t="s">
        <v>1483</v>
      </c>
      <c r="C396" s="50" t="s">
        <v>1484</v>
      </c>
      <c r="D396" s="50" t="s">
        <v>1419</v>
      </c>
      <c r="E396" s="50" t="s">
        <v>1485</v>
      </c>
    </row>
    <row r="397" spans="1:5" s="51" customFormat="1" x14ac:dyDescent="0.15">
      <c r="A397" s="50" t="s">
        <v>1486</v>
      </c>
      <c r="B397" s="50" t="s">
        <v>1487</v>
      </c>
      <c r="C397" s="50" t="s">
        <v>1488</v>
      </c>
      <c r="D397" s="50" t="s">
        <v>1419</v>
      </c>
      <c r="E397" s="50" t="s">
        <v>1489</v>
      </c>
    </row>
    <row r="398" spans="1:5" s="51" customFormat="1" x14ac:dyDescent="0.15">
      <c r="A398" s="50" t="s">
        <v>1490</v>
      </c>
      <c r="B398" s="50" t="s">
        <v>1491</v>
      </c>
      <c r="C398" s="50" t="s">
        <v>1492</v>
      </c>
      <c r="D398" s="50" t="s">
        <v>1419</v>
      </c>
      <c r="E398" s="50" t="s">
        <v>1493</v>
      </c>
    </row>
    <row r="399" spans="1:5" s="51" customFormat="1" x14ac:dyDescent="0.15">
      <c r="A399" s="50" t="s">
        <v>1494</v>
      </c>
      <c r="B399" s="50" t="s">
        <v>1495</v>
      </c>
      <c r="C399" s="50" t="s">
        <v>1496</v>
      </c>
      <c r="D399" s="50" t="s">
        <v>1419</v>
      </c>
      <c r="E399" s="50" t="s">
        <v>1497</v>
      </c>
    </row>
    <row r="400" spans="1:5" s="51" customFormat="1" x14ac:dyDescent="0.15">
      <c r="A400" s="50" t="s">
        <v>1498</v>
      </c>
      <c r="B400" s="50" t="s">
        <v>1499</v>
      </c>
      <c r="C400" s="50" t="s">
        <v>1500</v>
      </c>
      <c r="D400" s="50" t="s">
        <v>1419</v>
      </c>
      <c r="E400" s="50" t="s">
        <v>1501</v>
      </c>
    </row>
    <row r="401" spans="1:5" s="51" customFormat="1" x14ac:dyDescent="0.15">
      <c r="A401" s="50" t="s">
        <v>1502</v>
      </c>
      <c r="B401" s="50" t="s">
        <v>1503</v>
      </c>
      <c r="C401" s="50" t="s">
        <v>1504</v>
      </c>
      <c r="D401" s="50" t="s">
        <v>1419</v>
      </c>
      <c r="E401" s="50" t="s">
        <v>1505</v>
      </c>
    </row>
    <row r="402" spans="1:5" s="51" customFormat="1" x14ac:dyDescent="0.15">
      <c r="A402" s="50" t="s">
        <v>1506</v>
      </c>
      <c r="B402" s="50" t="s">
        <v>1507</v>
      </c>
      <c r="C402" s="50" t="s">
        <v>1508</v>
      </c>
      <c r="D402" s="50" t="s">
        <v>1419</v>
      </c>
      <c r="E402" s="50" t="s">
        <v>1509</v>
      </c>
    </row>
    <row r="403" spans="1:5" s="51" customFormat="1" x14ac:dyDescent="0.15">
      <c r="A403" s="50" t="s">
        <v>1510</v>
      </c>
      <c r="B403" s="50" t="s">
        <v>1511</v>
      </c>
      <c r="C403" s="50" t="s">
        <v>1512</v>
      </c>
      <c r="D403" s="50" t="s">
        <v>1404</v>
      </c>
      <c r="E403" s="50" t="s">
        <v>1513</v>
      </c>
    </row>
    <row r="404" spans="1:5" s="51" customFormat="1" x14ac:dyDescent="0.15">
      <c r="A404" s="50" t="s">
        <v>1514</v>
      </c>
      <c r="B404" s="50" t="s">
        <v>1515</v>
      </c>
      <c r="C404" s="50" t="s">
        <v>1516</v>
      </c>
      <c r="D404" s="50" t="s">
        <v>1404</v>
      </c>
      <c r="E404" s="50" t="s">
        <v>1517</v>
      </c>
    </row>
    <row r="405" spans="1:5" s="51" customFormat="1" x14ac:dyDescent="0.15">
      <c r="A405" s="50" t="s">
        <v>1518</v>
      </c>
      <c r="B405" s="50" t="s">
        <v>1519</v>
      </c>
      <c r="C405" s="50" t="s">
        <v>1520</v>
      </c>
      <c r="D405" s="50" t="s">
        <v>1404</v>
      </c>
      <c r="E405" s="50" t="s">
        <v>1521</v>
      </c>
    </row>
    <row r="406" spans="1:5" s="51" customFormat="1" x14ac:dyDescent="0.15">
      <c r="A406" s="50" t="s">
        <v>1522</v>
      </c>
      <c r="B406" s="50" t="s">
        <v>1523</v>
      </c>
      <c r="C406" s="50" t="s">
        <v>1524</v>
      </c>
      <c r="D406" s="50" t="s">
        <v>1404</v>
      </c>
      <c r="E406" s="50" t="s">
        <v>1525</v>
      </c>
    </row>
    <row r="407" spans="1:5" s="51" customFormat="1" x14ac:dyDescent="0.15">
      <c r="A407" s="50" t="s">
        <v>1526</v>
      </c>
      <c r="B407" s="50" t="s">
        <v>1527</v>
      </c>
      <c r="C407" s="50" t="s">
        <v>1528</v>
      </c>
      <c r="D407" s="50" t="s">
        <v>1404</v>
      </c>
      <c r="E407" s="50" t="s">
        <v>1529</v>
      </c>
    </row>
    <row r="408" spans="1:5" s="51" customFormat="1" x14ac:dyDescent="0.15">
      <c r="A408" s="50" t="s">
        <v>1530</v>
      </c>
      <c r="B408" s="50" t="s">
        <v>1531</v>
      </c>
      <c r="C408" s="50" t="s">
        <v>1532</v>
      </c>
      <c r="D408" s="50" t="s">
        <v>1409</v>
      </c>
      <c r="E408" s="50" t="s">
        <v>1533</v>
      </c>
    </row>
    <row r="409" spans="1:5" s="51" customFormat="1" x14ac:dyDescent="0.15">
      <c r="A409" s="50" t="s">
        <v>1534</v>
      </c>
      <c r="B409" s="50" t="s">
        <v>1535</v>
      </c>
      <c r="C409" s="50" t="s">
        <v>1536</v>
      </c>
      <c r="D409" s="50" t="s">
        <v>1414</v>
      </c>
      <c r="E409" s="50" t="s">
        <v>1537</v>
      </c>
    </row>
    <row r="410" spans="1:5" s="51" customFormat="1" x14ac:dyDescent="0.15">
      <c r="A410" s="50" t="s">
        <v>1538</v>
      </c>
      <c r="B410" s="50" t="s">
        <v>1539</v>
      </c>
      <c r="C410" s="50" t="s">
        <v>1540</v>
      </c>
      <c r="D410" s="50" t="s">
        <v>1414</v>
      </c>
      <c r="E410" s="50" t="s">
        <v>1541</v>
      </c>
    </row>
    <row r="411" spans="1:5" s="51" customFormat="1" x14ac:dyDescent="0.15">
      <c r="A411" s="50" t="s">
        <v>1542</v>
      </c>
      <c r="B411" s="50" t="s">
        <v>1543</v>
      </c>
      <c r="C411" s="50" t="s">
        <v>1544</v>
      </c>
      <c r="D411" s="50" t="s">
        <v>1545</v>
      </c>
      <c r="E411" s="50" t="s">
        <v>1546</v>
      </c>
    </row>
    <row r="412" spans="1:5" s="51" customFormat="1" x14ac:dyDescent="0.15">
      <c r="A412" s="50" t="s">
        <v>1547</v>
      </c>
      <c r="B412" s="50" t="s">
        <v>1548</v>
      </c>
      <c r="C412" s="50" t="s">
        <v>1549</v>
      </c>
      <c r="D412" s="50" t="s">
        <v>1550</v>
      </c>
      <c r="E412" s="50" t="s">
        <v>1551</v>
      </c>
    </row>
    <row r="413" spans="1:5" s="51" customFormat="1" x14ac:dyDescent="0.15">
      <c r="A413" s="50" t="s">
        <v>1552</v>
      </c>
      <c r="B413" s="50" t="s">
        <v>1553</v>
      </c>
      <c r="C413" s="50" t="s">
        <v>1554</v>
      </c>
      <c r="D413" s="50" t="s">
        <v>1555</v>
      </c>
      <c r="E413" s="50" t="s">
        <v>1556</v>
      </c>
    </row>
    <row r="414" spans="1:5" s="51" customFormat="1" x14ac:dyDescent="0.15">
      <c r="A414" s="50" t="s">
        <v>1557</v>
      </c>
      <c r="B414" s="50" t="s">
        <v>1558</v>
      </c>
      <c r="C414" s="50" t="s">
        <v>1559</v>
      </c>
      <c r="D414" s="50" t="s">
        <v>1560</v>
      </c>
      <c r="E414" s="50" t="s">
        <v>1561</v>
      </c>
    </row>
    <row r="415" spans="1:5" s="51" customFormat="1" x14ac:dyDescent="0.15">
      <c r="A415" s="50" t="s">
        <v>1562</v>
      </c>
      <c r="B415" s="50" t="s">
        <v>1563</v>
      </c>
      <c r="C415" s="50" t="s">
        <v>1564</v>
      </c>
      <c r="D415" s="50" t="s">
        <v>1565</v>
      </c>
      <c r="E415" s="50" t="s">
        <v>1566</v>
      </c>
    </row>
    <row r="416" spans="1:5" s="51" customFormat="1" x14ac:dyDescent="0.15">
      <c r="A416" s="50" t="s">
        <v>1567</v>
      </c>
      <c r="B416" s="50" t="s">
        <v>1568</v>
      </c>
      <c r="C416" s="50" t="s">
        <v>1569</v>
      </c>
      <c r="D416" s="50" t="s">
        <v>1565</v>
      </c>
      <c r="E416" s="50" t="s">
        <v>1570</v>
      </c>
    </row>
    <row r="417" spans="1:5" s="51" customFormat="1" x14ac:dyDescent="0.15">
      <c r="A417" s="50" t="s">
        <v>1571</v>
      </c>
      <c r="B417" s="50" t="s">
        <v>1572</v>
      </c>
      <c r="C417" s="50" t="s">
        <v>1573</v>
      </c>
      <c r="D417" s="50" t="s">
        <v>1574</v>
      </c>
      <c r="E417" s="50" t="s">
        <v>1575</v>
      </c>
    </row>
    <row r="418" spans="1:5" s="51" customFormat="1" x14ac:dyDescent="0.15">
      <c r="A418" s="50" t="s">
        <v>1576</v>
      </c>
      <c r="B418" s="50" t="s">
        <v>1577</v>
      </c>
      <c r="C418" s="50" t="s">
        <v>1578</v>
      </c>
      <c r="D418" s="50" t="s">
        <v>1579</v>
      </c>
      <c r="E418" s="50" t="s">
        <v>1580</v>
      </c>
    </row>
    <row r="419" spans="1:5" s="51" customFormat="1" x14ac:dyDescent="0.15">
      <c r="A419" s="50" t="s">
        <v>1581</v>
      </c>
      <c r="B419" s="50" t="s">
        <v>1582</v>
      </c>
      <c r="C419" s="50" t="s">
        <v>1583</v>
      </c>
      <c r="D419" s="50" t="s">
        <v>1584</v>
      </c>
      <c r="E419" s="50" t="s">
        <v>1585</v>
      </c>
    </row>
    <row r="420" spans="1:5" s="51" customFormat="1" x14ac:dyDescent="0.15">
      <c r="A420" s="50" t="s">
        <v>1586</v>
      </c>
      <c r="B420" s="50" t="s">
        <v>1587</v>
      </c>
      <c r="C420" s="50" t="s">
        <v>1588</v>
      </c>
      <c r="D420" s="50" t="s">
        <v>1589</v>
      </c>
      <c r="E420" s="50" t="s">
        <v>1590</v>
      </c>
    </row>
    <row r="421" spans="1:5" s="51" customFormat="1" x14ac:dyDescent="0.15">
      <c r="A421" s="50" t="s">
        <v>1591</v>
      </c>
      <c r="B421" s="50" t="s">
        <v>1592</v>
      </c>
      <c r="C421" s="50" t="s">
        <v>1593</v>
      </c>
      <c r="D421" s="50" t="s">
        <v>1579</v>
      </c>
      <c r="E421" s="50" t="s">
        <v>1594</v>
      </c>
    </row>
    <row r="422" spans="1:5" s="51" customFormat="1" x14ac:dyDescent="0.15">
      <c r="A422" s="50" t="s">
        <v>1595</v>
      </c>
      <c r="B422" s="50" t="s">
        <v>191</v>
      </c>
      <c r="C422" s="50" t="s">
        <v>192</v>
      </c>
      <c r="D422" s="50" t="s">
        <v>1555</v>
      </c>
      <c r="E422" s="50" t="s">
        <v>1596</v>
      </c>
    </row>
    <row r="423" spans="1:5" s="51" customFormat="1" x14ac:dyDescent="0.15">
      <c r="A423" s="50" t="s">
        <v>1597</v>
      </c>
      <c r="B423" s="50" t="s">
        <v>1598</v>
      </c>
      <c r="C423" s="50" t="s">
        <v>1599</v>
      </c>
      <c r="D423" s="50" t="s">
        <v>1584</v>
      </c>
      <c r="E423" s="50" t="s">
        <v>1600</v>
      </c>
    </row>
    <row r="424" spans="1:5" s="51" customFormat="1" x14ac:dyDescent="0.15">
      <c r="A424" s="50" t="s">
        <v>1601</v>
      </c>
      <c r="B424" s="50" t="s">
        <v>1602</v>
      </c>
      <c r="C424" s="50" t="s">
        <v>1603</v>
      </c>
      <c r="D424" s="50" t="s">
        <v>1555</v>
      </c>
      <c r="E424" s="50" t="s">
        <v>1604</v>
      </c>
    </row>
    <row r="425" spans="1:5" s="51" customFormat="1" x14ac:dyDescent="0.15">
      <c r="A425" s="50" t="s">
        <v>1605</v>
      </c>
      <c r="B425" s="50" t="s">
        <v>1606</v>
      </c>
      <c r="C425" s="50" t="s">
        <v>1607</v>
      </c>
      <c r="D425" s="50" t="s">
        <v>1555</v>
      </c>
      <c r="E425" s="50" t="s">
        <v>1608</v>
      </c>
    </row>
    <row r="426" spans="1:5" s="51" customFormat="1" x14ac:dyDescent="0.15">
      <c r="A426" s="50" t="s">
        <v>1609</v>
      </c>
      <c r="B426" s="50" t="s">
        <v>1610</v>
      </c>
      <c r="C426" s="50" t="s">
        <v>1611</v>
      </c>
      <c r="D426" s="50" t="s">
        <v>1555</v>
      </c>
      <c r="E426" s="50" t="s">
        <v>1612</v>
      </c>
    </row>
    <row r="427" spans="1:5" s="51" customFormat="1" x14ac:dyDescent="0.15">
      <c r="A427" s="50" t="s">
        <v>1613</v>
      </c>
      <c r="B427" s="50" t="s">
        <v>1614</v>
      </c>
      <c r="C427" s="50" t="s">
        <v>1615</v>
      </c>
      <c r="D427" s="50" t="s">
        <v>1584</v>
      </c>
      <c r="E427" s="50" t="s">
        <v>1616</v>
      </c>
    </row>
    <row r="428" spans="1:5" s="51" customFormat="1" x14ac:dyDescent="0.15">
      <c r="A428" s="50" t="s">
        <v>1617</v>
      </c>
      <c r="B428" s="50" t="s">
        <v>1618</v>
      </c>
      <c r="C428" s="50" t="s">
        <v>1619</v>
      </c>
      <c r="D428" s="50" t="s">
        <v>1565</v>
      </c>
      <c r="E428" s="50" t="s">
        <v>1620</v>
      </c>
    </row>
    <row r="429" spans="1:5" s="51" customFormat="1" x14ac:dyDescent="0.15">
      <c r="A429" s="50" t="s">
        <v>1621</v>
      </c>
      <c r="B429" s="50" t="s">
        <v>1622</v>
      </c>
      <c r="C429" s="50" t="s">
        <v>1623</v>
      </c>
      <c r="D429" s="50" t="s">
        <v>1565</v>
      </c>
      <c r="E429" s="50" t="s">
        <v>1624</v>
      </c>
    </row>
    <row r="430" spans="1:5" s="51" customFormat="1" x14ac:dyDescent="0.15">
      <c r="A430" s="50" t="s">
        <v>1625</v>
      </c>
      <c r="B430" s="50" t="s">
        <v>1626</v>
      </c>
      <c r="C430" s="50" t="s">
        <v>1627</v>
      </c>
      <c r="D430" s="50" t="s">
        <v>1628</v>
      </c>
      <c r="E430" s="50" t="s">
        <v>1629</v>
      </c>
    </row>
    <row r="431" spans="1:5" s="51" customFormat="1" x14ac:dyDescent="0.15">
      <c r="A431" s="50" t="s">
        <v>1630</v>
      </c>
      <c r="B431" s="50" t="s">
        <v>1631</v>
      </c>
      <c r="C431" s="50" t="s">
        <v>1632</v>
      </c>
      <c r="D431" s="50" t="s">
        <v>1628</v>
      </c>
      <c r="E431" s="50" t="s">
        <v>1633</v>
      </c>
    </row>
    <row r="432" spans="1:5" s="51" customFormat="1" x14ac:dyDescent="0.15">
      <c r="A432" s="50" t="s">
        <v>1634</v>
      </c>
      <c r="B432" s="50" t="s">
        <v>1635</v>
      </c>
      <c r="C432" s="50" t="s">
        <v>1636</v>
      </c>
      <c r="D432" s="50" t="s">
        <v>1628</v>
      </c>
      <c r="E432" s="50" t="s">
        <v>1637</v>
      </c>
    </row>
    <row r="433" spans="1:5" s="51" customFormat="1" x14ac:dyDescent="0.15">
      <c r="A433" s="50" t="s">
        <v>1638</v>
      </c>
      <c r="B433" s="50" t="s">
        <v>1639</v>
      </c>
      <c r="C433" s="50" t="s">
        <v>1640</v>
      </c>
      <c r="D433" s="50" t="s">
        <v>1628</v>
      </c>
      <c r="E433" s="50" t="s">
        <v>1641</v>
      </c>
    </row>
    <row r="434" spans="1:5" s="51" customFormat="1" x14ac:dyDescent="0.15">
      <c r="A434" s="50" t="s">
        <v>1642</v>
      </c>
      <c r="B434" s="50" t="s">
        <v>1643</v>
      </c>
      <c r="C434" s="50" t="s">
        <v>1644</v>
      </c>
      <c r="D434" s="50" t="s">
        <v>1628</v>
      </c>
      <c r="E434" s="50" t="s">
        <v>1645</v>
      </c>
    </row>
    <row r="435" spans="1:5" s="51" customFormat="1" x14ac:dyDescent="0.15">
      <c r="A435" s="50" t="s">
        <v>1646</v>
      </c>
      <c r="B435" s="50" t="s">
        <v>1647</v>
      </c>
      <c r="C435" s="50" t="s">
        <v>1648</v>
      </c>
      <c r="D435" s="50" t="s">
        <v>1628</v>
      </c>
      <c r="E435" s="50" t="s">
        <v>1649</v>
      </c>
    </row>
    <row r="436" spans="1:5" s="51" customFormat="1" x14ac:dyDescent="0.15">
      <c r="A436" s="50" t="s">
        <v>1650</v>
      </c>
      <c r="B436" s="50" t="s">
        <v>1651</v>
      </c>
      <c r="C436" s="50" t="s">
        <v>1652</v>
      </c>
      <c r="D436" s="50" t="s">
        <v>1550</v>
      </c>
      <c r="E436" s="50" t="s">
        <v>1653</v>
      </c>
    </row>
    <row r="437" spans="1:5" s="51" customFormat="1" x14ac:dyDescent="0.15">
      <c r="A437" s="50" t="s">
        <v>1654</v>
      </c>
      <c r="B437" s="50" t="s">
        <v>1655</v>
      </c>
      <c r="C437" s="50" t="s">
        <v>1656</v>
      </c>
      <c r="D437" s="50" t="s">
        <v>1550</v>
      </c>
      <c r="E437" s="50" t="s">
        <v>1657</v>
      </c>
    </row>
    <row r="438" spans="1:5" s="51" customFormat="1" x14ac:dyDescent="0.15">
      <c r="A438" s="50" t="s">
        <v>1658</v>
      </c>
      <c r="B438" s="50" t="s">
        <v>1659</v>
      </c>
      <c r="C438" s="50" t="s">
        <v>1660</v>
      </c>
      <c r="D438" s="50" t="s">
        <v>1550</v>
      </c>
      <c r="E438" s="50" t="s">
        <v>1661</v>
      </c>
    </row>
    <row r="439" spans="1:5" s="51" customFormat="1" x14ac:dyDescent="0.15">
      <c r="A439" s="50" t="s">
        <v>1662</v>
      </c>
      <c r="B439" s="50" t="s">
        <v>1663</v>
      </c>
      <c r="C439" s="50" t="s">
        <v>1664</v>
      </c>
      <c r="D439" s="50" t="s">
        <v>1628</v>
      </c>
      <c r="E439" s="50" t="s">
        <v>1665</v>
      </c>
    </row>
    <row r="440" spans="1:5" s="51" customFormat="1" x14ac:dyDescent="0.15">
      <c r="A440" s="50" t="s">
        <v>1666</v>
      </c>
      <c r="B440" s="50" t="s">
        <v>1667</v>
      </c>
      <c r="C440" s="50" t="s">
        <v>1668</v>
      </c>
      <c r="D440" s="50" t="s">
        <v>1628</v>
      </c>
      <c r="E440" s="50" t="s">
        <v>1669</v>
      </c>
    </row>
    <row r="441" spans="1:5" s="51" customFormat="1" x14ac:dyDescent="0.15">
      <c r="A441" s="50" t="s">
        <v>1670</v>
      </c>
      <c r="B441" s="50" t="s">
        <v>1671</v>
      </c>
      <c r="C441" s="50" t="s">
        <v>1672</v>
      </c>
      <c r="D441" s="50" t="s">
        <v>1628</v>
      </c>
      <c r="E441" s="50" t="s">
        <v>1673</v>
      </c>
    </row>
    <row r="442" spans="1:5" s="51" customFormat="1" x14ac:dyDescent="0.15">
      <c r="A442" s="50" t="s">
        <v>1674</v>
      </c>
      <c r="B442" s="50" t="s">
        <v>1675</v>
      </c>
      <c r="C442" s="50" t="s">
        <v>1676</v>
      </c>
      <c r="D442" s="50" t="s">
        <v>1628</v>
      </c>
      <c r="E442" s="50" t="s">
        <v>1677</v>
      </c>
    </row>
    <row r="443" spans="1:5" s="51" customFormat="1" x14ac:dyDescent="0.15">
      <c r="A443" s="50" t="s">
        <v>1678</v>
      </c>
      <c r="B443" s="50" t="s">
        <v>1679</v>
      </c>
      <c r="C443" s="50" t="s">
        <v>1680</v>
      </c>
      <c r="D443" s="50" t="s">
        <v>1628</v>
      </c>
      <c r="E443" s="50" t="s">
        <v>1681</v>
      </c>
    </row>
    <row r="444" spans="1:5" s="51" customFormat="1" x14ac:dyDescent="0.15">
      <c r="A444" s="50" t="s">
        <v>1682</v>
      </c>
      <c r="B444" s="50" t="s">
        <v>1683</v>
      </c>
      <c r="C444" s="50" t="s">
        <v>1684</v>
      </c>
      <c r="D444" s="50" t="s">
        <v>1550</v>
      </c>
      <c r="E444" s="50" t="s">
        <v>1685</v>
      </c>
    </row>
    <row r="445" spans="1:5" s="51" customFormat="1" x14ac:dyDescent="0.15">
      <c r="A445" s="50" t="s">
        <v>1686</v>
      </c>
      <c r="B445" s="50" t="s">
        <v>1687</v>
      </c>
      <c r="C445" s="50" t="s">
        <v>1688</v>
      </c>
      <c r="D445" s="50" t="s">
        <v>1565</v>
      </c>
      <c r="E445" s="50" t="s">
        <v>1689</v>
      </c>
    </row>
    <row r="446" spans="1:5" s="51" customFormat="1" x14ac:dyDescent="0.15">
      <c r="A446" s="50" t="s">
        <v>1690</v>
      </c>
      <c r="B446" s="50" t="s">
        <v>1691</v>
      </c>
      <c r="C446" s="50" t="s">
        <v>1692</v>
      </c>
      <c r="D446" s="50" t="s">
        <v>1565</v>
      </c>
      <c r="E446" s="50" t="s">
        <v>1693</v>
      </c>
    </row>
    <row r="447" spans="1:5" s="51" customFormat="1" x14ac:dyDescent="0.15">
      <c r="A447" s="50" t="s">
        <v>1694</v>
      </c>
      <c r="B447" s="50" t="s">
        <v>1695</v>
      </c>
      <c r="C447" s="50" t="s">
        <v>1696</v>
      </c>
      <c r="D447" s="50" t="s">
        <v>1565</v>
      </c>
      <c r="E447" s="50" t="s">
        <v>1697</v>
      </c>
    </row>
    <row r="448" spans="1:5" s="51" customFormat="1" x14ac:dyDescent="0.15">
      <c r="A448" s="50" t="s">
        <v>1698</v>
      </c>
      <c r="B448" s="50" t="s">
        <v>1699</v>
      </c>
      <c r="C448" s="50" t="s">
        <v>1700</v>
      </c>
      <c r="D448" s="50" t="s">
        <v>1565</v>
      </c>
      <c r="E448" s="50" t="s">
        <v>1701</v>
      </c>
    </row>
    <row r="449" spans="1:5" s="51" customFormat="1" x14ac:dyDescent="0.15">
      <c r="A449" s="50" t="s">
        <v>1702</v>
      </c>
      <c r="B449" s="50" t="s">
        <v>1703</v>
      </c>
      <c r="C449" s="50" t="s">
        <v>1704</v>
      </c>
      <c r="D449" s="50" t="s">
        <v>1589</v>
      </c>
      <c r="E449" s="50" t="s">
        <v>1705</v>
      </c>
    </row>
    <row r="450" spans="1:5" s="51" customFormat="1" x14ac:dyDescent="0.15">
      <c r="A450" s="50" t="s">
        <v>1706</v>
      </c>
      <c r="B450" s="50" t="s">
        <v>1707</v>
      </c>
      <c r="C450" s="50" t="s">
        <v>1708</v>
      </c>
      <c r="D450" s="50" t="s">
        <v>1589</v>
      </c>
      <c r="E450" s="50" t="s">
        <v>1709</v>
      </c>
    </row>
    <row r="451" spans="1:5" s="51" customFormat="1" x14ac:dyDescent="0.15">
      <c r="A451" s="50" t="s">
        <v>1710</v>
      </c>
      <c r="B451" s="50" t="s">
        <v>1711</v>
      </c>
      <c r="C451" s="50" t="s">
        <v>1712</v>
      </c>
      <c r="D451" s="50" t="s">
        <v>1589</v>
      </c>
      <c r="E451" s="50" t="s">
        <v>1713</v>
      </c>
    </row>
    <row r="452" spans="1:5" s="51" customFormat="1" x14ac:dyDescent="0.15">
      <c r="A452" s="50" t="s">
        <v>1714</v>
      </c>
      <c r="B452" s="50" t="s">
        <v>1715</v>
      </c>
      <c r="C452" s="50" t="s">
        <v>1716</v>
      </c>
      <c r="D452" s="50" t="s">
        <v>1589</v>
      </c>
      <c r="E452" s="50" t="s">
        <v>1717</v>
      </c>
    </row>
    <row r="453" spans="1:5" s="51" customFormat="1" x14ac:dyDescent="0.15">
      <c r="A453" s="50" t="s">
        <v>1718</v>
      </c>
      <c r="B453" s="50" t="s">
        <v>1719</v>
      </c>
      <c r="C453" s="50" t="s">
        <v>1720</v>
      </c>
      <c r="D453" s="50" t="s">
        <v>1589</v>
      </c>
      <c r="E453" s="50" t="s">
        <v>1721</v>
      </c>
    </row>
    <row r="454" spans="1:5" s="51" customFormat="1" x14ac:dyDescent="0.15">
      <c r="A454" s="50" t="s">
        <v>1722</v>
      </c>
      <c r="B454" s="50" t="s">
        <v>1723</v>
      </c>
      <c r="C454" s="50" t="s">
        <v>1724</v>
      </c>
      <c r="D454" s="50" t="s">
        <v>1589</v>
      </c>
      <c r="E454" s="50" t="s">
        <v>1725</v>
      </c>
    </row>
    <row r="455" spans="1:5" s="51" customFormat="1" x14ac:dyDescent="0.15">
      <c r="A455" s="50" t="s">
        <v>1726</v>
      </c>
      <c r="B455" s="50" t="s">
        <v>1727</v>
      </c>
      <c r="C455" s="50" t="s">
        <v>1728</v>
      </c>
      <c r="D455" s="50" t="s">
        <v>1589</v>
      </c>
      <c r="E455" s="50" t="s">
        <v>1729</v>
      </c>
    </row>
    <row r="456" spans="1:5" s="51" customFormat="1" x14ac:dyDescent="0.15">
      <c r="A456" s="50" t="s">
        <v>1730</v>
      </c>
      <c r="B456" s="50" t="s">
        <v>1731</v>
      </c>
      <c r="C456" s="50" t="s">
        <v>1732</v>
      </c>
      <c r="D456" s="50" t="s">
        <v>1589</v>
      </c>
      <c r="E456" s="50" t="s">
        <v>1733</v>
      </c>
    </row>
    <row r="457" spans="1:5" s="51" customFormat="1" x14ac:dyDescent="0.15">
      <c r="A457" s="50" t="s">
        <v>1734</v>
      </c>
      <c r="B457" s="50" t="s">
        <v>1735</v>
      </c>
      <c r="C457" s="50" t="s">
        <v>1736</v>
      </c>
      <c r="D457" s="50" t="s">
        <v>1589</v>
      </c>
      <c r="E457" s="50" t="s">
        <v>1737</v>
      </c>
    </row>
    <row r="458" spans="1:5" s="51" customFormat="1" x14ac:dyDescent="0.15">
      <c r="A458" s="50" t="s">
        <v>1738</v>
      </c>
      <c r="B458" s="50" t="s">
        <v>1739</v>
      </c>
      <c r="C458" s="50" t="s">
        <v>1740</v>
      </c>
      <c r="D458" s="50" t="s">
        <v>1741</v>
      </c>
      <c r="E458" s="50" t="s">
        <v>1742</v>
      </c>
    </row>
    <row r="459" spans="1:5" s="51" customFormat="1" x14ac:dyDescent="0.15">
      <c r="A459" s="50" t="s">
        <v>1743</v>
      </c>
      <c r="B459" s="50" t="s">
        <v>1744</v>
      </c>
      <c r="C459" s="50" t="s">
        <v>1745</v>
      </c>
      <c r="D459" s="50" t="s">
        <v>1589</v>
      </c>
      <c r="E459" s="50" t="s">
        <v>1746</v>
      </c>
    </row>
    <row r="460" spans="1:5" s="51" customFormat="1" x14ac:dyDescent="0.15">
      <c r="A460" s="50" t="s">
        <v>1747</v>
      </c>
      <c r="B460" s="50" t="s">
        <v>1748</v>
      </c>
      <c r="C460" s="50" t="s">
        <v>1749</v>
      </c>
      <c r="D460" s="50" t="s">
        <v>1750</v>
      </c>
      <c r="E460" s="50" t="s">
        <v>1751</v>
      </c>
    </row>
    <row r="461" spans="1:5" s="51" customFormat="1" x14ac:dyDescent="0.15">
      <c r="A461" s="50" t="s">
        <v>1752</v>
      </c>
      <c r="B461" s="50" t="s">
        <v>1753</v>
      </c>
      <c r="C461" s="50" t="s">
        <v>1754</v>
      </c>
      <c r="D461" s="50" t="s">
        <v>1750</v>
      </c>
      <c r="E461" s="50" t="s">
        <v>1755</v>
      </c>
    </row>
    <row r="462" spans="1:5" s="51" customFormat="1" x14ac:dyDescent="0.15">
      <c r="A462" s="50" t="s">
        <v>1756</v>
      </c>
      <c r="B462" s="50" t="s">
        <v>1757</v>
      </c>
      <c r="C462" s="50" t="s">
        <v>1758</v>
      </c>
      <c r="D462" s="50" t="s">
        <v>1750</v>
      </c>
      <c r="E462" s="50" t="s">
        <v>1759</v>
      </c>
    </row>
    <row r="463" spans="1:5" s="51" customFormat="1" x14ac:dyDescent="0.15">
      <c r="A463" s="50" t="s">
        <v>1760</v>
      </c>
      <c r="B463" s="50" t="s">
        <v>1761</v>
      </c>
      <c r="C463" s="50" t="s">
        <v>1762</v>
      </c>
      <c r="D463" s="50" t="s">
        <v>1750</v>
      </c>
      <c r="E463" s="50" t="s">
        <v>1763</v>
      </c>
    </row>
    <row r="464" spans="1:5" s="51" customFormat="1" x14ac:dyDescent="0.15">
      <c r="A464" s="50" t="s">
        <v>1764</v>
      </c>
      <c r="B464" s="50" t="s">
        <v>1765</v>
      </c>
      <c r="C464" s="50" t="s">
        <v>1766</v>
      </c>
      <c r="D464" s="50" t="s">
        <v>1750</v>
      </c>
      <c r="E464" s="50" t="s">
        <v>1767</v>
      </c>
    </row>
    <row r="465" spans="1:5" s="51" customFormat="1" x14ac:dyDescent="0.15">
      <c r="A465" s="50" t="s">
        <v>1768</v>
      </c>
      <c r="B465" s="50" t="s">
        <v>1769</v>
      </c>
      <c r="C465" s="50" t="s">
        <v>1770</v>
      </c>
      <c r="D465" s="50" t="s">
        <v>1750</v>
      </c>
      <c r="E465" s="50" t="s">
        <v>1771</v>
      </c>
    </row>
    <row r="466" spans="1:5" s="51" customFormat="1" x14ac:dyDescent="0.15">
      <c r="A466" s="50" t="s">
        <v>1772</v>
      </c>
      <c r="B466" s="50" t="s">
        <v>1773</v>
      </c>
      <c r="C466" s="50" t="s">
        <v>1774</v>
      </c>
      <c r="D466" s="50" t="s">
        <v>1750</v>
      </c>
      <c r="E466" s="50" t="s">
        <v>1775</v>
      </c>
    </row>
    <row r="467" spans="1:5" s="51" customFormat="1" x14ac:dyDescent="0.15">
      <c r="A467" s="50" t="s">
        <v>1776</v>
      </c>
      <c r="B467" s="50" t="s">
        <v>1777</v>
      </c>
      <c r="C467" s="50" t="s">
        <v>1778</v>
      </c>
      <c r="D467" s="50" t="s">
        <v>1750</v>
      </c>
      <c r="E467" s="50" t="s">
        <v>1779</v>
      </c>
    </row>
    <row r="468" spans="1:5" s="51" customFormat="1" x14ac:dyDescent="0.15">
      <c r="A468" s="50" t="s">
        <v>1780</v>
      </c>
      <c r="B468" s="50" t="s">
        <v>1781</v>
      </c>
      <c r="C468" s="50" t="s">
        <v>1782</v>
      </c>
      <c r="D468" s="50" t="s">
        <v>1579</v>
      </c>
      <c r="E468" s="50" t="s">
        <v>1783</v>
      </c>
    </row>
    <row r="469" spans="1:5" s="51" customFormat="1" x14ac:dyDescent="0.15">
      <c r="A469" s="50" t="s">
        <v>1784</v>
      </c>
      <c r="B469" s="50" t="s">
        <v>1785</v>
      </c>
      <c r="C469" s="50" t="s">
        <v>1786</v>
      </c>
      <c r="D469" s="50" t="s">
        <v>1579</v>
      </c>
      <c r="E469" s="50" t="s">
        <v>1787</v>
      </c>
    </row>
    <row r="470" spans="1:5" s="51" customFormat="1" x14ac:dyDescent="0.15">
      <c r="A470" s="50" t="s">
        <v>1788</v>
      </c>
      <c r="B470" s="50" t="s">
        <v>1789</v>
      </c>
      <c r="C470" s="50" t="s">
        <v>1790</v>
      </c>
      <c r="D470" s="50" t="s">
        <v>1791</v>
      </c>
      <c r="E470" s="50" t="s">
        <v>1792</v>
      </c>
    </row>
    <row r="471" spans="1:5" s="51" customFormat="1" x14ac:dyDescent="0.15">
      <c r="A471" s="50" t="s">
        <v>1793</v>
      </c>
      <c r="B471" s="50" t="s">
        <v>1794</v>
      </c>
      <c r="C471" s="50" t="s">
        <v>1795</v>
      </c>
      <c r="D471" s="50" t="s">
        <v>1796</v>
      </c>
      <c r="E471" s="50" t="s">
        <v>1797</v>
      </c>
    </row>
    <row r="472" spans="1:5" s="51" customFormat="1" x14ac:dyDescent="0.15">
      <c r="A472" s="50" t="s">
        <v>1798</v>
      </c>
      <c r="B472" s="50" t="s">
        <v>1799</v>
      </c>
      <c r="C472" s="50" t="s">
        <v>1800</v>
      </c>
      <c r="D472" s="50" t="s">
        <v>1791</v>
      </c>
      <c r="E472" s="50" t="s">
        <v>1801</v>
      </c>
    </row>
    <row r="473" spans="1:5" s="51" customFormat="1" x14ac:dyDescent="0.15">
      <c r="A473" s="50" t="s">
        <v>1802</v>
      </c>
      <c r="B473" s="50" t="s">
        <v>1803</v>
      </c>
      <c r="C473" s="50" t="s">
        <v>1804</v>
      </c>
      <c r="D473" s="50" t="s">
        <v>1805</v>
      </c>
      <c r="E473" s="50" t="s">
        <v>1806</v>
      </c>
    </row>
    <row r="474" spans="1:5" s="51" customFormat="1" x14ac:dyDescent="0.15">
      <c r="A474" s="50" t="s">
        <v>1807</v>
      </c>
      <c r="B474" s="50" t="s">
        <v>1808</v>
      </c>
      <c r="C474" s="50" t="s">
        <v>1809</v>
      </c>
      <c r="D474" s="50" t="s">
        <v>1810</v>
      </c>
      <c r="E474" s="50" t="s">
        <v>1811</v>
      </c>
    </row>
    <row r="475" spans="1:5" s="51" customFormat="1" x14ac:dyDescent="0.15">
      <c r="A475" s="50" t="s">
        <v>1812</v>
      </c>
      <c r="B475" s="50" t="s">
        <v>1813</v>
      </c>
      <c r="C475" s="50" t="s">
        <v>1814</v>
      </c>
      <c r="D475" s="50" t="s">
        <v>1815</v>
      </c>
      <c r="E475" s="50" t="s">
        <v>1816</v>
      </c>
    </row>
    <row r="476" spans="1:5" s="51" customFormat="1" x14ac:dyDescent="0.15">
      <c r="A476" s="50" t="s">
        <v>1817</v>
      </c>
      <c r="B476" s="50" t="s">
        <v>1818</v>
      </c>
      <c r="C476" s="50" t="s">
        <v>1819</v>
      </c>
      <c r="D476" s="50" t="s">
        <v>1820</v>
      </c>
      <c r="E476" s="50" t="s">
        <v>1821</v>
      </c>
    </row>
    <row r="477" spans="1:5" s="51" customFormat="1" x14ac:dyDescent="0.15">
      <c r="A477" s="50" t="s">
        <v>1822</v>
      </c>
      <c r="B477" s="50" t="s">
        <v>1823</v>
      </c>
      <c r="C477" s="50" t="s">
        <v>1824</v>
      </c>
      <c r="D477" s="50" t="s">
        <v>1815</v>
      </c>
      <c r="E477" s="50" t="s">
        <v>1825</v>
      </c>
    </row>
    <row r="478" spans="1:5" s="51" customFormat="1" x14ac:dyDescent="0.15">
      <c r="A478" s="50" t="s">
        <v>1826</v>
      </c>
      <c r="B478" s="50" t="s">
        <v>1827</v>
      </c>
      <c r="C478" s="50" t="s">
        <v>1828</v>
      </c>
      <c r="D478" s="50" t="s">
        <v>1820</v>
      </c>
      <c r="E478" s="50" t="s">
        <v>1829</v>
      </c>
    </row>
    <row r="479" spans="1:5" s="51" customFormat="1" x14ac:dyDescent="0.15">
      <c r="A479" s="50" t="s">
        <v>1830</v>
      </c>
      <c r="B479" s="50" t="s">
        <v>1831</v>
      </c>
      <c r="C479" s="50" t="s">
        <v>1832</v>
      </c>
      <c r="D479" s="50" t="s">
        <v>1796</v>
      </c>
      <c r="E479" s="50" t="s">
        <v>1833</v>
      </c>
    </row>
    <row r="480" spans="1:5" s="51" customFormat="1" x14ac:dyDescent="0.15">
      <c r="A480" s="50" t="s">
        <v>1834</v>
      </c>
      <c r="B480" s="50" t="s">
        <v>1835</v>
      </c>
      <c r="C480" s="50" t="s">
        <v>1836</v>
      </c>
      <c r="D480" s="50" t="s">
        <v>1837</v>
      </c>
      <c r="E480" s="50" t="s">
        <v>1838</v>
      </c>
    </row>
    <row r="481" spans="1:5" s="51" customFormat="1" x14ac:dyDescent="0.15">
      <c r="A481" s="50" t="s">
        <v>1839</v>
      </c>
      <c r="B481" s="50" t="s">
        <v>1840</v>
      </c>
      <c r="C481" s="50" t="s">
        <v>1841</v>
      </c>
      <c r="D481" s="50" t="s">
        <v>1837</v>
      </c>
      <c r="E481" s="50" t="s">
        <v>1842</v>
      </c>
    </row>
    <row r="482" spans="1:5" s="51" customFormat="1" x14ac:dyDescent="0.15">
      <c r="A482" s="50" t="s">
        <v>1843</v>
      </c>
      <c r="B482" s="50" t="s">
        <v>1844</v>
      </c>
      <c r="C482" s="50" t="s">
        <v>1845</v>
      </c>
      <c r="D482" s="50" t="s">
        <v>1846</v>
      </c>
      <c r="E482" s="50" t="s">
        <v>1847</v>
      </c>
    </row>
    <row r="483" spans="1:5" s="51" customFormat="1" x14ac:dyDescent="0.15">
      <c r="A483" s="50" t="s">
        <v>1848</v>
      </c>
      <c r="B483" s="50" t="s">
        <v>1849</v>
      </c>
      <c r="C483" s="50" t="s">
        <v>1850</v>
      </c>
      <c r="D483" s="50" t="s">
        <v>1820</v>
      </c>
      <c r="E483" s="50" t="s">
        <v>1851</v>
      </c>
    </row>
    <row r="484" spans="1:5" s="51" customFormat="1" x14ac:dyDescent="0.15">
      <c r="A484" s="50" t="s">
        <v>1852</v>
      </c>
      <c r="B484" s="50" t="s">
        <v>1853</v>
      </c>
      <c r="C484" s="50" t="s">
        <v>1854</v>
      </c>
      <c r="D484" s="50" t="s">
        <v>1791</v>
      </c>
      <c r="E484" s="50" t="s">
        <v>1855</v>
      </c>
    </row>
    <row r="485" spans="1:5" s="51" customFormat="1" x14ac:dyDescent="0.15">
      <c r="A485" s="50" t="s">
        <v>1856</v>
      </c>
      <c r="B485" s="50" t="s">
        <v>1857</v>
      </c>
      <c r="C485" s="50" t="s">
        <v>1858</v>
      </c>
      <c r="D485" s="50" t="s">
        <v>1791</v>
      </c>
      <c r="E485" s="50" t="s">
        <v>1859</v>
      </c>
    </row>
    <row r="486" spans="1:5" s="51" customFormat="1" x14ac:dyDescent="0.15">
      <c r="A486" s="50" t="s">
        <v>1860</v>
      </c>
      <c r="B486" s="50" t="s">
        <v>1861</v>
      </c>
      <c r="C486" s="50" t="s">
        <v>1862</v>
      </c>
      <c r="D486" s="50" t="s">
        <v>1791</v>
      </c>
      <c r="E486" s="50" t="s">
        <v>1863</v>
      </c>
    </row>
    <row r="487" spans="1:5" s="51" customFormat="1" x14ac:dyDescent="0.15">
      <c r="A487" s="50" t="s">
        <v>1864</v>
      </c>
      <c r="B487" s="50" t="s">
        <v>1865</v>
      </c>
      <c r="C487" s="50" t="s">
        <v>1866</v>
      </c>
      <c r="D487" s="50" t="s">
        <v>1810</v>
      </c>
      <c r="E487" s="50" t="s">
        <v>1867</v>
      </c>
    </row>
    <row r="488" spans="1:5" s="51" customFormat="1" x14ac:dyDescent="0.15">
      <c r="A488" s="50" t="s">
        <v>1868</v>
      </c>
      <c r="B488" s="50" t="s">
        <v>1869</v>
      </c>
      <c r="C488" s="50" t="s">
        <v>1870</v>
      </c>
      <c r="D488" s="50" t="s">
        <v>1810</v>
      </c>
      <c r="E488" s="50" t="s">
        <v>1871</v>
      </c>
    </row>
    <row r="489" spans="1:5" s="51" customFormat="1" x14ac:dyDescent="0.15">
      <c r="A489" s="50" t="s">
        <v>1872</v>
      </c>
      <c r="B489" s="50" t="s">
        <v>1873</v>
      </c>
      <c r="C489" s="50" t="s">
        <v>1874</v>
      </c>
      <c r="D489" s="50" t="s">
        <v>1820</v>
      </c>
      <c r="E489" s="50" t="s">
        <v>1875</v>
      </c>
    </row>
    <row r="490" spans="1:5" s="51" customFormat="1" x14ac:dyDescent="0.15">
      <c r="A490" s="50" t="s">
        <v>1876</v>
      </c>
      <c r="B490" s="50" t="s">
        <v>1877</v>
      </c>
      <c r="C490" s="50" t="s">
        <v>1878</v>
      </c>
      <c r="D490" s="50" t="s">
        <v>1879</v>
      </c>
      <c r="E490" s="50" t="s">
        <v>1880</v>
      </c>
    </row>
    <row r="491" spans="1:5" s="51" customFormat="1" x14ac:dyDescent="0.15">
      <c r="A491" s="50" t="s">
        <v>1881</v>
      </c>
      <c r="B491" s="50" t="s">
        <v>1882</v>
      </c>
      <c r="C491" s="50" t="s">
        <v>1883</v>
      </c>
      <c r="D491" s="50" t="s">
        <v>1791</v>
      </c>
      <c r="E491" s="50" t="s">
        <v>1884</v>
      </c>
    </row>
    <row r="492" spans="1:5" s="51" customFormat="1" x14ac:dyDescent="0.15">
      <c r="A492" s="50" t="s">
        <v>1885</v>
      </c>
      <c r="B492" s="50" t="s">
        <v>1886</v>
      </c>
      <c r="C492" s="50" t="s">
        <v>1887</v>
      </c>
      <c r="D492" s="50" t="s">
        <v>1815</v>
      </c>
      <c r="E492" s="50" t="s">
        <v>1888</v>
      </c>
    </row>
    <row r="493" spans="1:5" s="51" customFormat="1" x14ac:dyDescent="0.15">
      <c r="A493" s="50" t="s">
        <v>1889</v>
      </c>
      <c r="B493" s="50" t="s">
        <v>1890</v>
      </c>
      <c r="C493" s="50" t="s">
        <v>1891</v>
      </c>
      <c r="D493" s="50" t="s">
        <v>1892</v>
      </c>
      <c r="E493" s="50" t="s">
        <v>1893</v>
      </c>
    </row>
    <row r="494" spans="1:5" s="51" customFormat="1" x14ac:dyDescent="0.15">
      <c r="A494" s="50" t="s">
        <v>1894</v>
      </c>
      <c r="B494" s="50" t="s">
        <v>1895</v>
      </c>
      <c r="C494" s="50" t="s">
        <v>1896</v>
      </c>
      <c r="D494" s="50" t="s">
        <v>1897</v>
      </c>
      <c r="E494" s="50" t="s">
        <v>1898</v>
      </c>
    </row>
    <row r="495" spans="1:5" s="51" customFormat="1" x14ac:dyDescent="0.15">
      <c r="A495" s="50" t="s">
        <v>1899</v>
      </c>
      <c r="B495" s="50" t="s">
        <v>1900</v>
      </c>
      <c r="C495" s="50" t="s">
        <v>1901</v>
      </c>
      <c r="D495" s="50" t="s">
        <v>1902</v>
      </c>
      <c r="E495" s="50" t="s">
        <v>1903</v>
      </c>
    </row>
    <row r="496" spans="1:5" s="51" customFormat="1" x14ac:dyDescent="0.15">
      <c r="A496" s="50" t="s">
        <v>1904</v>
      </c>
      <c r="B496" s="50" t="s">
        <v>1905</v>
      </c>
      <c r="C496" s="50" t="s">
        <v>1906</v>
      </c>
      <c r="D496" s="50" t="s">
        <v>1815</v>
      </c>
      <c r="E496" s="50" t="s">
        <v>1907</v>
      </c>
    </row>
    <row r="497" spans="1:5" s="51" customFormat="1" x14ac:dyDescent="0.15">
      <c r="A497" s="50" t="s">
        <v>1908</v>
      </c>
      <c r="B497" s="50" t="s">
        <v>1909</v>
      </c>
      <c r="C497" s="50" t="s">
        <v>1910</v>
      </c>
      <c r="D497" s="50" t="s">
        <v>1911</v>
      </c>
      <c r="E497" s="50" t="s">
        <v>1912</v>
      </c>
    </row>
    <row r="498" spans="1:5" s="51" customFormat="1" x14ac:dyDescent="0.15">
      <c r="A498" s="50" t="s">
        <v>1913</v>
      </c>
      <c r="B498" s="50" t="s">
        <v>1914</v>
      </c>
      <c r="C498" s="50" t="s">
        <v>1915</v>
      </c>
      <c r="D498" s="50" t="s">
        <v>1916</v>
      </c>
      <c r="E498" s="50" t="s">
        <v>1917</v>
      </c>
    </row>
    <row r="499" spans="1:5" s="51" customFormat="1" x14ac:dyDescent="0.15">
      <c r="A499" s="50" t="s">
        <v>1918</v>
      </c>
      <c r="B499" s="50" t="s">
        <v>1919</v>
      </c>
      <c r="C499" s="50" t="s">
        <v>1920</v>
      </c>
      <c r="D499" s="50" t="s">
        <v>1921</v>
      </c>
      <c r="E499" s="50" t="s">
        <v>1922</v>
      </c>
    </row>
    <row r="500" spans="1:5" s="51" customFormat="1" x14ac:dyDescent="0.15">
      <c r="A500" s="50" t="s">
        <v>1923</v>
      </c>
      <c r="B500" s="50" t="s">
        <v>1924</v>
      </c>
      <c r="C500" s="50" t="s">
        <v>1925</v>
      </c>
      <c r="D500" s="50" t="s">
        <v>1820</v>
      </c>
      <c r="E500" s="50" t="s">
        <v>1926</v>
      </c>
    </row>
    <row r="501" spans="1:5" s="51" customFormat="1" x14ac:dyDescent="0.15">
      <c r="A501" s="50" t="s">
        <v>1927</v>
      </c>
      <c r="B501" s="50" t="s">
        <v>1928</v>
      </c>
      <c r="C501" s="50" t="s">
        <v>1929</v>
      </c>
      <c r="D501" s="50" t="s">
        <v>1810</v>
      </c>
      <c r="E501" s="50" t="s">
        <v>1930</v>
      </c>
    </row>
    <row r="502" spans="1:5" s="51" customFormat="1" x14ac:dyDescent="0.15">
      <c r="A502" s="50" t="s">
        <v>1931</v>
      </c>
      <c r="B502" s="50" t="s">
        <v>1932</v>
      </c>
      <c r="C502" s="50" t="s">
        <v>1933</v>
      </c>
      <c r="D502" s="50" t="s">
        <v>1791</v>
      </c>
      <c r="E502" s="50" t="s">
        <v>1934</v>
      </c>
    </row>
    <row r="503" spans="1:5" s="51" customFormat="1" x14ac:dyDescent="0.15">
      <c r="A503" s="50" t="s">
        <v>1935</v>
      </c>
      <c r="B503" s="50" t="s">
        <v>1936</v>
      </c>
      <c r="C503" s="50" t="s">
        <v>1937</v>
      </c>
      <c r="D503" s="50" t="s">
        <v>1791</v>
      </c>
      <c r="E503" s="50" t="s">
        <v>1938</v>
      </c>
    </row>
    <row r="504" spans="1:5" s="51" customFormat="1" x14ac:dyDescent="0.15">
      <c r="A504" s="50" t="s">
        <v>1939</v>
      </c>
      <c r="B504" s="50" t="s">
        <v>1940</v>
      </c>
      <c r="C504" s="50" t="s">
        <v>1941</v>
      </c>
      <c r="D504" s="50" t="s">
        <v>1942</v>
      </c>
      <c r="E504" s="50" t="s">
        <v>1943</v>
      </c>
    </row>
    <row r="505" spans="1:5" s="51" customFormat="1" x14ac:dyDescent="0.15">
      <c r="A505" s="50" t="s">
        <v>1944</v>
      </c>
      <c r="B505" s="50" t="s">
        <v>1945</v>
      </c>
      <c r="C505" s="50" t="s">
        <v>1946</v>
      </c>
      <c r="D505" s="50" t="s">
        <v>1791</v>
      </c>
      <c r="E505" s="50" t="s">
        <v>1947</v>
      </c>
    </row>
    <row r="506" spans="1:5" s="51" customFormat="1" x14ac:dyDescent="0.15">
      <c r="A506" s="50" t="s">
        <v>1948</v>
      </c>
      <c r="B506" s="50" t="s">
        <v>1949</v>
      </c>
      <c r="C506" s="50" t="s">
        <v>1950</v>
      </c>
      <c r="D506" s="50" t="s">
        <v>1879</v>
      </c>
      <c r="E506" s="50" t="s">
        <v>1951</v>
      </c>
    </row>
    <row r="507" spans="1:5" s="51" customFormat="1" x14ac:dyDescent="0.15">
      <c r="A507" s="50" t="s">
        <v>1952</v>
      </c>
      <c r="B507" s="50" t="s">
        <v>1953</v>
      </c>
      <c r="C507" s="50" t="s">
        <v>1954</v>
      </c>
      <c r="D507" s="50" t="s">
        <v>1791</v>
      </c>
      <c r="E507" s="50" t="s">
        <v>1955</v>
      </c>
    </row>
    <row r="508" spans="1:5" s="51" customFormat="1" x14ac:dyDescent="0.15">
      <c r="A508" s="50" t="s">
        <v>1956</v>
      </c>
      <c r="B508" s="50" t="s">
        <v>1957</v>
      </c>
      <c r="C508" s="50" t="s">
        <v>1958</v>
      </c>
      <c r="D508" s="50" t="s">
        <v>1791</v>
      </c>
      <c r="E508" s="50" t="s">
        <v>1959</v>
      </c>
    </row>
    <row r="509" spans="1:5" s="51" customFormat="1" x14ac:dyDescent="0.15">
      <c r="A509" s="50" t="s">
        <v>1960</v>
      </c>
      <c r="B509" s="50" t="s">
        <v>1961</v>
      </c>
      <c r="C509" s="50" t="s">
        <v>1962</v>
      </c>
      <c r="D509" s="50" t="s">
        <v>1820</v>
      </c>
      <c r="E509" s="50" t="s">
        <v>1963</v>
      </c>
    </row>
    <row r="510" spans="1:5" s="51" customFormat="1" x14ac:dyDescent="0.15">
      <c r="A510" s="50" t="s">
        <v>1964</v>
      </c>
      <c r="B510" s="50" t="s">
        <v>1965</v>
      </c>
      <c r="C510" s="50" t="s">
        <v>1966</v>
      </c>
      <c r="D510" s="50" t="s">
        <v>1815</v>
      </c>
      <c r="E510" s="50" t="s">
        <v>1967</v>
      </c>
    </row>
    <row r="511" spans="1:5" s="51" customFormat="1" x14ac:dyDescent="0.15">
      <c r="A511" s="50" t="s">
        <v>1968</v>
      </c>
      <c r="B511" s="50" t="s">
        <v>1969</v>
      </c>
      <c r="C511" s="50" t="s">
        <v>1970</v>
      </c>
      <c r="D511" s="50" t="s">
        <v>1805</v>
      </c>
      <c r="E511" s="50" t="s">
        <v>1971</v>
      </c>
    </row>
    <row r="512" spans="1:5" s="51" customFormat="1" x14ac:dyDescent="0.15">
      <c r="A512" s="50" t="s">
        <v>1972</v>
      </c>
      <c r="B512" s="50" t="s">
        <v>1973</v>
      </c>
      <c r="C512" s="50" t="s">
        <v>1974</v>
      </c>
      <c r="D512" s="50" t="s">
        <v>1805</v>
      </c>
      <c r="E512" s="50" t="s">
        <v>1975</v>
      </c>
    </row>
    <row r="513" spans="1:5" s="51" customFormat="1" x14ac:dyDescent="0.15">
      <c r="A513" s="50" t="s">
        <v>1976</v>
      </c>
      <c r="B513" s="50" t="s">
        <v>1977</v>
      </c>
      <c r="C513" s="50" t="s">
        <v>1978</v>
      </c>
      <c r="D513" s="50" t="s">
        <v>1820</v>
      </c>
      <c r="E513" s="50" t="s">
        <v>1979</v>
      </c>
    </row>
    <row r="514" spans="1:5" s="51" customFormat="1" x14ac:dyDescent="0.15">
      <c r="A514" s="50" t="s">
        <v>1980</v>
      </c>
      <c r="B514" s="50" t="s">
        <v>1981</v>
      </c>
      <c r="C514" s="50" t="s">
        <v>1982</v>
      </c>
      <c r="D514" s="50" t="s">
        <v>1983</v>
      </c>
      <c r="E514" s="50" t="s">
        <v>1984</v>
      </c>
    </row>
    <row r="515" spans="1:5" s="51" customFormat="1" x14ac:dyDescent="0.15">
      <c r="A515" s="50" t="s">
        <v>1985</v>
      </c>
      <c r="B515" s="50" t="s">
        <v>1986</v>
      </c>
      <c r="C515" s="50" t="s">
        <v>1987</v>
      </c>
      <c r="D515" s="50" t="s">
        <v>1988</v>
      </c>
      <c r="E515" s="50" t="s">
        <v>1989</v>
      </c>
    </row>
    <row r="516" spans="1:5" s="51" customFormat="1" x14ac:dyDescent="0.15">
      <c r="A516" s="50" t="s">
        <v>1990</v>
      </c>
      <c r="B516" s="50" t="s">
        <v>1991</v>
      </c>
      <c r="C516" s="50" t="s">
        <v>1992</v>
      </c>
      <c r="D516" s="50" t="s">
        <v>1993</v>
      </c>
      <c r="E516" s="50" t="s">
        <v>1994</v>
      </c>
    </row>
    <row r="517" spans="1:5" s="51" customFormat="1" x14ac:dyDescent="0.15">
      <c r="A517" s="50" t="s">
        <v>1995</v>
      </c>
      <c r="B517" s="50" t="s">
        <v>1996</v>
      </c>
      <c r="C517" s="50" t="s">
        <v>1997</v>
      </c>
      <c r="D517" s="50" t="s">
        <v>1998</v>
      </c>
      <c r="E517" s="50" t="s">
        <v>1999</v>
      </c>
    </row>
    <row r="518" spans="1:5" s="51" customFormat="1" x14ac:dyDescent="0.15">
      <c r="A518" s="50" t="s">
        <v>2000</v>
      </c>
      <c r="B518" s="50" t="s">
        <v>2001</v>
      </c>
      <c r="C518" s="50" t="s">
        <v>2002</v>
      </c>
      <c r="D518" s="50" t="s">
        <v>2003</v>
      </c>
      <c r="E518" s="50" t="s">
        <v>2004</v>
      </c>
    </row>
    <row r="519" spans="1:5" s="51" customFormat="1" x14ac:dyDescent="0.15">
      <c r="A519" s="50" t="s">
        <v>2005</v>
      </c>
      <c r="B519" s="50" t="s">
        <v>2006</v>
      </c>
      <c r="C519" s="50" t="s">
        <v>2007</v>
      </c>
      <c r="D519" s="50" t="s">
        <v>2008</v>
      </c>
      <c r="E519" s="50" t="s">
        <v>2009</v>
      </c>
    </row>
    <row r="520" spans="1:5" s="51" customFormat="1" x14ac:dyDescent="0.15">
      <c r="A520" s="50" t="s">
        <v>2010</v>
      </c>
      <c r="B520" s="50" t="s">
        <v>2011</v>
      </c>
      <c r="C520" s="50" t="s">
        <v>2012</v>
      </c>
      <c r="D520" s="50" t="s">
        <v>2013</v>
      </c>
      <c r="E520" s="50" t="s">
        <v>2014</v>
      </c>
    </row>
    <row r="521" spans="1:5" s="51" customFormat="1" x14ac:dyDescent="0.15">
      <c r="A521" s="50" t="s">
        <v>2015</v>
      </c>
      <c r="B521" s="50" t="s">
        <v>2016</v>
      </c>
      <c r="C521" s="50" t="s">
        <v>2017</v>
      </c>
      <c r="D521" s="50" t="s">
        <v>2018</v>
      </c>
      <c r="E521" s="50" t="s">
        <v>2019</v>
      </c>
    </row>
    <row r="522" spans="1:5" s="51" customFormat="1" x14ac:dyDescent="0.15">
      <c r="A522" s="50" t="s">
        <v>2020</v>
      </c>
      <c r="B522" s="50" t="s">
        <v>2021</v>
      </c>
      <c r="C522" s="50" t="s">
        <v>2022</v>
      </c>
      <c r="D522" s="50" t="s">
        <v>2023</v>
      </c>
      <c r="E522" s="50" t="s">
        <v>2024</v>
      </c>
    </row>
    <row r="523" spans="1:5" s="51" customFormat="1" x14ac:dyDescent="0.15">
      <c r="A523" s="50" t="s">
        <v>2025</v>
      </c>
      <c r="B523" s="50" t="s">
        <v>2026</v>
      </c>
      <c r="C523" s="50" t="s">
        <v>2027</v>
      </c>
      <c r="D523" s="50" t="s">
        <v>2023</v>
      </c>
      <c r="E523" s="50" t="s">
        <v>2028</v>
      </c>
    </row>
    <row r="524" spans="1:5" s="51" customFormat="1" x14ac:dyDescent="0.15">
      <c r="A524" s="50" t="s">
        <v>2029</v>
      </c>
      <c r="B524" s="50" t="s">
        <v>2030</v>
      </c>
      <c r="C524" s="50" t="s">
        <v>2031</v>
      </c>
      <c r="D524" s="50" t="s">
        <v>2023</v>
      </c>
      <c r="E524" s="50" t="s">
        <v>2032</v>
      </c>
    </row>
    <row r="525" spans="1:5" s="51" customFormat="1" x14ac:dyDescent="0.15">
      <c r="A525" s="50" t="s">
        <v>2033</v>
      </c>
      <c r="B525" s="50" t="s">
        <v>2034</v>
      </c>
      <c r="C525" s="50" t="s">
        <v>2035</v>
      </c>
      <c r="D525" s="50" t="s">
        <v>1983</v>
      </c>
      <c r="E525" s="50" t="s">
        <v>2036</v>
      </c>
    </row>
    <row r="526" spans="1:5" s="51" customFormat="1" x14ac:dyDescent="0.15">
      <c r="A526" s="50" t="s">
        <v>2037</v>
      </c>
      <c r="B526" s="50" t="s">
        <v>2038</v>
      </c>
      <c r="C526" s="50" t="s">
        <v>2039</v>
      </c>
      <c r="D526" s="50" t="s">
        <v>2023</v>
      </c>
      <c r="E526" s="50" t="s">
        <v>2040</v>
      </c>
    </row>
    <row r="527" spans="1:5" s="51" customFormat="1" x14ac:dyDescent="0.15">
      <c r="A527" s="50" t="s">
        <v>2041</v>
      </c>
      <c r="B527" s="50" t="s">
        <v>2042</v>
      </c>
      <c r="C527" s="50" t="s">
        <v>2043</v>
      </c>
      <c r="D527" s="50" t="s">
        <v>2018</v>
      </c>
      <c r="E527" s="50" t="s">
        <v>2044</v>
      </c>
    </row>
    <row r="528" spans="1:5" s="51" customFormat="1" x14ac:dyDescent="0.15">
      <c r="A528" s="50" t="s">
        <v>2045</v>
      </c>
      <c r="B528" s="50" t="s">
        <v>2046</v>
      </c>
      <c r="C528" s="50" t="s">
        <v>2047</v>
      </c>
      <c r="D528" s="50" t="s">
        <v>2018</v>
      </c>
      <c r="E528" s="50" t="s">
        <v>2048</v>
      </c>
    </row>
    <row r="529" spans="1:5" s="51" customFormat="1" x14ac:dyDescent="0.15">
      <c r="A529" s="50" t="s">
        <v>2049</v>
      </c>
      <c r="B529" s="50" t="s">
        <v>2050</v>
      </c>
      <c r="C529" s="50" t="s">
        <v>2051</v>
      </c>
      <c r="D529" s="50" t="s">
        <v>2018</v>
      </c>
      <c r="E529" s="50" t="s">
        <v>2052</v>
      </c>
    </row>
    <row r="530" spans="1:5" s="51" customFormat="1" x14ac:dyDescent="0.15">
      <c r="A530" s="50" t="s">
        <v>2053</v>
      </c>
      <c r="B530" s="50" t="s">
        <v>2054</v>
      </c>
      <c r="C530" s="50" t="s">
        <v>2055</v>
      </c>
      <c r="D530" s="50" t="s">
        <v>2018</v>
      </c>
      <c r="E530" s="50" t="s">
        <v>2056</v>
      </c>
    </row>
    <row r="531" spans="1:5" s="51" customFormat="1" x14ac:dyDescent="0.15">
      <c r="A531" s="50" t="s">
        <v>2057</v>
      </c>
      <c r="B531" s="50" t="s">
        <v>2058</v>
      </c>
      <c r="C531" s="50" t="s">
        <v>2059</v>
      </c>
      <c r="D531" s="50" t="s">
        <v>2018</v>
      </c>
      <c r="E531" s="50" t="s">
        <v>2060</v>
      </c>
    </row>
    <row r="532" spans="1:5" s="51" customFormat="1" x14ac:dyDescent="0.15">
      <c r="A532" s="50" t="s">
        <v>2061</v>
      </c>
      <c r="B532" s="50" t="s">
        <v>2062</v>
      </c>
      <c r="C532" s="50" t="s">
        <v>2063</v>
      </c>
      <c r="D532" s="50" t="s">
        <v>1983</v>
      </c>
      <c r="E532" s="50" t="s">
        <v>2064</v>
      </c>
    </row>
    <row r="533" spans="1:5" s="51" customFormat="1" x14ac:dyDescent="0.15">
      <c r="A533" s="50" t="s">
        <v>2065</v>
      </c>
      <c r="B533" s="50" t="s">
        <v>2066</v>
      </c>
      <c r="C533" s="50" t="s">
        <v>2067</v>
      </c>
      <c r="D533" s="50" t="s">
        <v>1993</v>
      </c>
      <c r="E533" s="50" t="s">
        <v>2068</v>
      </c>
    </row>
    <row r="534" spans="1:5" s="51" customFormat="1" x14ac:dyDescent="0.15">
      <c r="A534" s="50" t="s">
        <v>2069</v>
      </c>
      <c r="B534" s="50" t="s">
        <v>2070</v>
      </c>
      <c r="C534" s="50" t="s">
        <v>2071</v>
      </c>
      <c r="D534" s="50" t="s">
        <v>1805</v>
      </c>
      <c r="E534" s="50" t="s">
        <v>2072</v>
      </c>
    </row>
    <row r="535" spans="1:5" s="51" customFormat="1" x14ac:dyDescent="0.15">
      <c r="A535" s="50" t="s">
        <v>2073</v>
      </c>
      <c r="B535" s="50" t="s">
        <v>2074</v>
      </c>
      <c r="C535" s="50" t="s">
        <v>2075</v>
      </c>
      <c r="D535" s="50" t="s">
        <v>1993</v>
      </c>
      <c r="E535" s="50" t="s">
        <v>2076</v>
      </c>
    </row>
    <row r="536" spans="1:5" s="51" customFormat="1" x14ac:dyDescent="0.15">
      <c r="A536" s="50" t="s">
        <v>2077</v>
      </c>
      <c r="B536" s="50" t="s">
        <v>2078</v>
      </c>
      <c r="C536" s="50" t="s">
        <v>2079</v>
      </c>
      <c r="D536" s="50" t="s">
        <v>2023</v>
      </c>
      <c r="E536" s="50" t="s">
        <v>2080</v>
      </c>
    </row>
    <row r="537" spans="1:5" s="51" customFormat="1" x14ac:dyDescent="0.15">
      <c r="A537" s="50" t="s">
        <v>2081</v>
      </c>
      <c r="B537" s="50" t="s">
        <v>2082</v>
      </c>
      <c r="C537" s="50" t="s">
        <v>2083</v>
      </c>
      <c r="D537" s="50" t="s">
        <v>1983</v>
      </c>
      <c r="E537" s="50" t="s">
        <v>2084</v>
      </c>
    </row>
    <row r="538" spans="1:5" s="51" customFormat="1" x14ac:dyDescent="0.15">
      <c r="A538" s="50" t="s">
        <v>2085</v>
      </c>
      <c r="B538" s="50" t="s">
        <v>2086</v>
      </c>
      <c r="C538" s="50" t="s">
        <v>2087</v>
      </c>
      <c r="D538" s="50" t="s">
        <v>2023</v>
      </c>
      <c r="E538" s="50" t="s">
        <v>2088</v>
      </c>
    </row>
    <row r="539" spans="1:5" s="51" customFormat="1" x14ac:dyDescent="0.15">
      <c r="A539" s="50" t="s">
        <v>2089</v>
      </c>
      <c r="B539" s="50" t="s">
        <v>2090</v>
      </c>
      <c r="C539" s="50" t="s">
        <v>2091</v>
      </c>
      <c r="D539" s="50" t="s">
        <v>2023</v>
      </c>
      <c r="E539" s="50" t="s">
        <v>2092</v>
      </c>
    </row>
    <row r="540" spans="1:5" s="51" customFormat="1" x14ac:dyDescent="0.15">
      <c r="A540" s="50" t="s">
        <v>2093</v>
      </c>
      <c r="B540" s="50" t="s">
        <v>2094</v>
      </c>
      <c r="C540" s="50" t="s">
        <v>2095</v>
      </c>
      <c r="D540" s="50" t="s">
        <v>2096</v>
      </c>
      <c r="E540" s="50" t="s">
        <v>2097</v>
      </c>
    </row>
    <row r="541" spans="1:5" s="51" customFormat="1" x14ac:dyDescent="0.15">
      <c r="A541" s="50" t="s">
        <v>2098</v>
      </c>
      <c r="B541" s="50" t="s">
        <v>2099</v>
      </c>
      <c r="C541" s="50" t="s">
        <v>2100</v>
      </c>
      <c r="D541" s="50" t="s">
        <v>2101</v>
      </c>
      <c r="E541" s="50" t="s">
        <v>2102</v>
      </c>
    </row>
    <row r="542" spans="1:5" s="51" customFormat="1" x14ac:dyDescent="0.15">
      <c r="A542" s="50" t="s">
        <v>2103</v>
      </c>
      <c r="B542" s="50" t="s">
        <v>2104</v>
      </c>
      <c r="C542" s="50" t="s">
        <v>2105</v>
      </c>
      <c r="D542" s="50" t="s">
        <v>2106</v>
      </c>
      <c r="E542" s="50" t="s">
        <v>2107</v>
      </c>
    </row>
    <row r="543" spans="1:5" s="51" customFormat="1" x14ac:dyDescent="0.15">
      <c r="A543" s="50" t="s">
        <v>2108</v>
      </c>
      <c r="B543" s="50" t="s">
        <v>2109</v>
      </c>
      <c r="C543" s="50" t="s">
        <v>2110</v>
      </c>
      <c r="D543" s="50" t="s">
        <v>2111</v>
      </c>
      <c r="E543" s="50" t="s">
        <v>2112</v>
      </c>
    </row>
    <row r="544" spans="1:5" s="51" customFormat="1" x14ac:dyDescent="0.15">
      <c r="A544" s="50" t="s">
        <v>2113</v>
      </c>
      <c r="B544" s="50" t="s">
        <v>2114</v>
      </c>
      <c r="C544" s="50" t="s">
        <v>2115</v>
      </c>
      <c r="D544" s="50" t="s">
        <v>2116</v>
      </c>
      <c r="E544" s="50" t="s">
        <v>2117</v>
      </c>
    </row>
    <row r="545" spans="1:5" s="51" customFormat="1" x14ac:dyDescent="0.15">
      <c r="A545" s="50" t="s">
        <v>2118</v>
      </c>
      <c r="B545" s="50" t="s">
        <v>2119</v>
      </c>
      <c r="C545" s="50" t="s">
        <v>2120</v>
      </c>
      <c r="D545" s="50" t="s">
        <v>2121</v>
      </c>
      <c r="E545" s="50" t="s">
        <v>2122</v>
      </c>
    </row>
    <row r="546" spans="1:5" s="51" customFormat="1" x14ac:dyDescent="0.15">
      <c r="A546" s="50" t="s">
        <v>2123</v>
      </c>
      <c r="B546" s="50" t="s">
        <v>2124</v>
      </c>
      <c r="C546" s="50" t="s">
        <v>2125</v>
      </c>
      <c r="D546" s="50" t="s">
        <v>2126</v>
      </c>
      <c r="E546" s="50" t="s">
        <v>2127</v>
      </c>
    </row>
    <row r="547" spans="1:5" s="51" customFormat="1" x14ac:dyDescent="0.15">
      <c r="A547" s="50" t="s">
        <v>2128</v>
      </c>
      <c r="B547" s="50" t="s">
        <v>2129</v>
      </c>
      <c r="C547" s="50" t="s">
        <v>2130</v>
      </c>
      <c r="D547" s="50" t="s">
        <v>2131</v>
      </c>
      <c r="E547" s="50" t="s">
        <v>2132</v>
      </c>
    </row>
    <row r="548" spans="1:5" s="51" customFormat="1" x14ac:dyDescent="0.15">
      <c r="A548" s="50" t="s">
        <v>2133</v>
      </c>
      <c r="B548" s="50" t="s">
        <v>2134</v>
      </c>
      <c r="C548" s="50" t="s">
        <v>2135</v>
      </c>
      <c r="D548" s="50" t="s">
        <v>2136</v>
      </c>
      <c r="E548" s="50" t="s">
        <v>2137</v>
      </c>
    </row>
    <row r="549" spans="1:5" s="51" customFormat="1" x14ac:dyDescent="0.15">
      <c r="A549" s="50" t="s">
        <v>2138</v>
      </c>
      <c r="B549" s="50" t="s">
        <v>2139</v>
      </c>
      <c r="C549" s="50" t="s">
        <v>2140</v>
      </c>
      <c r="D549" s="50" t="s">
        <v>2136</v>
      </c>
      <c r="E549" s="50" t="s">
        <v>2141</v>
      </c>
    </row>
    <row r="550" spans="1:5" s="51" customFormat="1" x14ac:dyDescent="0.15">
      <c r="A550" s="50" t="s">
        <v>2142</v>
      </c>
      <c r="B550" s="50" t="s">
        <v>2143</v>
      </c>
      <c r="C550" s="50" t="s">
        <v>2144</v>
      </c>
      <c r="D550" s="50" t="s">
        <v>2096</v>
      </c>
      <c r="E550" s="50" t="s">
        <v>2145</v>
      </c>
    </row>
    <row r="551" spans="1:5" s="51" customFormat="1" x14ac:dyDescent="0.15">
      <c r="A551" s="50" t="s">
        <v>2146</v>
      </c>
      <c r="B551" s="50" t="s">
        <v>2147</v>
      </c>
      <c r="C551" s="50" t="s">
        <v>2148</v>
      </c>
      <c r="D551" s="50" t="s">
        <v>2106</v>
      </c>
      <c r="E551" s="50" t="s">
        <v>2149</v>
      </c>
    </row>
    <row r="552" spans="1:5" s="51" customFormat="1" x14ac:dyDescent="0.15">
      <c r="A552" s="50" t="s">
        <v>2150</v>
      </c>
      <c r="B552" s="50" t="s">
        <v>2151</v>
      </c>
      <c r="C552" s="50" t="s">
        <v>2152</v>
      </c>
      <c r="D552" s="50" t="s">
        <v>2131</v>
      </c>
      <c r="E552" s="50" t="s">
        <v>2153</v>
      </c>
    </row>
    <row r="553" spans="1:5" s="51" customFormat="1" x14ac:dyDescent="0.15">
      <c r="A553" s="50" t="s">
        <v>2154</v>
      </c>
      <c r="B553" s="50" t="s">
        <v>2155</v>
      </c>
      <c r="C553" s="50" t="s">
        <v>2156</v>
      </c>
      <c r="D553" s="50" t="s">
        <v>2131</v>
      </c>
      <c r="E553" s="50" t="s">
        <v>2157</v>
      </c>
    </row>
    <row r="554" spans="1:5" s="51" customFormat="1" x14ac:dyDescent="0.15">
      <c r="A554" s="50" t="s">
        <v>2158</v>
      </c>
      <c r="B554" s="50" t="s">
        <v>2159</v>
      </c>
      <c r="C554" s="50" t="s">
        <v>2160</v>
      </c>
      <c r="D554" s="50" t="s">
        <v>2136</v>
      </c>
      <c r="E554" s="50" t="s">
        <v>2161</v>
      </c>
    </row>
    <row r="555" spans="1:5" s="51" customFormat="1" x14ac:dyDescent="0.15">
      <c r="A555" s="50" t="s">
        <v>2162</v>
      </c>
      <c r="B555" s="50" t="s">
        <v>2163</v>
      </c>
      <c r="C555" s="50" t="s">
        <v>2164</v>
      </c>
      <c r="D555" s="50" t="s">
        <v>2136</v>
      </c>
      <c r="E555" s="50" t="s">
        <v>2165</v>
      </c>
    </row>
    <row r="556" spans="1:5" s="51" customFormat="1" x14ac:dyDescent="0.15">
      <c r="A556" s="50" t="s">
        <v>2166</v>
      </c>
      <c r="B556" s="50" t="s">
        <v>2167</v>
      </c>
      <c r="C556" s="50" t="s">
        <v>2168</v>
      </c>
      <c r="D556" s="50" t="s">
        <v>2136</v>
      </c>
      <c r="E556" s="50" t="s">
        <v>2169</v>
      </c>
    </row>
    <row r="557" spans="1:5" s="51" customFormat="1" x14ac:dyDescent="0.15">
      <c r="A557" s="50" t="s">
        <v>2170</v>
      </c>
      <c r="B557" s="50" t="s">
        <v>2171</v>
      </c>
      <c r="C557" s="50" t="s">
        <v>2172</v>
      </c>
      <c r="D557" s="50" t="s">
        <v>2136</v>
      </c>
      <c r="E557" s="50" t="s">
        <v>2173</v>
      </c>
    </row>
    <row r="558" spans="1:5" s="51" customFormat="1" x14ac:dyDescent="0.15">
      <c r="A558" s="50" t="s">
        <v>2174</v>
      </c>
      <c r="B558" s="50" t="s">
        <v>2175</v>
      </c>
      <c r="C558" s="50" t="s">
        <v>2176</v>
      </c>
      <c r="D558" s="50" t="s">
        <v>2136</v>
      </c>
      <c r="E558" s="50" t="s">
        <v>2177</v>
      </c>
    </row>
    <row r="559" spans="1:5" s="51" customFormat="1" x14ac:dyDescent="0.15">
      <c r="A559" s="50" t="s">
        <v>2178</v>
      </c>
      <c r="B559" s="50" t="s">
        <v>2179</v>
      </c>
      <c r="C559" s="50" t="s">
        <v>2180</v>
      </c>
      <c r="D559" s="50" t="s">
        <v>2131</v>
      </c>
      <c r="E559" s="50" t="s">
        <v>2181</v>
      </c>
    </row>
    <row r="560" spans="1:5" s="51" customFormat="1" x14ac:dyDescent="0.15">
      <c r="A560" s="50" t="s">
        <v>2182</v>
      </c>
      <c r="B560" s="50" t="s">
        <v>2183</v>
      </c>
      <c r="C560" s="50" t="s">
        <v>2184</v>
      </c>
      <c r="D560" s="50" t="s">
        <v>2131</v>
      </c>
      <c r="E560" s="50" t="s">
        <v>2185</v>
      </c>
    </row>
    <row r="561" spans="1:5" s="51" customFormat="1" x14ac:dyDescent="0.15">
      <c r="A561" s="50" t="s">
        <v>2186</v>
      </c>
      <c r="B561" s="50" t="s">
        <v>2187</v>
      </c>
      <c r="C561" s="50" t="s">
        <v>2188</v>
      </c>
      <c r="D561" s="50" t="s">
        <v>2131</v>
      </c>
      <c r="E561" s="50" t="s">
        <v>2189</v>
      </c>
    </row>
    <row r="562" spans="1:5" s="51" customFormat="1" x14ac:dyDescent="0.15">
      <c r="A562" s="50" t="s">
        <v>2190</v>
      </c>
      <c r="B562" s="50" t="s">
        <v>2191</v>
      </c>
      <c r="C562" s="50" t="s">
        <v>2192</v>
      </c>
      <c r="D562" s="50" t="s">
        <v>2131</v>
      </c>
      <c r="E562" s="50" t="s">
        <v>2193</v>
      </c>
    </row>
    <row r="563" spans="1:5" s="51" customFormat="1" x14ac:dyDescent="0.15">
      <c r="A563" s="50" t="s">
        <v>2194</v>
      </c>
      <c r="B563" s="50" t="s">
        <v>2195</v>
      </c>
      <c r="C563" s="50" t="s">
        <v>2196</v>
      </c>
      <c r="D563" s="50" t="s">
        <v>2131</v>
      </c>
      <c r="E563" s="50" t="s">
        <v>2197</v>
      </c>
    </row>
    <row r="564" spans="1:5" s="51" customFormat="1" x14ac:dyDescent="0.15">
      <c r="A564" s="50" t="s">
        <v>2198</v>
      </c>
      <c r="B564" s="50" t="s">
        <v>2199</v>
      </c>
      <c r="C564" s="50" t="s">
        <v>2200</v>
      </c>
      <c r="D564" s="50" t="s">
        <v>2131</v>
      </c>
      <c r="E564" s="50" t="s">
        <v>2201</v>
      </c>
    </row>
    <row r="565" spans="1:5" s="51" customFormat="1" x14ac:dyDescent="0.15">
      <c r="A565" s="50" t="s">
        <v>2202</v>
      </c>
      <c r="B565" s="50" t="s">
        <v>2203</v>
      </c>
      <c r="C565" s="50" t="s">
        <v>2204</v>
      </c>
      <c r="D565" s="50" t="s">
        <v>2121</v>
      </c>
      <c r="E565" s="50" t="s">
        <v>2205</v>
      </c>
    </row>
    <row r="566" spans="1:5" s="51" customFormat="1" x14ac:dyDescent="0.15">
      <c r="A566" s="50" t="s">
        <v>2206</v>
      </c>
      <c r="B566" s="50" t="s">
        <v>2207</v>
      </c>
      <c r="C566" s="50" t="s">
        <v>2208</v>
      </c>
      <c r="D566" s="50" t="s">
        <v>2121</v>
      </c>
      <c r="E566" s="50" t="s">
        <v>2209</v>
      </c>
    </row>
    <row r="567" spans="1:5" s="51" customFormat="1" x14ac:dyDescent="0.15">
      <c r="A567" s="50" t="s">
        <v>2210</v>
      </c>
      <c r="B567" s="50" t="s">
        <v>2211</v>
      </c>
      <c r="C567" s="50" t="s">
        <v>2212</v>
      </c>
      <c r="D567" s="50" t="s">
        <v>2121</v>
      </c>
      <c r="E567" s="50" t="s">
        <v>2213</v>
      </c>
    </row>
    <row r="568" spans="1:5" s="51" customFormat="1" x14ac:dyDescent="0.15">
      <c r="A568" s="50" t="s">
        <v>2214</v>
      </c>
      <c r="B568" s="50" t="s">
        <v>2215</v>
      </c>
      <c r="C568" s="50" t="s">
        <v>2216</v>
      </c>
      <c r="D568" s="50" t="s">
        <v>2121</v>
      </c>
      <c r="E568" s="50" t="s">
        <v>2217</v>
      </c>
    </row>
    <row r="569" spans="1:5" s="51" customFormat="1" x14ac:dyDescent="0.15">
      <c r="A569" s="50" t="s">
        <v>2218</v>
      </c>
      <c r="B569" s="50" t="s">
        <v>2219</v>
      </c>
      <c r="C569" s="50" t="s">
        <v>2220</v>
      </c>
      <c r="D569" s="50" t="s">
        <v>2111</v>
      </c>
      <c r="E569" s="50" t="s">
        <v>2221</v>
      </c>
    </row>
    <row r="570" spans="1:5" s="51" customFormat="1" x14ac:dyDescent="0.15">
      <c r="A570" s="50" t="s">
        <v>2222</v>
      </c>
      <c r="B570" s="50" t="s">
        <v>2223</v>
      </c>
      <c r="C570" s="50" t="s">
        <v>2224</v>
      </c>
      <c r="D570" s="50" t="s">
        <v>2126</v>
      </c>
      <c r="E570" s="50" t="s">
        <v>2225</v>
      </c>
    </row>
    <row r="571" spans="1:5" s="51" customFormat="1" x14ac:dyDescent="0.15">
      <c r="A571" s="50" t="s">
        <v>2226</v>
      </c>
      <c r="B571" s="50" t="s">
        <v>2227</v>
      </c>
      <c r="C571" s="50" t="s">
        <v>2228</v>
      </c>
      <c r="D571" s="50" t="s">
        <v>2126</v>
      </c>
      <c r="E571" s="50" t="s">
        <v>2229</v>
      </c>
    </row>
    <row r="572" spans="1:5" s="51" customFormat="1" x14ac:dyDescent="0.15">
      <c r="A572" s="50" t="s">
        <v>2230</v>
      </c>
      <c r="B572" s="50" t="s">
        <v>2231</v>
      </c>
      <c r="C572" s="50" t="s">
        <v>2232</v>
      </c>
      <c r="D572" s="50" t="s">
        <v>2126</v>
      </c>
      <c r="E572" s="50" t="s">
        <v>2233</v>
      </c>
    </row>
    <row r="573" spans="1:5" s="51" customFormat="1" x14ac:dyDescent="0.15">
      <c r="A573" s="50" t="s">
        <v>2234</v>
      </c>
      <c r="B573" s="50" t="s">
        <v>2235</v>
      </c>
      <c r="C573" s="50" t="s">
        <v>2236</v>
      </c>
      <c r="D573" s="50" t="s">
        <v>2126</v>
      </c>
      <c r="E573" s="50" t="s">
        <v>2237</v>
      </c>
    </row>
    <row r="574" spans="1:5" s="51" customFormat="1" x14ac:dyDescent="0.15">
      <c r="A574" s="50" t="s">
        <v>2238</v>
      </c>
      <c r="B574" s="50" t="s">
        <v>2239</v>
      </c>
      <c r="C574" s="50" t="s">
        <v>2240</v>
      </c>
      <c r="D574" s="50" t="s">
        <v>2126</v>
      </c>
      <c r="E574" s="50" t="s">
        <v>2241</v>
      </c>
    </row>
    <row r="575" spans="1:5" s="51" customFormat="1" x14ac:dyDescent="0.15">
      <c r="A575" s="50" t="s">
        <v>2242</v>
      </c>
      <c r="B575" s="50" t="s">
        <v>2243</v>
      </c>
      <c r="C575" s="50" t="s">
        <v>2244</v>
      </c>
    </row>
    <row r="576" spans="1:5" s="51" customFormat="1" x14ac:dyDescent="0.15">
      <c r="A576" s="50" t="s">
        <v>2245</v>
      </c>
      <c r="B576" s="50" t="s">
        <v>2246</v>
      </c>
      <c r="C576" s="50" t="s">
        <v>2247</v>
      </c>
      <c r="D576" s="50" t="s">
        <v>2248</v>
      </c>
      <c r="E576" s="50" t="s">
        <v>2249</v>
      </c>
    </row>
    <row r="577" spans="1:5" s="51" customFormat="1" x14ac:dyDescent="0.15">
      <c r="A577" s="50" t="s">
        <v>2250</v>
      </c>
      <c r="B577" s="50" t="s">
        <v>2251</v>
      </c>
      <c r="C577" s="50" t="s">
        <v>2252</v>
      </c>
      <c r="D577" s="50" t="s">
        <v>2248</v>
      </c>
      <c r="E577" s="50" t="s">
        <v>2253</v>
      </c>
    </row>
    <row r="578" spans="1:5" s="51" customFormat="1" x14ac:dyDescent="0.15">
      <c r="A578" s="50" t="s">
        <v>2254</v>
      </c>
      <c r="B578" s="50" t="s">
        <v>2255</v>
      </c>
      <c r="C578" s="50" t="s">
        <v>2256</v>
      </c>
      <c r="D578" s="50" t="s">
        <v>2248</v>
      </c>
      <c r="E578" s="50" t="s">
        <v>2257</v>
      </c>
    </row>
    <row r="579" spans="1:5" s="51" customFormat="1" x14ac:dyDescent="0.15">
      <c r="A579" s="50" t="s">
        <v>2258</v>
      </c>
      <c r="B579" s="50" t="s">
        <v>2259</v>
      </c>
      <c r="C579" s="50" t="s">
        <v>2260</v>
      </c>
      <c r="D579" s="50" t="s">
        <v>2248</v>
      </c>
      <c r="E579" s="50" t="s">
        <v>2261</v>
      </c>
    </row>
    <row r="580" spans="1:5" s="51" customFormat="1" x14ac:dyDescent="0.15">
      <c r="A580" s="50" t="s">
        <v>2262</v>
      </c>
      <c r="B580" s="50" t="s">
        <v>2263</v>
      </c>
      <c r="C580" s="50" t="s">
        <v>2264</v>
      </c>
      <c r="D580" s="50" t="s">
        <v>2248</v>
      </c>
      <c r="E580" s="50" t="s">
        <v>2265</v>
      </c>
    </row>
    <row r="581" spans="1:5" s="51" customFormat="1" x14ac:dyDescent="0.15">
      <c r="A581" s="50" t="s">
        <v>2266</v>
      </c>
      <c r="B581" s="50" t="s">
        <v>2267</v>
      </c>
      <c r="C581" s="50" t="s">
        <v>2268</v>
      </c>
      <c r="D581" s="50" t="s">
        <v>2248</v>
      </c>
      <c r="E581" s="50" t="s">
        <v>2269</v>
      </c>
    </row>
    <row r="582" spans="1:5" s="51" customFormat="1" x14ac:dyDescent="0.15">
      <c r="A582" s="50" t="s">
        <v>2270</v>
      </c>
      <c r="B582" s="50" t="s">
        <v>2271</v>
      </c>
      <c r="C582" s="50" t="s">
        <v>2272</v>
      </c>
      <c r="D582" s="50" t="s">
        <v>2248</v>
      </c>
      <c r="E582" s="50" t="s">
        <v>2273</v>
      </c>
    </row>
    <row r="583" spans="1:5" s="51" customFormat="1" x14ac:dyDescent="0.15">
      <c r="A583" s="50" t="s">
        <v>2274</v>
      </c>
      <c r="B583" s="50" t="s">
        <v>2275</v>
      </c>
      <c r="C583" s="50" t="s">
        <v>2276</v>
      </c>
      <c r="D583" s="50" t="s">
        <v>2248</v>
      </c>
      <c r="E583" s="50" t="s">
        <v>2277</v>
      </c>
    </row>
    <row r="584" spans="1:5" s="51" customFormat="1" x14ac:dyDescent="0.15">
      <c r="A584" s="50" t="s">
        <v>2278</v>
      </c>
      <c r="B584" s="50" t="s">
        <v>2279</v>
      </c>
      <c r="C584" s="50" t="s">
        <v>2280</v>
      </c>
      <c r="D584" s="50" t="s">
        <v>2248</v>
      </c>
      <c r="E584" s="50" t="s">
        <v>2281</v>
      </c>
    </row>
    <row r="585" spans="1:5" s="51" customFormat="1" x14ac:dyDescent="0.15">
      <c r="A585" s="50" t="s">
        <v>2282</v>
      </c>
      <c r="B585" s="50" t="s">
        <v>2283</v>
      </c>
      <c r="C585" s="50" t="s">
        <v>2284</v>
      </c>
      <c r="D585" s="50" t="s">
        <v>2248</v>
      </c>
      <c r="E585" s="50" t="s">
        <v>2285</v>
      </c>
    </row>
    <row r="586" spans="1:5" s="51" customFormat="1" x14ac:dyDescent="0.15">
      <c r="A586" s="50" t="s">
        <v>2286</v>
      </c>
      <c r="B586" s="50" t="s">
        <v>2287</v>
      </c>
      <c r="C586" s="50" t="s">
        <v>2288</v>
      </c>
      <c r="D586" s="50" t="s">
        <v>2289</v>
      </c>
      <c r="E586" s="50" t="s">
        <v>2290</v>
      </c>
    </row>
    <row r="587" spans="1:5" s="51" customFormat="1" x14ac:dyDescent="0.15">
      <c r="A587" s="50" t="s">
        <v>2291</v>
      </c>
      <c r="B587" s="50" t="s">
        <v>2292</v>
      </c>
      <c r="C587" s="50" t="s">
        <v>2293</v>
      </c>
      <c r="D587" s="50" t="s">
        <v>2294</v>
      </c>
      <c r="E587" s="50" t="s">
        <v>2295</v>
      </c>
    </row>
    <row r="588" spans="1:5" s="51" customFormat="1" x14ac:dyDescent="0.15">
      <c r="A588" s="50" t="s">
        <v>2296</v>
      </c>
      <c r="B588" s="50" t="s">
        <v>2297</v>
      </c>
      <c r="C588" s="50" t="s">
        <v>2298</v>
      </c>
      <c r="D588" s="50" t="s">
        <v>2248</v>
      </c>
      <c r="E588" s="50" t="s">
        <v>2299</v>
      </c>
    </row>
    <row r="589" spans="1:5" s="51" customFormat="1" x14ac:dyDescent="0.15">
      <c r="A589" s="50" t="s">
        <v>2300</v>
      </c>
      <c r="B589" s="50" t="s">
        <v>2301</v>
      </c>
      <c r="C589" s="50" t="s">
        <v>2302</v>
      </c>
      <c r="D589" s="50" t="s">
        <v>2248</v>
      </c>
      <c r="E589" s="50" t="s">
        <v>2303</v>
      </c>
    </row>
    <row r="590" spans="1:5" s="51" customFormat="1" x14ac:dyDescent="0.15">
      <c r="A590" s="50" t="s">
        <v>2304</v>
      </c>
      <c r="B590" s="50" t="s">
        <v>2305</v>
      </c>
      <c r="C590" s="50" t="s">
        <v>2306</v>
      </c>
      <c r="D590" s="50" t="s">
        <v>2307</v>
      </c>
      <c r="E590" s="50" t="s">
        <v>2308</v>
      </c>
    </row>
    <row r="591" spans="1:5" s="51" customFormat="1" x14ac:dyDescent="0.15">
      <c r="A591" s="50" t="s">
        <v>2309</v>
      </c>
      <c r="B591" s="50" t="s">
        <v>2310</v>
      </c>
      <c r="C591" s="50" t="s">
        <v>2311</v>
      </c>
      <c r="D591" s="50" t="s">
        <v>2312</v>
      </c>
      <c r="E591" s="50" t="s">
        <v>2313</v>
      </c>
    </row>
    <row r="592" spans="1:5" s="51" customFormat="1" x14ac:dyDescent="0.15">
      <c r="A592" s="50" t="s">
        <v>2314</v>
      </c>
      <c r="B592" s="50" t="s">
        <v>2315</v>
      </c>
      <c r="C592" s="50" t="s">
        <v>2316</v>
      </c>
      <c r="D592" s="50" t="s">
        <v>2317</v>
      </c>
      <c r="E592" s="50" t="s">
        <v>2318</v>
      </c>
    </row>
    <row r="593" spans="1:5" s="51" customFormat="1" x14ac:dyDescent="0.15">
      <c r="A593" s="50" t="s">
        <v>2319</v>
      </c>
      <c r="B593" s="50" t="s">
        <v>2320</v>
      </c>
      <c r="C593" s="50" t="s">
        <v>2321</v>
      </c>
      <c r="D593" s="50" t="s">
        <v>2322</v>
      </c>
      <c r="E593" s="50" t="s">
        <v>2323</v>
      </c>
    </row>
    <row r="594" spans="1:5" s="51" customFormat="1" x14ac:dyDescent="0.15">
      <c r="A594" s="50" t="s">
        <v>2324</v>
      </c>
      <c r="B594" s="50" t="s">
        <v>2325</v>
      </c>
      <c r="C594" s="50" t="s">
        <v>2326</v>
      </c>
      <c r="D594" s="50" t="s">
        <v>2327</v>
      </c>
      <c r="E594" s="50" t="s">
        <v>2328</v>
      </c>
    </row>
    <row r="595" spans="1:5" s="51" customFormat="1" x14ac:dyDescent="0.15">
      <c r="A595" s="50" t="s">
        <v>2329</v>
      </c>
      <c r="B595" s="50" t="s">
        <v>2330</v>
      </c>
      <c r="C595" s="50" t="s">
        <v>2331</v>
      </c>
      <c r="D595" s="50" t="s">
        <v>2332</v>
      </c>
      <c r="E595" s="50" t="s">
        <v>2333</v>
      </c>
    </row>
    <row r="596" spans="1:5" s="51" customFormat="1" x14ac:dyDescent="0.15">
      <c r="A596" s="50" t="s">
        <v>2334</v>
      </c>
      <c r="B596" s="50" t="s">
        <v>2335</v>
      </c>
      <c r="C596" s="50" t="s">
        <v>2336</v>
      </c>
      <c r="D596" s="50" t="s">
        <v>2248</v>
      </c>
      <c r="E596" s="50" t="s">
        <v>2337</v>
      </c>
    </row>
    <row r="597" spans="1:5" s="51" customFormat="1" x14ac:dyDescent="0.15">
      <c r="A597" s="50" t="s">
        <v>2338</v>
      </c>
      <c r="B597" s="50" t="s">
        <v>2339</v>
      </c>
      <c r="C597" s="50" t="s">
        <v>2340</v>
      </c>
      <c r="D597" s="50" t="s">
        <v>2312</v>
      </c>
      <c r="E597" s="50" t="s">
        <v>2341</v>
      </c>
    </row>
    <row r="598" spans="1:5" s="51" customFormat="1" x14ac:dyDescent="0.15">
      <c r="A598" s="50" t="s">
        <v>2342</v>
      </c>
      <c r="B598" s="50" t="s">
        <v>2343</v>
      </c>
      <c r="C598" s="50" t="s">
        <v>2344</v>
      </c>
      <c r="D598" s="50" t="s">
        <v>2248</v>
      </c>
      <c r="E598" s="50" t="s">
        <v>2345</v>
      </c>
    </row>
    <row r="599" spans="1:5" s="51" customFormat="1" x14ac:dyDescent="0.15">
      <c r="A599" s="50" t="s">
        <v>2346</v>
      </c>
      <c r="B599" s="50" t="s">
        <v>2347</v>
      </c>
      <c r="C599" s="50" t="s">
        <v>2348</v>
      </c>
      <c r="D599" s="50" t="s">
        <v>2248</v>
      </c>
      <c r="E599" s="50" t="s">
        <v>2349</v>
      </c>
    </row>
    <row r="600" spans="1:5" s="51" customFormat="1" x14ac:dyDescent="0.15">
      <c r="A600" s="50" t="s">
        <v>2350</v>
      </c>
      <c r="B600" s="50" t="s">
        <v>2351</v>
      </c>
      <c r="C600" s="50" t="s">
        <v>2352</v>
      </c>
      <c r="D600" s="50" t="s">
        <v>2248</v>
      </c>
      <c r="E600" s="50" t="s">
        <v>2353</v>
      </c>
    </row>
    <row r="601" spans="1:5" s="51" customFormat="1" x14ac:dyDescent="0.15">
      <c r="A601" s="50" t="s">
        <v>2354</v>
      </c>
      <c r="B601" s="50" t="s">
        <v>2355</v>
      </c>
      <c r="C601" s="50" t="s">
        <v>2356</v>
      </c>
      <c r="D601" s="50" t="s">
        <v>2248</v>
      </c>
      <c r="E601" s="50" t="s">
        <v>2357</v>
      </c>
    </row>
    <row r="602" spans="1:5" s="51" customFormat="1" x14ac:dyDescent="0.15">
      <c r="A602" s="50" t="s">
        <v>2358</v>
      </c>
      <c r="B602" s="50" t="s">
        <v>2359</v>
      </c>
      <c r="C602" s="50" t="s">
        <v>2360</v>
      </c>
      <c r="D602" s="50" t="s">
        <v>2248</v>
      </c>
      <c r="E602" s="50" t="s">
        <v>2361</v>
      </c>
    </row>
    <row r="603" spans="1:5" s="51" customFormat="1" x14ac:dyDescent="0.15">
      <c r="A603" s="50" t="s">
        <v>2362</v>
      </c>
      <c r="B603" s="50" t="s">
        <v>2363</v>
      </c>
      <c r="C603" s="50" t="s">
        <v>2364</v>
      </c>
      <c r="D603" s="50" t="s">
        <v>2248</v>
      </c>
      <c r="E603" s="50" t="s">
        <v>2365</v>
      </c>
    </row>
    <row r="604" spans="1:5" s="51" customFormat="1" x14ac:dyDescent="0.15">
      <c r="A604" s="50" t="s">
        <v>2366</v>
      </c>
      <c r="B604" s="50" t="s">
        <v>2367</v>
      </c>
      <c r="C604" s="50" t="s">
        <v>2368</v>
      </c>
      <c r="D604" s="50" t="s">
        <v>2248</v>
      </c>
      <c r="E604" s="50" t="s">
        <v>2369</v>
      </c>
    </row>
    <row r="605" spans="1:5" s="51" customFormat="1" x14ac:dyDescent="0.15">
      <c r="A605" s="50" t="s">
        <v>2370</v>
      </c>
      <c r="B605" s="50" t="s">
        <v>2371</v>
      </c>
      <c r="C605" s="50" t="s">
        <v>2372</v>
      </c>
      <c r="D605" s="50" t="s">
        <v>2248</v>
      </c>
      <c r="E605" s="50" t="s">
        <v>2369</v>
      </c>
    </row>
    <row r="606" spans="1:5" s="51" customFormat="1" x14ac:dyDescent="0.15">
      <c r="A606" s="50" t="s">
        <v>2373</v>
      </c>
      <c r="B606" s="50" t="s">
        <v>2374</v>
      </c>
      <c r="C606" s="50" t="s">
        <v>2375</v>
      </c>
      <c r="D606" s="50" t="s">
        <v>2312</v>
      </c>
      <c r="E606" s="50" t="s">
        <v>2376</v>
      </c>
    </row>
    <row r="607" spans="1:5" s="51" customFormat="1" x14ac:dyDescent="0.15">
      <c r="A607" s="50" t="s">
        <v>2377</v>
      </c>
      <c r="B607" s="50" t="s">
        <v>2378</v>
      </c>
      <c r="C607" s="50" t="s">
        <v>2379</v>
      </c>
      <c r="D607" s="50" t="s">
        <v>2248</v>
      </c>
      <c r="E607" s="50" t="s">
        <v>2380</v>
      </c>
    </row>
    <row r="608" spans="1:5" s="51" customFormat="1" x14ac:dyDescent="0.15">
      <c r="A608" s="50" t="s">
        <v>2381</v>
      </c>
      <c r="B608" s="50" t="s">
        <v>2382</v>
      </c>
      <c r="C608" s="50" t="s">
        <v>2383</v>
      </c>
      <c r="D608" s="50" t="s">
        <v>2248</v>
      </c>
      <c r="E608" s="50" t="s">
        <v>2384</v>
      </c>
    </row>
    <row r="609" spans="1:5" s="51" customFormat="1" x14ac:dyDescent="0.15">
      <c r="A609" s="50" t="s">
        <v>2385</v>
      </c>
      <c r="B609" s="50" t="s">
        <v>2386</v>
      </c>
      <c r="C609" s="50" t="s">
        <v>2387</v>
      </c>
      <c r="D609" s="50" t="s">
        <v>2248</v>
      </c>
      <c r="E609" s="50" t="s">
        <v>2388</v>
      </c>
    </row>
    <row r="610" spans="1:5" s="51" customFormat="1" x14ac:dyDescent="0.15">
      <c r="A610" s="50" t="s">
        <v>2389</v>
      </c>
      <c r="B610" s="50" t="s">
        <v>2390</v>
      </c>
      <c r="C610" s="50" t="s">
        <v>2391</v>
      </c>
      <c r="D610" s="50" t="s">
        <v>2392</v>
      </c>
      <c r="E610" s="50" t="s">
        <v>2393</v>
      </c>
    </row>
    <row r="611" spans="1:5" s="51" customFormat="1" x14ac:dyDescent="0.15">
      <c r="A611" s="50" t="s">
        <v>2394</v>
      </c>
      <c r="B611" s="50" t="s">
        <v>2395</v>
      </c>
      <c r="C611" s="50" t="s">
        <v>2396</v>
      </c>
      <c r="D611" s="50" t="s">
        <v>2248</v>
      </c>
      <c r="E611" s="50" t="s">
        <v>2397</v>
      </c>
    </row>
    <row r="612" spans="1:5" s="51" customFormat="1" x14ac:dyDescent="0.15">
      <c r="A612" s="50" t="s">
        <v>2398</v>
      </c>
      <c r="B612" s="50" t="s">
        <v>2399</v>
      </c>
      <c r="C612" s="50" t="s">
        <v>2400</v>
      </c>
      <c r="D612" s="50" t="s">
        <v>2401</v>
      </c>
      <c r="E612" s="50" t="s">
        <v>2402</v>
      </c>
    </row>
    <row r="613" spans="1:5" s="51" customFormat="1" x14ac:dyDescent="0.15">
      <c r="A613" s="50" t="s">
        <v>2403</v>
      </c>
      <c r="B613" s="50" t="s">
        <v>2404</v>
      </c>
      <c r="C613" s="50" t="s">
        <v>2405</v>
      </c>
      <c r="D613" s="50" t="s">
        <v>2248</v>
      </c>
      <c r="E613" s="50" t="s">
        <v>2406</v>
      </c>
    </row>
    <row r="614" spans="1:5" s="51" customFormat="1" x14ac:dyDescent="0.15">
      <c r="A614" s="50" t="s">
        <v>2407</v>
      </c>
      <c r="B614" s="50" t="s">
        <v>2408</v>
      </c>
      <c r="C614" s="50" t="s">
        <v>2409</v>
      </c>
      <c r="D614" s="50" t="s">
        <v>2248</v>
      </c>
      <c r="E614" s="50" t="s">
        <v>2410</v>
      </c>
    </row>
    <row r="615" spans="1:5" s="51" customFormat="1" x14ac:dyDescent="0.15">
      <c r="A615" s="50" t="s">
        <v>2411</v>
      </c>
      <c r="B615" s="50" t="s">
        <v>2412</v>
      </c>
      <c r="C615" s="50" t="s">
        <v>2413</v>
      </c>
      <c r="D615" s="50" t="s">
        <v>2414</v>
      </c>
      <c r="E615" s="50" t="s">
        <v>2415</v>
      </c>
    </row>
    <row r="616" spans="1:5" s="51" customFormat="1" x14ac:dyDescent="0.15">
      <c r="A616" s="50" t="s">
        <v>2416</v>
      </c>
      <c r="B616" s="50" t="s">
        <v>2417</v>
      </c>
      <c r="C616" s="50" t="s">
        <v>2418</v>
      </c>
      <c r="D616" s="50" t="s">
        <v>2248</v>
      </c>
      <c r="E616" s="50" t="s">
        <v>2419</v>
      </c>
    </row>
    <row r="617" spans="1:5" s="51" customFormat="1" x14ac:dyDescent="0.15">
      <c r="A617" s="50" t="s">
        <v>2420</v>
      </c>
      <c r="B617" s="50" t="s">
        <v>2421</v>
      </c>
      <c r="C617" s="50" t="s">
        <v>2422</v>
      </c>
      <c r="D617" s="50" t="s">
        <v>2248</v>
      </c>
      <c r="E617" s="50" t="s">
        <v>2423</v>
      </c>
    </row>
    <row r="618" spans="1:5" s="51" customFormat="1" x14ac:dyDescent="0.15">
      <c r="A618" s="50" t="s">
        <v>2424</v>
      </c>
      <c r="B618" s="50" t="s">
        <v>2425</v>
      </c>
      <c r="C618" s="50" t="s">
        <v>2426</v>
      </c>
      <c r="D618" s="50" t="s">
        <v>2289</v>
      </c>
      <c r="E618" s="50" t="s">
        <v>2427</v>
      </c>
    </row>
    <row r="619" spans="1:5" s="51" customFormat="1" x14ac:dyDescent="0.15">
      <c r="A619" s="50" t="s">
        <v>2428</v>
      </c>
      <c r="B619" s="50" t="s">
        <v>2429</v>
      </c>
      <c r="C619" s="50" t="s">
        <v>2430</v>
      </c>
      <c r="D619" s="50" t="s">
        <v>2401</v>
      </c>
      <c r="E619" s="50" t="s">
        <v>2431</v>
      </c>
    </row>
    <row r="620" spans="1:5" s="51" customFormat="1" x14ac:dyDescent="0.15">
      <c r="A620" s="50" t="s">
        <v>2432</v>
      </c>
      <c r="B620" s="50" t="s">
        <v>2433</v>
      </c>
      <c r="C620" s="50" t="s">
        <v>2434</v>
      </c>
      <c r="D620" s="50" t="s">
        <v>2289</v>
      </c>
      <c r="E620" s="50" t="s">
        <v>2435</v>
      </c>
    </row>
    <row r="621" spans="1:5" s="51" customFormat="1" x14ac:dyDescent="0.15">
      <c r="A621" s="50" t="s">
        <v>2436</v>
      </c>
      <c r="B621" s="50" t="s">
        <v>2437</v>
      </c>
      <c r="C621" s="50" t="s">
        <v>2438</v>
      </c>
      <c r="D621" s="50" t="s">
        <v>2317</v>
      </c>
      <c r="E621" s="50" t="s">
        <v>2439</v>
      </c>
    </row>
    <row r="622" spans="1:5" s="51" customFormat="1" x14ac:dyDescent="0.15">
      <c r="A622" s="50" t="s">
        <v>2440</v>
      </c>
      <c r="B622" s="50" t="s">
        <v>2441</v>
      </c>
      <c r="C622" s="50" t="s">
        <v>2442</v>
      </c>
      <c r="D622" s="50" t="s">
        <v>2248</v>
      </c>
      <c r="E622" s="50" t="s">
        <v>2443</v>
      </c>
    </row>
    <row r="623" spans="1:5" s="51" customFormat="1" x14ac:dyDescent="0.15">
      <c r="A623" s="50" t="s">
        <v>2444</v>
      </c>
      <c r="B623" s="50" t="s">
        <v>2445</v>
      </c>
      <c r="C623" s="50" t="s">
        <v>2446</v>
      </c>
      <c r="D623" s="50" t="s">
        <v>2289</v>
      </c>
      <c r="E623" s="50" t="s">
        <v>2447</v>
      </c>
    </row>
    <row r="624" spans="1:5" s="51" customFormat="1" x14ac:dyDescent="0.15">
      <c r="A624" s="50" t="s">
        <v>2448</v>
      </c>
      <c r="B624" s="50" t="s">
        <v>2449</v>
      </c>
      <c r="C624" s="50" t="s">
        <v>2450</v>
      </c>
      <c r="D624" s="50" t="s">
        <v>2401</v>
      </c>
      <c r="E624" s="50" t="s">
        <v>2451</v>
      </c>
    </row>
    <row r="625" spans="1:5" s="51" customFormat="1" x14ac:dyDescent="0.15">
      <c r="A625" s="50" t="s">
        <v>2452</v>
      </c>
      <c r="B625" s="50" t="s">
        <v>2453</v>
      </c>
      <c r="C625" s="50" t="s">
        <v>2454</v>
      </c>
      <c r="D625" s="50" t="s">
        <v>2248</v>
      </c>
      <c r="E625" s="50" t="s">
        <v>2455</v>
      </c>
    </row>
    <row r="626" spans="1:5" s="51" customFormat="1" x14ac:dyDescent="0.15">
      <c r="A626" s="50" t="s">
        <v>2456</v>
      </c>
      <c r="B626" s="50" t="s">
        <v>2457</v>
      </c>
      <c r="C626" s="50" t="s">
        <v>2458</v>
      </c>
      <c r="D626" s="50" t="s">
        <v>2289</v>
      </c>
      <c r="E626" s="50" t="s">
        <v>2415</v>
      </c>
    </row>
    <row r="627" spans="1:5" s="51" customFormat="1" x14ac:dyDescent="0.15">
      <c r="A627" s="50" t="s">
        <v>2459</v>
      </c>
      <c r="B627" s="50" t="s">
        <v>2460</v>
      </c>
      <c r="C627" s="50" t="s">
        <v>2461</v>
      </c>
      <c r="D627" s="50" t="s">
        <v>2289</v>
      </c>
      <c r="E627" s="50" t="s">
        <v>2462</v>
      </c>
    </row>
    <row r="628" spans="1:5" s="51" customFormat="1" x14ac:dyDescent="0.15">
      <c r="A628" s="50" t="s">
        <v>2463</v>
      </c>
      <c r="B628" s="50" t="s">
        <v>2464</v>
      </c>
      <c r="C628" s="50" t="s">
        <v>2465</v>
      </c>
      <c r="D628" s="50" t="s">
        <v>2289</v>
      </c>
      <c r="E628" s="50" t="s">
        <v>2462</v>
      </c>
    </row>
    <row r="629" spans="1:5" s="51" customFormat="1" x14ac:dyDescent="0.15">
      <c r="A629" s="50" t="s">
        <v>2466</v>
      </c>
      <c r="B629" s="50" t="s">
        <v>2467</v>
      </c>
      <c r="C629" s="50" t="s">
        <v>2468</v>
      </c>
      <c r="D629" s="50" t="s">
        <v>2332</v>
      </c>
      <c r="E629" s="50" t="s">
        <v>2469</v>
      </c>
    </row>
    <row r="630" spans="1:5" s="51" customFormat="1" x14ac:dyDescent="0.15">
      <c r="A630" s="50" t="s">
        <v>2470</v>
      </c>
      <c r="B630" s="50" t="s">
        <v>2471</v>
      </c>
      <c r="C630" s="50" t="s">
        <v>2472</v>
      </c>
      <c r="D630" s="50" t="s">
        <v>2332</v>
      </c>
      <c r="E630" s="50" t="s">
        <v>2473</v>
      </c>
    </row>
    <row r="631" spans="1:5" s="51" customFormat="1" x14ac:dyDescent="0.15">
      <c r="A631" s="50" t="s">
        <v>2474</v>
      </c>
      <c r="B631" s="50" t="s">
        <v>2475</v>
      </c>
      <c r="C631" s="50" t="s">
        <v>2476</v>
      </c>
      <c r="D631" s="50" t="s">
        <v>2332</v>
      </c>
      <c r="E631" s="50" t="s">
        <v>2477</v>
      </c>
    </row>
    <row r="632" spans="1:5" s="51" customFormat="1" x14ac:dyDescent="0.15">
      <c r="A632" s="50" t="s">
        <v>2478</v>
      </c>
      <c r="B632" s="50" t="s">
        <v>2479</v>
      </c>
      <c r="C632" s="50" t="s">
        <v>2480</v>
      </c>
      <c r="D632" s="50" t="s">
        <v>2289</v>
      </c>
      <c r="E632" s="50" t="s">
        <v>2481</v>
      </c>
    </row>
    <row r="633" spans="1:5" s="51" customFormat="1" x14ac:dyDescent="0.15">
      <c r="A633" s="50" t="s">
        <v>2482</v>
      </c>
      <c r="B633" s="50" t="s">
        <v>2483</v>
      </c>
      <c r="C633" s="50" t="s">
        <v>2484</v>
      </c>
      <c r="D633" s="50" t="s">
        <v>2332</v>
      </c>
      <c r="E633" s="50" t="s">
        <v>2485</v>
      </c>
    </row>
    <row r="634" spans="1:5" s="51" customFormat="1" x14ac:dyDescent="0.15">
      <c r="A634" s="50" t="s">
        <v>2486</v>
      </c>
      <c r="B634" s="50" t="s">
        <v>2487</v>
      </c>
      <c r="C634" s="50" t="s">
        <v>2488</v>
      </c>
      <c r="D634" s="50" t="s">
        <v>2289</v>
      </c>
      <c r="E634" s="50" t="s">
        <v>2489</v>
      </c>
    </row>
    <row r="635" spans="1:5" s="51" customFormat="1" x14ac:dyDescent="0.15">
      <c r="A635" s="50" t="s">
        <v>2490</v>
      </c>
      <c r="B635" s="50" t="s">
        <v>2491</v>
      </c>
      <c r="C635" s="50" t="s">
        <v>2492</v>
      </c>
      <c r="D635" s="50" t="s">
        <v>2332</v>
      </c>
      <c r="E635" s="50" t="s">
        <v>2477</v>
      </c>
    </row>
    <row r="636" spans="1:5" s="51" customFormat="1" x14ac:dyDescent="0.15">
      <c r="A636" s="50" t="s">
        <v>2493</v>
      </c>
      <c r="B636" s="50" t="s">
        <v>2494</v>
      </c>
      <c r="C636" s="50" t="s">
        <v>2495</v>
      </c>
      <c r="D636" s="50" t="s">
        <v>2307</v>
      </c>
      <c r="E636" s="50" t="s">
        <v>2496</v>
      </c>
    </row>
    <row r="637" spans="1:5" s="51" customFormat="1" x14ac:dyDescent="0.15">
      <c r="A637" s="50" t="s">
        <v>2497</v>
      </c>
      <c r="B637" s="50" t="s">
        <v>2498</v>
      </c>
      <c r="C637" s="50" t="s">
        <v>2499</v>
      </c>
      <c r="D637" s="50" t="s">
        <v>2307</v>
      </c>
      <c r="E637" s="50" t="s">
        <v>2500</v>
      </c>
    </row>
    <row r="638" spans="1:5" s="51" customFormat="1" x14ac:dyDescent="0.15">
      <c r="A638" s="50" t="s">
        <v>2501</v>
      </c>
      <c r="B638" s="50" t="s">
        <v>2502</v>
      </c>
      <c r="C638" s="50" t="s">
        <v>2503</v>
      </c>
      <c r="D638" s="50" t="s">
        <v>2307</v>
      </c>
      <c r="E638" s="50" t="s">
        <v>2504</v>
      </c>
    </row>
    <row r="639" spans="1:5" s="51" customFormat="1" x14ac:dyDescent="0.15">
      <c r="A639" s="50" t="s">
        <v>2505</v>
      </c>
      <c r="B639" s="50" t="s">
        <v>2506</v>
      </c>
      <c r="C639" s="50" t="s">
        <v>2507</v>
      </c>
      <c r="D639" s="50" t="s">
        <v>2307</v>
      </c>
      <c r="E639" s="50" t="s">
        <v>2508</v>
      </c>
    </row>
    <row r="640" spans="1:5" s="51" customFormat="1" x14ac:dyDescent="0.15">
      <c r="A640" s="50" t="s">
        <v>2509</v>
      </c>
      <c r="B640" s="50" t="s">
        <v>2510</v>
      </c>
      <c r="C640" s="50" t="s">
        <v>2511</v>
      </c>
      <c r="D640" s="50" t="s">
        <v>2332</v>
      </c>
      <c r="E640" s="50" t="s">
        <v>2477</v>
      </c>
    </row>
    <row r="641" spans="1:5" s="51" customFormat="1" x14ac:dyDescent="0.15">
      <c r="A641" s="50" t="s">
        <v>2512</v>
      </c>
      <c r="B641" s="50" t="s">
        <v>2513</v>
      </c>
      <c r="C641" s="50" t="s">
        <v>2514</v>
      </c>
      <c r="D641" s="50" t="s">
        <v>2327</v>
      </c>
      <c r="E641" s="50" t="s">
        <v>2515</v>
      </c>
    </row>
    <row r="642" spans="1:5" s="51" customFormat="1" x14ac:dyDescent="0.15">
      <c r="A642" s="50" t="s">
        <v>2516</v>
      </c>
      <c r="B642" s="50" t="s">
        <v>2517</v>
      </c>
      <c r="C642" s="50" t="s">
        <v>2518</v>
      </c>
      <c r="D642" s="50" t="s">
        <v>2519</v>
      </c>
      <c r="E642" s="50" t="s">
        <v>2520</v>
      </c>
    </row>
    <row r="643" spans="1:5" s="51" customFormat="1" x14ac:dyDescent="0.15">
      <c r="A643" s="50" t="s">
        <v>2521</v>
      </c>
      <c r="B643" s="50" t="s">
        <v>2522</v>
      </c>
      <c r="C643" s="50" t="s">
        <v>2523</v>
      </c>
      <c r="D643" s="50" t="s">
        <v>2327</v>
      </c>
      <c r="E643" s="50" t="s">
        <v>2524</v>
      </c>
    </row>
    <row r="644" spans="1:5" s="51" customFormat="1" x14ac:dyDescent="0.15">
      <c r="A644" s="50" t="s">
        <v>2525</v>
      </c>
      <c r="B644" s="50" t="s">
        <v>2526</v>
      </c>
      <c r="C644" s="50" t="s">
        <v>2527</v>
      </c>
      <c r="D644" s="50" t="s">
        <v>2248</v>
      </c>
      <c r="E644" s="50" t="s">
        <v>2528</v>
      </c>
    </row>
    <row r="645" spans="1:5" s="51" customFormat="1" x14ac:dyDescent="0.15">
      <c r="A645" s="50" t="s">
        <v>2529</v>
      </c>
      <c r="B645" s="50" t="s">
        <v>2530</v>
      </c>
      <c r="C645" s="50" t="s">
        <v>2531</v>
      </c>
      <c r="D645" s="50" t="s">
        <v>2401</v>
      </c>
      <c r="E645" s="50" t="s">
        <v>2532</v>
      </c>
    </row>
    <row r="646" spans="1:5" s="51" customFormat="1" x14ac:dyDescent="0.15">
      <c r="A646" s="50" t="s">
        <v>2533</v>
      </c>
      <c r="B646" s="50" t="s">
        <v>2534</v>
      </c>
      <c r="C646" s="50" t="s">
        <v>2535</v>
      </c>
      <c r="D646" s="50" t="s">
        <v>2401</v>
      </c>
      <c r="E646" s="50" t="s">
        <v>2536</v>
      </c>
    </row>
    <row r="647" spans="1:5" s="51" customFormat="1" x14ac:dyDescent="0.15">
      <c r="A647" s="50" t="s">
        <v>2537</v>
      </c>
      <c r="B647" s="50" t="s">
        <v>2538</v>
      </c>
      <c r="C647" s="50" t="s">
        <v>2539</v>
      </c>
      <c r="D647" s="50" t="s">
        <v>2248</v>
      </c>
      <c r="E647" s="50" t="s">
        <v>2540</v>
      </c>
    </row>
    <row r="648" spans="1:5" s="51" customFormat="1" x14ac:dyDescent="0.15">
      <c r="A648" s="50" t="s">
        <v>2541</v>
      </c>
      <c r="B648" s="50" t="s">
        <v>2542</v>
      </c>
      <c r="C648" s="50" t="s">
        <v>2543</v>
      </c>
    </row>
    <row r="649" spans="1:5" s="51" customFormat="1" x14ac:dyDescent="0.15">
      <c r="A649" s="50" t="s">
        <v>2544</v>
      </c>
      <c r="B649" s="50" t="s">
        <v>2545</v>
      </c>
      <c r="C649" s="50" t="s">
        <v>2546</v>
      </c>
      <c r="D649" s="50" t="s">
        <v>2547</v>
      </c>
      <c r="E649" s="50" t="s">
        <v>2548</v>
      </c>
    </row>
    <row r="650" spans="1:5" s="51" customFormat="1" x14ac:dyDescent="0.15">
      <c r="A650" s="50" t="s">
        <v>2549</v>
      </c>
      <c r="B650" s="50" t="s">
        <v>2550</v>
      </c>
      <c r="C650" s="50" t="s">
        <v>2551</v>
      </c>
      <c r="D650" s="50" t="s">
        <v>2552</v>
      </c>
      <c r="E650" s="50" t="s">
        <v>2553</v>
      </c>
    </row>
    <row r="651" spans="1:5" s="51" customFormat="1" x14ac:dyDescent="0.15">
      <c r="A651" s="50" t="s">
        <v>2554</v>
      </c>
      <c r="B651" s="50" t="s">
        <v>2555</v>
      </c>
      <c r="C651" s="50" t="s">
        <v>2556</v>
      </c>
      <c r="D651" s="50" t="s">
        <v>2547</v>
      </c>
      <c r="E651" s="50" t="s">
        <v>2557</v>
      </c>
    </row>
    <row r="652" spans="1:5" s="51" customFormat="1" x14ac:dyDescent="0.15">
      <c r="A652" s="50" t="s">
        <v>2558</v>
      </c>
      <c r="B652" s="50" t="s">
        <v>2559</v>
      </c>
      <c r="C652" s="50" t="s">
        <v>2560</v>
      </c>
      <c r="D652" s="50" t="s">
        <v>2547</v>
      </c>
      <c r="E652" s="50" t="s">
        <v>2561</v>
      </c>
    </row>
    <row r="653" spans="1:5" s="51" customFormat="1" x14ac:dyDescent="0.15">
      <c r="A653" s="50" t="s">
        <v>2562</v>
      </c>
      <c r="B653" s="50" t="s">
        <v>2563</v>
      </c>
      <c r="C653" s="50" t="s">
        <v>2564</v>
      </c>
      <c r="D653" s="50" t="s">
        <v>2547</v>
      </c>
      <c r="E653" s="50" t="s">
        <v>2565</v>
      </c>
    </row>
    <row r="654" spans="1:5" s="51" customFormat="1" x14ac:dyDescent="0.15">
      <c r="A654" s="50" t="s">
        <v>2566</v>
      </c>
      <c r="B654" s="50" t="s">
        <v>2567</v>
      </c>
      <c r="C654" s="50" t="s">
        <v>2568</v>
      </c>
      <c r="D654" s="50" t="s">
        <v>2547</v>
      </c>
      <c r="E654" s="50" t="s">
        <v>2569</v>
      </c>
    </row>
    <row r="655" spans="1:5" s="51" customFormat="1" x14ac:dyDescent="0.15">
      <c r="A655" s="50" t="s">
        <v>2570</v>
      </c>
      <c r="B655" s="50" t="s">
        <v>2571</v>
      </c>
      <c r="C655" s="50" t="s">
        <v>2572</v>
      </c>
      <c r="D655" s="50" t="s">
        <v>2573</v>
      </c>
      <c r="E655" s="50" t="s">
        <v>2574</v>
      </c>
    </row>
    <row r="656" spans="1:5" s="51" customFormat="1" x14ac:dyDescent="0.15">
      <c r="A656" s="50" t="s">
        <v>2575</v>
      </c>
      <c r="B656" s="50" t="s">
        <v>2576</v>
      </c>
      <c r="C656" s="50" t="s">
        <v>2577</v>
      </c>
      <c r="D656" s="50" t="s">
        <v>2578</v>
      </c>
      <c r="E656" s="50" t="s">
        <v>2579</v>
      </c>
    </row>
    <row r="657" spans="1:5" s="51" customFormat="1" x14ac:dyDescent="0.15">
      <c r="A657" s="50" t="s">
        <v>2580</v>
      </c>
      <c r="B657" s="50" t="s">
        <v>2581</v>
      </c>
      <c r="C657" s="50" t="s">
        <v>2582</v>
      </c>
      <c r="D657" s="50" t="s">
        <v>2578</v>
      </c>
      <c r="E657" s="50" t="s">
        <v>2583</v>
      </c>
    </row>
    <row r="658" spans="1:5" s="51" customFormat="1" x14ac:dyDescent="0.15">
      <c r="A658" s="50" t="s">
        <v>2584</v>
      </c>
      <c r="B658" s="50" t="s">
        <v>2585</v>
      </c>
      <c r="C658" s="50" t="s">
        <v>2586</v>
      </c>
      <c r="D658" s="50" t="s">
        <v>2587</v>
      </c>
      <c r="E658" s="50" t="s">
        <v>2588</v>
      </c>
    </row>
    <row r="659" spans="1:5" s="51" customFormat="1" x14ac:dyDescent="0.15">
      <c r="A659" s="50" t="s">
        <v>2589</v>
      </c>
      <c r="B659" s="50" t="s">
        <v>2590</v>
      </c>
      <c r="C659" s="50" t="s">
        <v>2591</v>
      </c>
      <c r="D659" s="50" t="s">
        <v>2592</v>
      </c>
      <c r="E659" s="50" t="s">
        <v>2593</v>
      </c>
    </row>
    <row r="660" spans="1:5" s="51" customFormat="1" x14ac:dyDescent="0.15">
      <c r="A660" s="50" t="s">
        <v>2594</v>
      </c>
      <c r="B660" s="50" t="s">
        <v>2595</v>
      </c>
      <c r="C660" s="50" t="s">
        <v>2596</v>
      </c>
      <c r="D660" s="50" t="s">
        <v>2578</v>
      </c>
      <c r="E660" s="50" t="s">
        <v>2597</v>
      </c>
    </row>
    <row r="661" spans="1:5" s="51" customFormat="1" x14ac:dyDescent="0.15">
      <c r="A661" s="50" t="s">
        <v>2598</v>
      </c>
      <c r="B661" s="50" t="s">
        <v>2599</v>
      </c>
      <c r="C661" s="50" t="s">
        <v>2600</v>
      </c>
      <c r="D661" s="50" t="s">
        <v>2312</v>
      </c>
      <c r="E661" s="50" t="s">
        <v>2601</v>
      </c>
    </row>
    <row r="662" spans="1:5" s="51" customFormat="1" x14ac:dyDescent="0.15">
      <c r="A662" s="50" t="s">
        <v>2602</v>
      </c>
      <c r="B662" s="50" t="s">
        <v>2603</v>
      </c>
      <c r="C662" s="50" t="s">
        <v>2604</v>
      </c>
      <c r="D662" s="50" t="s">
        <v>2605</v>
      </c>
      <c r="E662" s="50" t="s">
        <v>2606</v>
      </c>
    </row>
    <row r="663" spans="1:5" s="51" customFormat="1" x14ac:dyDescent="0.15">
      <c r="A663" s="50" t="s">
        <v>2607</v>
      </c>
      <c r="B663" s="50" t="s">
        <v>2608</v>
      </c>
      <c r="C663" s="50" t="s">
        <v>2609</v>
      </c>
      <c r="D663" s="50" t="s">
        <v>2610</v>
      </c>
      <c r="E663" s="50" t="s">
        <v>2611</v>
      </c>
    </row>
    <row r="664" spans="1:5" s="51" customFormat="1" x14ac:dyDescent="0.15">
      <c r="A664" s="50" t="s">
        <v>2612</v>
      </c>
      <c r="B664" s="50" t="s">
        <v>2613</v>
      </c>
      <c r="C664" s="50" t="s">
        <v>2035</v>
      </c>
      <c r="D664" s="50" t="s">
        <v>2547</v>
      </c>
      <c r="E664" s="50" t="s">
        <v>2614</v>
      </c>
    </row>
    <row r="665" spans="1:5" s="51" customFormat="1" x14ac:dyDescent="0.15">
      <c r="A665" s="50" t="s">
        <v>2615</v>
      </c>
      <c r="B665" s="50" t="s">
        <v>2616</v>
      </c>
      <c r="C665" s="50" t="s">
        <v>2617</v>
      </c>
      <c r="D665" s="50" t="s">
        <v>2605</v>
      </c>
      <c r="E665" s="50" t="s">
        <v>2618</v>
      </c>
    </row>
    <row r="666" spans="1:5" s="51" customFormat="1" x14ac:dyDescent="0.15">
      <c r="A666" s="50" t="s">
        <v>2619</v>
      </c>
      <c r="B666" s="50" t="s">
        <v>2620</v>
      </c>
      <c r="C666" s="50" t="s">
        <v>2621</v>
      </c>
      <c r="D666" s="50" t="s">
        <v>2573</v>
      </c>
      <c r="E666" s="50" t="s">
        <v>2622</v>
      </c>
    </row>
    <row r="667" spans="1:5" s="51" customFormat="1" x14ac:dyDescent="0.15">
      <c r="A667" s="50" t="s">
        <v>2623</v>
      </c>
      <c r="B667" s="50" t="s">
        <v>2624</v>
      </c>
      <c r="C667" s="50" t="s">
        <v>2625</v>
      </c>
      <c r="D667" s="50" t="s">
        <v>2578</v>
      </c>
      <c r="E667" s="50" t="s">
        <v>2626</v>
      </c>
    </row>
    <row r="668" spans="1:5" s="51" customFormat="1" x14ac:dyDescent="0.15">
      <c r="A668" s="50" t="s">
        <v>2627</v>
      </c>
      <c r="B668" s="50" t="s">
        <v>2628</v>
      </c>
      <c r="C668" s="50" t="s">
        <v>2629</v>
      </c>
      <c r="D668" s="50" t="s">
        <v>2312</v>
      </c>
      <c r="E668" s="50" t="s">
        <v>2630</v>
      </c>
    </row>
    <row r="669" spans="1:5" s="51" customFormat="1" x14ac:dyDescent="0.15">
      <c r="A669" s="50" t="s">
        <v>2631</v>
      </c>
      <c r="B669" s="50" t="s">
        <v>2632</v>
      </c>
      <c r="C669" s="50" t="s">
        <v>2633</v>
      </c>
      <c r="D669" s="50" t="s">
        <v>2587</v>
      </c>
      <c r="E669" s="50" t="s">
        <v>2634</v>
      </c>
    </row>
    <row r="670" spans="1:5" s="51" customFormat="1" x14ac:dyDescent="0.15">
      <c r="A670" s="50" t="s">
        <v>2635</v>
      </c>
      <c r="B670" s="50" t="s">
        <v>2636</v>
      </c>
      <c r="C670" s="50" t="s">
        <v>2637</v>
      </c>
      <c r="D670" s="50" t="s">
        <v>2638</v>
      </c>
      <c r="E670" s="50" t="s">
        <v>2639</v>
      </c>
    </row>
    <row r="671" spans="1:5" s="51" customFormat="1" x14ac:dyDescent="0.15">
      <c r="A671" s="50" t="s">
        <v>2640</v>
      </c>
      <c r="B671" s="50" t="s">
        <v>2641</v>
      </c>
      <c r="C671" s="50" t="s">
        <v>2642</v>
      </c>
      <c r="D671" s="50" t="s">
        <v>2312</v>
      </c>
      <c r="E671" s="50" t="s">
        <v>2643</v>
      </c>
    </row>
    <row r="672" spans="1:5" s="51" customFormat="1" x14ac:dyDescent="0.15">
      <c r="A672" s="50" t="s">
        <v>2644</v>
      </c>
      <c r="B672" s="50" t="s">
        <v>2645</v>
      </c>
      <c r="C672" s="50" t="s">
        <v>2646</v>
      </c>
      <c r="D672" s="50" t="s">
        <v>2578</v>
      </c>
      <c r="E672" s="50" t="s">
        <v>2647</v>
      </c>
    </row>
    <row r="673" spans="1:5" s="51" customFormat="1" x14ac:dyDescent="0.15">
      <c r="A673" s="50" t="s">
        <v>2648</v>
      </c>
      <c r="B673" s="50" t="s">
        <v>2649</v>
      </c>
      <c r="C673" s="50" t="s">
        <v>2650</v>
      </c>
      <c r="D673" s="50" t="s">
        <v>2312</v>
      </c>
      <c r="E673" s="50" t="s">
        <v>2651</v>
      </c>
    </row>
    <row r="674" spans="1:5" s="51" customFormat="1" x14ac:dyDescent="0.15">
      <c r="A674" s="50" t="s">
        <v>2652</v>
      </c>
      <c r="B674" s="50" t="s">
        <v>2653</v>
      </c>
      <c r="C674" s="50" t="s">
        <v>2654</v>
      </c>
      <c r="D674" s="50" t="s">
        <v>2312</v>
      </c>
      <c r="E674" s="50" t="s">
        <v>2655</v>
      </c>
    </row>
    <row r="675" spans="1:5" s="51" customFormat="1" x14ac:dyDescent="0.15">
      <c r="A675" s="50" t="s">
        <v>2656</v>
      </c>
      <c r="B675" s="50" t="s">
        <v>2657</v>
      </c>
      <c r="C675" s="50" t="s">
        <v>2658</v>
      </c>
      <c r="D675" s="50" t="s">
        <v>2578</v>
      </c>
      <c r="E675" s="50" t="s">
        <v>2659</v>
      </c>
    </row>
    <row r="676" spans="1:5" s="51" customFormat="1" x14ac:dyDescent="0.15">
      <c r="A676" s="50" t="s">
        <v>2660</v>
      </c>
      <c r="B676" s="50" t="s">
        <v>2661</v>
      </c>
      <c r="C676" s="50" t="s">
        <v>2662</v>
      </c>
      <c r="D676" s="50" t="s">
        <v>2663</v>
      </c>
      <c r="E676" s="50" t="s">
        <v>2664</v>
      </c>
    </row>
    <row r="677" spans="1:5" s="51" customFormat="1" x14ac:dyDescent="0.15">
      <c r="A677" s="50" t="s">
        <v>2665</v>
      </c>
      <c r="B677" s="50" t="s">
        <v>2666</v>
      </c>
      <c r="C677" s="50" t="s">
        <v>2667</v>
      </c>
      <c r="D677" s="50" t="s">
        <v>2663</v>
      </c>
      <c r="E677" s="50" t="s">
        <v>2668</v>
      </c>
    </row>
    <row r="678" spans="1:5" s="51" customFormat="1" x14ac:dyDescent="0.15">
      <c r="A678" s="50" t="s">
        <v>2669</v>
      </c>
      <c r="B678" s="50" t="s">
        <v>2670</v>
      </c>
      <c r="C678" s="50" t="s">
        <v>2671</v>
      </c>
      <c r="D678" s="50" t="s">
        <v>2578</v>
      </c>
      <c r="E678" s="50" t="s">
        <v>2672</v>
      </c>
    </row>
    <row r="679" spans="1:5" s="51" customFormat="1" x14ac:dyDescent="0.15">
      <c r="A679" s="50" t="s">
        <v>2673</v>
      </c>
      <c r="B679" s="50" t="s">
        <v>2674</v>
      </c>
      <c r="C679" s="50" t="s">
        <v>2675</v>
      </c>
      <c r="D679" s="50" t="s">
        <v>2547</v>
      </c>
      <c r="E679" s="50" t="s">
        <v>2676</v>
      </c>
    </row>
    <row r="680" spans="1:5" s="51" customFormat="1" x14ac:dyDescent="0.15">
      <c r="A680" s="50" t="s">
        <v>2677</v>
      </c>
      <c r="B680" s="50" t="s">
        <v>2678</v>
      </c>
      <c r="C680" s="50" t="s">
        <v>2679</v>
      </c>
      <c r="D680" s="50" t="s">
        <v>2592</v>
      </c>
      <c r="E680" s="50" t="s">
        <v>2680</v>
      </c>
    </row>
    <row r="681" spans="1:5" s="51" customFormat="1" x14ac:dyDescent="0.15">
      <c r="A681" s="50" t="s">
        <v>2681</v>
      </c>
      <c r="B681" s="50" t="s">
        <v>2682</v>
      </c>
      <c r="C681" s="50" t="s">
        <v>2683</v>
      </c>
      <c r="D681" s="50" t="s">
        <v>2547</v>
      </c>
      <c r="E681" s="50" t="s">
        <v>2684</v>
      </c>
    </row>
    <row r="682" spans="1:5" s="51" customFormat="1" x14ac:dyDescent="0.15">
      <c r="A682" s="50" t="s">
        <v>2685</v>
      </c>
      <c r="B682" s="50" t="s">
        <v>2686</v>
      </c>
      <c r="C682" s="50" t="s">
        <v>2687</v>
      </c>
      <c r="D682" s="50" t="s">
        <v>2610</v>
      </c>
      <c r="E682" s="50" t="s">
        <v>2688</v>
      </c>
    </row>
    <row r="683" spans="1:5" s="51" customFormat="1" x14ac:dyDescent="0.15">
      <c r="A683" s="50" t="s">
        <v>2689</v>
      </c>
      <c r="B683" s="50" t="s">
        <v>2690</v>
      </c>
      <c r="C683" s="50" t="s">
        <v>2691</v>
      </c>
      <c r="D683" s="50" t="s">
        <v>2578</v>
      </c>
      <c r="E683" s="50" t="s">
        <v>2692</v>
      </c>
    </row>
    <row r="684" spans="1:5" s="51" customFormat="1" x14ac:dyDescent="0.15">
      <c r="A684" s="50" t="s">
        <v>2693</v>
      </c>
      <c r="B684" s="50" t="s">
        <v>2694</v>
      </c>
      <c r="C684" s="50" t="s">
        <v>2695</v>
      </c>
      <c r="D684" s="50" t="s">
        <v>2610</v>
      </c>
      <c r="E684" s="50" t="s">
        <v>2696</v>
      </c>
    </row>
    <row r="685" spans="1:5" s="51" customFormat="1" x14ac:dyDescent="0.15">
      <c r="A685" s="50" t="s">
        <v>2697</v>
      </c>
      <c r="B685" s="50" t="s">
        <v>2698</v>
      </c>
      <c r="C685" s="50" t="s">
        <v>2699</v>
      </c>
      <c r="D685" s="50" t="s">
        <v>2587</v>
      </c>
      <c r="E685" s="50" t="s">
        <v>2700</v>
      </c>
    </row>
    <row r="686" spans="1:5" s="51" customFormat="1" x14ac:dyDescent="0.15">
      <c r="A686" s="50" t="s">
        <v>2701</v>
      </c>
      <c r="B686" s="50" t="s">
        <v>2702</v>
      </c>
      <c r="C686" s="50" t="s">
        <v>2703</v>
      </c>
      <c r="D686" s="50" t="s">
        <v>2573</v>
      </c>
      <c r="E686" s="50" t="s">
        <v>2704</v>
      </c>
    </row>
    <row r="687" spans="1:5" s="51" customFormat="1" x14ac:dyDescent="0.15">
      <c r="A687" s="50" t="s">
        <v>2705</v>
      </c>
      <c r="B687" s="50" t="s">
        <v>2706</v>
      </c>
      <c r="C687" s="50" t="s">
        <v>2707</v>
      </c>
      <c r="D687" s="50" t="s">
        <v>2708</v>
      </c>
      <c r="E687" s="50" t="s">
        <v>2709</v>
      </c>
    </row>
    <row r="688" spans="1:5" s="51" customFormat="1" x14ac:dyDescent="0.15">
      <c r="A688" s="50" t="s">
        <v>2710</v>
      </c>
      <c r="B688" s="50" t="s">
        <v>2711</v>
      </c>
      <c r="C688" s="50" t="s">
        <v>2712</v>
      </c>
      <c r="D688" s="50" t="s">
        <v>2713</v>
      </c>
      <c r="E688" s="50" t="s">
        <v>2714</v>
      </c>
    </row>
    <row r="689" spans="1:5" s="51" customFormat="1" x14ac:dyDescent="0.15">
      <c r="A689" s="50" t="s">
        <v>2715</v>
      </c>
      <c r="B689" s="50" t="s">
        <v>2716</v>
      </c>
      <c r="C689" s="50" t="s">
        <v>2717</v>
      </c>
      <c r="D689" s="50" t="s">
        <v>2587</v>
      </c>
      <c r="E689" s="50" t="s">
        <v>2718</v>
      </c>
    </row>
    <row r="690" spans="1:5" s="51" customFormat="1" x14ac:dyDescent="0.15">
      <c r="A690" s="50" t="s">
        <v>2719</v>
      </c>
      <c r="B690" s="50" t="s">
        <v>2720</v>
      </c>
      <c r="C690" s="50" t="s">
        <v>2721</v>
      </c>
      <c r="D690" s="50" t="s">
        <v>2605</v>
      </c>
      <c r="E690" s="50" t="s">
        <v>2722</v>
      </c>
    </row>
    <row r="691" spans="1:5" s="51" customFormat="1" x14ac:dyDescent="0.15">
      <c r="A691" s="50" t="s">
        <v>2723</v>
      </c>
      <c r="B691" s="50" t="s">
        <v>2724</v>
      </c>
      <c r="C691" s="50" t="s">
        <v>2725</v>
      </c>
      <c r="D691" s="50" t="s">
        <v>2547</v>
      </c>
      <c r="E691" s="50" t="s">
        <v>2726</v>
      </c>
    </row>
    <row r="692" spans="1:5" s="51" customFormat="1" x14ac:dyDescent="0.15">
      <c r="A692" s="50" t="s">
        <v>2727</v>
      </c>
      <c r="B692" s="50" t="s">
        <v>2728</v>
      </c>
      <c r="C692" s="50" t="s">
        <v>2729</v>
      </c>
      <c r="D692" s="50" t="s">
        <v>2610</v>
      </c>
      <c r="E692" s="50" t="s">
        <v>2730</v>
      </c>
    </row>
    <row r="693" spans="1:5" s="51" customFormat="1" x14ac:dyDescent="0.15">
      <c r="A693" s="50" t="s">
        <v>2731</v>
      </c>
      <c r="B693" s="50" t="s">
        <v>2732</v>
      </c>
      <c r="C693" s="50" t="s">
        <v>2733</v>
      </c>
      <c r="D693" s="50" t="s">
        <v>2708</v>
      </c>
      <c r="E693" s="50" t="s">
        <v>2734</v>
      </c>
    </row>
    <row r="694" spans="1:5" s="51" customFormat="1" x14ac:dyDescent="0.15">
      <c r="A694" s="50" t="s">
        <v>2735</v>
      </c>
      <c r="B694" s="50" t="s">
        <v>2736</v>
      </c>
      <c r="C694" s="50" t="s">
        <v>2737</v>
      </c>
      <c r="D694" s="50" t="s">
        <v>2573</v>
      </c>
      <c r="E694" s="50" t="s">
        <v>2738</v>
      </c>
    </row>
    <row r="695" spans="1:5" s="51" customFormat="1" x14ac:dyDescent="0.15">
      <c r="A695" s="50" t="s">
        <v>2739</v>
      </c>
      <c r="B695" s="50" t="s">
        <v>2740</v>
      </c>
      <c r="C695" s="50" t="s">
        <v>2741</v>
      </c>
      <c r="D695" s="50" t="s">
        <v>2708</v>
      </c>
      <c r="E695" s="50" t="s">
        <v>2742</v>
      </c>
    </row>
    <row r="696" spans="1:5" s="51" customFormat="1" x14ac:dyDescent="0.15">
      <c r="A696" s="50" t="s">
        <v>2743</v>
      </c>
      <c r="B696" s="50" t="s">
        <v>2744</v>
      </c>
      <c r="C696" s="50" t="s">
        <v>2745</v>
      </c>
      <c r="D696" s="50" t="s">
        <v>2605</v>
      </c>
      <c r="E696" s="50" t="s">
        <v>2746</v>
      </c>
    </row>
    <row r="697" spans="1:5" s="51" customFormat="1" x14ac:dyDescent="0.15">
      <c r="A697" s="50" t="s">
        <v>2747</v>
      </c>
      <c r="B697" s="50" t="s">
        <v>2748</v>
      </c>
      <c r="C697" s="50" t="s">
        <v>2749</v>
      </c>
      <c r="D697" s="50" t="s">
        <v>2573</v>
      </c>
      <c r="E697" s="50" t="s">
        <v>2750</v>
      </c>
    </row>
    <row r="698" spans="1:5" s="51" customFormat="1" x14ac:dyDescent="0.15">
      <c r="A698" s="50" t="s">
        <v>2751</v>
      </c>
      <c r="B698" s="50" t="s">
        <v>2752</v>
      </c>
      <c r="C698" s="50" t="s">
        <v>2753</v>
      </c>
      <c r="D698" s="50" t="s">
        <v>2573</v>
      </c>
      <c r="E698" s="50" t="s">
        <v>2754</v>
      </c>
    </row>
    <row r="699" spans="1:5" s="51" customFormat="1" x14ac:dyDescent="0.15">
      <c r="A699" s="50" t="s">
        <v>2755</v>
      </c>
      <c r="B699" s="50" t="s">
        <v>2756</v>
      </c>
      <c r="C699" s="50" t="s">
        <v>2757</v>
      </c>
      <c r="D699" s="50" t="s">
        <v>2605</v>
      </c>
      <c r="E699" s="50" t="s">
        <v>2758</v>
      </c>
    </row>
    <row r="700" spans="1:5" s="51" customFormat="1" x14ac:dyDescent="0.15">
      <c r="A700" s="50" t="s">
        <v>2759</v>
      </c>
      <c r="B700" s="50" t="s">
        <v>2760</v>
      </c>
      <c r="C700" s="50" t="s">
        <v>2761</v>
      </c>
      <c r="D700" s="50" t="s">
        <v>2605</v>
      </c>
      <c r="E700" s="50" t="s">
        <v>2762</v>
      </c>
    </row>
    <row r="701" spans="1:5" s="51" customFormat="1" x14ac:dyDescent="0.15">
      <c r="A701" s="50" t="s">
        <v>2763</v>
      </c>
      <c r="B701" s="50" t="s">
        <v>2764</v>
      </c>
      <c r="C701" s="50" t="s">
        <v>2765</v>
      </c>
      <c r="D701" s="50" t="s">
        <v>2605</v>
      </c>
      <c r="E701" s="50" t="s">
        <v>2758</v>
      </c>
    </row>
    <row r="702" spans="1:5" s="51" customFormat="1" x14ac:dyDescent="0.15">
      <c r="A702" s="50" t="s">
        <v>2766</v>
      </c>
      <c r="B702" s="50" t="s">
        <v>2767</v>
      </c>
      <c r="C702" s="50" t="s">
        <v>2768</v>
      </c>
      <c r="D702" s="50" t="s">
        <v>2605</v>
      </c>
      <c r="E702" s="50" t="s">
        <v>2769</v>
      </c>
    </row>
    <row r="703" spans="1:5" s="51" customFormat="1" x14ac:dyDescent="0.15">
      <c r="A703" s="50" t="s">
        <v>2770</v>
      </c>
      <c r="B703" s="50" t="s">
        <v>2771</v>
      </c>
      <c r="C703" s="50" t="s">
        <v>2772</v>
      </c>
      <c r="D703" s="50" t="s">
        <v>2605</v>
      </c>
      <c r="E703" s="50" t="s">
        <v>2773</v>
      </c>
    </row>
    <row r="704" spans="1:5" s="51" customFormat="1" x14ac:dyDescent="0.15">
      <c r="A704" s="50" t="s">
        <v>2774</v>
      </c>
      <c r="B704" s="50" t="s">
        <v>2775</v>
      </c>
      <c r="C704" s="50" t="s">
        <v>2776</v>
      </c>
      <c r="D704" s="50" t="s">
        <v>2605</v>
      </c>
      <c r="E704" s="50" t="s">
        <v>2777</v>
      </c>
    </row>
    <row r="705" spans="1:5" s="51" customFormat="1" x14ac:dyDescent="0.15">
      <c r="A705" s="50" t="s">
        <v>2778</v>
      </c>
      <c r="B705" s="50" t="s">
        <v>2779</v>
      </c>
      <c r="C705" s="50" t="s">
        <v>2780</v>
      </c>
      <c r="D705" s="50" t="s">
        <v>2587</v>
      </c>
      <c r="E705" s="50" t="s">
        <v>2781</v>
      </c>
    </row>
    <row r="706" spans="1:5" s="51" customFormat="1" x14ac:dyDescent="0.15">
      <c r="A706" s="50" t="s">
        <v>2782</v>
      </c>
      <c r="B706" s="50" t="s">
        <v>2783</v>
      </c>
      <c r="C706" s="50" t="s">
        <v>2784</v>
      </c>
      <c r="D706" s="50" t="s">
        <v>2587</v>
      </c>
      <c r="E706" s="50" t="s">
        <v>2785</v>
      </c>
    </row>
    <row r="707" spans="1:5" s="51" customFormat="1" x14ac:dyDescent="0.15">
      <c r="A707" s="50" t="s">
        <v>2786</v>
      </c>
      <c r="B707" s="50" t="s">
        <v>2787</v>
      </c>
      <c r="C707" s="50" t="s">
        <v>2788</v>
      </c>
      <c r="D707" s="50" t="s">
        <v>2587</v>
      </c>
      <c r="E707" s="50" t="s">
        <v>2789</v>
      </c>
    </row>
    <row r="708" spans="1:5" s="51" customFormat="1" x14ac:dyDescent="0.15">
      <c r="A708" s="50" t="s">
        <v>2790</v>
      </c>
      <c r="B708" s="50" t="s">
        <v>2791</v>
      </c>
      <c r="C708" s="50" t="s">
        <v>2792</v>
      </c>
      <c r="D708" s="50" t="s">
        <v>2793</v>
      </c>
      <c r="E708" s="50" t="s">
        <v>2794</v>
      </c>
    </row>
    <row r="709" spans="1:5" s="51" customFormat="1" x14ac:dyDescent="0.15">
      <c r="A709" s="50" t="s">
        <v>2795</v>
      </c>
      <c r="B709" s="50" t="s">
        <v>2796</v>
      </c>
      <c r="C709" s="50" t="s">
        <v>2797</v>
      </c>
      <c r="D709" s="50" t="s">
        <v>2793</v>
      </c>
      <c r="E709" s="50" t="s">
        <v>2798</v>
      </c>
    </row>
    <row r="710" spans="1:5" s="51" customFormat="1" x14ac:dyDescent="0.15">
      <c r="A710" s="50" t="s">
        <v>2799</v>
      </c>
      <c r="B710" s="50" t="s">
        <v>2800</v>
      </c>
      <c r="C710" s="50" t="s">
        <v>2801</v>
      </c>
      <c r="D710" s="50" t="s">
        <v>2793</v>
      </c>
      <c r="E710" s="50" t="s">
        <v>2802</v>
      </c>
    </row>
    <row r="711" spans="1:5" s="51" customFormat="1" x14ac:dyDescent="0.15">
      <c r="A711" s="50" t="s">
        <v>2803</v>
      </c>
      <c r="B711" s="50" t="s">
        <v>2804</v>
      </c>
      <c r="C711" s="50" t="s">
        <v>2805</v>
      </c>
      <c r="D711" s="50" t="s">
        <v>2793</v>
      </c>
      <c r="E711" s="50" t="s">
        <v>2806</v>
      </c>
    </row>
    <row r="712" spans="1:5" s="51" customFormat="1" x14ac:dyDescent="0.15">
      <c r="A712" s="50" t="s">
        <v>2807</v>
      </c>
      <c r="B712" s="50" t="s">
        <v>2808</v>
      </c>
      <c r="C712" s="50" t="s">
        <v>2809</v>
      </c>
      <c r="D712" s="50" t="s">
        <v>2793</v>
      </c>
      <c r="E712" s="50" t="s">
        <v>2810</v>
      </c>
    </row>
    <row r="713" spans="1:5" s="51" customFormat="1" x14ac:dyDescent="0.15">
      <c r="A713" s="50" t="s">
        <v>2811</v>
      </c>
      <c r="B713" s="50" t="s">
        <v>2812</v>
      </c>
      <c r="C713" s="50" t="s">
        <v>2813</v>
      </c>
      <c r="D713" s="50" t="s">
        <v>2793</v>
      </c>
      <c r="E713" s="50" t="s">
        <v>2814</v>
      </c>
    </row>
    <row r="714" spans="1:5" s="51" customFormat="1" x14ac:dyDescent="0.15">
      <c r="A714" s="50" t="s">
        <v>2815</v>
      </c>
      <c r="B714" s="50" t="s">
        <v>2816</v>
      </c>
      <c r="C714" s="50" t="s">
        <v>2817</v>
      </c>
      <c r="D714" s="50" t="s">
        <v>2793</v>
      </c>
      <c r="E714" s="50" t="s">
        <v>2818</v>
      </c>
    </row>
    <row r="715" spans="1:5" s="51" customFormat="1" x14ac:dyDescent="0.15">
      <c r="A715" s="50" t="s">
        <v>2819</v>
      </c>
      <c r="B715" s="50" t="s">
        <v>2820</v>
      </c>
      <c r="C715" s="50" t="s">
        <v>2821</v>
      </c>
      <c r="D715" s="50" t="s">
        <v>2793</v>
      </c>
      <c r="E715" s="50" t="s">
        <v>2822</v>
      </c>
    </row>
    <row r="716" spans="1:5" s="51" customFormat="1" x14ac:dyDescent="0.15">
      <c r="A716" s="50" t="s">
        <v>2823</v>
      </c>
      <c r="B716" s="50" t="s">
        <v>2824</v>
      </c>
      <c r="C716" s="50" t="s">
        <v>2825</v>
      </c>
      <c r="D716" s="50" t="s">
        <v>2793</v>
      </c>
      <c r="E716" s="50" t="s">
        <v>2826</v>
      </c>
    </row>
    <row r="717" spans="1:5" s="51" customFormat="1" x14ac:dyDescent="0.15">
      <c r="A717" s="50" t="s">
        <v>2827</v>
      </c>
      <c r="B717" s="50" t="s">
        <v>2828</v>
      </c>
      <c r="C717" s="50" t="s">
        <v>2829</v>
      </c>
      <c r="D717" s="50" t="s">
        <v>2793</v>
      </c>
      <c r="E717" s="50" t="s">
        <v>2830</v>
      </c>
    </row>
    <row r="718" spans="1:5" s="51" customFormat="1" x14ac:dyDescent="0.15">
      <c r="A718" s="50" t="s">
        <v>2831</v>
      </c>
      <c r="B718" s="50" t="s">
        <v>2832</v>
      </c>
      <c r="C718" s="50" t="s">
        <v>2833</v>
      </c>
      <c r="D718" s="50" t="s">
        <v>2793</v>
      </c>
      <c r="E718" s="50" t="s">
        <v>2834</v>
      </c>
    </row>
    <row r="719" spans="1:5" s="51" customFormat="1" x14ac:dyDescent="0.15">
      <c r="A719" s="50" t="s">
        <v>2835</v>
      </c>
      <c r="B719" s="50" t="s">
        <v>2836</v>
      </c>
      <c r="C719" s="50" t="s">
        <v>2837</v>
      </c>
      <c r="D719" s="50" t="s">
        <v>2793</v>
      </c>
      <c r="E719" s="50" t="s">
        <v>2838</v>
      </c>
    </row>
    <row r="720" spans="1:5" s="51" customFormat="1" x14ac:dyDescent="0.15">
      <c r="A720" s="50" t="s">
        <v>2839</v>
      </c>
      <c r="B720" s="50" t="s">
        <v>2840</v>
      </c>
      <c r="C720" s="50" t="s">
        <v>2841</v>
      </c>
      <c r="D720" s="50" t="s">
        <v>2793</v>
      </c>
      <c r="E720" s="50" t="s">
        <v>2842</v>
      </c>
    </row>
    <row r="721" spans="1:5" s="51" customFormat="1" x14ac:dyDescent="0.15">
      <c r="A721" s="50" t="s">
        <v>2843</v>
      </c>
      <c r="B721" s="50" t="s">
        <v>2844</v>
      </c>
      <c r="C721" s="50" t="s">
        <v>2845</v>
      </c>
      <c r="D721" s="50" t="s">
        <v>2793</v>
      </c>
      <c r="E721" s="50" t="s">
        <v>2846</v>
      </c>
    </row>
    <row r="722" spans="1:5" s="51" customFormat="1" x14ac:dyDescent="0.15">
      <c r="A722" s="50" t="s">
        <v>2847</v>
      </c>
      <c r="B722" s="50" t="s">
        <v>2848</v>
      </c>
      <c r="C722" s="50" t="s">
        <v>2849</v>
      </c>
      <c r="D722" s="50" t="s">
        <v>2793</v>
      </c>
      <c r="E722" s="50" t="s">
        <v>2850</v>
      </c>
    </row>
    <row r="723" spans="1:5" s="51" customFormat="1" x14ac:dyDescent="0.15">
      <c r="A723" s="50" t="s">
        <v>2851</v>
      </c>
      <c r="B723" s="50" t="s">
        <v>2852</v>
      </c>
      <c r="C723" s="50" t="s">
        <v>2853</v>
      </c>
      <c r="D723" s="50" t="s">
        <v>2793</v>
      </c>
      <c r="E723" s="50" t="s">
        <v>2854</v>
      </c>
    </row>
    <row r="724" spans="1:5" s="51" customFormat="1" x14ac:dyDescent="0.15">
      <c r="A724" s="50" t="s">
        <v>2855</v>
      </c>
      <c r="B724" s="50" t="s">
        <v>2856</v>
      </c>
      <c r="C724" s="50" t="s">
        <v>2857</v>
      </c>
      <c r="D724" s="50" t="s">
        <v>2793</v>
      </c>
      <c r="E724" s="50" t="s">
        <v>2858</v>
      </c>
    </row>
    <row r="725" spans="1:5" s="51" customFormat="1" x14ac:dyDescent="0.15">
      <c r="A725" s="50" t="s">
        <v>2859</v>
      </c>
      <c r="B725" s="50" t="s">
        <v>2860</v>
      </c>
      <c r="C725" s="50" t="s">
        <v>2861</v>
      </c>
      <c r="D725" s="50" t="s">
        <v>2793</v>
      </c>
      <c r="E725" s="50" t="s">
        <v>2862</v>
      </c>
    </row>
    <row r="726" spans="1:5" s="51" customFormat="1" x14ac:dyDescent="0.15">
      <c r="A726" s="50" t="s">
        <v>2863</v>
      </c>
      <c r="B726" s="50" t="s">
        <v>2864</v>
      </c>
      <c r="C726" s="50" t="s">
        <v>2865</v>
      </c>
      <c r="D726" s="50" t="s">
        <v>2793</v>
      </c>
      <c r="E726" s="50" t="s">
        <v>2866</v>
      </c>
    </row>
    <row r="727" spans="1:5" s="51" customFormat="1" x14ac:dyDescent="0.15">
      <c r="A727" s="50" t="s">
        <v>2867</v>
      </c>
      <c r="B727" s="50" t="s">
        <v>2868</v>
      </c>
      <c r="C727" s="50" t="s">
        <v>2869</v>
      </c>
      <c r="D727" s="50" t="s">
        <v>2793</v>
      </c>
      <c r="E727" s="50" t="s">
        <v>2870</v>
      </c>
    </row>
    <row r="728" spans="1:5" s="51" customFormat="1" x14ac:dyDescent="0.15">
      <c r="A728" s="50" t="s">
        <v>2871</v>
      </c>
      <c r="B728" s="50" t="s">
        <v>2872</v>
      </c>
      <c r="C728" s="50" t="s">
        <v>2873</v>
      </c>
      <c r="D728" s="50" t="s">
        <v>2793</v>
      </c>
      <c r="E728" s="50" t="s">
        <v>2874</v>
      </c>
    </row>
    <row r="729" spans="1:5" s="51" customFormat="1" x14ac:dyDescent="0.15">
      <c r="A729" s="50" t="s">
        <v>2875</v>
      </c>
      <c r="B729" s="50" t="s">
        <v>2876</v>
      </c>
      <c r="C729" s="50" t="s">
        <v>2877</v>
      </c>
      <c r="D729" s="50" t="s">
        <v>2793</v>
      </c>
      <c r="E729" s="50" t="s">
        <v>2878</v>
      </c>
    </row>
    <row r="730" spans="1:5" s="51" customFormat="1" x14ac:dyDescent="0.15">
      <c r="A730" s="50" t="s">
        <v>2879</v>
      </c>
      <c r="B730" s="50" t="s">
        <v>2880</v>
      </c>
      <c r="C730" s="50" t="s">
        <v>2881</v>
      </c>
      <c r="D730" s="50" t="s">
        <v>2793</v>
      </c>
      <c r="E730" s="50" t="s">
        <v>2882</v>
      </c>
    </row>
    <row r="731" spans="1:5" s="51" customFormat="1" x14ac:dyDescent="0.15">
      <c r="A731" s="50" t="s">
        <v>2883</v>
      </c>
      <c r="B731" s="50" t="s">
        <v>2884</v>
      </c>
      <c r="C731" s="50" t="s">
        <v>2885</v>
      </c>
      <c r="D731" s="50" t="s">
        <v>2317</v>
      </c>
      <c r="E731" s="50" t="s">
        <v>2886</v>
      </c>
    </row>
    <row r="732" spans="1:5" s="51" customFormat="1" x14ac:dyDescent="0.15">
      <c r="A732" s="50" t="s">
        <v>2887</v>
      </c>
      <c r="B732" s="50" t="s">
        <v>2888</v>
      </c>
      <c r="C732" s="50" t="s">
        <v>2889</v>
      </c>
      <c r="D732" s="50" t="s">
        <v>2317</v>
      </c>
      <c r="E732" s="50" t="s">
        <v>2890</v>
      </c>
    </row>
    <row r="733" spans="1:5" s="51" customFormat="1" x14ac:dyDescent="0.15">
      <c r="A733" s="50" t="s">
        <v>2891</v>
      </c>
      <c r="B733" s="50" t="s">
        <v>2892</v>
      </c>
      <c r="C733" s="50" t="s">
        <v>2893</v>
      </c>
      <c r="D733" s="50" t="s">
        <v>2894</v>
      </c>
      <c r="E733" s="50" t="s">
        <v>2895</v>
      </c>
    </row>
    <row r="734" spans="1:5" s="51" customFormat="1" x14ac:dyDescent="0.15">
      <c r="A734" s="50" t="s">
        <v>2896</v>
      </c>
      <c r="B734" s="50" t="s">
        <v>2897</v>
      </c>
      <c r="C734" s="50" t="s">
        <v>2898</v>
      </c>
      <c r="D734" s="50" t="s">
        <v>2899</v>
      </c>
      <c r="E734" s="50" t="s">
        <v>2900</v>
      </c>
    </row>
    <row r="735" spans="1:5" s="51" customFormat="1" x14ac:dyDescent="0.15">
      <c r="A735" s="50" t="s">
        <v>2901</v>
      </c>
      <c r="B735" s="50" t="s">
        <v>2902</v>
      </c>
      <c r="C735" s="50" t="s">
        <v>2903</v>
      </c>
      <c r="D735" s="50" t="s">
        <v>2904</v>
      </c>
      <c r="E735" s="50" t="s">
        <v>2905</v>
      </c>
    </row>
    <row r="736" spans="1:5" s="51" customFormat="1" x14ac:dyDescent="0.15">
      <c r="A736" s="50" t="s">
        <v>2906</v>
      </c>
      <c r="B736" s="50" t="s">
        <v>2907</v>
      </c>
      <c r="C736" s="50" t="s">
        <v>2908</v>
      </c>
      <c r="D736" s="50" t="s">
        <v>2317</v>
      </c>
      <c r="E736" s="50" t="s">
        <v>2909</v>
      </c>
    </row>
    <row r="737" spans="1:5" s="51" customFormat="1" x14ac:dyDescent="0.15">
      <c r="A737" s="50" t="s">
        <v>2910</v>
      </c>
      <c r="B737" s="50" t="s">
        <v>2911</v>
      </c>
      <c r="C737" s="50" t="s">
        <v>2912</v>
      </c>
      <c r="D737" s="50" t="s">
        <v>2317</v>
      </c>
      <c r="E737" s="50" t="s">
        <v>2913</v>
      </c>
    </row>
    <row r="738" spans="1:5" s="51" customFormat="1" x14ac:dyDescent="0.15">
      <c r="A738" s="50" t="s">
        <v>2914</v>
      </c>
      <c r="B738" s="50" t="s">
        <v>2915</v>
      </c>
      <c r="C738" s="50" t="s">
        <v>2916</v>
      </c>
      <c r="D738" s="50" t="s">
        <v>2917</v>
      </c>
      <c r="E738" s="50" t="s">
        <v>2918</v>
      </c>
    </row>
    <row r="739" spans="1:5" s="51" customFormat="1" x14ac:dyDescent="0.15">
      <c r="A739" s="50" t="s">
        <v>2919</v>
      </c>
      <c r="B739" s="50" t="s">
        <v>2920</v>
      </c>
      <c r="C739" s="50" t="s">
        <v>2921</v>
      </c>
      <c r="D739" s="50" t="s">
        <v>2922</v>
      </c>
      <c r="E739" s="50" t="s">
        <v>2923</v>
      </c>
    </row>
    <row r="740" spans="1:5" s="51" customFormat="1" x14ac:dyDescent="0.15">
      <c r="A740" s="50" t="s">
        <v>2924</v>
      </c>
      <c r="B740" s="50" t="s">
        <v>2925</v>
      </c>
      <c r="C740" s="50" t="s">
        <v>2926</v>
      </c>
      <c r="D740" s="50" t="s">
        <v>2927</v>
      </c>
      <c r="E740" s="50" t="s">
        <v>2928</v>
      </c>
    </row>
    <row r="741" spans="1:5" s="51" customFormat="1" x14ac:dyDescent="0.15">
      <c r="A741" s="50" t="s">
        <v>2929</v>
      </c>
      <c r="B741" s="50" t="s">
        <v>2930</v>
      </c>
      <c r="C741" s="50" t="s">
        <v>2931</v>
      </c>
      <c r="D741" s="50" t="s">
        <v>2317</v>
      </c>
      <c r="E741" s="50" t="s">
        <v>2932</v>
      </c>
    </row>
    <row r="742" spans="1:5" s="51" customFormat="1" x14ac:dyDescent="0.15">
      <c r="A742" s="50" t="s">
        <v>2933</v>
      </c>
      <c r="B742" s="50" t="s">
        <v>2934</v>
      </c>
      <c r="C742" s="50" t="s">
        <v>2935</v>
      </c>
      <c r="D742" s="50" t="s">
        <v>2317</v>
      </c>
      <c r="E742" s="50" t="s">
        <v>2936</v>
      </c>
    </row>
    <row r="743" spans="1:5" s="51" customFormat="1" x14ac:dyDescent="0.15">
      <c r="A743" s="50" t="s">
        <v>2937</v>
      </c>
      <c r="B743" s="50" t="s">
        <v>2938</v>
      </c>
      <c r="C743" s="50" t="s">
        <v>2939</v>
      </c>
      <c r="D743" s="50" t="s">
        <v>2317</v>
      </c>
      <c r="E743" s="50" t="s">
        <v>2940</v>
      </c>
    </row>
    <row r="744" spans="1:5" s="51" customFormat="1" x14ac:dyDescent="0.15">
      <c r="A744" s="50" t="s">
        <v>2941</v>
      </c>
      <c r="B744" s="50" t="s">
        <v>2942</v>
      </c>
      <c r="C744" s="50" t="s">
        <v>2943</v>
      </c>
      <c r="D744" s="50" t="s">
        <v>2317</v>
      </c>
      <c r="E744" s="50" t="s">
        <v>2944</v>
      </c>
    </row>
    <row r="745" spans="1:5" s="51" customFormat="1" x14ac:dyDescent="0.15">
      <c r="A745" s="50" t="s">
        <v>2945</v>
      </c>
      <c r="B745" s="50" t="s">
        <v>2946</v>
      </c>
      <c r="C745" s="50" t="s">
        <v>2947</v>
      </c>
      <c r="D745" s="50" t="s">
        <v>2317</v>
      </c>
      <c r="E745" s="50" t="s">
        <v>2948</v>
      </c>
    </row>
    <row r="746" spans="1:5" s="51" customFormat="1" x14ac:dyDescent="0.15">
      <c r="A746" s="50" t="s">
        <v>2949</v>
      </c>
      <c r="B746" s="50" t="s">
        <v>2950</v>
      </c>
      <c r="C746" s="50" t="s">
        <v>2951</v>
      </c>
      <c r="D746" s="50" t="s">
        <v>2317</v>
      </c>
      <c r="E746" s="50" t="s">
        <v>2952</v>
      </c>
    </row>
    <row r="747" spans="1:5" s="51" customFormat="1" x14ac:dyDescent="0.15">
      <c r="A747" s="50" t="s">
        <v>2953</v>
      </c>
      <c r="B747" s="50" t="s">
        <v>2954</v>
      </c>
      <c r="C747" s="50" t="s">
        <v>2955</v>
      </c>
      <c r="D747" s="50" t="s">
        <v>2956</v>
      </c>
      <c r="E747" s="50" t="s">
        <v>2957</v>
      </c>
    </row>
    <row r="748" spans="1:5" s="51" customFormat="1" x14ac:dyDescent="0.15">
      <c r="A748" s="50" t="s">
        <v>2958</v>
      </c>
      <c r="B748" s="50" t="s">
        <v>2959</v>
      </c>
      <c r="C748" s="50" t="s">
        <v>2960</v>
      </c>
      <c r="D748" s="50" t="s">
        <v>2317</v>
      </c>
      <c r="E748" s="50" t="s">
        <v>2961</v>
      </c>
    </row>
    <row r="749" spans="1:5" s="51" customFormat="1" x14ac:dyDescent="0.15">
      <c r="A749" s="50" t="s">
        <v>2962</v>
      </c>
      <c r="B749" s="50" t="s">
        <v>2963</v>
      </c>
      <c r="C749" s="50" t="s">
        <v>2964</v>
      </c>
      <c r="D749" s="50" t="s">
        <v>2317</v>
      </c>
      <c r="E749" s="50" t="s">
        <v>2965</v>
      </c>
    </row>
    <row r="750" spans="1:5" s="51" customFormat="1" x14ac:dyDescent="0.15">
      <c r="A750" s="50" t="s">
        <v>2966</v>
      </c>
      <c r="B750" s="50" t="s">
        <v>2967</v>
      </c>
      <c r="C750" s="50" t="s">
        <v>2968</v>
      </c>
      <c r="D750" s="50" t="s">
        <v>2317</v>
      </c>
      <c r="E750" s="50" t="s">
        <v>2969</v>
      </c>
    </row>
    <row r="751" spans="1:5" s="51" customFormat="1" x14ac:dyDescent="0.15">
      <c r="A751" s="50" t="s">
        <v>2970</v>
      </c>
      <c r="B751" s="50" t="s">
        <v>2971</v>
      </c>
      <c r="C751" s="50" t="s">
        <v>2972</v>
      </c>
      <c r="D751" s="50" t="s">
        <v>2317</v>
      </c>
      <c r="E751" s="50" t="s">
        <v>2973</v>
      </c>
    </row>
    <row r="752" spans="1:5" s="51" customFormat="1" x14ac:dyDescent="0.15">
      <c r="A752" s="50" t="s">
        <v>2974</v>
      </c>
      <c r="B752" s="50" t="s">
        <v>2975</v>
      </c>
      <c r="C752" s="50" t="s">
        <v>2976</v>
      </c>
      <c r="D752" s="50" t="s">
        <v>2317</v>
      </c>
      <c r="E752" s="50" t="s">
        <v>2977</v>
      </c>
    </row>
    <row r="753" spans="1:5" s="51" customFormat="1" x14ac:dyDescent="0.15">
      <c r="A753" s="50" t="s">
        <v>2978</v>
      </c>
      <c r="B753" s="50" t="s">
        <v>2979</v>
      </c>
      <c r="C753" s="50" t="s">
        <v>2980</v>
      </c>
      <c r="D753" s="50" t="s">
        <v>2317</v>
      </c>
      <c r="E753" s="50" t="s">
        <v>2981</v>
      </c>
    </row>
    <row r="754" spans="1:5" s="51" customFormat="1" x14ac:dyDescent="0.15">
      <c r="A754" s="50" t="s">
        <v>2982</v>
      </c>
      <c r="B754" s="50" t="s">
        <v>2983</v>
      </c>
      <c r="C754" s="50" t="s">
        <v>2984</v>
      </c>
      <c r="D754" s="50" t="s">
        <v>2317</v>
      </c>
      <c r="E754" s="50" t="s">
        <v>2985</v>
      </c>
    </row>
    <row r="755" spans="1:5" s="51" customFormat="1" x14ac:dyDescent="0.15">
      <c r="A755" s="50" t="s">
        <v>2986</v>
      </c>
      <c r="B755" s="50" t="s">
        <v>2987</v>
      </c>
      <c r="C755" s="50" t="s">
        <v>2988</v>
      </c>
      <c r="D755" s="50" t="s">
        <v>2317</v>
      </c>
      <c r="E755" s="50" t="s">
        <v>2989</v>
      </c>
    </row>
    <row r="756" spans="1:5" s="51" customFormat="1" x14ac:dyDescent="0.15">
      <c r="A756" s="50" t="s">
        <v>2990</v>
      </c>
      <c r="B756" s="50" t="s">
        <v>2991</v>
      </c>
      <c r="C756" s="50" t="s">
        <v>2992</v>
      </c>
      <c r="D756" s="50" t="s">
        <v>2927</v>
      </c>
      <c r="E756" s="50" t="s">
        <v>2993</v>
      </c>
    </row>
    <row r="757" spans="1:5" s="51" customFormat="1" x14ac:dyDescent="0.15">
      <c r="A757" s="50" t="s">
        <v>2994</v>
      </c>
      <c r="B757" s="50" t="s">
        <v>2995</v>
      </c>
      <c r="C757" s="50" t="s">
        <v>2996</v>
      </c>
      <c r="D757" s="50" t="s">
        <v>2317</v>
      </c>
      <c r="E757" s="50" t="s">
        <v>2997</v>
      </c>
    </row>
    <row r="758" spans="1:5" s="51" customFormat="1" x14ac:dyDescent="0.15">
      <c r="A758" s="50" t="s">
        <v>2998</v>
      </c>
      <c r="B758" s="50" t="s">
        <v>2999</v>
      </c>
      <c r="C758" s="50" t="s">
        <v>3000</v>
      </c>
      <c r="D758" s="50" t="s">
        <v>2317</v>
      </c>
      <c r="E758" s="50" t="s">
        <v>3001</v>
      </c>
    </row>
    <row r="759" spans="1:5" s="51" customFormat="1" x14ac:dyDescent="0.15">
      <c r="A759" s="50" t="s">
        <v>3002</v>
      </c>
      <c r="B759" s="50" t="s">
        <v>3003</v>
      </c>
      <c r="C759" s="50" t="s">
        <v>3004</v>
      </c>
      <c r="D759" s="50" t="s">
        <v>2317</v>
      </c>
      <c r="E759" s="50" t="s">
        <v>3005</v>
      </c>
    </row>
    <row r="760" spans="1:5" s="51" customFormat="1" x14ac:dyDescent="0.15">
      <c r="A760" s="50" t="s">
        <v>3006</v>
      </c>
      <c r="B760" s="50" t="s">
        <v>3007</v>
      </c>
      <c r="C760" s="50" t="s">
        <v>3008</v>
      </c>
      <c r="D760" s="50" t="s">
        <v>2904</v>
      </c>
      <c r="E760" s="50" t="s">
        <v>3009</v>
      </c>
    </row>
    <row r="761" spans="1:5" s="51" customFormat="1" x14ac:dyDescent="0.15">
      <c r="A761" s="50" t="s">
        <v>3010</v>
      </c>
      <c r="B761" s="50" t="s">
        <v>3011</v>
      </c>
      <c r="C761" s="50" t="s">
        <v>3012</v>
      </c>
      <c r="D761" s="50" t="s">
        <v>3013</v>
      </c>
      <c r="E761" s="50" t="s">
        <v>3014</v>
      </c>
    </row>
    <row r="762" spans="1:5" s="51" customFormat="1" x14ac:dyDescent="0.15">
      <c r="A762" s="50" t="s">
        <v>3015</v>
      </c>
      <c r="B762" s="50" t="s">
        <v>3016</v>
      </c>
      <c r="C762" s="50" t="s">
        <v>3017</v>
      </c>
      <c r="D762" s="50" t="s">
        <v>3013</v>
      </c>
      <c r="E762" s="50" t="s">
        <v>3018</v>
      </c>
    </row>
    <row r="763" spans="1:5" s="51" customFormat="1" x14ac:dyDescent="0.15">
      <c r="A763" s="50" t="s">
        <v>3019</v>
      </c>
      <c r="B763" s="50" t="s">
        <v>3020</v>
      </c>
      <c r="C763" s="50" t="s">
        <v>3021</v>
      </c>
      <c r="D763" s="50" t="s">
        <v>3013</v>
      </c>
      <c r="E763" s="50" t="s">
        <v>3022</v>
      </c>
    </row>
    <row r="764" spans="1:5" s="51" customFormat="1" x14ac:dyDescent="0.15">
      <c r="A764" s="50" t="s">
        <v>3023</v>
      </c>
      <c r="B764" s="50" t="s">
        <v>3024</v>
      </c>
      <c r="C764" s="50" t="s">
        <v>3025</v>
      </c>
      <c r="D764" s="50" t="s">
        <v>3013</v>
      </c>
      <c r="E764" s="50" t="s">
        <v>3026</v>
      </c>
    </row>
    <row r="765" spans="1:5" s="51" customFormat="1" x14ac:dyDescent="0.15">
      <c r="A765" s="50" t="s">
        <v>3027</v>
      </c>
      <c r="B765" s="50" t="s">
        <v>3028</v>
      </c>
      <c r="C765" s="50" t="s">
        <v>3029</v>
      </c>
      <c r="D765" s="50" t="s">
        <v>3030</v>
      </c>
      <c r="E765" s="50" t="s">
        <v>3031</v>
      </c>
    </row>
    <row r="766" spans="1:5" s="51" customFormat="1" x14ac:dyDescent="0.15">
      <c r="A766" s="50" t="s">
        <v>3032</v>
      </c>
      <c r="B766" s="50" t="s">
        <v>3033</v>
      </c>
      <c r="C766" s="50" t="s">
        <v>3034</v>
      </c>
      <c r="D766" s="50" t="s">
        <v>3030</v>
      </c>
      <c r="E766" s="50" t="s">
        <v>3035</v>
      </c>
    </row>
    <row r="767" spans="1:5" s="51" customFormat="1" x14ac:dyDescent="0.15">
      <c r="A767" s="50" t="s">
        <v>3036</v>
      </c>
      <c r="B767" s="50" t="s">
        <v>3037</v>
      </c>
      <c r="C767" s="50" t="s">
        <v>3038</v>
      </c>
      <c r="D767" s="50" t="s">
        <v>3039</v>
      </c>
      <c r="E767" s="50" t="s">
        <v>3040</v>
      </c>
    </row>
    <row r="768" spans="1:5" s="51" customFormat="1" x14ac:dyDescent="0.15">
      <c r="A768" s="50" t="s">
        <v>3041</v>
      </c>
      <c r="B768" s="50" t="s">
        <v>3042</v>
      </c>
      <c r="C768" s="50" t="s">
        <v>3043</v>
      </c>
      <c r="D768" s="50" t="s">
        <v>3039</v>
      </c>
      <c r="E768" s="50" t="s">
        <v>3044</v>
      </c>
    </row>
    <row r="769" spans="1:5" s="51" customFormat="1" x14ac:dyDescent="0.15">
      <c r="A769" s="50" t="s">
        <v>3045</v>
      </c>
      <c r="B769" s="50" t="s">
        <v>3046</v>
      </c>
      <c r="C769" s="50" t="s">
        <v>3047</v>
      </c>
      <c r="D769" s="50" t="s">
        <v>3048</v>
      </c>
      <c r="E769" s="50" t="s">
        <v>3049</v>
      </c>
    </row>
    <row r="770" spans="1:5" s="51" customFormat="1" x14ac:dyDescent="0.15">
      <c r="A770" s="50" t="s">
        <v>3050</v>
      </c>
      <c r="B770" s="50" t="s">
        <v>3051</v>
      </c>
      <c r="C770" s="50" t="s">
        <v>3052</v>
      </c>
    </row>
    <row r="771" spans="1:5" s="51" customFormat="1" x14ac:dyDescent="0.15">
      <c r="A771" s="50" t="s">
        <v>3053</v>
      </c>
      <c r="B771" s="50" t="s">
        <v>3054</v>
      </c>
      <c r="C771" s="50" t="s">
        <v>3055</v>
      </c>
      <c r="D771" s="50" t="s">
        <v>3056</v>
      </c>
      <c r="E771" s="50" t="s">
        <v>3057</v>
      </c>
    </row>
    <row r="772" spans="1:5" s="51" customFormat="1" x14ac:dyDescent="0.15">
      <c r="A772" s="50" t="s">
        <v>3058</v>
      </c>
      <c r="B772" s="50" t="s">
        <v>3059</v>
      </c>
      <c r="C772" s="50" t="s">
        <v>3060</v>
      </c>
      <c r="D772" s="50" t="s">
        <v>3056</v>
      </c>
      <c r="E772" s="50" t="s">
        <v>3061</v>
      </c>
    </row>
    <row r="773" spans="1:5" s="51" customFormat="1" x14ac:dyDescent="0.15">
      <c r="A773" s="50" t="s">
        <v>3062</v>
      </c>
      <c r="B773" s="50" t="s">
        <v>3063</v>
      </c>
      <c r="C773" s="50" t="s">
        <v>3064</v>
      </c>
      <c r="D773" s="50" t="s">
        <v>3056</v>
      </c>
      <c r="E773" s="50" t="s">
        <v>3065</v>
      </c>
    </row>
    <row r="774" spans="1:5" s="51" customFormat="1" x14ac:dyDescent="0.15">
      <c r="A774" s="50" t="s">
        <v>3066</v>
      </c>
      <c r="B774" s="50" t="s">
        <v>3067</v>
      </c>
      <c r="C774" s="50" t="s">
        <v>3068</v>
      </c>
      <c r="D774" s="50" t="s">
        <v>3056</v>
      </c>
      <c r="E774" s="50" t="s">
        <v>3069</v>
      </c>
    </row>
    <row r="775" spans="1:5" s="51" customFormat="1" x14ac:dyDescent="0.15">
      <c r="A775" s="50" t="s">
        <v>3070</v>
      </c>
      <c r="B775" s="50" t="s">
        <v>3071</v>
      </c>
      <c r="C775" s="50" t="s">
        <v>3072</v>
      </c>
      <c r="D775" s="50" t="s">
        <v>3056</v>
      </c>
      <c r="E775" s="50" t="s">
        <v>3073</v>
      </c>
    </row>
    <row r="776" spans="1:5" s="51" customFormat="1" x14ac:dyDescent="0.15">
      <c r="A776" s="50" t="s">
        <v>3074</v>
      </c>
      <c r="B776" s="50" t="s">
        <v>3075</v>
      </c>
      <c r="C776" s="50" t="s">
        <v>3076</v>
      </c>
      <c r="D776" s="50" t="s">
        <v>3056</v>
      </c>
      <c r="E776" s="50" t="s">
        <v>3077</v>
      </c>
    </row>
    <row r="777" spans="1:5" s="51" customFormat="1" x14ac:dyDescent="0.15">
      <c r="A777" s="50" t="s">
        <v>3078</v>
      </c>
      <c r="B777" s="50" t="s">
        <v>3079</v>
      </c>
      <c r="C777" s="50" t="s">
        <v>3080</v>
      </c>
      <c r="D777" s="50" t="s">
        <v>3056</v>
      </c>
      <c r="E777" s="50" t="s">
        <v>3081</v>
      </c>
    </row>
    <row r="778" spans="1:5" s="51" customFormat="1" x14ac:dyDescent="0.15">
      <c r="A778" s="50" t="s">
        <v>3082</v>
      </c>
      <c r="B778" s="50" t="s">
        <v>3083</v>
      </c>
      <c r="C778" s="50" t="s">
        <v>3084</v>
      </c>
      <c r="D778" s="50" t="s">
        <v>3056</v>
      </c>
      <c r="E778" s="50" t="s">
        <v>3085</v>
      </c>
    </row>
    <row r="779" spans="1:5" s="51" customFormat="1" x14ac:dyDescent="0.15">
      <c r="A779" s="50" t="s">
        <v>3086</v>
      </c>
      <c r="B779" s="50" t="s">
        <v>3087</v>
      </c>
      <c r="C779" s="50" t="s">
        <v>3088</v>
      </c>
      <c r="D779" s="50" t="s">
        <v>3056</v>
      </c>
      <c r="E779" s="50" t="s">
        <v>3089</v>
      </c>
    </row>
    <row r="780" spans="1:5" s="51" customFormat="1" x14ac:dyDescent="0.15">
      <c r="A780" s="50" t="s">
        <v>3090</v>
      </c>
      <c r="B780" s="50" t="s">
        <v>3091</v>
      </c>
      <c r="C780" s="50" t="s">
        <v>3092</v>
      </c>
      <c r="D780" s="50" t="s">
        <v>3056</v>
      </c>
      <c r="E780" s="50" t="s">
        <v>3093</v>
      </c>
    </row>
    <row r="781" spans="1:5" s="51" customFormat="1" x14ac:dyDescent="0.15">
      <c r="A781" s="50" t="s">
        <v>3094</v>
      </c>
      <c r="B781" s="50" t="s">
        <v>3095</v>
      </c>
      <c r="C781" s="50" t="s">
        <v>3096</v>
      </c>
      <c r="D781" s="50" t="s">
        <v>3056</v>
      </c>
      <c r="E781" s="50" t="s">
        <v>3097</v>
      </c>
    </row>
    <row r="782" spans="1:5" s="51" customFormat="1" x14ac:dyDescent="0.15">
      <c r="A782" s="50" t="s">
        <v>3098</v>
      </c>
      <c r="B782" s="50" t="s">
        <v>3099</v>
      </c>
      <c r="C782" s="50" t="s">
        <v>3100</v>
      </c>
      <c r="D782" s="50" t="s">
        <v>3056</v>
      </c>
      <c r="E782" s="50" t="s">
        <v>3101</v>
      </c>
    </row>
    <row r="783" spans="1:5" s="51" customFormat="1" x14ac:dyDescent="0.15">
      <c r="A783" s="50" t="s">
        <v>3102</v>
      </c>
      <c r="B783" s="50" t="s">
        <v>3103</v>
      </c>
      <c r="C783" s="50" t="s">
        <v>3104</v>
      </c>
      <c r="D783" s="50" t="s">
        <v>3056</v>
      </c>
      <c r="E783" s="50" t="s">
        <v>3105</v>
      </c>
    </row>
    <row r="784" spans="1:5" s="51" customFormat="1" x14ac:dyDescent="0.15">
      <c r="A784" s="50" t="s">
        <v>3106</v>
      </c>
      <c r="B784" s="50" t="s">
        <v>3107</v>
      </c>
      <c r="C784" s="50" t="s">
        <v>3108</v>
      </c>
      <c r="D784" s="50" t="s">
        <v>3056</v>
      </c>
      <c r="E784" s="50" t="s">
        <v>3109</v>
      </c>
    </row>
    <row r="785" spans="1:5" s="51" customFormat="1" x14ac:dyDescent="0.15">
      <c r="A785" s="50" t="s">
        <v>3110</v>
      </c>
      <c r="B785" s="50" t="s">
        <v>3111</v>
      </c>
      <c r="C785" s="50" t="s">
        <v>3112</v>
      </c>
      <c r="D785" s="50" t="s">
        <v>3056</v>
      </c>
      <c r="E785" s="50" t="s">
        <v>3113</v>
      </c>
    </row>
    <row r="786" spans="1:5" s="51" customFormat="1" x14ac:dyDescent="0.15">
      <c r="A786" s="50" t="s">
        <v>3114</v>
      </c>
      <c r="B786" s="50" t="s">
        <v>3115</v>
      </c>
      <c r="C786" s="50" t="s">
        <v>3116</v>
      </c>
      <c r="D786" s="50" t="s">
        <v>3056</v>
      </c>
      <c r="E786" s="50" t="s">
        <v>3117</v>
      </c>
    </row>
    <row r="787" spans="1:5" s="51" customFormat="1" x14ac:dyDescent="0.15">
      <c r="A787" s="50" t="s">
        <v>3118</v>
      </c>
      <c r="B787" s="50" t="s">
        <v>3119</v>
      </c>
      <c r="C787" s="50" t="s">
        <v>3120</v>
      </c>
      <c r="D787" s="50" t="s">
        <v>3056</v>
      </c>
      <c r="E787" s="50" t="s">
        <v>3121</v>
      </c>
    </row>
    <row r="788" spans="1:5" s="51" customFormat="1" x14ac:dyDescent="0.15">
      <c r="A788" s="50" t="s">
        <v>3122</v>
      </c>
      <c r="B788" s="50" t="s">
        <v>3123</v>
      </c>
      <c r="C788" s="50" t="s">
        <v>3124</v>
      </c>
      <c r="D788" s="50" t="s">
        <v>3056</v>
      </c>
      <c r="E788" s="50" t="s">
        <v>3125</v>
      </c>
    </row>
    <row r="789" spans="1:5" s="51" customFormat="1" x14ac:dyDescent="0.15">
      <c r="A789" s="50" t="s">
        <v>3126</v>
      </c>
      <c r="B789" s="50" t="s">
        <v>3127</v>
      </c>
      <c r="C789" s="50" t="s">
        <v>3128</v>
      </c>
    </row>
    <row r="790" spans="1:5" s="51" customFormat="1" x14ac:dyDescent="0.15">
      <c r="A790" s="50" t="s">
        <v>3129</v>
      </c>
      <c r="B790" s="50" t="s">
        <v>3130</v>
      </c>
      <c r="C790" s="50" t="s">
        <v>3131</v>
      </c>
      <c r="D790" s="50" t="s">
        <v>3132</v>
      </c>
      <c r="E790" s="50" t="s">
        <v>3133</v>
      </c>
    </row>
    <row r="791" spans="1:5" s="51" customFormat="1" x14ac:dyDescent="0.15">
      <c r="A791" s="50" t="s">
        <v>3134</v>
      </c>
      <c r="B791" s="50" t="s">
        <v>3135</v>
      </c>
      <c r="C791" s="50" t="s">
        <v>3136</v>
      </c>
      <c r="D791" s="50" t="s">
        <v>3132</v>
      </c>
      <c r="E791" s="50" t="s">
        <v>3137</v>
      </c>
    </row>
    <row r="792" spans="1:5" s="51" customFormat="1" x14ac:dyDescent="0.15">
      <c r="A792" s="50" t="s">
        <v>3138</v>
      </c>
      <c r="B792" s="50" t="s">
        <v>3139</v>
      </c>
      <c r="C792" s="50" t="s">
        <v>3140</v>
      </c>
      <c r="D792" s="50" t="s">
        <v>3132</v>
      </c>
      <c r="E792" s="50" t="s">
        <v>3141</v>
      </c>
    </row>
    <row r="793" spans="1:5" s="51" customFormat="1" x14ac:dyDescent="0.15">
      <c r="A793" s="50" t="s">
        <v>3142</v>
      </c>
      <c r="B793" s="50" t="s">
        <v>3143</v>
      </c>
      <c r="C793" s="50" t="s">
        <v>3144</v>
      </c>
      <c r="D793" s="50" t="s">
        <v>3132</v>
      </c>
      <c r="E793" s="50" t="s">
        <v>3145</v>
      </c>
    </row>
    <row r="794" spans="1:5" s="51" customFormat="1" x14ac:dyDescent="0.15">
      <c r="A794" s="50" t="s">
        <v>3146</v>
      </c>
      <c r="B794" s="50" t="s">
        <v>3147</v>
      </c>
      <c r="C794" s="50" t="s">
        <v>3148</v>
      </c>
      <c r="D794" s="50" t="s">
        <v>3132</v>
      </c>
      <c r="E794" s="50" t="s">
        <v>3149</v>
      </c>
    </row>
    <row r="795" spans="1:5" s="51" customFormat="1" x14ac:dyDescent="0.15">
      <c r="A795" s="50" t="s">
        <v>3150</v>
      </c>
      <c r="B795" s="50" t="s">
        <v>3151</v>
      </c>
      <c r="C795" s="50" t="s">
        <v>3152</v>
      </c>
      <c r="D795" s="50" t="s">
        <v>3132</v>
      </c>
      <c r="E795" s="50" t="s">
        <v>3153</v>
      </c>
    </row>
    <row r="796" spans="1:5" s="51" customFormat="1" x14ac:dyDescent="0.15">
      <c r="A796" s="50" t="s">
        <v>3154</v>
      </c>
      <c r="B796" s="50" t="s">
        <v>3155</v>
      </c>
      <c r="C796" s="50" t="s">
        <v>3156</v>
      </c>
      <c r="D796" s="50" t="s">
        <v>3132</v>
      </c>
      <c r="E796" s="50" t="s">
        <v>3157</v>
      </c>
    </row>
    <row r="797" spans="1:5" s="51" customFormat="1" x14ac:dyDescent="0.15">
      <c r="A797" s="50" t="s">
        <v>3158</v>
      </c>
      <c r="B797" s="50" t="s">
        <v>3159</v>
      </c>
      <c r="C797" s="50" t="s">
        <v>3160</v>
      </c>
    </row>
    <row r="798" spans="1:5" s="51" customFormat="1" x14ac:dyDescent="0.15">
      <c r="A798" s="50" t="s">
        <v>3161</v>
      </c>
      <c r="B798" s="50" t="s">
        <v>3162</v>
      </c>
      <c r="C798" s="50" t="s">
        <v>3163</v>
      </c>
      <c r="D798" s="50" t="s">
        <v>2317</v>
      </c>
      <c r="E798" s="50" t="s">
        <v>3164</v>
      </c>
    </row>
    <row r="799" spans="1:5" s="51" customFormat="1" x14ac:dyDescent="0.15">
      <c r="A799" s="50" t="s">
        <v>3165</v>
      </c>
      <c r="B799" s="50" t="s">
        <v>3166</v>
      </c>
      <c r="C799" s="50" t="s">
        <v>3167</v>
      </c>
      <c r="D799" s="50" t="s">
        <v>2317</v>
      </c>
      <c r="E799" s="50" t="s">
        <v>3168</v>
      </c>
    </row>
    <row r="800" spans="1:5" s="51" customFormat="1" x14ac:dyDescent="0.15">
      <c r="A800" s="50" t="s">
        <v>3169</v>
      </c>
      <c r="B800" s="50" t="s">
        <v>3170</v>
      </c>
      <c r="C800" s="50" t="s">
        <v>3171</v>
      </c>
      <c r="D800" s="50" t="s">
        <v>3172</v>
      </c>
      <c r="E800" s="50" t="s">
        <v>3173</v>
      </c>
    </row>
    <row r="801" spans="1:5" s="51" customFormat="1" x14ac:dyDescent="0.15">
      <c r="A801" s="50" t="s">
        <v>3174</v>
      </c>
      <c r="B801" s="50" t="s">
        <v>3175</v>
      </c>
      <c r="C801" s="50" t="s">
        <v>3176</v>
      </c>
      <c r="D801" s="50" t="s">
        <v>3177</v>
      </c>
      <c r="E801" s="50" t="s">
        <v>3178</v>
      </c>
    </row>
    <row r="802" spans="1:5" s="51" customFormat="1" x14ac:dyDescent="0.15">
      <c r="A802" s="50" t="s">
        <v>3179</v>
      </c>
      <c r="B802" s="50" t="s">
        <v>3180</v>
      </c>
      <c r="C802" s="50" t="s">
        <v>3181</v>
      </c>
      <c r="D802" s="50" t="s">
        <v>3182</v>
      </c>
      <c r="E802" s="50" t="s">
        <v>3183</v>
      </c>
    </row>
    <row r="803" spans="1:5" s="51" customFormat="1" x14ac:dyDescent="0.15">
      <c r="A803" s="50" t="s">
        <v>3184</v>
      </c>
      <c r="B803" s="50" t="s">
        <v>3185</v>
      </c>
      <c r="C803" s="50" t="s">
        <v>3186</v>
      </c>
      <c r="D803" s="50" t="s">
        <v>3187</v>
      </c>
      <c r="E803" s="50" t="s">
        <v>3188</v>
      </c>
    </row>
    <row r="804" spans="1:5" s="51" customFormat="1" x14ac:dyDescent="0.15">
      <c r="A804" s="50" t="s">
        <v>3189</v>
      </c>
      <c r="B804" s="50" t="s">
        <v>3190</v>
      </c>
      <c r="C804" s="50" t="s">
        <v>3191</v>
      </c>
      <c r="D804" s="50" t="s">
        <v>3192</v>
      </c>
      <c r="E804" s="50" t="s">
        <v>3193</v>
      </c>
    </row>
    <row r="805" spans="1:5" s="51" customFormat="1" x14ac:dyDescent="0.15">
      <c r="A805" s="50" t="s">
        <v>3194</v>
      </c>
      <c r="B805" s="50" t="s">
        <v>3195</v>
      </c>
      <c r="C805" s="50" t="s">
        <v>3196</v>
      </c>
      <c r="D805" s="50" t="s">
        <v>3197</v>
      </c>
      <c r="E805" s="50" t="s">
        <v>3198</v>
      </c>
    </row>
    <row r="806" spans="1:5" s="51" customFormat="1" x14ac:dyDescent="0.15">
      <c r="A806" s="50" t="s">
        <v>3199</v>
      </c>
      <c r="B806" s="50" t="s">
        <v>3200</v>
      </c>
      <c r="C806" s="50" t="s">
        <v>3201</v>
      </c>
      <c r="D806" s="50" t="s">
        <v>3187</v>
      </c>
      <c r="E806" s="50" t="s">
        <v>3202</v>
      </c>
    </row>
    <row r="807" spans="1:5" s="51" customFormat="1" x14ac:dyDescent="0.15">
      <c r="A807" s="50" t="s">
        <v>3203</v>
      </c>
      <c r="B807" s="50" t="s">
        <v>3204</v>
      </c>
      <c r="C807" s="50" t="s">
        <v>3205</v>
      </c>
      <c r="D807" s="50" t="s">
        <v>3206</v>
      </c>
      <c r="E807" s="50" t="s">
        <v>3207</v>
      </c>
    </row>
    <row r="808" spans="1:5" s="51" customFormat="1" x14ac:dyDescent="0.15">
      <c r="A808" s="50" t="s">
        <v>3208</v>
      </c>
      <c r="B808" s="50" t="s">
        <v>3209</v>
      </c>
      <c r="C808" s="50" t="s">
        <v>3210</v>
      </c>
      <c r="D808" s="50" t="s">
        <v>3177</v>
      </c>
      <c r="E808" s="50" t="s">
        <v>3211</v>
      </c>
    </row>
    <row r="809" spans="1:5" s="51" customFormat="1" x14ac:dyDescent="0.15">
      <c r="A809" s="50" t="s">
        <v>3212</v>
      </c>
      <c r="B809" s="50" t="s">
        <v>3213</v>
      </c>
      <c r="C809" s="50" t="s">
        <v>3214</v>
      </c>
      <c r="D809" s="50" t="s">
        <v>3182</v>
      </c>
      <c r="E809" s="50" t="s">
        <v>3215</v>
      </c>
    </row>
    <row r="810" spans="1:5" s="51" customFormat="1" x14ac:dyDescent="0.15">
      <c r="A810" s="50" t="s">
        <v>3216</v>
      </c>
      <c r="B810" s="50" t="s">
        <v>3217</v>
      </c>
      <c r="C810" s="50" t="s">
        <v>3218</v>
      </c>
      <c r="D810" s="50" t="s">
        <v>3177</v>
      </c>
      <c r="E810" s="50" t="s">
        <v>3219</v>
      </c>
    </row>
    <row r="811" spans="1:5" s="51" customFormat="1" x14ac:dyDescent="0.15">
      <c r="A811" s="50" t="s">
        <v>3220</v>
      </c>
      <c r="B811" s="50" t="s">
        <v>3221</v>
      </c>
      <c r="C811" s="50" t="s">
        <v>3222</v>
      </c>
      <c r="D811" s="50" t="s">
        <v>3177</v>
      </c>
      <c r="E811" s="50" t="s">
        <v>3223</v>
      </c>
    </row>
    <row r="812" spans="1:5" s="51" customFormat="1" x14ac:dyDescent="0.15">
      <c r="A812" s="50" t="s">
        <v>3224</v>
      </c>
      <c r="B812" s="50" t="s">
        <v>3225</v>
      </c>
      <c r="C812" s="50" t="s">
        <v>3226</v>
      </c>
      <c r="D812" s="50" t="s">
        <v>3182</v>
      </c>
      <c r="E812" s="50" t="s">
        <v>3227</v>
      </c>
    </row>
    <row r="813" spans="1:5" s="51" customFormat="1" x14ac:dyDescent="0.15">
      <c r="A813" s="50" t="s">
        <v>3228</v>
      </c>
      <c r="B813" s="50" t="s">
        <v>3229</v>
      </c>
      <c r="C813" s="50" t="s">
        <v>3230</v>
      </c>
      <c r="D813" s="50" t="s">
        <v>3177</v>
      </c>
      <c r="E813" s="50" t="s">
        <v>3231</v>
      </c>
    </row>
    <row r="814" spans="1:5" s="51" customFormat="1" x14ac:dyDescent="0.15">
      <c r="A814" s="50" t="s">
        <v>3232</v>
      </c>
      <c r="B814" s="50" t="s">
        <v>3233</v>
      </c>
      <c r="C814" s="50" t="s">
        <v>3234</v>
      </c>
      <c r="D814" s="50" t="s">
        <v>3235</v>
      </c>
      <c r="E814" s="50" t="s">
        <v>3236</v>
      </c>
    </row>
    <row r="815" spans="1:5" s="51" customFormat="1" x14ac:dyDescent="0.15">
      <c r="A815" s="50" t="s">
        <v>3237</v>
      </c>
      <c r="B815" s="50" t="s">
        <v>3238</v>
      </c>
      <c r="C815" s="50" t="s">
        <v>3239</v>
      </c>
      <c r="D815" s="50" t="s">
        <v>3197</v>
      </c>
      <c r="E815" s="50" t="s">
        <v>3240</v>
      </c>
    </row>
    <row r="816" spans="1:5" s="51" customFormat="1" x14ac:dyDescent="0.15">
      <c r="A816" s="50" t="s">
        <v>3241</v>
      </c>
      <c r="B816" s="50" t="s">
        <v>3242</v>
      </c>
      <c r="C816" s="50" t="s">
        <v>3243</v>
      </c>
      <c r="D816" s="50" t="s">
        <v>3187</v>
      </c>
      <c r="E816" s="50" t="s">
        <v>3244</v>
      </c>
    </row>
    <row r="817" spans="1:5" s="51" customFormat="1" x14ac:dyDescent="0.15">
      <c r="A817" s="50" t="s">
        <v>3245</v>
      </c>
      <c r="B817" s="50" t="s">
        <v>3246</v>
      </c>
      <c r="C817" s="50" t="s">
        <v>3247</v>
      </c>
      <c r="D817" s="50" t="s">
        <v>3177</v>
      </c>
      <c r="E817" s="50" t="s">
        <v>3248</v>
      </c>
    </row>
    <row r="818" spans="1:5" s="51" customFormat="1" x14ac:dyDescent="0.15">
      <c r="A818" s="50" t="s">
        <v>3249</v>
      </c>
      <c r="B818" s="50" t="s">
        <v>3250</v>
      </c>
      <c r="C818" s="50" t="s">
        <v>3251</v>
      </c>
      <c r="D818" s="50" t="s">
        <v>3187</v>
      </c>
      <c r="E818" s="50" t="s">
        <v>3252</v>
      </c>
    </row>
    <row r="819" spans="1:5" s="51" customFormat="1" x14ac:dyDescent="0.15">
      <c r="A819" s="50" t="s">
        <v>3253</v>
      </c>
      <c r="B819" s="50" t="s">
        <v>3254</v>
      </c>
      <c r="C819" s="50" t="s">
        <v>3255</v>
      </c>
      <c r="D819" s="50" t="s">
        <v>3182</v>
      </c>
      <c r="E819" s="50" t="s">
        <v>3256</v>
      </c>
    </row>
    <row r="820" spans="1:5" s="51" customFormat="1" x14ac:dyDescent="0.15">
      <c r="A820" s="50" t="s">
        <v>3257</v>
      </c>
      <c r="B820" s="50" t="s">
        <v>3258</v>
      </c>
      <c r="C820" s="50" t="s">
        <v>3259</v>
      </c>
      <c r="D820" s="50" t="s">
        <v>3182</v>
      </c>
      <c r="E820" s="50" t="s">
        <v>3260</v>
      </c>
    </row>
    <row r="821" spans="1:5" s="51" customFormat="1" x14ac:dyDescent="0.15">
      <c r="A821" s="50" t="s">
        <v>3261</v>
      </c>
      <c r="B821" s="50" t="s">
        <v>3262</v>
      </c>
      <c r="C821" s="50" t="s">
        <v>3263</v>
      </c>
      <c r="D821" s="50" t="s">
        <v>3197</v>
      </c>
      <c r="E821" s="50" t="s">
        <v>3260</v>
      </c>
    </row>
    <row r="822" spans="1:5" s="51" customFormat="1" x14ac:dyDescent="0.15">
      <c r="A822" s="50" t="s">
        <v>3264</v>
      </c>
      <c r="B822" s="50" t="s">
        <v>3265</v>
      </c>
      <c r="C822" s="50" t="s">
        <v>3266</v>
      </c>
      <c r="D822" s="50" t="s">
        <v>3197</v>
      </c>
      <c r="E822" s="50" t="s">
        <v>3267</v>
      </c>
    </row>
    <row r="823" spans="1:5" s="51" customFormat="1" x14ac:dyDescent="0.15">
      <c r="A823" s="50" t="s">
        <v>3268</v>
      </c>
      <c r="B823" s="50" t="s">
        <v>3269</v>
      </c>
      <c r="C823" s="50" t="s">
        <v>3270</v>
      </c>
      <c r="D823" s="50" t="s">
        <v>3197</v>
      </c>
      <c r="E823" s="50" t="s">
        <v>3267</v>
      </c>
    </row>
    <row r="824" spans="1:5" s="51" customFormat="1" x14ac:dyDescent="0.15">
      <c r="A824" s="50" t="s">
        <v>3271</v>
      </c>
      <c r="B824" s="50" t="s">
        <v>3272</v>
      </c>
      <c r="C824" s="50" t="s">
        <v>3273</v>
      </c>
      <c r="D824" s="50" t="s">
        <v>3197</v>
      </c>
      <c r="E824" s="50" t="s">
        <v>3274</v>
      </c>
    </row>
    <row r="825" spans="1:5" s="51" customFormat="1" x14ac:dyDescent="0.15">
      <c r="A825" s="50" t="s">
        <v>3275</v>
      </c>
      <c r="B825" s="50" t="s">
        <v>3276</v>
      </c>
      <c r="C825" s="50" t="s">
        <v>3277</v>
      </c>
      <c r="D825" s="50" t="s">
        <v>3197</v>
      </c>
      <c r="E825" s="50" t="s">
        <v>3267</v>
      </c>
    </row>
    <row r="826" spans="1:5" s="51" customFormat="1" x14ac:dyDescent="0.15">
      <c r="A826" s="50" t="s">
        <v>3278</v>
      </c>
      <c r="B826" s="50" t="s">
        <v>3279</v>
      </c>
      <c r="C826" s="50" t="s">
        <v>3280</v>
      </c>
      <c r="D826" s="50" t="s">
        <v>3281</v>
      </c>
      <c r="E826" s="50" t="s">
        <v>3282</v>
      </c>
    </row>
    <row r="827" spans="1:5" s="51" customFormat="1" x14ac:dyDescent="0.15">
      <c r="A827" s="50" t="s">
        <v>3283</v>
      </c>
      <c r="B827" s="50" t="s">
        <v>3284</v>
      </c>
      <c r="C827" s="50" t="s">
        <v>3285</v>
      </c>
      <c r="D827" s="50" t="s">
        <v>3197</v>
      </c>
      <c r="E827" s="50" t="s">
        <v>3286</v>
      </c>
    </row>
    <row r="828" spans="1:5" s="51" customFormat="1" x14ac:dyDescent="0.15">
      <c r="A828" s="50" t="s">
        <v>3287</v>
      </c>
      <c r="B828" s="50" t="s">
        <v>3288</v>
      </c>
      <c r="C828" s="50" t="s">
        <v>3289</v>
      </c>
      <c r="D828" s="50" t="s">
        <v>3197</v>
      </c>
      <c r="E828" s="50" t="s">
        <v>3290</v>
      </c>
    </row>
    <row r="829" spans="1:5" s="51" customFormat="1" x14ac:dyDescent="0.15">
      <c r="A829" s="50" t="s">
        <v>3291</v>
      </c>
      <c r="B829" s="50" t="s">
        <v>3292</v>
      </c>
      <c r="C829" s="50" t="s">
        <v>3293</v>
      </c>
      <c r="D829" s="50" t="s">
        <v>3177</v>
      </c>
      <c r="E829" s="50" t="s">
        <v>3294</v>
      </c>
    </row>
    <row r="830" spans="1:5" s="51" customFormat="1" x14ac:dyDescent="0.15">
      <c r="A830" s="50" t="s">
        <v>3295</v>
      </c>
      <c r="B830" s="50" t="s">
        <v>3296</v>
      </c>
      <c r="C830" s="50" t="s">
        <v>3297</v>
      </c>
      <c r="D830" s="50" t="s">
        <v>3177</v>
      </c>
      <c r="E830" s="50" t="s">
        <v>3298</v>
      </c>
    </row>
    <row r="831" spans="1:5" s="51" customFormat="1" x14ac:dyDescent="0.15">
      <c r="A831" s="50" t="s">
        <v>3299</v>
      </c>
      <c r="B831" s="50" t="s">
        <v>3300</v>
      </c>
      <c r="C831" s="50" t="s">
        <v>3301</v>
      </c>
    </row>
    <row r="832" spans="1:5" s="51" customFormat="1" x14ac:dyDescent="0.15">
      <c r="A832" s="50" t="s">
        <v>3302</v>
      </c>
      <c r="B832" s="50" t="s">
        <v>3303</v>
      </c>
      <c r="C832" s="50" t="s">
        <v>3304</v>
      </c>
      <c r="D832" s="50" t="s">
        <v>3305</v>
      </c>
      <c r="E832" s="50" t="s">
        <v>3306</v>
      </c>
    </row>
    <row r="833" spans="1:5" s="51" customFormat="1" x14ac:dyDescent="0.15">
      <c r="A833" s="50" t="s">
        <v>3307</v>
      </c>
      <c r="B833" s="50" t="s">
        <v>3308</v>
      </c>
      <c r="C833" s="50" t="s">
        <v>3309</v>
      </c>
      <c r="D833" s="50" t="s">
        <v>3305</v>
      </c>
      <c r="E833" s="50" t="s">
        <v>3310</v>
      </c>
    </row>
    <row r="834" spans="1:5" s="51" customFormat="1" x14ac:dyDescent="0.15">
      <c r="A834" s="50" t="s">
        <v>3311</v>
      </c>
      <c r="B834" s="50" t="s">
        <v>3312</v>
      </c>
      <c r="C834" s="50" t="s">
        <v>3313</v>
      </c>
      <c r="D834" s="50" t="s">
        <v>3305</v>
      </c>
      <c r="E834" s="50" t="s">
        <v>3314</v>
      </c>
    </row>
    <row r="835" spans="1:5" s="51" customFormat="1" x14ac:dyDescent="0.15">
      <c r="A835" s="50" t="s">
        <v>3315</v>
      </c>
      <c r="B835" s="50" t="s">
        <v>3316</v>
      </c>
      <c r="C835" s="50" t="s">
        <v>3317</v>
      </c>
      <c r="D835" s="50" t="s">
        <v>3305</v>
      </c>
      <c r="E835" s="50" t="s">
        <v>3318</v>
      </c>
    </row>
    <row r="836" spans="1:5" s="51" customFormat="1" x14ac:dyDescent="0.15">
      <c r="A836" s="50" t="s">
        <v>3319</v>
      </c>
      <c r="B836" s="50" t="s">
        <v>3320</v>
      </c>
      <c r="C836" s="50" t="s">
        <v>3321</v>
      </c>
      <c r="D836" s="50" t="s">
        <v>3322</v>
      </c>
      <c r="E836" s="50" t="s">
        <v>3323</v>
      </c>
    </row>
    <row r="837" spans="1:5" s="51" customFormat="1" x14ac:dyDescent="0.15">
      <c r="A837" s="50" t="s">
        <v>3324</v>
      </c>
      <c r="B837" s="50" t="s">
        <v>3325</v>
      </c>
      <c r="C837" s="50" t="s">
        <v>3326</v>
      </c>
      <c r="D837" s="50" t="s">
        <v>3305</v>
      </c>
      <c r="E837" s="50" t="s">
        <v>3327</v>
      </c>
    </row>
    <row r="838" spans="1:5" s="51" customFormat="1" x14ac:dyDescent="0.15">
      <c r="A838" s="50" t="s">
        <v>3328</v>
      </c>
      <c r="B838" s="50" t="s">
        <v>3329</v>
      </c>
      <c r="C838" s="50" t="s">
        <v>3330</v>
      </c>
      <c r="D838" s="50" t="s">
        <v>3305</v>
      </c>
      <c r="E838" s="50" t="s">
        <v>3331</v>
      </c>
    </row>
    <row r="839" spans="1:5" s="51" customFormat="1" x14ac:dyDescent="0.15">
      <c r="A839" s="50" t="s">
        <v>3332</v>
      </c>
      <c r="B839" s="50" t="s">
        <v>3333</v>
      </c>
      <c r="C839" s="50" t="s">
        <v>3334</v>
      </c>
      <c r="D839" s="50" t="s">
        <v>3335</v>
      </c>
      <c r="E839" s="50" t="s">
        <v>3336</v>
      </c>
    </row>
    <row r="840" spans="1:5" s="51" customFormat="1" x14ac:dyDescent="0.15">
      <c r="A840" s="50" t="s">
        <v>3337</v>
      </c>
      <c r="B840" s="50" t="s">
        <v>3338</v>
      </c>
      <c r="C840" s="50" t="s">
        <v>3339</v>
      </c>
      <c r="D840" s="50" t="s">
        <v>3340</v>
      </c>
      <c r="E840" s="50" t="s">
        <v>3341</v>
      </c>
    </row>
    <row r="841" spans="1:5" s="51" customFormat="1" x14ac:dyDescent="0.15">
      <c r="A841" s="50" t="s">
        <v>3342</v>
      </c>
      <c r="B841" s="50" t="s">
        <v>3343</v>
      </c>
      <c r="C841" s="50" t="s">
        <v>3344</v>
      </c>
      <c r="D841" s="50" t="s">
        <v>3345</v>
      </c>
      <c r="E841" s="50" t="s">
        <v>3346</v>
      </c>
    </row>
    <row r="842" spans="1:5" s="51" customFormat="1" x14ac:dyDescent="0.15">
      <c r="A842" s="50" t="s">
        <v>3347</v>
      </c>
      <c r="B842" s="50" t="s">
        <v>3348</v>
      </c>
      <c r="C842" s="50" t="s">
        <v>3349</v>
      </c>
      <c r="D842" s="50" t="s">
        <v>3350</v>
      </c>
      <c r="E842" s="50" t="s">
        <v>3351</v>
      </c>
    </row>
    <row r="843" spans="1:5" s="51" customFormat="1" x14ac:dyDescent="0.15">
      <c r="A843" s="50" t="s">
        <v>3352</v>
      </c>
      <c r="B843" s="50" t="s">
        <v>3353</v>
      </c>
      <c r="C843" s="50" t="s">
        <v>3354</v>
      </c>
      <c r="D843" s="50" t="s">
        <v>3355</v>
      </c>
      <c r="E843" s="50" t="s">
        <v>3356</v>
      </c>
    </row>
    <row r="844" spans="1:5" s="51" customFormat="1" x14ac:dyDescent="0.15">
      <c r="A844" s="50" t="s">
        <v>3357</v>
      </c>
      <c r="B844" s="50" t="s">
        <v>3358</v>
      </c>
      <c r="C844" s="50" t="s">
        <v>3359</v>
      </c>
      <c r="D844" s="50" t="s">
        <v>3360</v>
      </c>
      <c r="E844" s="50" t="s">
        <v>3361</v>
      </c>
    </row>
    <row r="845" spans="1:5" s="51" customFormat="1" x14ac:dyDescent="0.15">
      <c r="A845" s="50" t="s">
        <v>3362</v>
      </c>
      <c r="B845" s="50" t="s">
        <v>3363</v>
      </c>
      <c r="C845" s="50" t="s">
        <v>3364</v>
      </c>
      <c r="D845" s="50" t="s">
        <v>3345</v>
      </c>
      <c r="E845" s="50" t="s">
        <v>3365</v>
      </c>
    </row>
    <row r="846" spans="1:5" s="51" customFormat="1" x14ac:dyDescent="0.15">
      <c r="A846" s="50" t="s">
        <v>3366</v>
      </c>
      <c r="B846" s="50" t="s">
        <v>3367</v>
      </c>
      <c r="C846" s="50" t="s">
        <v>3368</v>
      </c>
      <c r="D846" s="50" t="s">
        <v>3305</v>
      </c>
      <c r="E846" s="50" t="s">
        <v>3369</v>
      </c>
    </row>
    <row r="847" spans="1:5" s="51" customFormat="1" x14ac:dyDescent="0.15">
      <c r="A847" s="50" t="s">
        <v>3370</v>
      </c>
      <c r="B847" s="50" t="s">
        <v>3371</v>
      </c>
      <c r="C847" s="50" t="s">
        <v>3372</v>
      </c>
      <c r="D847" s="50" t="s">
        <v>3360</v>
      </c>
      <c r="E847" s="50" t="s">
        <v>3373</v>
      </c>
    </row>
    <row r="848" spans="1:5" s="51" customFormat="1" x14ac:dyDescent="0.15">
      <c r="A848" s="50" t="s">
        <v>3374</v>
      </c>
      <c r="B848" s="50" t="s">
        <v>3375</v>
      </c>
      <c r="C848" s="50" t="s">
        <v>3376</v>
      </c>
      <c r="D848" s="50" t="s">
        <v>3355</v>
      </c>
      <c r="E848" s="50" t="s">
        <v>3377</v>
      </c>
    </row>
    <row r="849" spans="1:5" s="51" customFormat="1" x14ac:dyDescent="0.15">
      <c r="A849" s="50" t="s">
        <v>3378</v>
      </c>
      <c r="B849" s="50" t="s">
        <v>3379</v>
      </c>
      <c r="C849" s="50" t="s">
        <v>3380</v>
      </c>
      <c r="D849" s="50" t="s">
        <v>3345</v>
      </c>
      <c r="E849" s="50" t="s">
        <v>3381</v>
      </c>
    </row>
    <row r="850" spans="1:5" s="51" customFormat="1" x14ac:dyDescent="0.15">
      <c r="A850" s="50" t="s">
        <v>3382</v>
      </c>
      <c r="B850" s="50" t="s">
        <v>3383</v>
      </c>
      <c r="C850" s="50" t="s">
        <v>3384</v>
      </c>
      <c r="D850" s="50" t="s">
        <v>3305</v>
      </c>
      <c r="E850" s="50" t="s">
        <v>3385</v>
      </c>
    </row>
    <row r="851" spans="1:5" s="51" customFormat="1" x14ac:dyDescent="0.15">
      <c r="A851" s="50" t="s">
        <v>3386</v>
      </c>
      <c r="B851" s="50" t="s">
        <v>3387</v>
      </c>
      <c r="C851" s="50" t="s">
        <v>3388</v>
      </c>
      <c r="D851" s="50" t="s">
        <v>3389</v>
      </c>
      <c r="E851" s="50" t="s">
        <v>3390</v>
      </c>
    </row>
    <row r="852" spans="1:5" s="51" customFormat="1" x14ac:dyDescent="0.15">
      <c r="A852" s="50" t="s">
        <v>3391</v>
      </c>
      <c r="B852" s="50" t="s">
        <v>3392</v>
      </c>
      <c r="C852" s="50" t="s">
        <v>3393</v>
      </c>
      <c r="D852" s="50" t="s">
        <v>3394</v>
      </c>
      <c r="E852" s="50" t="s">
        <v>3395</v>
      </c>
    </row>
    <row r="853" spans="1:5" s="51" customFormat="1" x14ac:dyDescent="0.15">
      <c r="A853" s="50" t="s">
        <v>3396</v>
      </c>
      <c r="B853" s="50" t="s">
        <v>3397</v>
      </c>
      <c r="C853" s="50" t="s">
        <v>3398</v>
      </c>
      <c r="D853" s="50" t="s">
        <v>3399</v>
      </c>
      <c r="E853" s="50" t="s">
        <v>3400</v>
      </c>
    </row>
    <row r="854" spans="1:5" s="51" customFormat="1" x14ac:dyDescent="0.15">
      <c r="A854" s="50" t="s">
        <v>3401</v>
      </c>
      <c r="B854" s="50" t="s">
        <v>3402</v>
      </c>
      <c r="C854" s="50" t="s">
        <v>3403</v>
      </c>
      <c r="D854" s="50" t="s">
        <v>3394</v>
      </c>
      <c r="E854" s="50" t="s">
        <v>3404</v>
      </c>
    </row>
    <row r="855" spans="1:5" s="51" customFormat="1" x14ac:dyDescent="0.15">
      <c r="A855" s="50" t="s">
        <v>3405</v>
      </c>
      <c r="B855" s="50" t="s">
        <v>3406</v>
      </c>
      <c r="C855" s="50" t="s">
        <v>3407</v>
      </c>
      <c r="D855" s="50" t="s">
        <v>3408</v>
      </c>
      <c r="E855" s="50" t="s">
        <v>3409</v>
      </c>
    </row>
    <row r="856" spans="1:5" s="51" customFormat="1" x14ac:dyDescent="0.15">
      <c r="A856" s="50" t="s">
        <v>3410</v>
      </c>
      <c r="B856" s="50" t="s">
        <v>3411</v>
      </c>
      <c r="C856" s="50" t="s">
        <v>3412</v>
      </c>
      <c r="D856" s="50" t="s">
        <v>3305</v>
      </c>
      <c r="E856" s="50" t="s">
        <v>3413</v>
      </c>
    </row>
    <row r="857" spans="1:5" s="51" customFormat="1" x14ac:dyDescent="0.15">
      <c r="A857" s="50" t="s">
        <v>3414</v>
      </c>
      <c r="B857" s="50" t="s">
        <v>3415</v>
      </c>
      <c r="C857" s="50" t="s">
        <v>3416</v>
      </c>
      <c r="D857" s="50" t="s">
        <v>3305</v>
      </c>
      <c r="E857" s="50" t="s">
        <v>3417</v>
      </c>
    </row>
    <row r="858" spans="1:5" s="51" customFormat="1" x14ac:dyDescent="0.15">
      <c r="A858" s="50" t="s">
        <v>3418</v>
      </c>
      <c r="B858" s="50" t="s">
        <v>3419</v>
      </c>
      <c r="C858" s="50" t="s">
        <v>3420</v>
      </c>
      <c r="D858" s="50" t="s">
        <v>3355</v>
      </c>
      <c r="E858" s="50" t="s">
        <v>3421</v>
      </c>
    </row>
    <row r="859" spans="1:5" s="51" customFormat="1" x14ac:dyDescent="0.15">
      <c r="A859" s="50" t="s">
        <v>3422</v>
      </c>
      <c r="B859" s="50" t="s">
        <v>3423</v>
      </c>
      <c r="C859" s="50" t="s">
        <v>3424</v>
      </c>
      <c r="D859" s="50" t="s">
        <v>3425</v>
      </c>
      <c r="E859" s="50" t="s">
        <v>3426</v>
      </c>
    </row>
    <row r="860" spans="1:5" s="51" customFormat="1" x14ac:dyDescent="0.15">
      <c r="A860" s="50" t="s">
        <v>3427</v>
      </c>
      <c r="B860" s="50" t="s">
        <v>3428</v>
      </c>
      <c r="C860" s="50" t="s">
        <v>3429</v>
      </c>
      <c r="D860" s="50" t="s">
        <v>3345</v>
      </c>
      <c r="E860" s="50" t="s">
        <v>3430</v>
      </c>
    </row>
    <row r="861" spans="1:5" s="51" customFormat="1" x14ac:dyDescent="0.15">
      <c r="A861" s="50" t="s">
        <v>3431</v>
      </c>
      <c r="B861" s="50" t="s">
        <v>3432</v>
      </c>
      <c r="C861" s="50" t="s">
        <v>3433</v>
      </c>
      <c r="D861" s="50" t="s">
        <v>3345</v>
      </c>
      <c r="E861" s="50" t="s">
        <v>3434</v>
      </c>
    </row>
    <row r="862" spans="1:5" s="51" customFormat="1" x14ac:dyDescent="0.15">
      <c r="A862" s="50" t="s">
        <v>3435</v>
      </c>
      <c r="B862" s="50" t="s">
        <v>3436</v>
      </c>
      <c r="C862" s="50" t="s">
        <v>3437</v>
      </c>
      <c r="D862" s="50" t="s">
        <v>3355</v>
      </c>
      <c r="E862" s="50" t="s">
        <v>3438</v>
      </c>
    </row>
    <row r="863" spans="1:5" s="51" customFormat="1" x14ac:dyDescent="0.15">
      <c r="A863" s="50" t="s">
        <v>3439</v>
      </c>
      <c r="B863" s="50" t="s">
        <v>3440</v>
      </c>
      <c r="C863" s="50" t="s">
        <v>3441</v>
      </c>
      <c r="D863" s="50" t="s">
        <v>3360</v>
      </c>
      <c r="E863" s="50" t="s">
        <v>3442</v>
      </c>
    </row>
    <row r="864" spans="1:5" s="51" customFormat="1" x14ac:dyDescent="0.15">
      <c r="A864" s="50" t="s">
        <v>3443</v>
      </c>
      <c r="B864" s="50" t="s">
        <v>3444</v>
      </c>
      <c r="C864" s="50" t="s">
        <v>3445</v>
      </c>
      <c r="D864" s="50" t="s">
        <v>3305</v>
      </c>
      <c r="E864" s="50" t="s">
        <v>3446</v>
      </c>
    </row>
    <row r="865" spans="1:5" s="51" customFormat="1" x14ac:dyDescent="0.15">
      <c r="A865" s="50" t="s">
        <v>3447</v>
      </c>
      <c r="B865" s="50" t="s">
        <v>3448</v>
      </c>
      <c r="C865" s="50" t="s">
        <v>3449</v>
      </c>
      <c r="D865" s="50" t="s">
        <v>3305</v>
      </c>
      <c r="E865" s="50" t="s">
        <v>3450</v>
      </c>
    </row>
    <row r="866" spans="1:5" s="51" customFormat="1" x14ac:dyDescent="0.15">
      <c r="A866" s="50" t="s">
        <v>3451</v>
      </c>
      <c r="B866" s="50" t="s">
        <v>3452</v>
      </c>
      <c r="C866" s="50" t="s">
        <v>3453</v>
      </c>
      <c r="D866" s="50" t="s">
        <v>3350</v>
      </c>
      <c r="E866" s="50" t="s">
        <v>3454</v>
      </c>
    </row>
    <row r="867" spans="1:5" s="51" customFormat="1" x14ac:dyDescent="0.15">
      <c r="A867" s="50" t="s">
        <v>3455</v>
      </c>
      <c r="B867" s="50" t="s">
        <v>3456</v>
      </c>
      <c r="C867" s="50" t="s">
        <v>3457</v>
      </c>
      <c r="D867" s="50" t="s">
        <v>3355</v>
      </c>
      <c r="E867" s="50" t="s">
        <v>3458</v>
      </c>
    </row>
    <row r="868" spans="1:5" s="51" customFormat="1" x14ac:dyDescent="0.15">
      <c r="A868" s="50" t="s">
        <v>3459</v>
      </c>
      <c r="B868" s="50" t="s">
        <v>3460</v>
      </c>
      <c r="C868" s="50" t="s">
        <v>3461</v>
      </c>
      <c r="D868" s="50" t="s">
        <v>3355</v>
      </c>
      <c r="E868" s="50" t="s">
        <v>3462</v>
      </c>
    </row>
    <row r="869" spans="1:5" s="51" customFormat="1" x14ac:dyDescent="0.15">
      <c r="A869" s="50" t="s">
        <v>3463</v>
      </c>
      <c r="B869" s="50" t="s">
        <v>3464</v>
      </c>
      <c r="C869" s="50" t="s">
        <v>3465</v>
      </c>
      <c r="D869" s="50" t="s">
        <v>3466</v>
      </c>
      <c r="E869" s="50" t="s">
        <v>3467</v>
      </c>
    </row>
    <row r="870" spans="1:5" s="51" customFormat="1" x14ac:dyDescent="0.15">
      <c r="A870" s="50" t="s">
        <v>3468</v>
      </c>
      <c r="B870" s="50" t="s">
        <v>3469</v>
      </c>
      <c r="C870" s="50" t="s">
        <v>3470</v>
      </c>
      <c r="D870" s="50" t="s">
        <v>3471</v>
      </c>
      <c r="E870" s="50" t="s">
        <v>3472</v>
      </c>
    </row>
    <row r="871" spans="1:5" s="51" customFormat="1" x14ac:dyDescent="0.15">
      <c r="A871" s="50" t="s">
        <v>3473</v>
      </c>
      <c r="B871" s="50" t="s">
        <v>3474</v>
      </c>
      <c r="C871" s="50" t="s">
        <v>3475</v>
      </c>
      <c r="D871" s="50" t="s">
        <v>3476</v>
      </c>
      <c r="E871" s="50" t="s">
        <v>3477</v>
      </c>
    </row>
    <row r="872" spans="1:5" s="51" customFormat="1" x14ac:dyDescent="0.15">
      <c r="A872" s="50" t="s">
        <v>3478</v>
      </c>
      <c r="B872" s="50" t="s">
        <v>3479</v>
      </c>
      <c r="C872" s="50" t="s">
        <v>3480</v>
      </c>
      <c r="D872" s="50" t="s">
        <v>3471</v>
      </c>
      <c r="E872" s="50" t="s">
        <v>3481</v>
      </c>
    </row>
    <row r="873" spans="1:5" s="51" customFormat="1" x14ac:dyDescent="0.15">
      <c r="A873" s="50" t="s">
        <v>3482</v>
      </c>
      <c r="B873" s="50" t="s">
        <v>3483</v>
      </c>
      <c r="C873" s="50" t="s">
        <v>3484</v>
      </c>
      <c r="D873" s="50" t="s">
        <v>3466</v>
      </c>
      <c r="E873" s="50" t="s">
        <v>3485</v>
      </c>
    </row>
    <row r="874" spans="1:5" s="51" customFormat="1" x14ac:dyDescent="0.15">
      <c r="A874" s="50" t="s">
        <v>3486</v>
      </c>
      <c r="B874" s="50" t="s">
        <v>3487</v>
      </c>
      <c r="C874" s="50" t="s">
        <v>3488</v>
      </c>
      <c r="D874" s="50" t="s">
        <v>3476</v>
      </c>
      <c r="E874" s="50" t="s">
        <v>3489</v>
      </c>
    </row>
    <row r="875" spans="1:5" s="51" customFormat="1" x14ac:dyDescent="0.15">
      <c r="A875" s="50" t="s">
        <v>3490</v>
      </c>
      <c r="B875" s="50" t="s">
        <v>3491</v>
      </c>
      <c r="C875" s="50" t="s">
        <v>3492</v>
      </c>
      <c r="D875" s="50" t="s">
        <v>3493</v>
      </c>
      <c r="E875" s="50" t="s">
        <v>3494</v>
      </c>
    </row>
    <row r="876" spans="1:5" s="51" customFormat="1" x14ac:dyDescent="0.15">
      <c r="A876" s="50" t="s">
        <v>3495</v>
      </c>
      <c r="B876" s="50" t="s">
        <v>3496</v>
      </c>
      <c r="C876" s="50" t="s">
        <v>3497</v>
      </c>
      <c r="D876" s="50" t="s">
        <v>3471</v>
      </c>
      <c r="E876" s="50" t="s">
        <v>3498</v>
      </c>
    </row>
    <row r="877" spans="1:5" s="51" customFormat="1" x14ac:dyDescent="0.15">
      <c r="A877" s="50" t="s">
        <v>3499</v>
      </c>
      <c r="B877" s="50" t="s">
        <v>3500</v>
      </c>
      <c r="C877" s="50" t="s">
        <v>3501</v>
      </c>
      <c r="D877" s="50" t="s">
        <v>3493</v>
      </c>
      <c r="E877" s="50" t="s">
        <v>3502</v>
      </c>
    </row>
    <row r="878" spans="1:5" s="51" customFormat="1" x14ac:dyDescent="0.15">
      <c r="A878" s="50" t="s">
        <v>3503</v>
      </c>
      <c r="B878" s="50" t="s">
        <v>3504</v>
      </c>
      <c r="C878" s="50" t="s">
        <v>3505</v>
      </c>
      <c r="D878" s="50" t="s">
        <v>3471</v>
      </c>
      <c r="E878" s="50" t="s">
        <v>3506</v>
      </c>
    </row>
    <row r="879" spans="1:5" s="51" customFormat="1" x14ac:dyDescent="0.15">
      <c r="A879" s="50" t="s">
        <v>3507</v>
      </c>
      <c r="B879" s="50" t="s">
        <v>3508</v>
      </c>
      <c r="C879" s="50" t="s">
        <v>3509</v>
      </c>
      <c r="D879" s="50" t="s">
        <v>3466</v>
      </c>
      <c r="E879" s="50" t="s">
        <v>3510</v>
      </c>
    </row>
    <row r="880" spans="1:5" s="51" customFormat="1" x14ac:dyDescent="0.15">
      <c r="A880" s="50" t="s">
        <v>3511</v>
      </c>
      <c r="B880" s="50" t="s">
        <v>3512</v>
      </c>
      <c r="C880" s="50" t="s">
        <v>3513</v>
      </c>
      <c r="D880" s="50" t="s">
        <v>3466</v>
      </c>
      <c r="E880" s="50" t="s">
        <v>3514</v>
      </c>
    </row>
    <row r="881" spans="1:5" s="51" customFormat="1" x14ac:dyDescent="0.15">
      <c r="A881" s="50" t="s">
        <v>3515</v>
      </c>
      <c r="B881" s="50" t="s">
        <v>3516</v>
      </c>
      <c r="C881" s="50" t="s">
        <v>3517</v>
      </c>
      <c r="D881" s="50" t="s">
        <v>3466</v>
      </c>
      <c r="E881" s="50" t="s">
        <v>3518</v>
      </c>
    </row>
    <row r="882" spans="1:5" s="51" customFormat="1" x14ac:dyDescent="0.15">
      <c r="A882" s="50" t="s">
        <v>3519</v>
      </c>
      <c r="B882" s="50" t="s">
        <v>3520</v>
      </c>
      <c r="C882" s="50" t="s">
        <v>3521</v>
      </c>
      <c r="D882" s="50" t="s">
        <v>3476</v>
      </c>
      <c r="E882" s="50" t="s">
        <v>3522</v>
      </c>
    </row>
    <row r="883" spans="1:5" s="51" customFormat="1" x14ac:dyDescent="0.15">
      <c r="A883" s="50" t="s">
        <v>3523</v>
      </c>
      <c r="B883" s="50" t="s">
        <v>3524</v>
      </c>
      <c r="C883" s="50" t="s">
        <v>3525</v>
      </c>
      <c r="D883" s="50" t="s">
        <v>3476</v>
      </c>
      <c r="E883" s="50" t="s">
        <v>3526</v>
      </c>
    </row>
    <row r="884" spans="1:5" s="51" customFormat="1" x14ac:dyDescent="0.15">
      <c r="A884" s="50" t="s">
        <v>3527</v>
      </c>
      <c r="B884" s="50" t="s">
        <v>3528</v>
      </c>
      <c r="C884" s="50" t="s">
        <v>3529</v>
      </c>
      <c r="D884" s="50" t="s">
        <v>3466</v>
      </c>
      <c r="E884" s="50" t="s">
        <v>3530</v>
      </c>
    </row>
    <row r="885" spans="1:5" s="51" customFormat="1" x14ac:dyDescent="0.15">
      <c r="A885" s="50" t="s">
        <v>3531</v>
      </c>
      <c r="B885" s="50" t="s">
        <v>3532</v>
      </c>
      <c r="C885" s="50" t="s">
        <v>3533</v>
      </c>
      <c r="D885" s="50" t="s">
        <v>3534</v>
      </c>
      <c r="E885" s="50" t="s">
        <v>3535</v>
      </c>
    </row>
    <row r="886" spans="1:5" s="51" customFormat="1" x14ac:dyDescent="0.15">
      <c r="A886" s="50" t="s">
        <v>3536</v>
      </c>
      <c r="B886" s="50" t="s">
        <v>3537</v>
      </c>
      <c r="C886" s="50" t="s">
        <v>3538</v>
      </c>
      <c r="D886" s="50" t="s">
        <v>3539</v>
      </c>
      <c r="E886" s="50" t="s">
        <v>3540</v>
      </c>
    </row>
    <row r="887" spans="1:5" s="51" customFormat="1" x14ac:dyDescent="0.15">
      <c r="A887" s="50" t="s">
        <v>3541</v>
      </c>
      <c r="B887" s="50" t="s">
        <v>3542</v>
      </c>
      <c r="C887" s="50" t="s">
        <v>3543</v>
      </c>
      <c r="D887" s="50" t="s">
        <v>3544</v>
      </c>
      <c r="E887" s="50" t="s">
        <v>3545</v>
      </c>
    </row>
    <row r="888" spans="1:5" s="51" customFormat="1" x14ac:dyDescent="0.15">
      <c r="A888" s="50" t="s">
        <v>3546</v>
      </c>
      <c r="B888" s="50" t="s">
        <v>3547</v>
      </c>
      <c r="C888" s="50" t="s">
        <v>3548</v>
      </c>
      <c r="D888" s="50" t="s">
        <v>3544</v>
      </c>
      <c r="E888" s="50" t="s">
        <v>3549</v>
      </c>
    </row>
    <row r="889" spans="1:5" s="51" customFormat="1" x14ac:dyDescent="0.15">
      <c r="A889" s="50" t="s">
        <v>3550</v>
      </c>
      <c r="B889" s="50" t="s">
        <v>3551</v>
      </c>
      <c r="C889" s="50" t="s">
        <v>3552</v>
      </c>
      <c r="D889" s="50" t="s">
        <v>3539</v>
      </c>
      <c r="E889" s="50" t="s">
        <v>3553</v>
      </c>
    </row>
    <row r="890" spans="1:5" s="51" customFormat="1" x14ac:dyDescent="0.15">
      <c r="A890" s="50" t="s">
        <v>3554</v>
      </c>
      <c r="B890" s="50" t="s">
        <v>3555</v>
      </c>
      <c r="C890" s="50" t="s">
        <v>3556</v>
      </c>
      <c r="D890" s="50" t="s">
        <v>3534</v>
      </c>
      <c r="E890" s="50" t="s">
        <v>3557</v>
      </c>
    </row>
    <row r="891" spans="1:5" s="51" customFormat="1" x14ac:dyDescent="0.15">
      <c r="A891" s="50" t="s">
        <v>3558</v>
      </c>
      <c r="B891" s="50" t="s">
        <v>3559</v>
      </c>
      <c r="C891" s="50" t="s">
        <v>3560</v>
      </c>
      <c r="D891" s="50" t="s">
        <v>3466</v>
      </c>
      <c r="E891" s="50" t="s">
        <v>3561</v>
      </c>
    </row>
    <row r="892" spans="1:5" s="51" customFormat="1" x14ac:dyDescent="0.15">
      <c r="A892" s="50" t="s">
        <v>3562</v>
      </c>
      <c r="B892" s="50" t="s">
        <v>3563</v>
      </c>
      <c r="C892" s="50" t="s">
        <v>3564</v>
      </c>
      <c r="D892" s="50" t="s">
        <v>3466</v>
      </c>
      <c r="E892" s="50" t="s">
        <v>3565</v>
      </c>
    </row>
    <row r="893" spans="1:5" s="51" customFormat="1" x14ac:dyDescent="0.15">
      <c r="A893" s="50" t="s">
        <v>3566</v>
      </c>
      <c r="B893" s="50" t="s">
        <v>3567</v>
      </c>
      <c r="C893" s="50" t="s">
        <v>3568</v>
      </c>
      <c r="D893" s="50" t="s">
        <v>3539</v>
      </c>
      <c r="E893" s="50" t="s">
        <v>3569</v>
      </c>
    </row>
    <row r="894" spans="1:5" s="51" customFormat="1" x14ac:dyDescent="0.15">
      <c r="A894" s="50" t="s">
        <v>3570</v>
      </c>
      <c r="B894" s="50" t="s">
        <v>3571</v>
      </c>
      <c r="C894" s="50" t="s">
        <v>3572</v>
      </c>
      <c r="D894" s="50" t="s">
        <v>3466</v>
      </c>
      <c r="E894" s="50" t="s">
        <v>3573</v>
      </c>
    </row>
    <row r="895" spans="1:5" s="51" customFormat="1" x14ac:dyDescent="0.15">
      <c r="A895" s="50" t="s">
        <v>3574</v>
      </c>
      <c r="B895" s="50" t="s">
        <v>3575</v>
      </c>
      <c r="C895" s="50" t="s">
        <v>3576</v>
      </c>
      <c r="D895" s="50" t="s">
        <v>3466</v>
      </c>
      <c r="E895" s="50" t="s">
        <v>3577</v>
      </c>
    </row>
    <row r="896" spans="1:5" s="51" customFormat="1" x14ac:dyDescent="0.15">
      <c r="A896" s="50" t="s">
        <v>3578</v>
      </c>
      <c r="B896" s="50" t="s">
        <v>3579</v>
      </c>
      <c r="C896" s="50" t="s">
        <v>3580</v>
      </c>
      <c r="D896" s="50" t="s">
        <v>3466</v>
      </c>
      <c r="E896" s="50" t="s">
        <v>3581</v>
      </c>
    </row>
    <row r="897" spans="1:5" s="51" customFormat="1" x14ac:dyDescent="0.15">
      <c r="A897" s="50" t="s">
        <v>3582</v>
      </c>
      <c r="B897" s="50" t="s">
        <v>3583</v>
      </c>
      <c r="C897" s="50" t="s">
        <v>3584</v>
      </c>
      <c r="D897" s="50" t="s">
        <v>3466</v>
      </c>
      <c r="E897" s="50" t="s">
        <v>3585</v>
      </c>
    </row>
    <row r="898" spans="1:5" s="51" customFormat="1" x14ac:dyDescent="0.15">
      <c r="A898" s="50" t="s">
        <v>3586</v>
      </c>
      <c r="B898" s="50" t="s">
        <v>3587</v>
      </c>
      <c r="C898" s="50" t="s">
        <v>3588</v>
      </c>
      <c r="D898" s="50" t="s">
        <v>3534</v>
      </c>
      <c r="E898" s="50" t="s">
        <v>3589</v>
      </c>
    </row>
    <row r="899" spans="1:5" s="51" customFormat="1" x14ac:dyDescent="0.15">
      <c r="A899" s="50" t="s">
        <v>3590</v>
      </c>
      <c r="B899" s="50" t="s">
        <v>3591</v>
      </c>
      <c r="C899" s="50" t="s">
        <v>3592</v>
      </c>
      <c r="D899" s="50" t="s">
        <v>3534</v>
      </c>
      <c r="E899" s="50" t="s">
        <v>3593</v>
      </c>
    </row>
    <row r="900" spans="1:5" s="51" customFormat="1" x14ac:dyDescent="0.15">
      <c r="A900" s="50" t="s">
        <v>3594</v>
      </c>
      <c r="B900" s="50" t="s">
        <v>3595</v>
      </c>
      <c r="C900" s="50" t="s">
        <v>3596</v>
      </c>
      <c r="D900" s="50" t="s">
        <v>3534</v>
      </c>
      <c r="E900" s="50" t="s">
        <v>3597</v>
      </c>
    </row>
    <row r="901" spans="1:5" s="51" customFormat="1" x14ac:dyDescent="0.15">
      <c r="A901" s="50" t="s">
        <v>3598</v>
      </c>
      <c r="B901" s="50" t="s">
        <v>3599</v>
      </c>
      <c r="C901" s="50" t="s">
        <v>3600</v>
      </c>
      <c r="D901" s="50" t="s">
        <v>3544</v>
      </c>
      <c r="E901" s="50" t="s">
        <v>3601</v>
      </c>
    </row>
    <row r="902" spans="1:5" s="51" customFormat="1" x14ac:dyDescent="0.15">
      <c r="A902" s="50" t="s">
        <v>3602</v>
      </c>
      <c r="B902" s="50" t="s">
        <v>3603</v>
      </c>
      <c r="C902" s="50" t="s">
        <v>3604</v>
      </c>
      <c r="D902" s="50" t="s">
        <v>3544</v>
      </c>
      <c r="E902" s="50" t="s">
        <v>3605</v>
      </c>
    </row>
    <row r="903" spans="1:5" s="51" customFormat="1" x14ac:dyDescent="0.15">
      <c r="A903" s="50" t="s">
        <v>3606</v>
      </c>
      <c r="B903" s="50" t="s">
        <v>3607</v>
      </c>
      <c r="C903" s="50" t="s">
        <v>3608</v>
      </c>
      <c r="D903" s="50" t="s">
        <v>3609</v>
      </c>
      <c r="E903" s="50" t="s">
        <v>3610</v>
      </c>
    </row>
    <row r="904" spans="1:5" s="51" customFormat="1" x14ac:dyDescent="0.15">
      <c r="A904" s="50" t="s">
        <v>3611</v>
      </c>
      <c r="B904" s="50" t="s">
        <v>3612</v>
      </c>
      <c r="C904" s="50" t="s">
        <v>3613</v>
      </c>
      <c r="D904" s="50" t="s">
        <v>3614</v>
      </c>
      <c r="E904" s="50" t="s">
        <v>3615</v>
      </c>
    </row>
    <row r="905" spans="1:5" s="51" customFormat="1" x14ac:dyDescent="0.15">
      <c r="A905" s="50" t="s">
        <v>3616</v>
      </c>
      <c r="B905" s="50" t="s">
        <v>3617</v>
      </c>
      <c r="C905" s="50" t="s">
        <v>3618</v>
      </c>
      <c r="D905" s="50" t="s">
        <v>3614</v>
      </c>
      <c r="E905" s="50" t="s">
        <v>3619</v>
      </c>
    </row>
    <row r="906" spans="1:5" s="51" customFormat="1" x14ac:dyDescent="0.15">
      <c r="A906" s="50" t="s">
        <v>3620</v>
      </c>
      <c r="B906" s="50" t="s">
        <v>3621</v>
      </c>
      <c r="C906" s="50" t="s">
        <v>3622</v>
      </c>
      <c r="D906" s="50" t="s">
        <v>3623</v>
      </c>
      <c r="E906" s="50" t="s">
        <v>3624</v>
      </c>
    </row>
    <row r="907" spans="1:5" s="51" customFormat="1" x14ac:dyDescent="0.15">
      <c r="A907" s="50" t="s">
        <v>3625</v>
      </c>
      <c r="B907" s="50" t="s">
        <v>3626</v>
      </c>
      <c r="C907" s="50" t="s">
        <v>3627</v>
      </c>
      <c r="D907" s="50" t="s">
        <v>3623</v>
      </c>
      <c r="E907" s="50" t="s">
        <v>3628</v>
      </c>
    </row>
    <row r="908" spans="1:5" s="51" customFormat="1" x14ac:dyDescent="0.15">
      <c r="A908" s="50" t="s">
        <v>3629</v>
      </c>
      <c r="B908" s="50" t="s">
        <v>3630</v>
      </c>
      <c r="C908" s="50" t="s">
        <v>3631</v>
      </c>
      <c r="D908" s="50" t="s">
        <v>3632</v>
      </c>
      <c r="E908" s="50" t="s">
        <v>3633</v>
      </c>
    </row>
    <row r="909" spans="1:5" s="51" customFormat="1" x14ac:dyDescent="0.15">
      <c r="A909" s="50" t="s">
        <v>3634</v>
      </c>
      <c r="B909" s="50" t="s">
        <v>3635</v>
      </c>
      <c r="C909" s="50" t="s">
        <v>3636</v>
      </c>
      <c r="D909" s="50" t="s">
        <v>3637</v>
      </c>
      <c r="E909" s="50" t="s">
        <v>3638</v>
      </c>
    </row>
    <row r="910" spans="1:5" s="51" customFormat="1" x14ac:dyDescent="0.15">
      <c r="A910" s="50" t="s">
        <v>3639</v>
      </c>
      <c r="B910" s="50" t="s">
        <v>3640</v>
      </c>
      <c r="C910" s="50" t="s">
        <v>3641</v>
      </c>
      <c r="D910" s="50" t="s">
        <v>3632</v>
      </c>
      <c r="E910" s="50" t="s">
        <v>3642</v>
      </c>
    </row>
    <row r="911" spans="1:5" s="51" customFormat="1" x14ac:dyDescent="0.15">
      <c r="A911" s="50" t="s">
        <v>3643</v>
      </c>
      <c r="B911" s="50" t="s">
        <v>3644</v>
      </c>
      <c r="C911" s="50" t="s">
        <v>3645</v>
      </c>
      <c r="D911" s="50" t="s">
        <v>3637</v>
      </c>
      <c r="E911" s="50" t="s">
        <v>3646</v>
      </c>
    </row>
    <row r="912" spans="1:5" s="51" customFormat="1" x14ac:dyDescent="0.15">
      <c r="A912" s="50" t="s">
        <v>3647</v>
      </c>
      <c r="B912" s="50" t="s">
        <v>3648</v>
      </c>
      <c r="C912" s="50" t="s">
        <v>3649</v>
      </c>
      <c r="D912" s="50" t="s">
        <v>3637</v>
      </c>
      <c r="E912" s="50" t="s">
        <v>3650</v>
      </c>
    </row>
    <row r="913" spans="1:5" s="51" customFormat="1" x14ac:dyDescent="0.15">
      <c r="A913" s="50" t="s">
        <v>3651</v>
      </c>
      <c r="B913" s="50" t="s">
        <v>3652</v>
      </c>
      <c r="C913" s="50" t="s">
        <v>3653</v>
      </c>
      <c r="D913" s="50" t="s">
        <v>3632</v>
      </c>
      <c r="E913" s="50" t="s">
        <v>3654</v>
      </c>
    </row>
    <row r="914" spans="1:5" s="51" customFormat="1" x14ac:dyDescent="0.15">
      <c r="A914" s="50" t="s">
        <v>3655</v>
      </c>
      <c r="B914" s="50" t="s">
        <v>3656</v>
      </c>
      <c r="C914" s="50" t="s">
        <v>3657</v>
      </c>
      <c r="D914" s="50" t="s">
        <v>3632</v>
      </c>
      <c r="E914" s="50" t="s">
        <v>3658</v>
      </c>
    </row>
    <row r="915" spans="1:5" s="51" customFormat="1" x14ac:dyDescent="0.15">
      <c r="A915" s="50" t="s">
        <v>3659</v>
      </c>
      <c r="B915" s="50" t="s">
        <v>3660</v>
      </c>
      <c r="C915" s="50" t="s">
        <v>3661</v>
      </c>
      <c r="D915" s="50" t="s">
        <v>3632</v>
      </c>
      <c r="E915" s="50" t="s">
        <v>3662</v>
      </c>
    </row>
    <row r="916" spans="1:5" s="51" customFormat="1" x14ac:dyDescent="0.15">
      <c r="A916" s="50" t="s">
        <v>3663</v>
      </c>
      <c r="B916" s="50" t="s">
        <v>3664</v>
      </c>
      <c r="C916" s="50" t="s">
        <v>3665</v>
      </c>
      <c r="D916" s="50" t="s">
        <v>3614</v>
      </c>
      <c r="E916" s="50" t="s">
        <v>3666</v>
      </c>
    </row>
    <row r="917" spans="1:5" s="51" customFormat="1" x14ac:dyDescent="0.15">
      <c r="A917" s="50" t="s">
        <v>3667</v>
      </c>
      <c r="B917" s="50" t="s">
        <v>3668</v>
      </c>
      <c r="C917" s="50" t="s">
        <v>3669</v>
      </c>
      <c r="D917" s="50" t="s">
        <v>3614</v>
      </c>
      <c r="E917" s="50" t="s">
        <v>3670</v>
      </c>
    </row>
    <row r="918" spans="1:5" s="51" customFormat="1" x14ac:dyDescent="0.15">
      <c r="A918" s="50" t="s">
        <v>3671</v>
      </c>
      <c r="B918" s="50" t="s">
        <v>3672</v>
      </c>
      <c r="C918" s="50" t="s">
        <v>3673</v>
      </c>
      <c r="D918" s="50" t="s">
        <v>3614</v>
      </c>
      <c r="E918" s="50" t="s">
        <v>3674</v>
      </c>
    </row>
    <row r="919" spans="1:5" s="51" customFormat="1" x14ac:dyDescent="0.15">
      <c r="A919" s="50" t="s">
        <v>3675</v>
      </c>
      <c r="B919" s="50" t="s">
        <v>3676</v>
      </c>
      <c r="C919" s="50" t="s">
        <v>3677</v>
      </c>
      <c r="D919" s="50" t="s">
        <v>3614</v>
      </c>
      <c r="E919" s="50" t="s">
        <v>3678</v>
      </c>
    </row>
    <row r="920" spans="1:5" s="51" customFormat="1" x14ac:dyDescent="0.15">
      <c r="A920" s="50" t="s">
        <v>3679</v>
      </c>
      <c r="B920" s="50" t="s">
        <v>3680</v>
      </c>
      <c r="C920" s="50" t="s">
        <v>3681</v>
      </c>
      <c r="D920" s="50" t="s">
        <v>3682</v>
      </c>
      <c r="E920" s="50" t="s">
        <v>3683</v>
      </c>
    </row>
    <row r="921" spans="1:5" s="51" customFormat="1" x14ac:dyDescent="0.15">
      <c r="A921" s="50" t="s">
        <v>3684</v>
      </c>
      <c r="B921" s="50" t="s">
        <v>3685</v>
      </c>
      <c r="C921" s="50" t="s">
        <v>3686</v>
      </c>
      <c r="D921" s="50" t="s">
        <v>3687</v>
      </c>
      <c r="E921" s="50" t="s">
        <v>3688</v>
      </c>
    </row>
    <row r="922" spans="1:5" s="51" customFormat="1" x14ac:dyDescent="0.15">
      <c r="A922" s="50" t="s">
        <v>3689</v>
      </c>
      <c r="B922" s="50" t="s">
        <v>3690</v>
      </c>
      <c r="C922" s="50" t="s">
        <v>3691</v>
      </c>
      <c r="D922" s="50" t="s">
        <v>3692</v>
      </c>
      <c r="E922" s="50" t="s">
        <v>3693</v>
      </c>
    </row>
    <row r="923" spans="1:5" s="51" customFormat="1" x14ac:dyDescent="0.15">
      <c r="A923" s="50" t="s">
        <v>3694</v>
      </c>
      <c r="B923" s="50" t="s">
        <v>3695</v>
      </c>
      <c r="C923" s="50" t="s">
        <v>3696</v>
      </c>
      <c r="D923" s="50" t="s">
        <v>3697</v>
      </c>
      <c r="E923" s="50" t="s">
        <v>3698</v>
      </c>
    </row>
    <row r="924" spans="1:5" s="51" customFormat="1" x14ac:dyDescent="0.15">
      <c r="A924" s="50" t="s">
        <v>3699</v>
      </c>
      <c r="B924" s="50" t="s">
        <v>3700</v>
      </c>
      <c r="C924" s="50" t="s">
        <v>3701</v>
      </c>
      <c r="D924" s="50" t="s">
        <v>3692</v>
      </c>
      <c r="E924" s="50" t="s">
        <v>3702</v>
      </c>
    </row>
    <row r="925" spans="1:5" s="51" customFormat="1" x14ac:dyDescent="0.15">
      <c r="A925" s="50" t="s">
        <v>3703</v>
      </c>
      <c r="B925" s="50" t="s">
        <v>3704</v>
      </c>
      <c r="C925" s="50" t="s">
        <v>3705</v>
      </c>
      <c r="D925" s="50" t="s">
        <v>3706</v>
      </c>
      <c r="E925" s="50" t="s">
        <v>3707</v>
      </c>
    </row>
    <row r="926" spans="1:5" s="51" customFormat="1" x14ac:dyDescent="0.15">
      <c r="A926" s="50" t="s">
        <v>3708</v>
      </c>
      <c r="B926" s="50" t="s">
        <v>3709</v>
      </c>
      <c r="C926" s="50" t="s">
        <v>3710</v>
      </c>
      <c r="D926" s="50" t="s">
        <v>3711</v>
      </c>
      <c r="E926" s="50" t="s">
        <v>3712</v>
      </c>
    </row>
    <row r="927" spans="1:5" s="51" customFormat="1" x14ac:dyDescent="0.15">
      <c r="A927" s="50" t="s">
        <v>3713</v>
      </c>
      <c r="B927" s="50" t="s">
        <v>3714</v>
      </c>
      <c r="C927" s="50" t="s">
        <v>206</v>
      </c>
      <c r="D927" s="50" t="s">
        <v>3706</v>
      </c>
      <c r="E927" s="50" t="s">
        <v>3715</v>
      </c>
    </row>
    <row r="928" spans="1:5" s="51" customFormat="1" x14ac:dyDescent="0.15">
      <c r="A928" s="50" t="s">
        <v>3716</v>
      </c>
      <c r="B928" s="50" t="s">
        <v>3717</v>
      </c>
      <c r="C928" s="50" t="s">
        <v>3718</v>
      </c>
      <c r="D928" s="50" t="s">
        <v>3719</v>
      </c>
      <c r="E928" s="50" t="s">
        <v>3720</v>
      </c>
    </row>
    <row r="929" spans="1:5" s="51" customFormat="1" x14ac:dyDescent="0.15">
      <c r="A929" s="50" t="s">
        <v>3721</v>
      </c>
      <c r="B929" s="50" t="s">
        <v>3722</v>
      </c>
      <c r="C929" s="50" t="s">
        <v>3723</v>
      </c>
      <c r="D929" s="50" t="s">
        <v>3724</v>
      </c>
      <c r="E929" s="50" t="s">
        <v>3725</v>
      </c>
    </row>
    <row r="930" spans="1:5" s="51" customFormat="1" x14ac:dyDescent="0.15">
      <c r="A930" s="50" t="s">
        <v>3726</v>
      </c>
      <c r="B930" s="50" t="s">
        <v>3727</v>
      </c>
      <c r="C930" s="50" t="s">
        <v>3728</v>
      </c>
      <c r="D930" s="50" t="s">
        <v>3692</v>
      </c>
      <c r="E930" s="50" t="s">
        <v>3729</v>
      </c>
    </row>
    <row r="931" spans="1:5" s="51" customFormat="1" x14ac:dyDescent="0.15">
      <c r="A931" s="50" t="s">
        <v>3730</v>
      </c>
      <c r="B931" s="50" t="s">
        <v>3731</v>
      </c>
      <c r="C931" s="50" t="s">
        <v>3732</v>
      </c>
      <c r="D931" s="50" t="s">
        <v>3697</v>
      </c>
      <c r="E931" s="50" t="s">
        <v>3733</v>
      </c>
    </row>
    <row r="932" spans="1:5" s="51" customFormat="1" x14ac:dyDescent="0.15">
      <c r="A932" s="50" t="s">
        <v>3734</v>
      </c>
      <c r="B932" s="50" t="s">
        <v>3735</v>
      </c>
      <c r="C932" s="50" t="s">
        <v>3736</v>
      </c>
      <c r="D932" s="50" t="s">
        <v>3711</v>
      </c>
      <c r="E932" s="50" t="s">
        <v>3737</v>
      </c>
    </row>
    <row r="933" spans="1:5" s="51" customFormat="1" x14ac:dyDescent="0.15">
      <c r="A933" s="50" t="s">
        <v>3738</v>
      </c>
      <c r="B933" s="50" t="s">
        <v>3739</v>
      </c>
      <c r="C933" s="50" t="s">
        <v>3740</v>
      </c>
      <c r="D933" s="50" t="s">
        <v>3741</v>
      </c>
      <c r="E933" s="50" t="s">
        <v>3742</v>
      </c>
    </row>
    <row r="934" spans="1:5" s="51" customFormat="1" x14ac:dyDescent="0.15">
      <c r="A934" s="50" t="s">
        <v>3743</v>
      </c>
      <c r="B934" s="50" t="s">
        <v>3744</v>
      </c>
      <c r="C934" s="50" t="s">
        <v>3745</v>
      </c>
      <c r="D934" s="50" t="s">
        <v>3746</v>
      </c>
      <c r="E934" s="50" t="s">
        <v>3747</v>
      </c>
    </row>
    <row r="935" spans="1:5" s="51" customFormat="1" x14ac:dyDescent="0.15">
      <c r="A935" s="50" t="s">
        <v>3748</v>
      </c>
      <c r="B935" s="50" t="s">
        <v>3749</v>
      </c>
      <c r="C935" s="50" t="s">
        <v>3750</v>
      </c>
      <c r="D935" s="50" t="s">
        <v>3746</v>
      </c>
      <c r="E935" s="50" t="s">
        <v>3751</v>
      </c>
    </row>
    <row r="936" spans="1:5" s="51" customFormat="1" x14ac:dyDescent="0.15">
      <c r="A936" s="50" t="s">
        <v>3752</v>
      </c>
      <c r="B936" s="50" t="s">
        <v>3753</v>
      </c>
      <c r="C936" s="50" t="s">
        <v>3754</v>
      </c>
      <c r="D936" s="50" t="s">
        <v>3746</v>
      </c>
      <c r="E936" s="50" t="s">
        <v>3755</v>
      </c>
    </row>
    <row r="937" spans="1:5" s="51" customFormat="1" x14ac:dyDescent="0.15">
      <c r="A937" s="50" t="s">
        <v>3756</v>
      </c>
      <c r="B937" s="50" t="s">
        <v>3757</v>
      </c>
      <c r="C937" s="50" t="s">
        <v>3758</v>
      </c>
      <c r="D937" s="50" t="s">
        <v>3746</v>
      </c>
      <c r="E937" s="50" t="s">
        <v>3759</v>
      </c>
    </row>
    <row r="938" spans="1:5" s="51" customFormat="1" x14ac:dyDescent="0.15">
      <c r="A938" s="50" t="s">
        <v>3760</v>
      </c>
      <c r="B938" s="50" t="s">
        <v>3761</v>
      </c>
      <c r="C938" s="50" t="s">
        <v>3762</v>
      </c>
      <c r="D938" s="50" t="s">
        <v>3711</v>
      </c>
      <c r="E938" s="50" t="s">
        <v>3763</v>
      </c>
    </row>
    <row r="939" spans="1:5" s="51" customFormat="1" x14ac:dyDescent="0.15">
      <c r="A939" s="50" t="s">
        <v>3764</v>
      </c>
      <c r="B939" s="50" t="s">
        <v>3765</v>
      </c>
      <c r="C939" s="50" t="s">
        <v>3766</v>
      </c>
      <c r="D939" s="50" t="s">
        <v>3692</v>
      </c>
      <c r="E939" s="50" t="s">
        <v>3767</v>
      </c>
    </row>
    <row r="940" spans="1:5" s="51" customFormat="1" x14ac:dyDescent="0.15">
      <c r="A940" s="50" t="s">
        <v>3768</v>
      </c>
      <c r="B940" s="50" t="s">
        <v>3769</v>
      </c>
      <c r="C940" s="50" t="s">
        <v>3770</v>
      </c>
      <c r="D940" s="50" t="s">
        <v>3687</v>
      </c>
      <c r="E940" s="50" t="s">
        <v>3688</v>
      </c>
    </row>
    <row r="941" spans="1:5" s="51" customFormat="1" x14ac:dyDescent="0.15">
      <c r="A941" s="50" t="s">
        <v>3771</v>
      </c>
      <c r="B941" s="50" t="s">
        <v>3772</v>
      </c>
      <c r="C941" s="50" t="s">
        <v>3773</v>
      </c>
      <c r="D941" s="50" t="s">
        <v>3687</v>
      </c>
      <c r="E941" s="50" t="s">
        <v>3774</v>
      </c>
    </row>
    <row r="942" spans="1:5" s="51" customFormat="1" x14ac:dyDescent="0.15">
      <c r="A942" s="50" t="s">
        <v>3775</v>
      </c>
      <c r="B942" s="50" t="s">
        <v>3776</v>
      </c>
      <c r="C942" s="50" t="s">
        <v>3777</v>
      </c>
      <c r="D942" s="50" t="s">
        <v>3687</v>
      </c>
      <c r="E942" s="50" t="s">
        <v>3774</v>
      </c>
    </row>
    <row r="943" spans="1:5" s="51" customFormat="1" x14ac:dyDescent="0.15">
      <c r="A943" s="50" t="s">
        <v>3778</v>
      </c>
      <c r="B943" s="50" t="s">
        <v>3779</v>
      </c>
      <c r="C943" s="50" t="s">
        <v>3780</v>
      </c>
      <c r="D943" s="50" t="s">
        <v>3687</v>
      </c>
      <c r="E943" s="50" t="s">
        <v>3781</v>
      </c>
    </row>
    <row r="944" spans="1:5" s="51" customFormat="1" x14ac:dyDescent="0.15">
      <c r="A944" s="50" t="s">
        <v>3782</v>
      </c>
      <c r="B944" s="50" t="s">
        <v>3783</v>
      </c>
      <c r="C944" s="50" t="s">
        <v>3784</v>
      </c>
      <c r="D944" s="50" t="s">
        <v>3687</v>
      </c>
      <c r="E944" s="50" t="s">
        <v>3785</v>
      </c>
    </row>
    <row r="945" spans="1:5" s="51" customFormat="1" x14ac:dyDescent="0.15">
      <c r="A945" s="50" t="s">
        <v>3786</v>
      </c>
      <c r="B945" s="50" t="s">
        <v>3787</v>
      </c>
      <c r="C945" s="50" t="s">
        <v>3788</v>
      </c>
      <c r="D945" s="50" t="s">
        <v>2904</v>
      </c>
      <c r="E945" s="50" t="s">
        <v>3789</v>
      </c>
    </row>
    <row r="946" spans="1:5" s="51" customFormat="1" x14ac:dyDescent="0.15">
      <c r="A946" s="50" t="s">
        <v>3790</v>
      </c>
      <c r="B946" s="50" t="s">
        <v>3791</v>
      </c>
      <c r="C946" s="50" t="s">
        <v>3792</v>
      </c>
      <c r="D946" s="50" t="s">
        <v>2904</v>
      </c>
      <c r="E946" s="50" t="s">
        <v>3793</v>
      </c>
    </row>
    <row r="947" spans="1:5" s="51" customFormat="1" x14ac:dyDescent="0.15">
      <c r="A947" s="50" t="s">
        <v>3794</v>
      </c>
      <c r="B947" s="50" t="s">
        <v>3795</v>
      </c>
      <c r="C947" s="50" t="s">
        <v>3796</v>
      </c>
      <c r="D947" s="50" t="s">
        <v>3797</v>
      </c>
      <c r="E947" s="50" t="s">
        <v>3798</v>
      </c>
    </row>
    <row r="948" spans="1:5" s="51" customFormat="1" x14ac:dyDescent="0.15">
      <c r="A948" s="50" t="s">
        <v>3799</v>
      </c>
      <c r="B948" s="50" t="s">
        <v>3800</v>
      </c>
      <c r="C948" s="50" t="s">
        <v>3801</v>
      </c>
      <c r="D948" s="50" t="s">
        <v>3802</v>
      </c>
      <c r="E948" s="50" t="s">
        <v>3803</v>
      </c>
    </row>
    <row r="949" spans="1:5" s="51" customFormat="1" x14ac:dyDescent="0.15">
      <c r="A949" s="50" t="s">
        <v>3804</v>
      </c>
      <c r="B949" s="50" t="s">
        <v>3805</v>
      </c>
      <c r="C949" s="50" t="s">
        <v>3806</v>
      </c>
      <c r="D949" s="50" t="s">
        <v>3807</v>
      </c>
      <c r="E949" s="50" t="s">
        <v>3808</v>
      </c>
    </row>
    <row r="950" spans="1:5" s="51" customFormat="1" x14ac:dyDescent="0.15">
      <c r="A950" s="50" t="s">
        <v>3809</v>
      </c>
      <c r="B950" s="50" t="s">
        <v>3810</v>
      </c>
      <c r="C950" s="50" t="s">
        <v>3811</v>
      </c>
      <c r="D950" s="50" t="s">
        <v>3812</v>
      </c>
      <c r="E950" s="50" t="s">
        <v>3813</v>
      </c>
    </row>
    <row r="951" spans="1:5" s="51" customFormat="1" x14ac:dyDescent="0.15">
      <c r="A951" s="50" t="s">
        <v>3814</v>
      </c>
      <c r="B951" s="50" t="s">
        <v>3815</v>
      </c>
      <c r="C951" s="50" t="s">
        <v>3816</v>
      </c>
      <c r="D951" s="50" t="s">
        <v>3817</v>
      </c>
      <c r="E951" s="50" t="s">
        <v>3818</v>
      </c>
    </row>
    <row r="952" spans="1:5" s="51" customFormat="1" x14ac:dyDescent="0.15">
      <c r="A952" s="50" t="s">
        <v>3819</v>
      </c>
      <c r="B952" s="50" t="s">
        <v>3820</v>
      </c>
      <c r="C952" s="50" t="s">
        <v>3821</v>
      </c>
      <c r="D952" s="50" t="s">
        <v>3812</v>
      </c>
      <c r="E952" s="50" t="s">
        <v>3822</v>
      </c>
    </row>
    <row r="953" spans="1:5" s="51" customFormat="1" x14ac:dyDescent="0.15">
      <c r="A953" s="50" t="s">
        <v>3823</v>
      </c>
      <c r="B953" s="50" t="s">
        <v>3824</v>
      </c>
      <c r="C953" s="50" t="s">
        <v>3825</v>
      </c>
      <c r="D953" s="50" t="s">
        <v>3797</v>
      </c>
      <c r="E953" s="50" t="s">
        <v>3826</v>
      </c>
    </row>
    <row r="954" spans="1:5" s="51" customFormat="1" x14ac:dyDescent="0.15">
      <c r="A954" s="50" t="s">
        <v>3827</v>
      </c>
      <c r="B954" s="50" t="s">
        <v>3828</v>
      </c>
      <c r="C954" s="50" t="s">
        <v>3829</v>
      </c>
      <c r="D954" s="50" t="s">
        <v>3830</v>
      </c>
      <c r="E954" s="50" t="s">
        <v>3831</v>
      </c>
    </row>
    <row r="955" spans="1:5" s="51" customFormat="1" x14ac:dyDescent="0.15">
      <c r="A955" s="50" t="s">
        <v>3832</v>
      </c>
      <c r="B955" s="50" t="s">
        <v>3833</v>
      </c>
      <c r="C955" s="50" t="s">
        <v>3834</v>
      </c>
      <c r="D955" s="50" t="s">
        <v>3835</v>
      </c>
      <c r="E955" s="50" t="s">
        <v>3836</v>
      </c>
    </row>
    <row r="956" spans="1:5" s="51" customFormat="1" x14ac:dyDescent="0.15">
      <c r="A956" s="50" t="s">
        <v>3837</v>
      </c>
      <c r="B956" s="50" t="s">
        <v>3838</v>
      </c>
      <c r="C956" s="50" t="s">
        <v>3839</v>
      </c>
      <c r="D956" s="50" t="s">
        <v>3835</v>
      </c>
      <c r="E956" s="50" t="s">
        <v>3840</v>
      </c>
    </row>
    <row r="957" spans="1:5" s="51" customFormat="1" x14ac:dyDescent="0.15">
      <c r="A957" s="50" t="s">
        <v>3841</v>
      </c>
      <c r="B957" s="50" t="s">
        <v>3842</v>
      </c>
      <c r="C957" s="50" t="s">
        <v>3843</v>
      </c>
      <c r="D957" s="50" t="s">
        <v>3844</v>
      </c>
      <c r="E957" s="50" t="s">
        <v>3845</v>
      </c>
    </row>
    <row r="958" spans="1:5" s="51" customFormat="1" x14ac:dyDescent="0.15">
      <c r="A958" s="50" t="s">
        <v>3846</v>
      </c>
      <c r="B958" s="50" t="s">
        <v>3847</v>
      </c>
      <c r="C958" s="50" t="s">
        <v>3848</v>
      </c>
      <c r="D958" s="50" t="s">
        <v>3849</v>
      </c>
      <c r="E958" s="50" t="s">
        <v>3850</v>
      </c>
    </row>
    <row r="959" spans="1:5" s="51" customFormat="1" x14ac:dyDescent="0.15">
      <c r="A959" s="50" t="s">
        <v>3851</v>
      </c>
      <c r="B959" s="50" t="s">
        <v>3852</v>
      </c>
      <c r="C959" s="50" t="s">
        <v>3853</v>
      </c>
      <c r="D959" s="50" t="s">
        <v>3844</v>
      </c>
      <c r="E959" s="50" t="s">
        <v>3854</v>
      </c>
    </row>
    <row r="960" spans="1:5" s="51" customFormat="1" x14ac:dyDescent="0.15">
      <c r="A960" s="50" t="s">
        <v>3855</v>
      </c>
      <c r="B960" s="50" t="s">
        <v>3856</v>
      </c>
      <c r="C960" s="50" t="s">
        <v>3857</v>
      </c>
      <c r="D960" s="50" t="s">
        <v>3812</v>
      </c>
      <c r="E960" s="50" t="s">
        <v>3858</v>
      </c>
    </row>
    <row r="961" spans="1:5" s="51" customFormat="1" x14ac:dyDescent="0.15">
      <c r="A961" s="50" t="s">
        <v>3859</v>
      </c>
      <c r="B961" s="50" t="s">
        <v>3860</v>
      </c>
      <c r="C961" s="50" t="s">
        <v>3861</v>
      </c>
      <c r="D961" s="50" t="s">
        <v>3862</v>
      </c>
      <c r="E961" s="50" t="s">
        <v>3863</v>
      </c>
    </row>
    <row r="962" spans="1:5" s="51" customFormat="1" x14ac:dyDescent="0.15">
      <c r="A962" s="50" t="s">
        <v>3864</v>
      </c>
      <c r="B962" s="50" t="s">
        <v>3865</v>
      </c>
      <c r="C962" s="50" t="s">
        <v>3866</v>
      </c>
      <c r="D962" s="50" t="s">
        <v>3830</v>
      </c>
      <c r="E962" s="50" t="s">
        <v>3867</v>
      </c>
    </row>
    <row r="963" spans="1:5" s="51" customFormat="1" x14ac:dyDescent="0.15">
      <c r="A963" s="50" t="s">
        <v>3868</v>
      </c>
      <c r="B963" s="50" t="s">
        <v>3869</v>
      </c>
      <c r="C963" s="50" t="s">
        <v>3870</v>
      </c>
      <c r="D963" s="50" t="s">
        <v>3797</v>
      </c>
      <c r="E963" s="50" t="s">
        <v>3871</v>
      </c>
    </row>
    <row r="964" spans="1:5" s="51" customFormat="1" x14ac:dyDescent="0.15">
      <c r="A964" s="50" t="s">
        <v>3872</v>
      </c>
      <c r="B964" s="50" t="s">
        <v>3873</v>
      </c>
      <c r="C964" s="50" t="s">
        <v>3874</v>
      </c>
      <c r="D964" s="50" t="s">
        <v>3807</v>
      </c>
      <c r="E964" s="50" t="s">
        <v>3875</v>
      </c>
    </row>
    <row r="965" spans="1:5" s="51" customFormat="1" x14ac:dyDescent="0.15">
      <c r="A965" s="50" t="s">
        <v>3876</v>
      </c>
      <c r="B965" s="50" t="s">
        <v>3877</v>
      </c>
      <c r="C965" s="50" t="s">
        <v>3878</v>
      </c>
      <c r="D965" s="50" t="s">
        <v>3802</v>
      </c>
      <c r="E965" s="50" t="s">
        <v>3879</v>
      </c>
    </row>
    <row r="966" spans="1:5" s="51" customFormat="1" x14ac:dyDescent="0.15">
      <c r="A966" s="50" t="s">
        <v>3880</v>
      </c>
      <c r="B966" s="50" t="s">
        <v>3881</v>
      </c>
      <c r="C966" s="50" t="s">
        <v>3882</v>
      </c>
      <c r="D966" s="50" t="s">
        <v>3830</v>
      </c>
      <c r="E966" s="50" t="s">
        <v>3883</v>
      </c>
    </row>
    <row r="967" spans="1:5" s="51" customFormat="1" x14ac:dyDescent="0.15">
      <c r="A967" s="50" t="s">
        <v>3884</v>
      </c>
      <c r="B967" s="50" t="s">
        <v>3885</v>
      </c>
      <c r="C967" s="50" t="s">
        <v>3886</v>
      </c>
      <c r="D967" s="50" t="s">
        <v>3830</v>
      </c>
      <c r="E967" s="50" t="s">
        <v>3887</v>
      </c>
    </row>
    <row r="968" spans="1:5" s="51" customFormat="1" x14ac:dyDescent="0.15">
      <c r="A968" s="50" t="s">
        <v>3888</v>
      </c>
      <c r="B968" s="50" t="s">
        <v>3889</v>
      </c>
      <c r="C968" s="50" t="s">
        <v>3890</v>
      </c>
      <c r="D968" s="50" t="s">
        <v>3830</v>
      </c>
      <c r="E968" s="50" t="s">
        <v>3891</v>
      </c>
    </row>
    <row r="969" spans="1:5" s="51" customFormat="1" x14ac:dyDescent="0.15">
      <c r="A969" s="50" t="s">
        <v>3892</v>
      </c>
      <c r="B969" s="50" t="s">
        <v>3893</v>
      </c>
      <c r="C969" s="50" t="s">
        <v>3894</v>
      </c>
      <c r="D969" s="50" t="s">
        <v>3830</v>
      </c>
      <c r="E969" s="50" t="s">
        <v>3895</v>
      </c>
    </row>
    <row r="970" spans="1:5" s="51" customFormat="1" x14ac:dyDescent="0.15">
      <c r="A970" s="50" t="s">
        <v>3896</v>
      </c>
      <c r="B970" s="50" t="s">
        <v>3897</v>
      </c>
      <c r="C970" s="50" t="s">
        <v>3898</v>
      </c>
      <c r="D970" s="50" t="s">
        <v>3830</v>
      </c>
      <c r="E970" s="50" t="s">
        <v>3895</v>
      </c>
    </row>
    <row r="971" spans="1:5" s="51" customFormat="1" x14ac:dyDescent="0.15">
      <c r="A971" s="50" t="s">
        <v>3899</v>
      </c>
      <c r="B971" s="50" t="s">
        <v>3900</v>
      </c>
      <c r="C971" s="50" t="s">
        <v>3901</v>
      </c>
      <c r="D971" s="50" t="s">
        <v>3830</v>
      </c>
      <c r="E971" s="50" t="s">
        <v>3902</v>
      </c>
    </row>
    <row r="972" spans="1:5" s="51" customFormat="1" x14ac:dyDescent="0.15">
      <c r="A972" s="50" t="s">
        <v>3903</v>
      </c>
      <c r="B972" s="50" t="s">
        <v>3904</v>
      </c>
      <c r="C972" s="50" t="s">
        <v>3905</v>
      </c>
      <c r="D972" s="50" t="s">
        <v>3830</v>
      </c>
      <c r="E972" s="50" t="s">
        <v>3906</v>
      </c>
    </row>
    <row r="973" spans="1:5" s="51" customFormat="1" x14ac:dyDescent="0.15">
      <c r="A973" s="50" t="s">
        <v>3907</v>
      </c>
      <c r="B973" s="50" t="s">
        <v>3908</v>
      </c>
      <c r="C973" s="50" t="s">
        <v>3909</v>
      </c>
      <c r="D973" s="50" t="s">
        <v>3830</v>
      </c>
      <c r="E973" s="50" t="s">
        <v>3910</v>
      </c>
    </row>
    <row r="974" spans="1:5" s="51" customFormat="1" x14ac:dyDescent="0.15">
      <c r="A974" s="50" t="s">
        <v>3911</v>
      </c>
      <c r="B974" s="50" t="s">
        <v>3912</v>
      </c>
      <c r="C974" s="50" t="s">
        <v>3913</v>
      </c>
      <c r="D974" s="50" t="s">
        <v>3830</v>
      </c>
      <c r="E974" s="50" t="s">
        <v>3914</v>
      </c>
    </row>
    <row r="975" spans="1:5" s="51" customFormat="1" x14ac:dyDescent="0.15">
      <c r="A975" s="50" t="s">
        <v>3915</v>
      </c>
      <c r="B975" s="50" t="s">
        <v>3916</v>
      </c>
      <c r="C975" s="50" t="s">
        <v>3917</v>
      </c>
      <c r="D975" s="50" t="s">
        <v>3807</v>
      </c>
      <c r="E975" s="50" t="s">
        <v>3918</v>
      </c>
    </row>
    <row r="976" spans="1:5" s="51" customFormat="1" x14ac:dyDescent="0.15">
      <c r="A976" s="50" t="s">
        <v>3919</v>
      </c>
      <c r="B976" s="50" t="s">
        <v>3920</v>
      </c>
      <c r="C976" s="50" t="s">
        <v>3921</v>
      </c>
      <c r="D976" s="50" t="s">
        <v>3807</v>
      </c>
      <c r="E976" s="50" t="s">
        <v>3922</v>
      </c>
    </row>
    <row r="977" spans="1:5" s="51" customFormat="1" x14ac:dyDescent="0.15">
      <c r="A977" s="50" t="s">
        <v>3923</v>
      </c>
      <c r="B977" s="50" t="s">
        <v>3924</v>
      </c>
      <c r="C977" s="50" t="s">
        <v>3925</v>
      </c>
      <c r="D977" s="50" t="s">
        <v>3812</v>
      </c>
      <c r="E977" s="50" t="s">
        <v>3926</v>
      </c>
    </row>
    <row r="978" spans="1:5" s="51" customFormat="1" x14ac:dyDescent="0.15">
      <c r="A978" s="50" t="s">
        <v>3927</v>
      </c>
      <c r="B978" s="50" t="s">
        <v>3928</v>
      </c>
      <c r="C978" s="50" t="s">
        <v>3929</v>
      </c>
      <c r="D978" s="50" t="s">
        <v>3812</v>
      </c>
      <c r="E978" s="50" t="s">
        <v>3930</v>
      </c>
    </row>
    <row r="979" spans="1:5" s="51" customFormat="1" x14ac:dyDescent="0.15">
      <c r="A979" s="50" t="s">
        <v>3931</v>
      </c>
      <c r="B979" s="50" t="s">
        <v>3932</v>
      </c>
      <c r="C979" s="50" t="s">
        <v>3933</v>
      </c>
      <c r="D979" s="50" t="s">
        <v>3812</v>
      </c>
      <c r="E979" s="50" t="s">
        <v>3934</v>
      </c>
    </row>
    <row r="980" spans="1:5" s="51" customFormat="1" x14ac:dyDescent="0.15">
      <c r="A980" s="50" t="s">
        <v>3935</v>
      </c>
      <c r="B980" s="50" t="s">
        <v>3936</v>
      </c>
      <c r="C980" s="50" t="s">
        <v>3937</v>
      </c>
      <c r="D980" s="50" t="s">
        <v>3812</v>
      </c>
      <c r="E980" s="50" t="s">
        <v>3938</v>
      </c>
    </row>
    <row r="981" spans="1:5" s="51" customFormat="1" x14ac:dyDescent="0.15">
      <c r="A981" s="50" t="s">
        <v>3939</v>
      </c>
      <c r="B981" s="50" t="s">
        <v>3940</v>
      </c>
      <c r="C981" s="50" t="s">
        <v>3941</v>
      </c>
      <c r="D981" s="50" t="s">
        <v>3835</v>
      </c>
      <c r="E981" s="50" t="s">
        <v>3942</v>
      </c>
    </row>
    <row r="982" spans="1:5" s="51" customFormat="1" x14ac:dyDescent="0.15">
      <c r="A982" s="50" t="s">
        <v>3943</v>
      </c>
      <c r="B982" s="50" t="s">
        <v>3944</v>
      </c>
      <c r="C982" s="50" t="s">
        <v>3945</v>
      </c>
      <c r="D982" s="50" t="s">
        <v>3835</v>
      </c>
      <c r="E982" s="50" t="s">
        <v>3946</v>
      </c>
    </row>
    <row r="983" spans="1:5" s="51" customFormat="1" x14ac:dyDescent="0.15">
      <c r="A983" s="50" t="s">
        <v>3947</v>
      </c>
      <c r="B983" s="50" t="s">
        <v>3948</v>
      </c>
      <c r="C983" s="50" t="s">
        <v>3949</v>
      </c>
      <c r="D983" s="50" t="s">
        <v>3835</v>
      </c>
      <c r="E983" s="50" t="s">
        <v>3950</v>
      </c>
    </row>
    <row r="984" spans="1:5" s="51" customFormat="1" x14ac:dyDescent="0.15">
      <c r="A984" s="50" t="s">
        <v>3951</v>
      </c>
      <c r="B984" s="50" t="s">
        <v>3952</v>
      </c>
      <c r="C984" s="50" t="s">
        <v>3953</v>
      </c>
      <c r="D984" s="50" t="s">
        <v>3835</v>
      </c>
      <c r="E984" s="50" t="s">
        <v>3954</v>
      </c>
    </row>
    <row r="985" spans="1:5" s="51" customFormat="1" x14ac:dyDescent="0.15">
      <c r="A985" s="50" t="s">
        <v>3955</v>
      </c>
      <c r="B985" s="50" t="s">
        <v>3956</v>
      </c>
      <c r="C985" s="50" t="s">
        <v>3957</v>
      </c>
      <c r="D985" s="50" t="s">
        <v>3835</v>
      </c>
      <c r="E985" s="50" t="s">
        <v>3958</v>
      </c>
    </row>
    <row r="986" spans="1:5" s="51" customFormat="1" x14ac:dyDescent="0.15">
      <c r="A986" s="50" t="s">
        <v>3959</v>
      </c>
      <c r="B986" s="50" t="s">
        <v>3960</v>
      </c>
      <c r="C986" s="50" t="s">
        <v>3961</v>
      </c>
      <c r="D986" s="50" t="s">
        <v>3835</v>
      </c>
      <c r="E986" s="50" t="s">
        <v>3962</v>
      </c>
    </row>
    <row r="987" spans="1:5" s="51" customFormat="1" x14ac:dyDescent="0.15">
      <c r="A987" s="50" t="s">
        <v>3963</v>
      </c>
      <c r="B987" s="50" t="s">
        <v>3964</v>
      </c>
      <c r="C987" s="50" t="s">
        <v>3965</v>
      </c>
      <c r="D987" s="50" t="s">
        <v>3835</v>
      </c>
      <c r="E987" s="50" t="s">
        <v>3966</v>
      </c>
    </row>
    <row r="988" spans="1:5" s="51" customFormat="1" x14ac:dyDescent="0.15">
      <c r="A988" s="50" t="s">
        <v>3967</v>
      </c>
      <c r="B988" s="50" t="s">
        <v>3968</v>
      </c>
      <c r="C988" s="50" t="s">
        <v>3969</v>
      </c>
      <c r="D988" s="50" t="s">
        <v>3970</v>
      </c>
      <c r="E988" s="50" t="s">
        <v>3971</v>
      </c>
    </row>
    <row r="989" spans="1:5" s="51" customFormat="1" x14ac:dyDescent="0.15">
      <c r="A989" s="50" t="s">
        <v>3972</v>
      </c>
      <c r="B989" s="50" t="s">
        <v>3973</v>
      </c>
      <c r="C989" s="50" t="s">
        <v>3974</v>
      </c>
      <c r="D989" s="50" t="s">
        <v>3835</v>
      </c>
      <c r="E989" s="50" t="s">
        <v>3975</v>
      </c>
    </row>
    <row r="990" spans="1:5" s="51" customFormat="1" x14ac:dyDescent="0.15">
      <c r="A990" s="50" t="s">
        <v>3976</v>
      </c>
      <c r="B990" s="50" t="s">
        <v>3977</v>
      </c>
      <c r="C990" s="50" t="s">
        <v>3978</v>
      </c>
      <c r="D990" s="50" t="s">
        <v>3835</v>
      </c>
      <c r="E990" s="50" t="s">
        <v>3979</v>
      </c>
    </row>
    <row r="991" spans="1:5" s="51" customFormat="1" x14ac:dyDescent="0.15">
      <c r="A991" s="50" t="s">
        <v>3980</v>
      </c>
      <c r="B991" s="50" t="s">
        <v>3981</v>
      </c>
      <c r="C991" s="50" t="s">
        <v>3982</v>
      </c>
      <c r="D991" s="50" t="s">
        <v>3835</v>
      </c>
      <c r="E991" s="50" t="s">
        <v>3983</v>
      </c>
    </row>
    <row r="992" spans="1:5" s="51" customFormat="1" x14ac:dyDescent="0.15">
      <c r="A992" s="50" t="s">
        <v>3984</v>
      </c>
      <c r="B992" s="50" t="s">
        <v>3985</v>
      </c>
      <c r="C992" s="50" t="s">
        <v>3986</v>
      </c>
      <c r="D992" s="50" t="s">
        <v>3970</v>
      </c>
      <c r="E992" s="50" t="s">
        <v>3987</v>
      </c>
    </row>
    <row r="993" spans="1:5" s="51" customFormat="1" x14ac:dyDescent="0.15">
      <c r="A993" s="50" t="s">
        <v>3988</v>
      </c>
      <c r="B993" s="50" t="s">
        <v>3989</v>
      </c>
      <c r="C993" s="50" t="s">
        <v>3990</v>
      </c>
      <c r="D993" s="50" t="s">
        <v>3970</v>
      </c>
      <c r="E993" s="50" t="s">
        <v>3991</v>
      </c>
    </row>
    <row r="994" spans="1:5" s="51" customFormat="1" x14ac:dyDescent="0.15">
      <c r="A994" s="50" t="s">
        <v>3992</v>
      </c>
      <c r="B994" s="50" t="s">
        <v>3993</v>
      </c>
      <c r="C994" s="50" t="s">
        <v>3994</v>
      </c>
      <c r="D994" s="50" t="s">
        <v>3970</v>
      </c>
      <c r="E994" s="50" t="s">
        <v>3995</v>
      </c>
    </row>
    <row r="995" spans="1:5" s="51" customFormat="1" x14ac:dyDescent="0.15">
      <c r="A995" s="50" t="s">
        <v>3996</v>
      </c>
      <c r="B995" s="50" t="s">
        <v>3997</v>
      </c>
      <c r="C995" s="50" t="s">
        <v>3998</v>
      </c>
      <c r="D995" s="50" t="s">
        <v>3970</v>
      </c>
      <c r="E995" s="50" t="s">
        <v>3999</v>
      </c>
    </row>
    <row r="996" spans="1:5" s="51" customFormat="1" x14ac:dyDescent="0.15">
      <c r="A996" s="50" t="s">
        <v>4000</v>
      </c>
      <c r="B996" s="50" t="s">
        <v>4001</v>
      </c>
      <c r="C996" s="50" t="s">
        <v>4002</v>
      </c>
      <c r="D996" s="50" t="s">
        <v>3835</v>
      </c>
      <c r="E996" s="50" t="s">
        <v>4003</v>
      </c>
    </row>
    <row r="997" spans="1:5" s="51" customFormat="1" x14ac:dyDescent="0.15">
      <c r="A997" s="50" t="s">
        <v>4004</v>
      </c>
      <c r="B997" s="50" t="s">
        <v>4005</v>
      </c>
      <c r="C997" s="50" t="s">
        <v>4006</v>
      </c>
      <c r="D997" s="50" t="s">
        <v>3835</v>
      </c>
      <c r="E997" s="50" t="s">
        <v>4007</v>
      </c>
    </row>
    <row r="998" spans="1:5" s="51" customFormat="1" x14ac:dyDescent="0.15">
      <c r="A998" s="50" t="s">
        <v>4008</v>
      </c>
      <c r="B998" s="50" t="s">
        <v>4009</v>
      </c>
      <c r="C998" s="50" t="s">
        <v>4010</v>
      </c>
      <c r="D998" s="50" t="s">
        <v>3835</v>
      </c>
      <c r="E998" s="50" t="s">
        <v>4011</v>
      </c>
    </row>
    <row r="999" spans="1:5" s="51" customFormat="1" x14ac:dyDescent="0.15">
      <c r="A999" s="50" t="s">
        <v>4012</v>
      </c>
      <c r="B999" s="50" t="s">
        <v>4013</v>
      </c>
      <c r="C999" s="50" t="s">
        <v>4014</v>
      </c>
      <c r="D999" s="50" t="s">
        <v>4015</v>
      </c>
      <c r="E999" s="50" t="s">
        <v>4016</v>
      </c>
    </row>
    <row r="1000" spans="1:5" s="51" customFormat="1" x14ac:dyDescent="0.15">
      <c r="A1000" s="50" t="s">
        <v>4017</v>
      </c>
      <c r="B1000" s="50" t="s">
        <v>4018</v>
      </c>
      <c r="C1000" s="50" t="s">
        <v>4019</v>
      </c>
      <c r="D1000" s="50" t="s">
        <v>4020</v>
      </c>
      <c r="E1000" s="50" t="s">
        <v>4021</v>
      </c>
    </row>
    <row r="1001" spans="1:5" s="51" customFormat="1" x14ac:dyDescent="0.15">
      <c r="A1001" s="50" t="s">
        <v>4022</v>
      </c>
      <c r="B1001" s="50" t="s">
        <v>4023</v>
      </c>
      <c r="C1001" s="50" t="s">
        <v>4024</v>
      </c>
      <c r="D1001" s="50" t="s">
        <v>4015</v>
      </c>
      <c r="E1001" s="50" t="s">
        <v>4025</v>
      </c>
    </row>
    <row r="1002" spans="1:5" s="51" customFormat="1" x14ac:dyDescent="0.15">
      <c r="A1002" s="50" t="s">
        <v>4026</v>
      </c>
      <c r="B1002" s="50" t="s">
        <v>4027</v>
      </c>
      <c r="C1002" s="50" t="s">
        <v>4028</v>
      </c>
      <c r="D1002" s="50" t="s">
        <v>4015</v>
      </c>
      <c r="E1002" s="50" t="s">
        <v>4029</v>
      </c>
    </row>
    <row r="1003" spans="1:5" s="51" customFormat="1" x14ac:dyDescent="0.15">
      <c r="A1003" s="50" t="s">
        <v>4030</v>
      </c>
      <c r="B1003" s="50" t="s">
        <v>4031</v>
      </c>
      <c r="C1003" s="50" t="s">
        <v>4032</v>
      </c>
      <c r="D1003" s="50" t="s">
        <v>4015</v>
      </c>
      <c r="E1003" s="50" t="s">
        <v>4033</v>
      </c>
    </row>
    <row r="1004" spans="1:5" s="51" customFormat="1" x14ac:dyDescent="0.15">
      <c r="A1004" s="50" t="s">
        <v>4034</v>
      </c>
      <c r="B1004" s="50" t="s">
        <v>4035</v>
      </c>
      <c r="C1004" s="50" t="s">
        <v>4036</v>
      </c>
      <c r="D1004" s="50" t="s">
        <v>4015</v>
      </c>
      <c r="E1004" s="50" t="s">
        <v>4037</v>
      </c>
    </row>
    <row r="1005" spans="1:5" s="51" customFormat="1" x14ac:dyDescent="0.15">
      <c r="A1005" s="50" t="s">
        <v>4038</v>
      </c>
      <c r="B1005" s="50" t="s">
        <v>4039</v>
      </c>
      <c r="C1005" s="50" t="s">
        <v>4040</v>
      </c>
      <c r="D1005" s="50" t="s">
        <v>3802</v>
      </c>
      <c r="E1005" s="50" t="s">
        <v>4041</v>
      </c>
    </row>
    <row r="1006" spans="1:5" s="51" customFormat="1" x14ac:dyDescent="0.15">
      <c r="A1006" s="50" t="s">
        <v>4042</v>
      </c>
      <c r="B1006" s="50" t="s">
        <v>4043</v>
      </c>
      <c r="C1006" s="50" t="s">
        <v>4044</v>
      </c>
      <c r="D1006" s="50" t="s">
        <v>3802</v>
      </c>
      <c r="E1006" s="50" t="s">
        <v>4045</v>
      </c>
    </row>
    <row r="1007" spans="1:5" s="51" customFormat="1" x14ac:dyDescent="0.15">
      <c r="A1007" s="50" t="s">
        <v>4046</v>
      </c>
      <c r="B1007" s="50" t="s">
        <v>4047</v>
      </c>
      <c r="C1007" s="50" t="s">
        <v>4048</v>
      </c>
      <c r="D1007" s="50" t="s">
        <v>3802</v>
      </c>
      <c r="E1007" s="50" t="s">
        <v>4049</v>
      </c>
    </row>
    <row r="1008" spans="1:5" s="51" customFormat="1" x14ac:dyDescent="0.15">
      <c r="A1008" s="50" t="s">
        <v>4050</v>
      </c>
      <c r="B1008" s="50" t="s">
        <v>4051</v>
      </c>
      <c r="C1008" s="50" t="s">
        <v>4052</v>
      </c>
      <c r="D1008" s="50" t="s">
        <v>3802</v>
      </c>
      <c r="E1008" s="50" t="s">
        <v>4053</v>
      </c>
    </row>
    <row r="1009" spans="1:5" s="51" customFormat="1" x14ac:dyDescent="0.15">
      <c r="A1009" s="50" t="s">
        <v>4054</v>
      </c>
      <c r="B1009" s="50" t="s">
        <v>4055</v>
      </c>
      <c r="C1009" s="50" t="s">
        <v>4056</v>
      </c>
      <c r="D1009" s="50" t="s">
        <v>3802</v>
      </c>
      <c r="E1009" s="50" t="s">
        <v>4057</v>
      </c>
    </row>
    <row r="1010" spans="1:5" s="51" customFormat="1" x14ac:dyDescent="0.15">
      <c r="A1010" s="50" t="s">
        <v>4058</v>
      </c>
      <c r="B1010" s="50" t="s">
        <v>4059</v>
      </c>
      <c r="C1010" s="50" t="s">
        <v>4060</v>
      </c>
      <c r="D1010" s="50" t="s">
        <v>3849</v>
      </c>
      <c r="E1010" s="50" t="s">
        <v>4061</v>
      </c>
    </row>
    <row r="1011" spans="1:5" s="51" customFormat="1" x14ac:dyDescent="0.15">
      <c r="A1011" s="50" t="s">
        <v>4062</v>
      </c>
      <c r="B1011" s="50" t="s">
        <v>4063</v>
      </c>
      <c r="C1011" s="50" t="s">
        <v>4064</v>
      </c>
      <c r="D1011" s="50" t="s">
        <v>3849</v>
      </c>
      <c r="E1011" s="50" t="s">
        <v>4065</v>
      </c>
    </row>
    <row r="1012" spans="1:5" s="51" customFormat="1" x14ac:dyDescent="0.15">
      <c r="A1012" s="50" t="s">
        <v>4066</v>
      </c>
      <c r="B1012" s="50" t="s">
        <v>4067</v>
      </c>
      <c r="C1012" s="50" t="s">
        <v>4068</v>
      </c>
      <c r="D1012" s="50" t="s">
        <v>3849</v>
      </c>
      <c r="E1012" s="50" t="s">
        <v>4069</v>
      </c>
    </row>
    <row r="1013" spans="1:5" s="51" customFormat="1" x14ac:dyDescent="0.15">
      <c r="A1013" s="50" t="s">
        <v>4070</v>
      </c>
      <c r="B1013" s="50" t="s">
        <v>4071</v>
      </c>
      <c r="C1013" s="50" t="s">
        <v>4072</v>
      </c>
      <c r="D1013" s="50" t="s">
        <v>3849</v>
      </c>
      <c r="E1013" s="50" t="s">
        <v>4073</v>
      </c>
    </row>
    <row r="1014" spans="1:5" s="51" customFormat="1" x14ac:dyDescent="0.15">
      <c r="A1014" s="50" t="s">
        <v>4074</v>
      </c>
      <c r="B1014" s="50" t="s">
        <v>4075</v>
      </c>
      <c r="C1014" s="50" t="s">
        <v>4076</v>
      </c>
      <c r="D1014" s="50" t="s">
        <v>3807</v>
      </c>
      <c r="E1014" s="50" t="s">
        <v>4077</v>
      </c>
    </row>
    <row r="1015" spans="1:5" s="51" customFormat="1" x14ac:dyDescent="0.15">
      <c r="A1015" s="50" t="s">
        <v>4078</v>
      </c>
      <c r="B1015" s="50" t="s">
        <v>4079</v>
      </c>
      <c r="C1015" s="50" t="s">
        <v>4080</v>
      </c>
      <c r="D1015" s="50" t="s">
        <v>3797</v>
      </c>
      <c r="E1015" s="50" t="s">
        <v>4081</v>
      </c>
    </row>
    <row r="1016" spans="1:5" s="51" customFormat="1" x14ac:dyDescent="0.15">
      <c r="A1016" s="50" t="s">
        <v>4082</v>
      </c>
      <c r="B1016" s="50" t="s">
        <v>4083</v>
      </c>
      <c r="C1016" s="50" t="s">
        <v>4084</v>
      </c>
      <c r="D1016" s="50" t="s">
        <v>3797</v>
      </c>
      <c r="E1016" s="50" t="s">
        <v>4085</v>
      </c>
    </row>
    <row r="1017" spans="1:5" s="51" customFormat="1" x14ac:dyDescent="0.15">
      <c r="A1017" s="50" t="s">
        <v>4086</v>
      </c>
      <c r="B1017" s="50" t="s">
        <v>4087</v>
      </c>
      <c r="C1017" s="50" t="s">
        <v>4088</v>
      </c>
      <c r="D1017" s="50" t="s">
        <v>3844</v>
      </c>
      <c r="E1017" s="50" t="s">
        <v>4089</v>
      </c>
    </row>
    <row r="1018" spans="1:5" s="51" customFormat="1" x14ac:dyDescent="0.15">
      <c r="A1018" s="50" t="s">
        <v>4090</v>
      </c>
      <c r="B1018" s="50" t="s">
        <v>4091</v>
      </c>
      <c r="C1018" s="50" t="s">
        <v>4092</v>
      </c>
      <c r="D1018" s="50" t="s">
        <v>3844</v>
      </c>
      <c r="E1018" s="50" t="s">
        <v>4093</v>
      </c>
    </row>
    <row r="1019" spans="1:5" s="51" customFormat="1" x14ac:dyDescent="0.15">
      <c r="A1019" s="50" t="s">
        <v>4094</v>
      </c>
      <c r="B1019" s="50" t="s">
        <v>4095</v>
      </c>
      <c r="C1019" s="50" t="s">
        <v>4096</v>
      </c>
      <c r="D1019" s="50" t="s">
        <v>3844</v>
      </c>
      <c r="E1019" s="50" t="s">
        <v>4097</v>
      </c>
    </row>
    <row r="1020" spans="1:5" s="51" customFormat="1" x14ac:dyDescent="0.15">
      <c r="A1020" s="50" t="s">
        <v>4098</v>
      </c>
      <c r="B1020" s="50" t="s">
        <v>4099</v>
      </c>
      <c r="C1020" s="50" t="s">
        <v>4100</v>
      </c>
      <c r="D1020" s="50" t="s">
        <v>3797</v>
      </c>
      <c r="E1020" s="50" t="s">
        <v>4101</v>
      </c>
    </row>
    <row r="1021" spans="1:5" s="51" customFormat="1" x14ac:dyDescent="0.15">
      <c r="A1021" s="50" t="s">
        <v>4102</v>
      </c>
      <c r="B1021" s="50" t="s">
        <v>4103</v>
      </c>
      <c r="C1021" s="50" t="s">
        <v>4104</v>
      </c>
      <c r="D1021" s="50" t="s">
        <v>3797</v>
      </c>
      <c r="E1021" s="50" t="s">
        <v>4105</v>
      </c>
    </row>
    <row r="1022" spans="1:5" s="51" customFormat="1" x14ac:dyDescent="0.15">
      <c r="A1022" s="50" t="s">
        <v>4106</v>
      </c>
      <c r="B1022" s="50" t="s">
        <v>4107</v>
      </c>
      <c r="C1022" s="50" t="s">
        <v>4108</v>
      </c>
      <c r="D1022" s="50" t="s">
        <v>3797</v>
      </c>
      <c r="E1022" s="50" t="s">
        <v>4109</v>
      </c>
    </row>
    <row r="1023" spans="1:5" s="51" customFormat="1" x14ac:dyDescent="0.15">
      <c r="A1023" s="50" t="s">
        <v>4110</v>
      </c>
      <c r="B1023" s="50" t="s">
        <v>4111</v>
      </c>
      <c r="C1023" s="50" t="s">
        <v>4112</v>
      </c>
      <c r="D1023" s="50" t="s">
        <v>3844</v>
      </c>
      <c r="E1023" s="50" t="s">
        <v>4113</v>
      </c>
    </row>
    <row r="1024" spans="1:5" s="51" customFormat="1" x14ac:dyDescent="0.15">
      <c r="A1024" s="50" t="s">
        <v>4114</v>
      </c>
      <c r="B1024" s="50" t="s">
        <v>4115</v>
      </c>
      <c r="C1024" s="50" t="s">
        <v>4116</v>
      </c>
      <c r="D1024" s="50" t="s">
        <v>4117</v>
      </c>
      <c r="E1024" s="50" t="s">
        <v>4118</v>
      </c>
    </row>
    <row r="1025" spans="1:5" s="51" customFormat="1" x14ac:dyDescent="0.15">
      <c r="A1025" s="50" t="s">
        <v>4119</v>
      </c>
      <c r="B1025" s="50" t="s">
        <v>4120</v>
      </c>
      <c r="C1025" s="50" t="s">
        <v>4121</v>
      </c>
      <c r="D1025" s="50" t="s">
        <v>4122</v>
      </c>
      <c r="E1025" s="50" t="s">
        <v>4123</v>
      </c>
    </row>
    <row r="1026" spans="1:5" s="51" customFormat="1" x14ac:dyDescent="0.15">
      <c r="A1026" s="50" t="s">
        <v>4124</v>
      </c>
      <c r="B1026" s="50" t="s">
        <v>4125</v>
      </c>
      <c r="C1026" s="50" t="s">
        <v>4126</v>
      </c>
      <c r="D1026" s="50" t="s">
        <v>4127</v>
      </c>
      <c r="E1026" s="50" t="s">
        <v>4128</v>
      </c>
    </row>
    <row r="1027" spans="1:5" s="51" customFormat="1" x14ac:dyDescent="0.15">
      <c r="A1027" s="50" t="s">
        <v>4129</v>
      </c>
      <c r="B1027" s="50" t="s">
        <v>4130</v>
      </c>
      <c r="C1027" s="50" t="s">
        <v>4131</v>
      </c>
      <c r="D1027" s="50" t="s">
        <v>4132</v>
      </c>
      <c r="E1027" s="50" t="s">
        <v>4133</v>
      </c>
    </row>
    <row r="1028" spans="1:5" s="51" customFormat="1" x14ac:dyDescent="0.15">
      <c r="A1028" s="50" t="s">
        <v>4134</v>
      </c>
      <c r="B1028" s="50" t="s">
        <v>4135</v>
      </c>
      <c r="C1028" s="50" t="s">
        <v>4136</v>
      </c>
      <c r="D1028" s="50" t="s">
        <v>4137</v>
      </c>
      <c r="E1028" s="50" t="s">
        <v>4138</v>
      </c>
    </row>
    <row r="1029" spans="1:5" s="51" customFormat="1" x14ac:dyDescent="0.15">
      <c r="A1029" s="50" t="s">
        <v>4139</v>
      </c>
      <c r="B1029" s="50" t="s">
        <v>4140</v>
      </c>
      <c r="C1029" s="50" t="s">
        <v>4141</v>
      </c>
      <c r="D1029" s="50" t="s">
        <v>4142</v>
      </c>
      <c r="E1029" s="50" t="s">
        <v>4143</v>
      </c>
    </row>
    <row r="1030" spans="1:5" s="51" customFormat="1" x14ac:dyDescent="0.15">
      <c r="A1030" s="50" t="s">
        <v>4144</v>
      </c>
      <c r="B1030" s="50" t="s">
        <v>4145</v>
      </c>
      <c r="C1030" s="50" t="s">
        <v>4146</v>
      </c>
      <c r="D1030" s="50" t="s">
        <v>4147</v>
      </c>
      <c r="E1030" s="50" t="s">
        <v>4148</v>
      </c>
    </row>
    <row r="1031" spans="1:5" s="51" customFormat="1" x14ac:dyDescent="0.15">
      <c r="A1031" s="50" t="s">
        <v>4149</v>
      </c>
      <c r="B1031" s="50" t="s">
        <v>4150</v>
      </c>
      <c r="C1031" s="50" t="s">
        <v>4151</v>
      </c>
      <c r="D1031" s="50" t="s">
        <v>4132</v>
      </c>
      <c r="E1031" s="50" t="s">
        <v>4152</v>
      </c>
    </row>
    <row r="1032" spans="1:5" s="51" customFormat="1" x14ac:dyDescent="0.15">
      <c r="A1032" s="50" t="s">
        <v>4153</v>
      </c>
      <c r="B1032" s="50" t="s">
        <v>4154</v>
      </c>
      <c r="C1032" s="50" t="s">
        <v>4155</v>
      </c>
      <c r="D1032" s="50" t="s">
        <v>4117</v>
      </c>
      <c r="E1032" s="50" t="s">
        <v>4156</v>
      </c>
    </row>
    <row r="1033" spans="1:5" s="51" customFormat="1" x14ac:dyDescent="0.15">
      <c r="A1033" s="50" t="s">
        <v>4157</v>
      </c>
      <c r="B1033" s="50" t="s">
        <v>4158</v>
      </c>
      <c r="C1033" s="50" t="s">
        <v>4159</v>
      </c>
      <c r="D1033" s="50" t="s">
        <v>4160</v>
      </c>
      <c r="E1033" s="50" t="s">
        <v>4161</v>
      </c>
    </row>
    <row r="1034" spans="1:5" s="51" customFormat="1" x14ac:dyDescent="0.15">
      <c r="A1034" s="50" t="s">
        <v>4162</v>
      </c>
      <c r="B1034" s="50" t="s">
        <v>4163</v>
      </c>
      <c r="C1034" s="50" t="s">
        <v>4164</v>
      </c>
      <c r="D1034" s="50" t="s">
        <v>4165</v>
      </c>
      <c r="E1034" s="50" t="s">
        <v>4166</v>
      </c>
    </row>
    <row r="1035" spans="1:5" s="51" customFormat="1" x14ac:dyDescent="0.15">
      <c r="A1035" s="50" t="s">
        <v>4167</v>
      </c>
      <c r="B1035" s="50" t="s">
        <v>4168</v>
      </c>
      <c r="C1035" s="50" t="s">
        <v>4169</v>
      </c>
      <c r="D1035" s="50" t="s">
        <v>4132</v>
      </c>
      <c r="E1035" s="50" t="s">
        <v>4170</v>
      </c>
    </row>
    <row r="1036" spans="1:5" s="51" customFormat="1" x14ac:dyDescent="0.15">
      <c r="A1036" s="50" t="s">
        <v>4171</v>
      </c>
      <c r="B1036" s="50" t="s">
        <v>4172</v>
      </c>
      <c r="C1036" s="50" t="s">
        <v>4173</v>
      </c>
      <c r="D1036" s="50" t="s">
        <v>4174</v>
      </c>
      <c r="E1036" s="50" t="s">
        <v>4175</v>
      </c>
    </row>
    <row r="1037" spans="1:5" s="51" customFormat="1" x14ac:dyDescent="0.15">
      <c r="A1037" s="50" t="s">
        <v>4176</v>
      </c>
      <c r="B1037" s="50" t="s">
        <v>4177</v>
      </c>
      <c r="C1037" s="50" t="s">
        <v>4178</v>
      </c>
      <c r="D1037" s="50" t="s">
        <v>4165</v>
      </c>
      <c r="E1037" s="50" t="s">
        <v>4179</v>
      </c>
    </row>
    <row r="1038" spans="1:5" s="51" customFormat="1" x14ac:dyDescent="0.15">
      <c r="A1038" s="50" t="s">
        <v>4180</v>
      </c>
      <c r="B1038" s="50" t="s">
        <v>4181</v>
      </c>
      <c r="C1038" s="50" t="s">
        <v>1398</v>
      </c>
      <c r="D1038" s="50" t="s">
        <v>4182</v>
      </c>
      <c r="E1038" s="50" t="s">
        <v>4183</v>
      </c>
    </row>
    <row r="1039" spans="1:5" s="51" customFormat="1" x14ac:dyDescent="0.15">
      <c r="A1039" s="50" t="s">
        <v>4184</v>
      </c>
      <c r="B1039" s="50" t="s">
        <v>4185</v>
      </c>
      <c r="C1039" s="50" t="s">
        <v>4186</v>
      </c>
      <c r="D1039" s="50" t="s">
        <v>4187</v>
      </c>
      <c r="E1039" s="50" t="s">
        <v>4188</v>
      </c>
    </row>
    <row r="1040" spans="1:5" s="51" customFormat="1" x14ac:dyDescent="0.15">
      <c r="A1040" s="50" t="s">
        <v>4189</v>
      </c>
      <c r="B1040" s="50" t="s">
        <v>4190</v>
      </c>
      <c r="C1040" s="50" t="s">
        <v>4191</v>
      </c>
      <c r="D1040" s="50" t="s">
        <v>4192</v>
      </c>
      <c r="E1040" s="50" t="s">
        <v>4193</v>
      </c>
    </row>
    <row r="1041" spans="1:5" s="51" customFormat="1" x14ac:dyDescent="0.15">
      <c r="A1041" s="50" t="s">
        <v>4194</v>
      </c>
      <c r="B1041" s="50" t="s">
        <v>4195</v>
      </c>
      <c r="C1041" s="50" t="s">
        <v>4196</v>
      </c>
      <c r="D1041" s="50" t="s">
        <v>4197</v>
      </c>
      <c r="E1041" s="50" t="s">
        <v>4198</v>
      </c>
    </row>
    <row r="1042" spans="1:5" s="51" customFormat="1" x14ac:dyDescent="0.15">
      <c r="A1042" s="50" t="s">
        <v>4199</v>
      </c>
      <c r="B1042" s="50" t="s">
        <v>4200</v>
      </c>
      <c r="C1042" s="50" t="s">
        <v>4201</v>
      </c>
      <c r="D1042" s="50" t="s">
        <v>4147</v>
      </c>
      <c r="E1042" s="50" t="s">
        <v>4202</v>
      </c>
    </row>
    <row r="1043" spans="1:5" s="51" customFormat="1" x14ac:dyDescent="0.15">
      <c r="A1043" s="50" t="s">
        <v>4203</v>
      </c>
      <c r="B1043" s="50" t="s">
        <v>4204</v>
      </c>
      <c r="C1043" s="50" t="s">
        <v>4205</v>
      </c>
      <c r="D1043" s="50" t="s">
        <v>4206</v>
      </c>
      <c r="E1043" s="50" t="s">
        <v>4207</v>
      </c>
    </row>
    <row r="1044" spans="1:5" s="51" customFormat="1" x14ac:dyDescent="0.15">
      <c r="A1044" s="50" t="s">
        <v>4208</v>
      </c>
      <c r="B1044" s="50" t="s">
        <v>4209</v>
      </c>
      <c r="C1044" s="50" t="s">
        <v>4210</v>
      </c>
      <c r="D1044" s="50" t="s">
        <v>4122</v>
      </c>
      <c r="E1044" s="50" t="s">
        <v>4211</v>
      </c>
    </row>
    <row r="1045" spans="1:5" s="51" customFormat="1" x14ac:dyDescent="0.15">
      <c r="A1045" s="50" t="s">
        <v>4212</v>
      </c>
      <c r="B1045" s="50" t="s">
        <v>4213</v>
      </c>
      <c r="C1045" s="50" t="s">
        <v>4214</v>
      </c>
      <c r="D1045" s="50" t="s">
        <v>4117</v>
      </c>
      <c r="E1045" s="50" t="s">
        <v>4215</v>
      </c>
    </row>
    <row r="1046" spans="1:5" s="51" customFormat="1" x14ac:dyDescent="0.15">
      <c r="A1046" s="50" t="s">
        <v>4216</v>
      </c>
      <c r="B1046" s="50" t="s">
        <v>4217</v>
      </c>
      <c r="C1046" s="50" t="s">
        <v>4218</v>
      </c>
      <c r="D1046" s="50" t="s">
        <v>4117</v>
      </c>
      <c r="E1046" s="50" t="s">
        <v>4215</v>
      </c>
    </row>
    <row r="1047" spans="1:5" s="51" customFormat="1" x14ac:dyDescent="0.15">
      <c r="A1047" s="50" t="s">
        <v>4219</v>
      </c>
      <c r="B1047" s="50" t="s">
        <v>4220</v>
      </c>
      <c r="C1047" s="50" t="s">
        <v>4221</v>
      </c>
      <c r="D1047" s="50" t="s">
        <v>4122</v>
      </c>
      <c r="E1047" s="50" t="s">
        <v>4222</v>
      </c>
    </row>
    <row r="1048" spans="1:5" s="51" customFormat="1" x14ac:dyDescent="0.15">
      <c r="A1048" s="50" t="s">
        <v>4223</v>
      </c>
      <c r="B1048" s="50" t="s">
        <v>4224</v>
      </c>
      <c r="C1048" s="50" t="s">
        <v>4225</v>
      </c>
      <c r="D1048" s="50" t="s">
        <v>4122</v>
      </c>
      <c r="E1048" s="50" t="s">
        <v>4226</v>
      </c>
    </row>
    <row r="1049" spans="1:5" s="51" customFormat="1" x14ac:dyDescent="0.15">
      <c r="A1049" s="50" t="s">
        <v>4227</v>
      </c>
      <c r="B1049" s="50" t="s">
        <v>4228</v>
      </c>
      <c r="C1049" s="50" t="s">
        <v>4229</v>
      </c>
      <c r="D1049" s="50" t="s">
        <v>4122</v>
      </c>
      <c r="E1049" s="50" t="s">
        <v>4230</v>
      </c>
    </row>
    <row r="1050" spans="1:5" s="51" customFormat="1" x14ac:dyDescent="0.15">
      <c r="A1050" s="50" t="s">
        <v>4231</v>
      </c>
      <c r="B1050" s="50" t="s">
        <v>4232</v>
      </c>
      <c r="C1050" s="50" t="s">
        <v>4233</v>
      </c>
      <c r="D1050" s="50" t="s">
        <v>4122</v>
      </c>
      <c r="E1050" s="50" t="s">
        <v>4234</v>
      </c>
    </row>
    <row r="1051" spans="1:5" s="51" customFormat="1" x14ac:dyDescent="0.15">
      <c r="A1051" s="50" t="s">
        <v>4235</v>
      </c>
      <c r="B1051" s="50" t="s">
        <v>4236</v>
      </c>
      <c r="C1051" s="50" t="s">
        <v>4237</v>
      </c>
      <c r="D1051" s="50" t="s">
        <v>4122</v>
      </c>
      <c r="E1051" s="50" t="s">
        <v>4238</v>
      </c>
    </row>
    <row r="1052" spans="1:5" s="51" customFormat="1" x14ac:dyDescent="0.15">
      <c r="A1052" s="50" t="s">
        <v>4239</v>
      </c>
      <c r="B1052" s="50" t="s">
        <v>4240</v>
      </c>
      <c r="C1052" s="50" t="s">
        <v>4241</v>
      </c>
      <c r="D1052" s="50" t="s">
        <v>4122</v>
      </c>
      <c r="E1052" s="50" t="s">
        <v>4242</v>
      </c>
    </row>
    <row r="1053" spans="1:5" s="51" customFormat="1" x14ac:dyDescent="0.15">
      <c r="A1053" s="50" t="s">
        <v>4243</v>
      </c>
      <c r="B1053" s="50" t="s">
        <v>4244</v>
      </c>
      <c r="C1053" s="50" t="s">
        <v>4245</v>
      </c>
      <c r="D1053" s="50" t="s">
        <v>4246</v>
      </c>
      <c r="E1053" s="50" t="s">
        <v>4247</v>
      </c>
    </row>
    <row r="1054" spans="1:5" s="51" customFormat="1" x14ac:dyDescent="0.15">
      <c r="A1054" s="50" t="s">
        <v>4248</v>
      </c>
      <c r="B1054" s="50" t="s">
        <v>4249</v>
      </c>
      <c r="C1054" s="50" t="s">
        <v>4250</v>
      </c>
      <c r="D1054" s="50" t="s">
        <v>4251</v>
      </c>
      <c r="E1054" s="50" t="s">
        <v>4252</v>
      </c>
    </row>
    <row r="1055" spans="1:5" s="51" customFormat="1" x14ac:dyDescent="0.15">
      <c r="A1055" s="50" t="s">
        <v>4253</v>
      </c>
      <c r="B1055" s="50" t="s">
        <v>4254</v>
      </c>
      <c r="C1055" s="50" t="s">
        <v>4255</v>
      </c>
      <c r="D1055" s="50" t="s">
        <v>4256</v>
      </c>
      <c r="E1055" s="50" t="s">
        <v>4257</v>
      </c>
    </row>
    <row r="1056" spans="1:5" s="51" customFormat="1" x14ac:dyDescent="0.15">
      <c r="A1056" s="50" t="s">
        <v>4258</v>
      </c>
      <c r="B1056" s="50" t="s">
        <v>4259</v>
      </c>
      <c r="C1056" s="50" t="s">
        <v>4260</v>
      </c>
      <c r="D1056" s="50" t="s">
        <v>4117</v>
      </c>
      <c r="E1056" s="50" t="s">
        <v>4261</v>
      </c>
    </row>
    <row r="1057" spans="1:5" s="51" customFormat="1" x14ac:dyDescent="0.15">
      <c r="A1057" s="50" t="s">
        <v>4262</v>
      </c>
      <c r="B1057" s="50" t="s">
        <v>4263</v>
      </c>
      <c r="C1057" s="50" t="s">
        <v>4264</v>
      </c>
      <c r="D1057" s="50" t="s">
        <v>4165</v>
      </c>
      <c r="E1057" s="50" t="s">
        <v>4166</v>
      </c>
    </row>
    <row r="1058" spans="1:5" s="51" customFormat="1" x14ac:dyDescent="0.15">
      <c r="A1058" s="50" t="s">
        <v>4265</v>
      </c>
      <c r="B1058" s="50" t="s">
        <v>4266</v>
      </c>
      <c r="C1058" s="50" t="s">
        <v>4267</v>
      </c>
      <c r="D1058" s="50" t="s">
        <v>4165</v>
      </c>
      <c r="E1058" s="50" t="s">
        <v>4268</v>
      </c>
    </row>
    <row r="1059" spans="1:5" s="51" customFormat="1" x14ac:dyDescent="0.15">
      <c r="A1059" s="50" t="s">
        <v>4269</v>
      </c>
      <c r="B1059" s="50" t="s">
        <v>4270</v>
      </c>
      <c r="C1059" s="50" t="s">
        <v>4271</v>
      </c>
      <c r="D1059" s="50" t="s">
        <v>4165</v>
      </c>
      <c r="E1059" s="50" t="s">
        <v>4272</v>
      </c>
    </row>
    <row r="1060" spans="1:5" s="51" customFormat="1" x14ac:dyDescent="0.15">
      <c r="A1060" s="50" t="s">
        <v>4273</v>
      </c>
      <c r="B1060" s="50" t="s">
        <v>4274</v>
      </c>
      <c r="C1060" s="50" t="s">
        <v>4275</v>
      </c>
      <c r="D1060" s="50" t="s">
        <v>4165</v>
      </c>
      <c r="E1060" s="50" t="s">
        <v>4276</v>
      </c>
    </row>
    <row r="1061" spans="1:5" s="51" customFormat="1" x14ac:dyDescent="0.15">
      <c r="A1061" s="50" t="s">
        <v>4277</v>
      </c>
      <c r="B1061" s="50" t="s">
        <v>4278</v>
      </c>
      <c r="C1061" s="50" t="s">
        <v>4279</v>
      </c>
      <c r="D1061" s="50" t="s">
        <v>4165</v>
      </c>
      <c r="E1061" s="50" t="s">
        <v>4280</v>
      </c>
    </row>
    <row r="1062" spans="1:5" s="51" customFormat="1" x14ac:dyDescent="0.15">
      <c r="A1062" s="50" t="s">
        <v>4281</v>
      </c>
      <c r="B1062" s="50" t="s">
        <v>4282</v>
      </c>
      <c r="C1062" s="50" t="s">
        <v>4283</v>
      </c>
      <c r="D1062" s="50" t="s">
        <v>4165</v>
      </c>
      <c r="E1062" s="50" t="s">
        <v>4284</v>
      </c>
    </row>
    <row r="1063" spans="1:5" s="51" customFormat="1" x14ac:dyDescent="0.15">
      <c r="A1063" s="50" t="s">
        <v>4285</v>
      </c>
      <c r="B1063" s="50" t="s">
        <v>4286</v>
      </c>
      <c r="C1063" s="50" t="s">
        <v>4287</v>
      </c>
      <c r="D1063" s="50" t="s">
        <v>4165</v>
      </c>
      <c r="E1063" s="50" t="s">
        <v>4288</v>
      </c>
    </row>
    <row r="1064" spans="1:5" s="51" customFormat="1" x14ac:dyDescent="0.15">
      <c r="A1064" s="50" t="s">
        <v>4289</v>
      </c>
      <c r="B1064" s="50" t="s">
        <v>4290</v>
      </c>
      <c r="C1064" s="50" t="s">
        <v>4291</v>
      </c>
      <c r="D1064" s="50" t="s">
        <v>4165</v>
      </c>
      <c r="E1064" s="50" t="s">
        <v>4292</v>
      </c>
    </row>
    <row r="1065" spans="1:5" s="51" customFormat="1" x14ac:dyDescent="0.15">
      <c r="A1065" s="50" t="s">
        <v>4293</v>
      </c>
      <c r="B1065" s="50" t="s">
        <v>4294</v>
      </c>
      <c r="C1065" s="50" t="s">
        <v>4295</v>
      </c>
      <c r="D1065" s="50" t="s">
        <v>4296</v>
      </c>
      <c r="E1065" s="50" t="s">
        <v>4297</v>
      </c>
    </row>
    <row r="1066" spans="1:5" s="51" customFormat="1" x14ac:dyDescent="0.15">
      <c r="A1066" s="50" t="s">
        <v>4298</v>
      </c>
      <c r="B1066" s="50" t="s">
        <v>4299</v>
      </c>
      <c r="C1066" s="50" t="s">
        <v>4300</v>
      </c>
    </row>
    <row r="1067" spans="1:5" s="51" customFormat="1" x14ac:dyDescent="0.15">
      <c r="A1067" s="50" t="s">
        <v>4301</v>
      </c>
      <c r="B1067" s="50" t="s">
        <v>4302</v>
      </c>
      <c r="C1067" s="50" t="s">
        <v>4303</v>
      </c>
      <c r="D1067" s="50" t="s">
        <v>4304</v>
      </c>
      <c r="E1067" s="50" t="s">
        <v>4305</v>
      </c>
    </row>
    <row r="1068" spans="1:5" s="51" customFormat="1" x14ac:dyDescent="0.15">
      <c r="A1068" s="50" t="s">
        <v>4306</v>
      </c>
      <c r="B1068" s="50" t="s">
        <v>4307</v>
      </c>
      <c r="C1068" s="50" t="s">
        <v>4308</v>
      </c>
      <c r="D1068" s="50" t="s">
        <v>4304</v>
      </c>
      <c r="E1068" s="50" t="s">
        <v>4309</v>
      </c>
    </row>
    <row r="1069" spans="1:5" s="51" customFormat="1" x14ac:dyDescent="0.15">
      <c r="A1069" s="50" t="s">
        <v>4310</v>
      </c>
      <c r="B1069" s="50" t="s">
        <v>4311</v>
      </c>
      <c r="C1069" s="50" t="s">
        <v>4312</v>
      </c>
      <c r="D1069" s="50" t="s">
        <v>4304</v>
      </c>
      <c r="E1069" s="50" t="s">
        <v>4313</v>
      </c>
    </row>
    <row r="1070" spans="1:5" s="51" customFormat="1" x14ac:dyDescent="0.15">
      <c r="A1070" s="50" t="s">
        <v>4314</v>
      </c>
      <c r="B1070" s="50" t="s">
        <v>4315</v>
      </c>
      <c r="C1070" s="50" t="s">
        <v>4316</v>
      </c>
    </row>
    <row r="1071" spans="1:5" s="51" customFormat="1" x14ac:dyDescent="0.15">
      <c r="A1071" s="50" t="s">
        <v>4317</v>
      </c>
      <c r="B1071" s="50" t="s">
        <v>4318</v>
      </c>
      <c r="C1071" s="50" t="s">
        <v>4319</v>
      </c>
      <c r="D1071" s="50" t="s">
        <v>4320</v>
      </c>
      <c r="E1071" s="50" t="s">
        <v>4321</v>
      </c>
    </row>
    <row r="1072" spans="1:5" s="51" customFormat="1" x14ac:dyDescent="0.15">
      <c r="A1072" s="50" t="s">
        <v>4322</v>
      </c>
      <c r="B1072" s="50" t="s">
        <v>4323</v>
      </c>
      <c r="C1072" s="50" t="s">
        <v>4324</v>
      </c>
      <c r="D1072" s="50" t="s">
        <v>4320</v>
      </c>
      <c r="E1072" s="50" t="s">
        <v>4325</v>
      </c>
    </row>
    <row r="1073" spans="1:5" s="51" customFormat="1" x14ac:dyDescent="0.15">
      <c r="A1073" s="50" t="s">
        <v>4326</v>
      </c>
      <c r="B1073" s="50" t="s">
        <v>4327</v>
      </c>
      <c r="C1073" s="50" t="s">
        <v>4328</v>
      </c>
      <c r="D1073" s="50" t="s">
        <v>4320</v>
      </c>
      <c r="E1073" s="50" t="s">
        <v>4329</v>
      </c>
    </row>
    <row r="1074" spans="1:5" s="51" customFormat="1" x14ac:dyDescent="0.15">
      <c r="A1074" s="50" t="s">
        <v>4330</v>
      </c>
      <c r="B1074" s="50" t="s">
        <v>4331</v>
      </c>
      <c r="C1074" s="50" t="s">
        <v>4332</v>
      </c>
      <c r="D1074" s="50" t="s">
        <v>4320</v>
      </c>
      <c r="E1074" s="50" t="s">
        <v>4333</v>
      </c>
    </row>
    <row r="1075" spans="1:5" s="51" customFormat="1" x14ac:dyDescent="0.15">
      <c r="A1075" s="50" t="s">
        <v>4334</v>
      </c>
      <c r="B1075" s="50" t="s">
        <v>4335</v>
      </c>
      <c r="C1075" s="50" t="s">
        <v>4336</v>
      </c>
      <c r="D1075" s="50" t="s">
        <v>4320</v>
      </c>
      <c r="E1075" s="50" t="s">
        <v>4337</v>
      </c>
    </row>
    <row r="1076" spans="1:5" s="51" customFormat="1" x14ac:dyDescent="0.15">
      <c r="A1076" s="50" t="s">
        <v>4338</v>
      </c>
      <c r="B1076" s="50" t="s">
        <v>4339</v>
      </c>
      <c r="C1076" s="50" t="s">
        <v>4340</v>
      </c>
      <c r="D1076" s="50" t="s">
        <v>4320</v>
      </c>
      <c r="E1076" s="50" t="s">
        <v>4341</v>
      </c>
    </row>
    <row r="1077" spans="1:5" s="51" customFormat="1" x14ac:dyDescent="0.15">
      <c r="A1077" s="50" t="s">
        <v>4342</v>
      </c>
      <c r="B1077" s="50" t="s">
        <v>4343</v>
      </c>
      <c r="C1077" s="50" t="s">
        <v>4344</v>
      </c>
      <c r="D1077" s="50" t="s">
        <v>4320</v>
      </c>
      <c r="E1077" s="50" t="s">
        <v>4345</v>
      </c>
    </row>
    <row r="1078" spans="1:5" s="51" customFormat="1" x14ac:dyDescent="0.15">
      <c r="A1078" s="50" t="s">
        <v>4346</v>
      </c>
      <c r="B1078" s="50" t="s">
        <v>4347</v>
      </c>
      <c r="C1078" s="50" t="s">
        <v>4348</v>
      </c>
      <c r="D1078" s="50" t="s">
        <v>4349</v>
      </c>
      <c r="E1078" s="50" t="s">
        <v>4350</v>
      </c>
    </row>
    <row r="1079" spans="1:5" s="51" customFormat="1" x14ac:dyDescent="0.15">
      <c r="A1079" s="50" t="s">
        <v>4351</v>
      </c>
      <c r="B1079" s="50" t="s">
        <v>4352</v>
      </c>
      <c r="C1079" s="50" t="s">
        <v>4353</v>
      </c>
      <c r="D1079" s="50" t="s">
        <v>4354</v>
      </c>
      <c r="E1079" s="50" t="s">
        <v>4355</v>
      </c>
    </row>
    <row r="1080" spans="1:5" s="51" customFormat="1" x14ac:dyDescent="0.15">
      <c r="A1080" s="50" t="s">
        <v>4356</v>
      </c>
      <c r="B1080" s="50" t="s">
        <v>4357</v>
      </c>
      <c r="C1080" s="50" t="s">
        <v>4358</v>
      </c>
      <c r="D1080" s="50" t="s">
        <v>3711</v>
      </c>
      <c r="E1080" s="50" t="s">
        <v>4359</v>
      </c>
    </row>
    <row r="1081" spans="1:5" s="51" customFormat="1" x14ac:dyDescent="0.15">
      <c r="A1081" s="50" t="s">
        <v>4360</v>
      </c>
      <c r="B1081" s="50" t="s">
        <v>4361</v>
      </c>
      <c r="C1081" s="50" t="s">
        <v>4362</v>
      </c>
      <c r="D1081" s="50" t="s">
        <v>4363</v>
      </c>
      <c r="E1081" s="50" t="s">
        <v>4364</v>
      </c>
    </row>
    <row r="1082" spans="1:5" s="51" customFormat="1" x14ac:dyDescent="0.15">
      <c r="A1082" s="50" t="s">
        <v>4365</v>
      </c>
      <c r="B1082" s="50" t="s">
        <v>4366</v>
      </c>
      <c r="C1082" s="50" t="s">
        <v>4367</v>
      </c>
      <c r="D1082" s="50" t="s">
        <v>4368</v>
      </c>
      <c r="E1082" s="50" t="s">
        <v>4369</v>
      </c>
    </row>
    <row r="1083" spans="1:5" s="51" customFormat="1" x14ac:dyDescent="0.15">
      <c r="A1083" s="50" t="s">
        <v>4370</v>
      </c>
      <c r="B1083" s="50" t="s">
        <v>4371</v>
      </c>
      <c r="C1083" s="50" t="s">
        <v>4372</v>
      </c>
      <c r="D1083" s="50" t="s">
        <v>4373</v>
      </c>
      <c r="E1083" s="50" t="s">
        <v>4374</v>
      </c>
    </row>
    <row r="1084" spans="1:5" s="51" customFormat="1" x14ac:dyDescent="0.15">
      <c r="A1084" s="50" t="s">
        <v>4375</v>
      </c>
      <c r="B1084" s="50" t="s">
        <v>4376</v>
      </c>
      <c r="C1084" s="50" t="s">
        <v>4377</v>
      </c>
      <c r="D1084" s="50" t="s">
        <v>4378</v>
      </c>
      <c r="E1084" s="50" t="s">
        <v>4379</v>
      </c>
    </row>
    <row r="1085" spans="1:5" s="51" customFormat="1" x14ac:dyDescent="0.15">
      <c r="A1085" s="50" t="s">
        <v>4380</v>
      </c>
      <c r="B1085" s="50" t="s">
        <v>4381</v>
      </c>
      <c r="C1085" s="50" t="s">
        <v>4382</v>
      </c>
      <c r="D1085" s="50" t="s">
        <v>4383</v>
      </c>
      <c r="E1085" s="50" t="s">
        <v>4384</v>
      </c>
    </row>
    <row r="1086" spans="1:5" s="51" customFormat="1" x14ac:dyDescent="0.15">
      <c r="A1086" s="50" t="s">
        <v>4385</v>
      </c>
      <c r="B1086" s="50" t="s">
        <v>4386</v>
      </c>
      <c r="C1086" s="50" t="s">
        <v>4387</v>
      </c>
      <c r="D1086" s="50" t="s">
        <v>4304</v>
      </c>
      <c r="E1086" s="50" t="s">
        <v>4388</v>
      </c>
    </row>
    <row r="1087" spans="1:5" s="51" customFormat="1" x14ac:dyDescent="0.15">
      <c r="A1087" s="50" t="s">
        <v>4389</v>
      </c>
      <c r="B1087" s="50" t="s">
        <v>4390</v>
      </c>
      <c r="C1087" s="50" t="s">
        <v>4391</v>
      </c>
      <c r="D1087" s="50" t="s">
        <v>4392</v>
      </c>
      <c r="E1087" s="50" t="s">
        <v>4393</v>
      </c>
    </row>
    <row r="1088" spans="1:5" s="51" customFormat="1" x14ac:dyDescent="0.15">
      <c r="A1088" s="50" t="s">
        <v>4394</v>
      </c>
      <c r="B1088" s="50" t="s">
        <v>4395</v>
      </c>
      <c r="C1088" s="50" t="s">
        <v>4396</v>
      </c>
      <c r="D1088" s="50" t="s">
        <v>4304</v>
      </c>
      <c r="E1088" s="50" t="s">
        <v>4397</v>
      </c>
    </row>
    <row r="1089" spans="1:5" s="51" customFormat="1" x14ac:dyDescent="0.15">
      <c r="A1089" s="50" t="s">
        <v>4398</v>
      </c>
      <c r="B1089" s="50" t="s">
        <v>4399</v>
      </c>
      <c r="C1089" s="50" t="s">
        <v>4400</v>
      </c>
      <c r="D1089" s="50" t="s">
        <v>4401</v>
      </c>
      <c r="E1089" s="50" t="s">
        <v>4402</v>
      </c>
    </row>
    <row r="1090" spans="1:5" s="51" customFormat="1" x14ac:dyDescent="0.15">
      <c r="A1090" s="50" t="s">
        <v>4403</v>
      </c>
      <c r="B1090" s="50" t="s">
        <v>4404</v>
      </c>
      <c r="C1090" s="50" t="s">
        <v>4405</v>
      </c>
      <c r="D1090" s="50" t="s">
        <v>4406</v>
      </c>
      <c r="E1090" s="50" t="s">
        <v>4407</v>
      </c>
    </row>
    <row r="1091" spans="1:5" s="51" customFormat="1" x14ac:dyDescent="0.15">
      <c r="A1091" s="50" t="s">
        <v>4408</v>
      </c>
      <c r="B1091" s="50" t="s">
        <v>4409</v>
      </c>
      <c r="C1091" s="50" t="s">
        <v>4410</v>
      </c>
      <c r="D1091" s="50" t="s">
        <v>4411</v>
      </c>
      <c r="E1091" s="50" t="s">
        <v>4412</v>
      </c>
    </row>
    <row r="1092" spans="1:5" s="51" customFormat="1" x14ac:dyDescent="0.15">
      <c r="A1092" s="50" t="s">
        <v>4413</v>
      </c>
      <c r="B1092" s="50" t="s">
        <v>4414</v>
      </c>
      <c r="C1092" s="50" t="s">
        <v>4415</v>
      </c>
      <c r="D1092" s="50" t="s">
        <v>4416</v>
      </c>
      <c r="E1092" s="50" t="s">
        <v>4417</v>
      </c>
    </row>
    <row r="1093" spans="1:5" s="51" customFormat="1" x14ac:dyDescent="0.15">
      <c r="A1093" s="50" t="s">
        <v>4418</v>
      </c>
      <c r="B1093" s="50" t="s">
        <v>4419</v>
      </c>
      <c r="C1093" s="50" t="s">
        <v>4420</v>
      </c>
      <c r="D1093" s="50" t="s">
        <v>4320</v>
      </c>
      <c r="E1093" s="50" t="s">
        <v>4421</v>
      </c>
    </row>
    <row r="1094" spans="1:5" s="51" customFormat="1" x14ac:dyDescent="0.15">
      <c r="A1094" s="50" t="s">
        <v>4422</v>
      </c>
      <c r="B1094" s="50" t="s">
        <v>4423</v>
      </c>
      <c r="C1094" s="50" t="s">
        <v>4424</v>
      </c>
      <c r="D1094" s="50" t="s">
        <v>4425</v>
      </c>
      <c r="E1094" s="50" t="s">
        <v>4426</v>
      </c>
    </row>
    <row r="1095" spans="1:5" s="51" customFormat="1" x14ac:dyDescent="0.15">
      <c r="A1095" s="50" t="s">
        <v>4427</v>
      </c>
      <c r="B1095" s="50" t="s">
        <v>4428</v>
      </c>
      <c r="C1095" s="50" t="s">
        <v>4429</v>
      </c>
      <c r="D1095" s="50" t="s">
        <v>4430</v>
      </c>
      <c r="E1095" s="50" t="s">
        <v>4431</v>
      </c>
    </row>
    <row r="1096" spans="1:5" s="51" customFormat="1" x14ac:dyDescent="0.15">
      <c r="A1096" s="50" t="s">
        <v>4432</v>
      </c>
      <c r="B1096" s="50" t="s">
        <v>4433</v>
      </c>
      <c r="C1096" s="50" t="s">
        <v>4434</v>
      </c>
      <c r="D1096" s="50" t="s">
        <v>4435</v>
      </c>
      <c r="E1096" s="50" t="s">
        <v>4436</v>
      </c>
    </row>
    <row r="1097" spans="1:5" s="51" customFormat="1" x14ac:dyDescent="0.15">
      <c r="A1097" s="50" t="s">
        <v>4437</v>
      </c>
      <c r="B1097" s="50" t="s">
        <v>4438</v>
      </c>
      <c r="C1097" s="50" t="s">
        <v>4439</v>
      </c>
      <c r="D1097" s="50" t="s">
        <v>4349</v>
      </c>
      <c r="E1097" s="50" t="s">
        <v>4440</v>
      </c>
    </row>
    <row r="1098" spans="1:5" s="51" customFormat="1" x14ac:dyDescent="0.15">
      <c r="A1098" s="50" t="s">
        <v>4441</v>
      </c>
      <c r="B1098" s="50" t="s">
        <v>4442</v>
      </c>
      <c r="C1098" s="50" t="s">
        <v>4443</v>
      </c>
      <c r="D1098" s="50" t="s">
        <v>4444</v>
      </c>
      <c r="E1098" s="50" t="s">
        <v>4445</v>
      </c>
    </row>
    <row r="1099" spans="1:5" s="51" customFormat="1" x14ac:dyDescent="0.15">
      <c r="A1099" s="50" t="s">
        <v>4446</v>
      </c>
      <c r="B1099" s="50" t="s">
        <v>4447</v>
      </c>
      <c r="C1099" s="50" t="s">
        <v>4448</v>
      </c>
      <c r="D1099" s="50" t="s">
        <v>4368</v>
      </c>
      <c r="E1099" s="50" t="s">
        <v>4449</v>
      </c>
    </row>
    <row r="1100" spans="1:5" s="51" customFormat="1" x14ac:dyDescent="0.15">
      <c r="A1100" s="50" t="s">
        <v>4450</v>
      </c>
      <c r="B1100" s="50" t="s">
        <v>4451</v>
      </c>
      <c r="C1100" s="50" t="s">
        <v>4452</v>
      </c>
      <c r="D1100" s="50" t="s">
        <v>4411</v>
      </c>
      <c r="E1100" s="50" t="s">
        <v>4453</v>
      </c>
    </row>
    <row r="1101" spans="1:5" s="51" customFormat="1" x14ac:dyDescent="0.15">
      <c r="A1101" s="50" t="s">
        <v>4454</v>
      </c>
      <c r="B1101" s="50" t="s">
        <v>4455</v>
      </c>
      <c r="C1101" s="50" t="s">
        <v>4456</v>
      </c>
      <c r="D1101" s="50" t="s">
        <v>4411</v>
      </c>
      <c r="E1101" s="50" t="s">
        <v>4457</v>
      </c>
    </row>
    <row r="1102" spans="1:5" s="51" customFormat="1" x14ac:dyDescent="0.15">
      <c r="A1102" s="50" t="s">
        <v>4458</v>
      </c>
      <c r="B1102" s="50" t="s">
        <v>4459</v>
      </c>
      <c r="C1102" s="50" t="s">
        <v>4460</v>
      </c>
      <c r="D1102" s="50" t="s">
        <v>4411</v>
      </c>
      <c r="E1102" s="50" t="s">
        <v>4461</v>
      </c>
    </row>
    <row r="1103" spans="1:5" s="51" customFormat="1" x14ac:dyDescent="0.15">
      <c r="A1103" s="50" t="s">
        <v>4462</v>
      </c>
      <c r="B1103" s="50" t="s">
        <v>4463</v>
      </c>
      <c r="C1103" s="50" t="s">
        <v>4464</v>
      </c>
      <c r="D1103" s="50" t="s">
        <v>4411</v>
      </c>
      <c r="E1103" s="50" t="s">
        <v>4465</v>
      </c>
    </row>
    <row r="1104" spans="1:5" s="51" customFormat="1" x14ac:dyDescent="0.15">
      <c r="A1104" s="50" t="s">
        <v>4466</v>
      </c>
      <c r="B1104" s="50" t="s">
        <v>4467</v>
      </c>
      <c r="C1104" s="50" t="s">
        <v>4468</v>
      </c>
      <c r="D1104" s="50" t="s">
        <v>3711</v>
      </c>
      <c r="E1104" s="50" t="s">
        <v>4469</v>
      </c>
    </row>
    <row r="1105" spans="1:5" s="51" customFormat="1" x14ac:dyDescent="0.15">
      <c r="A1105" s="50" t="s">
        <v>4470</v>
      </c>
      <c r="B1105" s="50" t="s">
        <v>4471</v>
      </c>
      <c r="C1105" s="50" t="s">
        <v>4472</v>
      </c>
      <c r="D1105" s="50" t="s">
        <v>3711</v>
      </c>
      <c r="E1105" s="50" t="s">
        <v>4473</v>
      </c>
    </row>
    <row r="1106" spans="1:5" s="51" customFormat="1" x14ac:dyDescent="0.15">
      <c r="A1106" s="50" t="s">
        <v>4474</v>
      </c>
      <c r="B1106" s="50" t="s">
        <v>4475</v>
      </c>
      <c r="C1106" s="50" t="s">
        <v>4476</v>
      </c>
      <c r="D1106" s="50" t="s">
        <v>3711</v>
      </c>
      <c r="E1106" s="50" t="s">
        <v>4473</v>
      </c>
    </row>
    <row r="1107" spans="1:5" s="51" customFormat="1" x14ac:dyDescent="0.15">
      <c r="A1107" s="50" t="s">
        <v>4477</v>
      </c>
      <c r="B1107" s="50" t="s">
        <v>4478</v>
      </c>
      <c r="C1107" s="50" t="s">
        <v>4479</v>
      </c>
      <c r="D1107" s="50" t="s">
        <v>4401</v>
      </c>
      <c r="E1107" s="50" t="s">
        <v>4480</v>
      </c>
    </row>
    <row r="1108" spans="1:5" s="51" customFormat="1" x14ac:dyDescent="0.15">
      <c r="A1108" s="50" t="s">
        <v>4481</v>
      </c>
      <c r="B1108" s="50" t="s">
        <v>4482</v>
      </c>
      <c r="C1108" s="50" t="s">
        <v>4483</v>
      </c>
      <c r="D1108" s="50" t="s">
        <v>4444</v>
      </c>
      <c r="E1108" s="50" t="s">
        <v>4484</v>
      </c>
    </row>
    <row r="1109" spans="1:5" s="51" customFormat="1" x14ac:dyDescent="0.15">
      <c r="A1109" s="50" t="s">
        <v>4485</v>
      </c>
      <c r="B1109" s="50" t="s">
        <v>4486</v>
      </c>
      <c r="C1109" s="50" t="s">
        <v>4487</v>
      </c>
      <c r="D1109" s="50" t="s">
        <v>4373</v>
      </c>
      <c r="E1109" s="50" t="s">
        <v>4488</v>
      </c>
    </row>
    <row r="1110" spans="1:5" s="51" customFormat="1" x14ac:dyDescent="0.15">
      <c r="A1110" s="50" t="s">
        <v>4489</v>
      </c>
      <c r="B1110" s="50" t="s">
        <v>4490</v>
      </c>
      <c r="C1110" s="50" t="s">
        <v>4491</v>
      </c>
      <c r="D1110" s="50" t="s">
        <v>4406</v>
      </c>
      <c r="E1110" s="50" t="s">
        <v>4492</v>
      </c>
    </row>
    <row r="1111" spans="1:5" s="51" customFormat="1" x14ac:dyDescent="0.15">
      <c r="A1111" s="50" t="s">
        <v>4493</v>
      </c>
      <c r="B1111" s="50" t="s">
        <v>4494</v>
      </c>
      <c r="C1111" s="50" t="s">
        <v>4495</v>
      </c>
    </row>
    <row r="1112" spans="1:5" s="51" customFormat="1" x14ac:dyDescent="0.15">
      <c r="A1112" s="50" t="s">
        <v>4496</v>
      </c>
      <c r="B1112" s="50" t="s">
        <v>4497</v>
      </c>
      <c r="C1112" s="50" t="s">
        <v>4498</v>
      </c>
      <c r="D1112" s="50" t="s">
        <v>4499</v>
      </c>
      <c r="E1112" s="50" t="s">
        <v>4500</v>
      </c>
    </row>
    <row r="1113" spans="1:5" s="51" customFormat="1" x14ac:dyDescent="0.15">
      <c r="A1113" s="50" t="s">
        <v>4501</v>
      </c>
      <c r="B1113" s="50" t="s">
        <v>4502</v>
      </c>
      <c r="C1113" s="50" t="s">
        <v>4503</v>
      </c>
      <c r="D1113" s="50" t="s">
        <v>4499</v>
      </c>
      <c r="E1113" s="50" t="s">
        <v>4504</v>
      </c>
    </row>
    <row r="1114" spans="1:5" s="51" customFormat="1" x14ac:dyDescent="0.15">
      <c r="A1114" s="50" t="s">
        <v>4505</v>
      </c>
      <c r="B1114" s="50" t="s">
        <v>4506</v>
      </c>
      <c r="C1114" s="50" t="s">
        <v>4507</v>
      </c>
      <c r="D1114" s="50" t="s">
        <v>4499</v>
      </c>
      <c r="E1114" s="50" t="s">
        <v>4508</v>
      </c>
    </row>
    <row r="1115" spans="1:5" s="51" customFormat="1" x14ac:dyDescent="0.15">
      <c r="A1115" s="50" t="s">
        <v>4509</v>
      </c>
      <c r="B1115" s="50" t="s">
        <v>4510</v>
      </c>
      <c r="C1115" s="50" t="s">
        <v>4511</v>
      </c>
      <c r="D1115" s="50" t="s">
        <v>4499</v>
      </c>
      <c r="E1115" s="50" t="s">
        <v>4512</v>
      </c>
    </row>
    <row r="1116" spans="1:5" s="51" customFormat="1" x14ac:dyDescent="0.15">
      <c r="A1116" s="50" t="s">
        <v>4513</v>
      </c>
      <c r="B1116" s="50" t="s">
        <v>4514</v>
      </c>
      <c r="C1116" s="50" t="s">
        <v>4515</v>
      </c>
      <c r="D1116" s="50" t="s">
        <v>4499</v>
      </c>
      <c r="E1116" s="50" t="s">
        <v>4516</v>
      </c>
    </row>
    <row r="1117" spans="1:5" s="51" customFormat="1" x14ac:dyDescent="0.15">
      <c r="A1117" s="50" t="s">
        <v>4517</v>
      </c>
      <c r="B1117" s="50" t="s">
        <v>4518</v>
      </c>
      <c r="C1117" s="50" t="s">
        <v>4519</v>
      </c>
      <c r="D1117" s="50" t="s">
        <v>4499</v>
      </c>
      <c r="E1117" s="50" t="s">
        <v>4520</v>
      </c>
    </row>
    <row r="1118" spans="1:5" s="51" customFormat="1" x14ac:dyDescent="0.15">
      <c r="A1118" s="50" t="s">
        <v>4521</v>
      </c>
      <c r="B1118" s="50" t="s">
        <v>4522</v>
      </c>
      <c r="C1118" s="50" t="s">
        <v>4523</v>
      </c>
      <c r="D1118" s="50" t="s">
        <v>4499</v>
      </c>
      <c r="E1118" s="50" t="s">
        <v>4524</v>
      </c>
    </row>
    <row r="1119" spans="1:5" s="51" customFormat="1" x14ac:dyDescent="0.15">
      <c r="A1119" s="50" t="s">
        <v>4525</v>
      </c>
      <c r="B1119" s="50" t="s">
        <v>4526</v>
      </c>
      <c r="C1119" s="50" t="s">
        <v>4527</v>
      </c>
      <c r="D1119" s="50" t="s">
        <v>4499</v>
      </c>
      <c r="E1119" s="50" t="s">
        <v>4528</v>
      </c>
    </row>
    <row r="1120" spans="1:5" s="51" customFormat="1" x14ac:dyDescent="0.15">
      <c r="A1120" s="50" t="s">
        <v>4529</v>
      </c>
      <c r="B1120" s="50" t="s">
        <v>4530</v>
      </c>
      <c r="C1120" s="50" t="s">
        <v>4531</v>
      </c>
      <c r="D1120" s="50" t="s">
        <v>4499</v>
      </c>
      <c r="E1120" s="50" t="s">
        <v>4532</v>
      </c>
    </row>
    <row r="1121" spans="1:5" s="51" customFormat="1" x14ac:dyDescent="0.15">
      <c r="A1121" s="50" t="s">
        <v>4533</v>
      </c>
      <c r="B1121" s="50" t="s">
        <v>4534</v>
      </c>
      <c r="C1121" s="50" t="s">
        <v>4535</v>
      </c>
      <c r="D1121" s="50" t="s">
        <v>4499</v>
      </c>
      <c r="E1121" s="50" t="s">
        <v>4536</v>
      </c>
    </row>
    <row r="1122" spans="1:5" s="51" customFormat="1" x14ac:dyDescent="0.15">
      <c r="A1122" s="50" t="s">
        <v>4537</v>
      </c>
      <c r="B1122" s="50" t="s">
        <v>4538</v>
      </c>
      <c r="C1122" s="50" t="s">
        <v>4539</v>
      </c>
      <c r="D1122" s="50" t="s">
        <v>4499</v>
      </c>
      <c r="E1122" s="50" t="s">
        <v>4540</v>
      </c>
    </row>
    <row r="1123" spans="1:5" s="51" customFormat="1" x14ac:dyDescent="0.15">
      <c r="A1123" s="50" t="s">
        <v>4541</v>
      </c>
      <c r="B1123" s="50" t="s">
        <v>4542</v>
      </c>
      <c r="C1123" s="50" t="s">
        <v>4543</v>
      </c>
      <c r="D1123" s="50" t="s">
        <v>4499</v>
      </c>
      <c r="E1123" s="50" t="s">
        <v>4544</v>
      </c>
    </row>
    <row r="1124" spans="1:5" s="51" customFormat="1" x14ac:dyDescent="0.15">
      <c r="A1124" s="50" t="s">
        <v>4545</v>
      </c>
      <c r="B1124" s="50" t="s">
        <v>4546</v>
      </c>
      <c r="C1124" s="50" t="s">
        <v>4547</v>
      </c>
      <c r="D1124" s="50" t="s">
        <v>4499</v>
      </c>
      <c r="E1124" s="50" t="s">
        <v>4548</v>
      </c>
    </row>
    <row r="1125" spans="1:5" s="51" customFormat="1" x14ac:dyDescent="0.15">
      <c r="A1125" s="50" t="s">
        <v>4549</v>
      </c>
      <c r="B1125" s="50" t="s">
        <v>4550</v>
      </c>
      <c r="C1125" s="50" t="s">
        <v>4551</v>
      </c>
      <c r="D1125" s="50" t="s">
        <v>4499</v>
      </c>
      <c r="E1125" s="50" t="s">
        <v>4552</v>
      </c>
    </row>
    <row r="1126" spans="1:5" s="51" customFormat="1" x14ac:dyDescent="0.15">
      <c r="A1126" s="50" t="s">
        <v>4553</v>
      </c>
      <c r="B1126" s="50" t="s">
        <v>4554</v>
      </c>
      <c r="C1126" s="50" t="s">
        <v>4555</v>
      </c>
      <c r="D1126" s="50" t="s">
        <v>4499</v>
      </c>
      <c r="E1126" s="50" t="s">
        <v>4556</v>
      </c>
    </row>
    <row r="1127" spans="1:5" s="51" customFormat="1" x14ac:dyDescent="0.15">
      <c r="A1127" s="50" t="s">
        <v>4557</v>
      </c>
      <c r="B1127" s="50" t="s">
        <v>4558</v>
      </c>
      <c r="C1127" s="50" t="s">
        <v>4559</v>
      </c>
      <c r="D1127" s="50" t="s">
        <v>4499</v>
      </c>
      <c r="E1127" s="50" t="s">
        <v>4560</v>
      </c>
    </row>
    <row r="1128" spans="1:5" s="51" customFormat="1" x14ac:dyDescent="0.15">
      <c r="A1128" s="50" t="s">
        <v>4561</v>
      </c>
      <c r="B1128" s="50" t="s">
        <v>4562</v>
      </c>
      <c r="C1128" s="50" t="s">
        <v>4563</v>
      </c>
      <c r="D1128" s="50" t="s">
        <v>4564</v>
      </c>
      <c r="E1128" s="50" t="s">
        <v>4565</v>
      </c>
    </row>
    <row r="1129" spans="1:5" s="51" customFormat="1" x14ac:dyDescent="0.15">
      <c r="A1129" s="50" t="s">
        <v>4566</v>
      </c>
      <c r="B1129" s="50" t="s">
        <v>4567</v>
      </c>
      <c r="C1129" s="50" t="s">
        <v>4568</v>
      </c>
      <c r="D1129" s="50" t="s">
        <v>4569</v>
      </c>
      <c r="E1129" s="50" t="s">
        <v>4570</v>
      </c>
    </row>
    <row r="1130" spans="1:5" s="51" customFormat="1" x14ac:dyDescent="0.15">
      <c r="A1130" s="50" t="s">
        <v>4571</v>
      </c>
      <c r="B1130" s="50" t="s">
        <v>4572</v>
      </c>
      <c r="C1130" s="50" t="s">
        <v>4573</v>
      </c>
      <c r="D1130" s="50" t="s">
        <v>4574</v>
      </c>
      <c r="E1130" s="50" t="s">
        <v>4575</v>
      </c>
    </row>
    <row r="1131" spans="1:5" s="51" customFormat="1" x14ac:dyDescent="0.15">
      <c r="A1131" s="50" t="s">
        <v>4576</v>
      </c>
      <c r="B1131" s="50" t="s">
        <v>4577</v>
      </c>
      <c r="C1131" s="50" t="s">
        <v>4578</v>
      </c>
      <c r="D1131" s="50" t="s">
        <v>4579</v>
      </c>
      <c r="E1131" s="50" t="s">
        <v>4580</v>
      </c>
    </row>
    <row r="1132" spans="1:5" s="51" customFormat="1" x14ac:dyDescent="0.15">
      <c r="A1132" s="50" t="s">
        <v>4581</v>
      </c>
      <c r="B1132" s="50" t="s">
        <v>4582</v>
      </c>
      <c r="C1132" s="50" t="s">
        <v>4583</v>
      </c>
      <c r="D1132" s="50" t="s">
        <v>4584</v>
      </c>
      <c r="E1132" s="50" t="s">
        <v>4585</v>
      </c>
    </row>
    <row r="1133" spans="1:5" s="51" customFormat="1" x14ac:dyDescent="0.15">
      <c r="A1133" s="50" t="s">
        <v>4586</v>
      </c>
      <c r="B1133" s="50" t="s">
        <v>4587</v>
      </c>
      <c r="C1133" s="50" t="s">
        <v>4588</v>
      </c>
      <c r="D1133" s="50" t="s">
        <v>4589</v>
      </c>
      <c r="E1133" s="50" t="s">
        <v>4590</v>
      </c>
    </row>
    <row r="1134" spans="1:5" s="51" customFormat="1" x14ac:dyDescent="0.15">
      <c r="A1134" s="50" t="s">
        <v>4591</v>
      </c>
      <c r="B1134" s="50" t="s">
        <v>4592</v>
      </c>
      <c r="C1134" s="50" t="s">
        <v>4593</v>
      </c>
      <c r="D1134" s="50" t="s">
        <v>4594</v>
      </c>
      <c r="E1134" s="50" t="s">
        <v>4595</v>
      </c>
    </row>
    <row r="1135" spans="1:5" s="51" customFormat="1" x14ac:dyDescent="0.15">
      <c r="A1135" s="50" t="s">
        <v>4596</v>
      </c>
      <c r="B1135" s="50" t="s">
        <v>4597</v>
      </c>
      <c r="C1135" s="50" t="s">
        <v>4598</v>
      </c>
      <c r="D1135" s="50" t="s">
        <v>4599</v>
      </c>
      <c r="E1135" s="50" t="s">
        <v>4600</v>
      </c>
    </row>
    <row r="1136" spans="1:5" s="51" customFormat="1" x14ac:dyDescent="0.15">
      <c r="A1136" s="50" t="s">
        <v>4601</v>
      </c>
      <c r="B1136" s="50" t="s">
        <v>4602</v>
      </c>
      <c r="C1136" s="50" t="s">
        <v>4603</v>
      </c>
      <c r="D1136" s="50" t="s">
        <v>4604</v>
      </c>
      <c r="E1136" s="50" t="s">
        <v>4605</v>
      </c>
    </row>
    <row r="1137" spans="1:5" s="51" customFormat="1" x14ac:dyDescent="0.15">
      <c r="A1137" s="50" t="s">
        <v>4606</v>
      </c>
      <c r="B1137" s="50" t="s">
        <v>4607</v>
      </c>
      <c r="C1137" s="50" t="s">
        <v>4608</v>
      </c>
      <c r="D1137" s="50" t="s">
        <v>4604</v>
      </c>
      <c r="E1137" s="50" t="s">
        <v>4609</v>
      </c>
    </row>
    <row r="1138" spans="1:5" s="51" customFormat="1" x14ac:dyDescent="0.15">
      <c r="A1138" s="50" t="s">
        <v>4610</v>
      </c>
      <c r="B1138" s="50" t="s">
        <v>4611</v>
      </c>
      <c r="C1138" s="50" t="s">
        <v>4612</v>
      </c>
      <c r="D1138" s="50" t="s">
        <v>4613</v>
      </c>
      <c r="E1138" s="50" t="s">
        <v>4614</v>
      </c>
    </row>
    <row r="1139" spans="1:5" s="51" customFormat="1" x14ac:dyDescent="0.15">
      <c r="A1139" s="50" t="s">
        <v>4615</v>
      </c>
      <c r="B1139" s="50" t="s">
        <v>4616</v>
      </c>
      <c r="C1139" s="50" t="s">
        <v>4617</v>
      </c>
      <c r="D1139" s="50" t="s">
        <v>4604</v>
      </c>
      <c r="E1139" s="50" t="s">
        <v>4618</v>
      </c>
    </row>
    <row r="1140" spans="1:5" s="51" customFormat="1" x14ac:dyDescent="0.15">
      <c r="A1140" s="50" t="s">
        <v>4619</v>
      </c>
      <c r="B1140" s="50" t="s">
        <v>4620</v>
      </c>
      <c r="C1140" s="50" t="s">
        <v>4621</v>
      </c>
      <c r="D1140" s="50" t="s">
        <v>4622</v>
      </c>
      <c r="E1140" s="50" t="s">
        <v>4623</v>
      </c>
    </row>
    <row r="1141" spans="1:5" s="51" customFormat="1" x14ac:dyDescent="0.15">
      <c r="A1141" s="50" t="s">
        <v>4624</v>
      </c>
      <c r="B1141" s="50" t="s">
        <v>4625</v>
      </c>
      <c r="C1141" s="50" t="s">
        <v>4626</v>
      </c>
      <c r="D1141" s="50" t="s">
        <v>4594</v>
      </c>
      <c r="E1141" s="50" t="s">
        <v>4627</v>
      </c>
    </row>
    <row r="1142" spans="1:5" s="51" customFormat="1" x14ac:dyDescent="0.15">
      <c r="A1142" s="50" t="s">
        <v>4628</v>
      </c>
      <c r="B1142" s="50" t="s">
        <v>4629</v>
      </c>
      <c r="C1142" s="50" t="s">
        <v>4630</v>
      </c>
      <c r="D1142" s="50" t="s">
        <v>4589</v>
      </c>
      <c r="E1142" s="50" t="s">
        <v>4631</v>
      </c>
    </row>
    <row r="1143" spans="1:5" s="51" customFormat="1" x14ac:dyDescent="0.15">
      <c r="A1143" s="50" t="s">
        <v>4632</v>
      </c>
      <c r="B1143" s="50" t="s">
        <v>4633</v>
      </c>
      <c r="C1143" s="50" t="s">
        <v>4634</v>
      </c>
      <c r="D1143" s="50" t="s">
        <v>4584</v>
      </c>
      <c r="E1143" s="50" t="s">
        <v>4635</v>
      </c>
    </row>
    <row r="1144" spans="1:5" s="51" customFormat="1" x14ac:dyDescent="0.15">
      <c r="A1144" s="50" t="s">
        <v>4636</v>
      </c>
      <c r="B1144" s="50" t="s">
        <v>4637</v>
      </c>
      <c r="C1144" s="50" t="s">
        <v>4638</v>
      </c>
      <c r="D1144" s="50" t="s">
        <v>4639</v>
      </c>
      <c r="E1144" s="50" t="s">
        <v>4640</v>
      </c>
    </row>
    <row r="1145" spans="1:5" s="51" customFormat="1" x14ac:dyDescent="0.15">
      <c r="A1145" s="50" t="s">
        <v>4641</v>
      </c>
      <c r="B1145" s="50" t="s">
        <v>4642</v>
      </c>
      <c r="C1145" s="50" t="s">
        <v>4643</v>
      </c>
      <c r="D1145" s="50" t="s">
        <v>4589</v>
      </c>
      <c r="E1145" s="50" t="s">
        <v>4644</v>
      </c>
    </row>
    <row r="1146" spans="1:5" s="51" customFormat="1" x14ac:dyDescent="0.15">
      <c r="A1146" s="50" t="s">
        <v>4645</v>
      </c>
      <c r="B1146" s="50" t="s">
        <v>4646</v>
      </c>
      <c r="C1146" s="50" t="s">
        <v>4647</v>
      </c>
      <c r="D1146" s="50" t="s">
        <v>4648</v>
      </c>
      <c r="E1146" s="50" t="s">
        <v>4649</v>
      </c>
    </row>
    <row r="1147" spans="1:5" s="51" customFormat="1" x14ac:dyDescent="0.15">
      <c r="A1147" s="50" t="s">
        <v>4650</v>
      </c>
      <c r="B1147" s="50" t="s">
        <v>4651</v>
      </c>
      <c r="C1147" s="50" t="s">
        <v>4652</v>
      </c>
      <c r="D1147" s="50" t="s">
        <v>4653</v>
      </c>
      <c r="E1147" s="50" t="s">
        <v>4654</v>
      </c>
    </row>
    <row r="1148" spans="1:5" s="51" customFormat="1" x14ac:dyDescent="0.15">
      <c r="A1148" s="50" t="s">
        <v>4655</v>
      </c>
      <c r="B1148" s="50" t="s">
        <v>4656</v>
      </c>
      <c r="C1148" s="50" t="s">
        <v>4657</v>
      </c>
      <c r="D1148" s="50" t="s">
        <v>4658</v>
      </c>
      <c r="E1148" s="50" t="s">
        <v>4659</v>
      </c>
    </row>
    <row r="1149" spans="1:5" s="51" customFormat="1" x14ac:dyDescent="0.15">
      <c r="A1149" s="50" t="s">
        <v>4660</v>
      </c>
      <c r="B1149" s="50" t="s">
        <v>4661</v>
      </c>
      <c r="C1149" s="50" t="s">
        <v>4662</v>
      </c>
      <c r="D1149" s="50" t="s">
        <v>4663</v>
      </c>
      <c r="E1149" s="50" t="s">
        <v>4664</v>
      </c>
    </row>
    <row r="1150" spans="1:5" s="51" customFormat="1" x14ac:dyDescent="0.15">
      <c r="A1150" s="50" t="s">
        <v>4665</v>
      </c>
      <c r="B1150" s="50" t="s">
        <v>4666</v>
      </c>
      <c r="C1150" s="50" t="s">
        <v>4667</v>
      </c>
      <c r="D1150" s="50" t="s">
        <v>4668</v>
      </c>
      <c r="E1150" s="50" t="s">
        <v>4669</v>
      </c>
    </row>
    <row r="1151" spans="1:5" s="51" customFormat="1" x14ac:dyDescent="0.15">
      <c r="A1151" s="50" t="s">
        <v>4670</v>
      </c>
      <c r="B1151" s="50" t="s">
        <v>4671</v>
      </c>
      <c r="C1151" s="50" t="s">
        <v>4672</v>
      </c>
      <c r="D1151" s="50" t="s">
        <v>4604</v>
      </c>
      <c r="E1151" s="50" t="s">
        <v>4673</v>
      </c>
    </row>
    <row r="1152" spans="1:5" s="51" customFormat="1" x14ac:dyDescent="0.15">
      <c r="A1152" s="50" t="s">
        <v>4674</v>
      </c>
      <c r="B1152" s="50" t="s">
        <v>4675</v>
      </c>
      <c r="C1152" s="50" t="s">
        <v>4676</v>
      </c>
      <c r="D1152" s="50" t="s">
        <v>4677</v>
      </c>
      <c r="E1152" s="50" t="s">
        <v>4678</v>
      </c>
    </row>
    <row r="1153" spans="1:5" s="51" customFormat="1" x14ac:dyDescent="0.15">
      <c r="A1153" s="50" t="s">
        <v>4679</v>
      </c>
      <c r="B1153" s="50" t="s">
        <v>4680</v>
      </c>
      <c r="C1153" s="50" t="s">
        <v>4681</v>
      </c>
      <c r="D1153" s="50" t="s">
        <v>4604</v>
      </c>
      <c r="E1153" s="50" t="s">
        <v>4682</v>
      </c>
    </row>
    <row r="1154" spans="1:5" s="51" customFormat="1" x14ac:dyDescent="0.15">
      <c r="A1154" s="50" t="s">
        <v>4683</v>
      </c>
      <c r="B1154" s="50" t="s">
        <v>4684</v>
      </c>
      <c r="C1154" s="50" t="s">
        <v>4685</v>
      </c>
      <c r="D1154" s="50" t="s">
        <v>4639</v>
      </c>
      <c r="E1154" s="50" t="s">
        <v>4686</v>
      </c>
    </row>
    <row r="1155" spans="1:5" s="51" customFormat="1" x14ac:dyDescent="0.15">
      <c r="A1155" s="50" t="s">
        <v>4687</v>
      </c>
      <c r="B1155" s="50" t="s">
        <v>4688</v>
      </c>
      <c r="C1155" s="50" t="s">
        <v>4689</v>
      </c>
      <c r="D1155" s="50" t="s">
        <v>4663</v>
      </c>
      <c r="E1155" s="50" t="s">
        <v>4690</v>
      </c>
    </row>
    <row r="1156" spans="1:5" s="51" customFormat="1" x14ac:dyDescent="0.15">
      <c r="A1156" s="50" t="s">
        <v>4691</v>
      </c>
      <c r="B1156" s="50" t="s">
        <v>4692</v>
      </c>
      <c r="C1156" s="50" t="s">
        <v>4693</v>
      </c>
      <c r="D1156" s="50" t="s">
        <v>4677</v>
      </c>
      <c r="E1156" s="50" t="s">
        <v>4694</v>
      </c>
    </row>
    <row r="1157" spans="1:5" s="51" customFormat="1" x14ac:dyDescent="0.15">
      <c r="A1157" s="50" t="s">
        <v>4695</v>
      </c>
      <c r="B1157" s="50" t="s">
        <v>4696</v>
      </c>
      <c r="C1157" s="50" t="s">
        <v>4697</v>
      </c>
      <c r="D1157" s="50" t="s">
        <v>4698</v>
      </c>
      <c r="E1157" s="50" t="s">
        <v>4699</v>
      </c>
    </row>
    <row r="1158" spans="1:5" s="51" customFormat="1" x14ac:dyDescent="0.15">
      <c r="A1158" s="50" t="s">
        <v>4700</v>
      </c>
      <c r="B1158" s="50" t="s">
        <v>4701</v>
      </c>
      <c r="C1158" s="50" t="s">
        <v>4702</v>
      </c>
      <c r="D1158" s="50" t="s">
        <v>4599</v>
      </c>
      <c r="E1158" s="50" t="s">
        <v>4703</v>
      </c>
    </row>
    <row r="1159" spans="1:5" s="51" customFormat="1" x14ac:dyDescent="0.15">
      <c r="A1159" s="50" t="s">
        <v>4704</v>
      </c>
      <c r="B1159" s="50" t="s">
        <v>4705</v>
      </c>
      <c r="C1159" s="50" t="s">
        <v>4706</v>
      </c>
      <c r="D1159" s="50" t="s">
        <v>4499</v>
      </c>
      <c r="E1159" s="50" t="s">
        <v>4707</v>
      </c>
    </row>
    <row r="1160" spans="1:5" s="51" customFormat="1" x14ac:dyDescent="0.15">
      <c r="A1160" s="50" t="s">
        <v>4708</v>
      </c>
      <c r="B1160" s="50" t="s">
        <v>4709</v>
      </c>
      <c r="C1160" s="50" t="s">
        <v>4710</v>
      </c>
      <c r="D1160" s="50" t="s">
        <v>4589</v>
      </c>
      <c r="E1160" s="50" t="s">
        <v>4711</v>
      </c>
    </row>
    <row r="1161" spans="1:5" s="51" customFormat="1" x14ac:dyDescent="0.15">
      <c r="A1161" s="50" t="s">
        <v>4712</v>
      </c>
      <c r="B1161" s="50" t="s">
        <v>4713</v>
      </c>
      <c r="C1161" s="50" t="s">
        <v>4714</v>
      </c>
      <c r="D1161" s="50" t="s">
        <v>4599</v>
      </c>
      <c r="E1161" s="50" t="s">
        <v>4715</v>
      </c>
    </row>
    <row r="1162" spans="1:5" s="51" customFormat="1" x14ac:dyDescent="0.15">
      <c r="A1162" s="50" t="s">
        <v>4716</v>
      </c>
      <c r="B1162" s="50" t="s">
        <v>4717</v>
      </c>
      <c r="C1162" s="50" t="s">
        <v>4718</v>
      </c>
      <c r="D1162" s="50" t="s">
        <v>4579</v>
      </c>
      <c r="E1162" s="50" t="s">
        <v>4719</v>
      </c>
    </row>
    <row r="1163" spans="1:5" s="51" customFormat="1" x14ac:dyDescent="0.15">
      <c r="A1163" s="50" t="s">
        <v>4720</v>
      </c>
      <c r="B1163" s="50" t="s">
        <v>4721</v>
      </c>
      <c r="C1163" s="50" t="s">
        <v>4722</v>
      </c>
      <c r="D1163" s="50" t="s">
        <v>4499</v>
      </c>
      <c r="E1163" s="50" t="s">
        <v>4723</v>
      </c>
    </row>
    <row r="1164" spans="1:5" s="51" customFormat="1" x14ac:dyDescent="0.15">
      <c r="A1164" s="50" t="s">
        <v>4724</v>
      </c>
      <c r="B1164" s="50" t="s">
        <v>4725</v>
      </c>
      <c r="C1164" s="50" t="s">
        <v>4726</v>
      </c>
      <c r="D1164" s="50" t="s">
        <v>4579</v>
      </c>
      <c r="E1164" s="50" t="s">
        <v>4727</v>
      </c>
    </row>
    <row r="1165" spans="1:5" s="51" customFormat="1" x14ac:dyDescent="0.15">
      <c r="A1165" s="50" t="s">
        <v>4728</v>
      </c>
      <c r="B1165" s="50" t="s">
        <v>4729</v>
      </c>
      <c r="C1165" s="50" t="s">
        <v>4730</v>
      </c>
      <c r="D1165" s="50" t="s">
        <v>4677</v>
      </c>
      <c r="E1165" s="50" t="s">
        <v>4694</v>
      </c>
    </row>
    <row r="1166" spans="1:5" s="51" customFormat="1" x14ac:dyDescent="0.15">
      <c r="A1166" s="50" t="s">
        <v>4731</v>
      </c>
      <c r="B1166" s="50" t="s">
        <v>4732</v>
      </c>
      <c r="C1166" s="50" t="s">
        <v>4733</v>
      </c>
      <c r="D1166" s="50" t="s">
        <v>4589</v>
      </c>
      <c r="E1166" s="50" t="s">
        <v>4734</v>
      </c>
    </row>
    <row r="1167" spans="1:5" s="51" customFormat="1" x14ac:dyDescent="0.15">
      <c r="A1167" s="50" t="s">
        <v>4735</v>
      </c>
      <c r="B1167" s="50" t="s">
        <v>4736</v>
      </c>
      <c r="C1167" s="50" t="s">
        <v>4737</v>
      </c>
      <c r="D1167" s="50" t="s">
        <v>4639</v>
      </c>
      <c r="E1167" s="50" t="s">
        <v>4738</v>
      </c>
    </row>
    <row r="1168" spans="1:5" s="51" customFormat="1" x14ac:dyDescent="0.15">
      <c r="A1168" s="50" t="s">
        <v>4739</v>
      </c>
      <c r="B1168" s="50" t="s">
        <v>4740</v>
      </c>
      <c r="C1168" s="50" t="s">
        <v>4741</v>
      </c>
      <c r="D1168" s="50" t="s">
        <v>4639</v>
      </c>
      <c r="E1168" s="50" t="s">
        <v>4738</v>
      </c>
    </row>
    <row r="1169" spans="1:5" s="51" customFormat="1" x14ac:dyDescent="0.15">
      <c r="A1169" s="50" t="s">
        <v>4742</v>
      </c>
      <c r="B1169" s="50" t="s">
        <v>4743</v>
      </c>
      <c r="C1169" s="50" t="s">
        <v>4744</v>
      </c>
      <c r="D1169" s="50" t="s">
        <v>4499</v>
      </c>
      <c r="E1169" s="50" t="s">
        <v>4745</v>
      </c>
    </row>
    <row r="1170" spans="1:5" s="51" customFormat="1" x14ac:dyDescent="0.15">
      <c r="A1170" s="50" t="s">
        <v>4746</v>
      </c>
      <c r="B1170" s="50" t="s">
        <v>4747</v>
      </c>
      <c r="C1170" s="50" t="s">
        <v>4748</v>
      </c>
      <c r="D1170" s="50" t="s">
        <v>4599</v>
      </c>
      <c r="E1170" s="50" t="s">
        <v>4749</v>
      </c>
    </row>
    <row r="1171" spans="1:5" s="51" customFormat="1" x14ac:dyDescent="0.15">
      <c r="A1171" s="50" t="s">
        <v>4750</v>
      </c>
      <c r="B1171" s="50" t="s">
        <v>4751</v>
      </c>
      <c r="C1171" s="50" t="s">
        <v>4752</v>
      </c>
      <c r="D1171" s="50" t="s">
        <v>4599</v>
      </c>
      <c r="E1171" s="50" t="s">
        <v>4753</v>
      </c>
    </row>
    <row r="1172" spans="1:5" s="51" customFormat="1" x14ac:dyDescent="0.15">
      <c r="A1172" s="50" t="s">
        <v>4754</v>
      </c>
      <c r="B1172" s="50" t="s">
        <v>4755</v>
      </c>
      <c r="C1172" s="50" t="s">
        <v>4756</v>
      </c>
      <c r="D1172" s="50" t="s">
        <v>4584</v>
      </c>
      <c r="E1172" s="50" t="s">
        <v>4757</v>
      </c>
    </row>
    <row r="1173" spans="1:5" s="51" customFormat="1" x14ac:dyDescent="0.15">
      <c r="A1173" s="50" t="s">
        <v>4758</v>
      </c>
      <c r="B1173" s="50" t="s">
        <v>4759</v>
      </c>
      <c r="C1173" s="50" t="s">
        <v>4760</v>
      </c>
      <c r="D1173" s="50" t="s">
        <v>4663</v>
      </c>
      <c r="E1173" s="50" t="s">
        <v>4761</v>
      </c>
    </row>
    <row r="1174" spans="1:5" s="51" customFormat="1" x14ac:dyDescent="0.15">
      <c r="A1174" s="50" t="s">
        <v>4762</v>
      </c>
      <c r="B1174" s="50" t="s">
        <v>4763</v>
      </c>
      <c r="C1174" s="50" t="s">
        <v>4764</v>
      </c>
      <c r="D1174" s="50" t="s">
        <v>4584</v>
      </c>
      <c r="E1174" s="50" t="s">
        <v>4765</v>
      </c>
    </row>
    <row r="1175" spans="1:5" s="51" customFormat="1" x14ac:dyDescent="0.15">
      <c r="A1175" s="50" t="s">
        <v>4766</v>
      </c>
      <c r="B1175" s="50" t="s">
        <v>4767</v>
      </c>
      <c r="C1175" s="50" t="s">
        <v>4768</v>
      </c>
      <c r="D1175" s="50" t="s">
        <v>4584</v>
      </c>
      <c r="E1175" s="50" t="s">
        <v>4769</v>
      </c>
    </row>
    <row r="1176" spans="1:5" s="51" customFormat="1" x14ac:dyDescent="0.15">
      <c r="A1176" s="50" t="s">
        <v>4770</v>
      </c>
      <c r="B1176" s="50" t="s">
        <v>4771</v>
      </c>
      <c r="C1176" s="50" t="s">
        <v>4772</v>
      </c>
      <c r="D1176" s="50" t="s">
        <v>4584</v>
      </c>
      <c r="E1176" s="50" t="s">
        <v>4773</v>
      </c>
    </row>
    <row r="1177" spans="1:5" s="51" customFormat="1" x14ac:dyDescent="0.15">
      <c r="A1177" s="50" t="s">
        <v>4774</v>
      </c>
      <c r="B1177" s="50" t="s">
        <v>4775</v>
      </c>
      <c r="C1177" s="50" t="s">
        <v>4776</v>
      </c>
      <c r="D1177" s="50" t="s">
        <v>4569</v>
      </c>
      <c r="E1177" s="50" t="s">
        <v>4777</v>
      </c>
    </row>
    <row r="1178" spans="1:5" s="51" customFormat="1" x14ac:dyDescent="0.15">
      <c r="A1178" s="50" t="s">
        <v>4778</v>
      </c>
      <c r="B1178" s="50" t="s">
        <v>4779</v>
      </c>
      <c r="C1178" s="50" t="s">
        <v>4780</v>
      </c>
      <c r="D1178" s="50" t="s">
        <v>4653</v>
      </c>
      <c r="E1178" s="50" t="s">
        <v>4781</v>
      </c>
    </row>
    <row r="1179" spans="1:5" s="51" customFormat="1" x14ac:dyDescent="0.15">
      <c r="A1179" s="50" t="s">
        <v>4782</v>
      </c>
      <c r="B1179" s="50" t="s">
        <v>4783</v>
      </c>
      <c r="C1179" s="50" t="s">
        <v>4784</v>
      </c>
      <c r="D1179" s="50" t="s">
        <v>4653</v>
      </c>
      <c r="E1179" s="50" t="s">
        <v>4785</v>
      </c>
    </row>
    <row r="1180" spans="1:5" s="51" customFormat="1" x14ac:dyDescent="0.15">
      <c r="A1180" s="50" t="s">
        <v>4786</v>
      </c>
      <c r="B1180" s="50" t="s">
        <v>4787</v>
      </c>
      <c r="C1180" s="50" t="s">
        <v>4788</v>
      </c>
      <c r="D1180" s="50" t="s">
        <v>4653</v>
      </c>
      <c r="E1180" s="50" t="s">
        <v>4789</v>
      </c>
    </row>
    <row r="1181" spans="1:5" s="51" customFormat="1" x14ac:dyDescent="0.15">
      <c r="A1181" s="50" t="s">
        <v>4790</v>
      </c>
      <c r="B1181" s="50" t="s">
        <v>4791</v>
      </c>
      <c r="C1181" s="50" t="s">
        <v>4792</v>
      </c>
      <c r="D1181" s="50" t="s">
        <v>4793</v>
      </c>
      <c r="E1181" s="50" t="s">
        <v>4794</v>
      </c>
    </row>
    <row r="1182" spans="1:5" s="51" customFormat="1" x14ac:dyDescent="0.15">
      <c r="A1182" s="50" t="s">
        <v>4795</v>
      </c>
      <c r="B1182" s="50" t="s">
        <v>4796</v>
      </c>
      <c r="C1182" s="50" t="s">
        <v>4797</v>
      </c>
      <c r="D1182" s="50" t="s">
        <v>4793</v>
      </c>
      <c r="E1182" s="50" t="s">
        <v>4798</v>
      </c>
    </row>
    <row r="1183" spans="1:5" s="51" customFormat="1" x14ac:dyDescent="0.15">
      <c r="A1183" s="50" t="s">
        <v>4799</v>
      </c>
      <c r="B1183" s="50" t="s">
        <v>4800</v>
      </c>
      <c r="C1183" s="50" t="s">
        <v>4801</v>
      </c>
      <c r="D1183" s="50" t="s">
        <v>4802</v>
      </c>
      <c r="E1183" s="50" t="s">
        <v>4803</v>
      </c>
    </row>
    <row r="1184" spans="1:5" s="51" customFormat="1" x14ac:dyDescent="0.15">
      <c r="A1184" s="50" t="s">
        <v>4804</v>
      </c>
      <c r="B1184" s="50" t="s">
        <v>4805</v>
      </c>
      <c r="C1184" s="50" t="s">
        <v>4806</v>
      </c>
      <c r="D1184" s="50" t="s">
        <v>4807</v>
      </c>
      <c r="E1184" s="50" t="s">
        <v>4808</v>
      </c>
    </row>
    <row r="1185" spans="1:5" s="51" customFormat="1" x14ac:dyDescent="0.15">
      <c r="A1185" s="50" t="s">
        <v>4809</v>
      </c>
      <c r="B1185" s="50" t="s">
        <v>4810</v>
      </c>
      <c r="C1185" s="50" t="s">
        <v>4811</v>
      </c>
      <c r="D1185" s="50" t="s">
        <v>4812</v>
      </c>
      <c r="E1185" s="50" t="s">
        <v>4813</v>
      </c>
    </row>
    <row r="1186" spans="1:5" s="51" customFormat="1" x14ac:dyDescent="0.15">
      <c r="A1186" s="50" t="s">
        <v>4814</v>
      </c>
      <c r="B1186" s="50" t="s">
        <v>4815</v>
      </c>
      <c r="C1186" s="50" t="s">
        <v>4816</v>
      </c>
      <c r="D1186" s="50" t="s">
        <v>4793</v>
      </c>
      <c r="E1186" s="50" t="s">
        <v>4817</v>
      </c>
    </row>
    <row r="1187" spans="1:5" s="51" customFormat="1" x14ac:dyDescent="0.15">
      <c r="A1187" s="50" t="s">
        <v>4818</v>
      </c>
      <c r="B1187" s="50" t="s">
        <v>4819</v>
      </c>
      <c r="C1187" s="50" t="s">
        <v>4820</v>
      </c>
      <c r="D1187" s="50" t="s">
        <v>4821</v>
      </c>
      <c r="E1187" s="50" t="s">
        <v>4822</v>
      </c>
    </row>
    <row r="1188" spans="1:5" s="51" customFormat="1" x14ac:dyDescent="0.15">
      <c r="A1188" s="50" t="s">
        <v>4823</v>
      </c>
      <c r="B1188" s="50" t="s">
        <v>4824</v>
      </c>
      <c r="C1188" s="50" t="s">
        <v>4825</v>
      </c>
      <c r="D1188" s="50" t="s">
        <v>4826</v>
      </c>
      <c r="E1188" s="50" t="s">
        <v>4827</v>
      </c>
    </row>
    <row r="1189" spans="1:5" s="51" customFormat="1" x14ac:dyDescent="0.15">
      <c r="A1189" s="50" t="s">
        <v>4828</v>
      </c>
      <c r="B1189" s="50" t="s">
        <v>4829</v>
      </c>
      <c r="C1189" s="50" t="s">
        <v>4830</v>
      </c>
      <c r="D1189" s="50" t="s">
        <v>4821</v>
      </c>
      <c r="E1189" s="50" t="s">
        <v>4831</v>
      </c>
    </row>
    <row r="1190" spans="1:5" s="51" customFormat="1" x14ac:dyDescent="0.15">
      <c r="A1190" s="50" t="s">
        <v>4832</v>
      </c>
      <c r="B1190" s="50" t="s">
        <v>4833</v>
      </c>
      <c r="C1190" s="50" t="s">
        <v>4834</v>
      </c>
      <c r="D1190" s="50" t="s">
        <v>4835</v>
      </c>
      <c r="E1190" s="50" t="s">
        <v>4836</v>
      </c>
    </row>
    <row r="1191" spans="1:5" s="51" customFormat="1" x14ac:dyDescent="0.15">
      <c r="A1191" s="50" t="s">
        <v>4837</v>
      </c>
      <c r="B1191" s="50" t="s">
        <v>4838</v>
      </c>
      <c r="C1191" s="50" t="s">
        <v>4839</v>
      </c>
      <c r="D1191" s="50" t="s">
        <v>4840</v>
      </c>
      <c r="E1191" s="50" t="s">
        <v>4841</v>
      </c>
    </row>
    <row r="1192" spans="1:5" s="51" customFormat="1" x14ac:dyDescent="0.15">
      <c r="A1192" s="50" t="s">
        <v>4842</v>
      </c>
      <c r="B1192" s="50" t="s">
        <v>4843</v>
      </c>
      <c r="C1192" s="50" t="s">
        <v>4844</v>
      </c>
      <c r="D1192" s="50" t="s">
        <v>4812</v>
      </c>
      <c r="E1192" s="50" t="s">
        <v>4845</v>
      </c>
    </row>
    <row r="1193" spans="1:5" s="51" customFormat="1" x14ac:dyDescent="0.15">
      <c r="A1193" s="50" t="s">
        <v>4846</v>
      </c>
      <c r="B1193" s="50" t="s">
        <v>4847</v>
      </c>
      <c r="C1193" s="50" t="s">
        <v>4848</v>
      </c>
      <c r="D1193" s="50" t="s">
        <v>4835</v>
      </c>
      <c r="E1193" s="50" t="s">
        <v>4849</v>
      </c>
    </row>
    <row r="1194" spans="1:5" s="51" customFormat="1" x14ac:dyDescent="0.15">
      <c r="A1194" s="50" t="s">
        <v>4850</v>
      </c>
      <c r="B1194" s="50" t="s">
        <v>4851</v>
      </c>
      <c r="C1194" s="50" t="s">
        <v>4852</v>
      </c>
      <c r="D1194" s="50" t="s">
        <v>4821</v>
      </c>
      <c r="E1194" s="50" t="s">
        <v>4853</v>
      </c>
    </row>
    <row r="1195" spans="1:5" s="51" customFormat="1" x14ac:dyDescent="0.15">
      <c r="A1195" s="50" t="s">
        <v>4854</v>
      </c>
      <c r="B1195" s="50" t="s">
        <v>4855</v>
      </c>
      <c r="C1195" s="50" t="s">
        <v>4856</v>
      </c>
      <c r="D1195" s="50" t="s">
        <v>4599</v>
      </c>
      <c r="E1195" s="50" t="s">
        <v>4857</v>
      </c>
    </row>
    <row r="1196" spans="1:5" s="51" customFormat="1" x14ac:dyDescent="0.15">
      <c r="A1196" s="50" t="s">
        <v>4858</v>
      </c>
      <c r="B1196" s="50" t="s">
        <v>4859</v>
      </c>
      <c r="C1196" s="50" t="s">
        <v>4860</v>
      </c>
      <c r="D1196" s="50" t="s">
        <v>4812</v>
      </c>
      <c r="E1196" s="50" t="s">
        <v>4861</v>
      </c>
    </row>
    <row r="1197" spans="1:5" s="51" customFormat="1" x14ac:dyDescent="0.15">
      <c r="A1197" s="50" t="s">
        <v>4862</v>
      </c>
      <c r="B1197" s="50" t="s">
        <v>4863</v>
      </c>
      <c r="C1197" s="50" t="s">
        <v>4864</v>
      </c>
      <c r="D1197" s="50" t="s">
        <v>4793</v>
      </c>
      <c r="E1197" s="50" t="s">
        <v>4865</v>
      </c>
    </row>
    <row r="1198" spans="1:5" s="51" customFormat="1" x14ac:dyDescent="0.15">
      <c r="A1198" s="50" t="s">
        <v>4866</v>
      </c>
      <c r="B1198" s="50" t="s">
        <v>4867</v>
      </c>
      <c r="C1198" s="50" t="s">
        <v>4868</v>
      </c>
      <c r="D1198" s="50" t="s">
        <v>4793</v>
      </c>
      <c r="E1198" s="50" t="s">
        <v>4869</v>
      </c>
    </row>
    <row r="1199" spans="1:5" s="51" customFormat="1" x14ac:dyDescent="0.15">
      <c r="A1199" s="50" t="s">
        <v>4870</v>
      </c>
      <c r="B1199" s="50" t="s">
        <v>4871</v>
      </c>
      <c r="C1199" s="50" t="s">
        <v>4872</v>
      </c>
      <c r="D1199" s="50" t="s">
        <v>4793</v>
      </c>
      <c r="E1199" s="50" t="s">
        <v>4869</v>
      </c>
    </row>
    <row r="1200" spans="1:5" s="51" customFormat="1" x14ac:dyDescent="0.15">
      <c r="A1200" s="50" t="s">
        <v>4873</v>
      </c>
      <c r="B1200" s="50" t="s">
        <v>4874</v>
      </c>
      <c r="C1200" s="50" t="s">
        <v>4875</v>
      </c>
      <c r="D1200" s="50" t="s">
        <v>4807</v>
      </c>
      <c r="E1200" s="50" t="s">
        <v>4876</v>
      </c>
    </row>
    <row r="1201" spans="1:5" s="51" customFormat="1" x14ac:dyDescent="0.15">
      <c r="A1201" s="50" t="s">
        <v>4877</v>
      </c>
      <c r="B1201" s="50" t="s">
        <v>4878</v>
      </c>
      <c r="C1201" s="50" t="s">
        <v>4879</v>
      </c>
      <c r="D1201" s="50" t="s">
        <v>4802</v>
      </c>
      <c r="E1201" s="50" t="s">
        <v>4880</v>
      </c>
    </row>
    <row r="1202" spans="1:5" s="51" customFormat="1" x14ac:dyDescent="0.15">
      <c r="A1202" s="50" t="s">
        <v>4881</v>
      </c>
      <c r="B1202" s="50" t="s">
        <v>4882</v>
      </c>
      <c r="C1202" s="50" t="s">
        <v>4883</v>
      </c>
      <c r="D1202" s="50" t="s">
        <v>4807</v>
      </c>
      <c r="E1202" s="50" t="s">
        <v>4884</v>
      </c>
    </row>
    <row r="1203" spans="1:5" s="51" customFormat="1" x14ac:dyDescent="0.15">
      <c r="A1203" s="50" t="s">
        <v>4885</v>
      </c>
      <c r="B1203" s="50" t="s">
        <v>4886</v>
      </c>
      <c r="C1203" s="50" t="s">
        <v>4887</v>
      </c>
      <c r="D1203" s="50" t="s">
        <v>4802</v>
      </c>
      <c r="E1203" s="50" t="s">
        <v>4888</v>
      </c>
    </row>
    <row r="1204" spans="1:5" s="51" customFormat="1" x14ac:dyDescent="0.15">
      <c r="A1204" s="50" t="s">
        <v>4889</v>
      </c>
      <c r="B1204" s="50" t="s">
        <v>4890</v>
      </c>
      <c r="C1204" s="50" t="s">
        <v>4891</v>
      </c>
      <c r="D1204" s="50" t="s">
        <v>4802</v>
      </c>
      <c r="E1204" s="50" t="s">
        <v>4892</v>
      </c>
    </row>
    <row r="1205" spans="1:5" s="51" customFormat="1" x14ac:dyDescent="0.15">
      <c r="A1205" s="50" t="s">
        <v>4893</v>
      </c>
      <c r="B1205" s="50" t="s">
        <v>4894</v>
      </c>
      <c r="C1205" s="50" t="s">
        <v>4895</v>
      </c>
      <c r="D1205" s="50" t="s">
        <v>4807</v>
      </c>
      <c r="E1205" s="50" t="s">
        <v>4896</v>
      </c>
    </row>
    <row r="1206" spans="1:5" s="51" customFormat="1" x14ac:dyDescent="0.15">
      <c r="A1206" s="50" t="s">
        <v>4897</v>
      </c>
      <c r="B1206" s="50" t="s">
        <v>4898</v>
      </c>
      <c r="C1206" s="50" t="s">
        <v>4899</v>
      </c>
      <c r="D1206" s="50" t="s">
        <v>4900</v>
      </c>
      <c r="E1206" s="50" t="s">
        <v>4901</v>
      </c>
    </row>
    <row r="1207" spans="1:5" s="51" customFormat="1" x14ac:dyDescent="0.15">
      <c r="A1207" s="50" t="s">
        <v>4902</v>
      </c>
      <c r="B1207" s="50" t="s">
        <v>4903</v>
      </c>
      <c r="C1207" s="50" t="s">
        <v>4904</v>
      </c>
      <c r="D1207" s="50" t="s">
        <v>4905</v>
      </c>
      <c r="E1207" s="50" t="s">
        <v>4906</v>
      </c>
    </row>
    <row r="1208" spans="1:5" s="51" customFormat="1" x14ac:dyDescent="0.15">
      <c r="A1208" s="50" t="s">
        <v>4907</v>
      </c>
      <c r="B1208" s="50" t="s">
        <v>4908</v>
      </c>
      <c r="C1208" s="50" t="s">
        <v>4909</v>
      </c>
      <c r="D1208" s="50" t="s">
        <v>4910</v>
      </c>
      <c r="E1208" s="50" t="s">
        <v>4911</v>
      </c>
    </row>
    <row r="1209" spans="1:5" s="51" customFormat="1" x14ac:dyDescent="0.15">
      <c r="A1209" s="50" t="s">
        <v>4912</v>
      </c>
      <c r="B1209" s="50" t="s">
        <v>4913</v>
      </c>
      <c r="C1209" s="50" t="s">
        <v>4914</v>
      </c>
      <c r="D1209" s="50" t="s">
        <v>4915</v>
      </c>
      <c r="E1209" s="50" t="s">
        <v>4916</v>
      </c>
    </row>
    <row r="1210" spans="1:5" s="51" customFormat="1" x14ac:dyDescent="0.15">
      <c r="A1210" s="50" t="s">
        <v>4917</v>
      </c>
      <c r="B1210" s="50" t="s">
        <v>4918</v>
      </c>
      <c r="C1210" s="50" t="s">
        <v>4919</v>
      </c>
      <c r="D1210" s="50" t="s">
        <v>4920</v>
      </c>
      <c r="E1210" s="50" t="s">
        <v>4921</v>
      </c>
    </row>
    <row r="1211" spans="1:5" s="51" customFormat="1" x14ac:dyDescent="0.15">
      <c r="A1211" s="50" t="s">
        <v>4922</v>
      </c>
      <c r="B1211" s="50" t="s">
        <v>4923</v>
      </c>
      <c r="C1211" s="50" t="s">
        <v>4924</v>
      </c>
      <c r="D1211" s="50" t="s">
        <v>4925</v>
      </c>
      <c r="E1211" s="50" t="s">
        <v>4926</v>
      </c>
    </row>
    <row r="1212" spans="1:5" s="51" customFormat="1" x14ac:dyDescent="0.15">
      <c r="A1212" s="50" t="s">
        <v>4927</v>
      </c>
      <c r="B1212" s="50" t="s">
        <v>4928</v>
      </c>
      <c r="C1212" s="50" t="s">
        <v>4929</v>
      </c>
      <c r="D1212" s="50" t="s">
        <v>4925</v>
      </c>
      <c r="E1212" s="50" t="s">
        <v>4930</v>
      </c>
    </row>
    <row r="1213" spans="1:5" s="51" customFormat="1" x14ac:dyDescent="0.15">
      <c r="A1213" s="50" t="s">
        <v>4931</v>
      </c>
      <c r="B1213" s="50" t="s">
        <v>4932</v>
      </c>
      <c r="C1213" s="50" t="s">
        <v>4933</v>
      </c>
      <c r="D1213" s="50" t="s">
        <v>4934</v>
      </c>
      <c r="E1213" s="50" t="s">
        <v>4935</v>
      </c>
    </row>
    <row r="1214" spans="1:5" s="51" customFormat="1" x14ac:dyDescent="0.15">
      <c r="A1214" s="50" t="s">
        <v>4936</v>
      </c>
      <c r="B1214" s="50" t="s">
        <v>4937</v>
      </c>
      <c r="C1214" s="50" t="s">
        <v>4938</v>
      </c>
      <c r="D1214" s="50" t="s">
        <v>4920</v>
      </c>
      <c r="E1214" s="50" t="s">
        <v>4939</v>
      </c>
    </row>
    <row r="1215" spans="1:5" s="51" customFormat="1" x14ac:dyDescent="0.15">
      <c r="A1215" s="50" t="s">
        <v>4940</v>
      </c>
      <c r="B1215" s="50" t="s">
        <v>4941</v>
      </c>
      <c r="C1215" s="50" t="s">
        <v>4942</v>
      </c>
      <c r="D1215" s="50" t="s">
        <v>4920</v>
      </c>
      <c r="E1215" s="50" t="s">
        <v>4943</v>
      </c>
    </row>
    <row r="1216" spans="1:5" s="51" customFormat="1" x14ac:dyDescent="0.15">
      <c r="A1216" s="50" t="s">
        <v>4944</v>
      </c>
      <c r="B1216" s="50" t="s">
        <v>4945</v>
      </c>
      <c r="C1216" s="50" t="s">
        <v>4946</v>
      </c>
      <c r="D1216" s="50" t="s">
        <v>4920</v>
      </c>
      <c r="E1216" s="50" t="s">
        <v>4947</v>
      </c>
    </row>
    <row r="1217" spans="1:5" s="51" customFormat="1" x14ac:dyDescent="0.15">
      <c r="A1217" s="50" t="s">
        <v>4948</v>
      </c>
      <c r="B1217" s="50" t="s">
        <v>4949</v>
      </c>
      <c r="C1217" s="50" t="s">
        <v>4950</v>
      </c>
      <c r="D1217" s="50" t="s">
        <v>4934</v>
      </c>
      <c r="E1217" s="50" t="s">
        <v>4951</v>
      </c>
    </row>
    <row r="1218" spans="1:5" s="51" customFormat="1" x14ac:dyDescent="0.15">
      <c r="A1218" s="50" t="s">
        <v>4952</v>
      </c>
      <c r="B1218" s="50" t="s">
        <v>4953</v>
      </c>
      <c r="C1218" s="50" t="s">
        <v>4954</v>
      </c>
      <c r="D1218" s="50" t="s">
        <v>4920</v>
      </c>
      <c r="E1218" s="50" t="s">
        <v>4955</v>
      </c>
    </row>
    <row r="1219" spans="1:5" s="51" customFormat="1" x14ac:dyDescent="0.15">
      <c r="A1219" s="50" t="s">
        <v>4956</v>
      </c>
      <c r="B1219" s="50" t="s">
        <v>4957</v>
      </c>
      <c r="C1219" s="50" t="s">
        <v>4958</v>
      </c>
      <c r="D1219" s="50" t="s">
        <v>4934</v>
      </c>
      <c r="E1219" s="50" t="s">
        <v>4959</v>
      </c>
    </row>
    <row r="1220" spans="1:5" s="51" customFormat="1" x14ac:dyDescent="0.15">
      <c r="A1220" s="50" t="s">
        <v>4960</v>
      </c>
      <c r="B1220" s="50" t="s">
        <v>4961</v>
      </c>
      <c r="C1220" s="50" t="s">
        <v>4962</v>
      </c>
      <c r="D1220" s="50" t="s">
        <v>4963</v>
      </c>
      <c r="E1220" s="50" t="s">
        <v>4964</v>
      </c>
    </row>
    <row r="1221" spans="1:5" s="51" customFormat="1" x14ac:dyDescent="0.15">
      <c r="A1221" s="50" t="s">
        <v>4965</v>
      </c>
      <c r="B1221" s="50" t="s">
        <v>4966</v>
      </c>
      <c r="C1221" s="50" t="s">
        <v>4967</v>
      </c>
      <c r="D1221" s="50" t="s">
        <v>4968</v>
      </c>
      <c r="E1221" s="50" t="s">
        <v>4969</v>
      </c>
    </row>
    <row r="1222" spans="1:5" s="51" customFormat="1" x14ac:dyDescent="0.15">
      <c r="A1222" s="50" t="s">
        <v>4970</v>
      </c>
      <c r="B1222" s="50" t="s">
        <v>4971</v>
      </c>
      <c r="C1222" s="50" t="s">
        <v>4972</v>
      </c>
      <c r="D1222" s="50" t="s">
        <v>4925</v>
      </c>
      <c r="E1222" s="50" t="s">
        <v>4973</v>
      </c>
    </row>
    <row r="1223" spans="1:5" s="51" customFormat="1" x14ac:dyDescent="0.15">
      <c r="A1223" s="50" t="s">
        <v>4974</v>
      </c>
      <c r="B1223" s="50" t="s">
        <v>4975</v>
      </c>
      <c r="C1223" s="50" t="s">
        <v>4976</v>
      </c>
      <c r="D1223" s="50" t="s">
        <v>4934</v>
      </c>
      <c r="E1223" s="50" t="s">
        <v>4977</v>
      </c>
    </row>
    <row r="1224" spans="1:5" s="51" customFormat="1" x14ac:dyDescent="0.15">
      <c r="A1224" s="50" t="s">
        <v>4978</v>
      </c>
      <c r="B1224" s="50" t="s">
        <v>4979</v>
      </c>
      <c r="C1224" s="50" t="s">
        <v>4980</v>
      </c>
      <c r="D1224" s="50" t="s">
        <v>4934</v>
      </c>
      <c r="E1224" s="50" t="s">
        <v>4981</v>
      </c>
    </row>
    <row r="1225" spans="1:5" s="51" customFormat="1" x14ac:dyDescent="0.15">
      <c r="A1225" s="50" t="s">
        <v>4982</v>
      </c>
      <c r="B1225" s="50" t="s">
        <v>4983</v>
      </c>
      <c r="C1225" s="50" t="s">
        <v>4984</v>
      </c>
      <c r="D1225" s="50" t="s">
        <v>4925</v>
      </c>
      <c r="E1225" s="50" t="s">
        <v>4985</v>
      </c>
    </row>
    <row r="1226" spans="1:5" s="51" customFormat="1" x14ac:dyDescent="0.15">
      <c r="A1226" s="50" t="s">
        <v>4986</v>
      </c>
      <c r="B1226" s="50" t="s">
        <v>4987</v>
      </c>
      <c r="C1226" s="50" t="s">
        <v>4988</v>
      </c>
      <c r="D1226" s="50" t="s">
        <v>4925</v>
      </c>
      <c r="E1226" s="50" t="s">
        <v>4989</v>
      </c>
    </row>
    <row r="1227" spans="1:5" s="51" customFormat="1" x14ac:dyDescent="0.15">
      <c r="A1227" s="50" t="s">
        <v>4990</v>
      </c>
      <c r="B1227" s="50" t="s">
        <v>4991</v>
      </c>
      <c r="C1227" s="50" t="s">
        <v>4992</v>
      </c>
      <c r="D1227" s="50" t="s">
        <v>4925</v>
      </c>
      <c r="E1227" s="50" t="s">
        <v>4993</v>
      </c>
    </row>
    <row r="1228" spans="1:5" s="51" customFormat="1" x14ac:dyDescent="0.15">
      <c r="A1228" s="50" t="s">
        <v>4994</v>
      </c>
      <c r="B1228" s="50" t="s">
        <v>4995</v>
      </c>
      <c r="C1228" s="50" t="s">
        <v>4996</v>
      </c>
      <c r="D1228" s="50" t="s">
        <v>4925</v>
      </c>
      <c r="E1228" s="50" t="s">
        <v>4997</v>
      </c>
    </row>
    <row r="1229" spans="1:5" s="51" customFormat="1" x14ac:dyDescent="0.15">
      <c r="A1229" s="50" t="s">
        <v>4998</v>
      </c>
      <c r="B1229" s="50" t="s">
        <v>4999</v>
      </c>
      <c r="C1229" s="50" t="s">
        <v>5000</v>
      </c>
    </row>
    <row r="1230" spans="1:5" s="51" customFormat="1" x14ac:dyDescent="0.15">
      <c r="A1230" s="50" t="s">
        <v>5001</v>
      </c>
      <c r="B1230" s="50" t="s">
        <v>5002</v>
      </c>
      <c r="C1230" s="50" t="s">
        <v>5003</v>
      </c>
      <c r="D1230" s="50" t="s">
        <v>5004</v>
      </c>
      <c r="E1230" s="50" t="s">
        <v>5005</v>
      </c>
    </row>
    <row r="1231" spans="1:5" s="51" customFormat="1" x14ac:dyDescent="0.15">
      <c r="A1231" s="50" t="s">
        <v>5006</v>
      </c>
      <c r="B1231" s="50" t="s">
        <v>5007</v>
      </c>
      <c r="C1231" s="50" t="s">
        <v>5008</v>
      </c>
      <c r="D1231" s="50" t="s">
        <v>5004</v>
      </c>
      <c r="E1231" s="50" t="s">
        <v>5009</v>
      </c>
    </row>
    <row r="1232" spans="1:5" s="51" customFormat="1" x14ac:dyDescent="0.15">
      <c r="A1232" s="50" t="s">
        <v>5010</v>
      </c>
      <c r="B1232" s="50" t="s">
        <v>5011</v>
      </c>
      <c r="C1232" s="50" t="s">
        <v>5012</v>
      </c>
      <c r="D1232" s="50" t="s">
        <v>5004</v>
      </c>
      <c r="E1232" s="50" t="s">
        <v>5013</v>
      </c>
    </row>
    <row r="1233" spans="1:5" s="51" customFormat="1" x14ac:dyDescent="0.15">
      <c r="A1233" s="50" t="s">
        <v>5014</v>
      </c>
      <c r="B1233" s="50" t="s">
        <v>5015</v>
      </c>
      <c r="C1233" s="50" t="s">
        <v>5016</v>
      </c>
      <c r="D1233" s="50" t="s">
        <v>5004</v>
      </c>
      <c r="E1233" s="50" t="s">
        <v>5017</v>
      </c>
    </row>
    <row r="1234" spans="1:5" s="51" customFormat="1" x14ac:dyDescent="0.15">
      <c r="A1234" s="50" t="s">
        <v>5018</v>
      </c>
      <c r="B1234" s="50" t="s">
        <v>5019</v>
      </c>
      <c r="C1234" s="50" t="s">
        <v>5020</v>
      </c>
      <c r="D1234" s="50" t="s">
        <v>5004</v>
      </c>
      <c r="E1234" s="50" t="s">
        <v>5021</v>
      </c>
    </row>
    <row r="1235" spans="1:5" s="51" customFormat="1" x14ac:dyDescent="0.15">
      <c r="A1235" s="50" t="s">
        <v>5022</v>
      </c>
      <c r="B1235" s="50" t="s">
        <v>5023</v>
      </c>
      <c r="C1235" s="50" t="s">
        <v>5024</v>
      </c>
      <c r="D1235" s="50" t="s">
        <v>5004</v>
      </c>
      <c r="E1235" s="50" t="s">
        <v>5025</v>
      </c>
    </row>
    <row r="1236" spans="1:5" s="51" customFormat="1" x14ac:dyDescent="0.15">
      <c r="A1236" s="50" t="s">
        <v>5026</v>
      </c>
      <c r="B1236" s="50" t="s">
        <v>5027</v>
      </c>
      <c r="C1236" s="50" t="s">
        <v>5028</v>
      </c>
      <c r="D1236" s="50" t="s">
        <v>5004</v>
      </c>
      <c r="E1236" s="50" t="s">
        <v>5029</v>
      </c>
    </row>
    <row r="1237" spans="1:5" s="51" customFormat="1" x14ac:dyDescent="0.15">
      <c r="A1237" s="50" t="s">
        <v>5030</v>
      </c>
      <c r="B1237" s="50" t="s">
        <v>5031</v>
      </c>
      <c r="C1237" s="50" t="s">
        <v>5032</v>
      </c>
      <c r="D1237" s="50" t="s">
        <v>5033</v>
      </c>
      <c r="E1237" s="50" t="s">
        <v>5034</v>
      </c>
    </row>
    <row r="1238" spans="1:5" s="51" customFormat="1" x14ac:dyDescent="0.15">
      <c r="A1238" s="50" t="s">
        <v>5035</v>
      </c>
      <c r="B1238" s="50" t="s">
        <v>5036</v>
      </c>
      <c r="C1238" s="50" t="s">
        <v>5037</v>
      </c>
      <c r="D1238" s="50" t="s">
        <v>5038</v>
      </c>
      <c r="E1238" s="50" t="s">
        <v>5039</v>
      </c>
    </row>
    <row r="1239" spans="1:5" s="51" customFormat="1" x14ac:dyDescent="0.15">
      <c r="A1239" s="50" t="s">
        <v>5040</v>
      </c>
      <c r="B1239" s="50" t="s">
        <v>5041</v>
      </c>
      <c r="C1239" s="50" t="s">
        <v>5042</v>
      </c>
      <c r="D1239" s="50" t="s">
        <v>5004</v>
      </c>
      <c r="E1239" s="50" t="s">
        <v>5043</v>
      </c>
    </row>
    <row r="1240" spans="1:5" s="51" customFormat="1" x14ac:dyDescent="0.15">
      <c r="A1240" s="50" t="s">
        <v>5044</v>
      </c>
      <c r="B1240" s="50" t="s">
        <v>5045</v>
      </c>
      <c r="C1240" s="50" t="s">
        <v>5046</v>
      </c>
      <c r="D1240" s="50" t="s">
        <v>5004</v>
      </c>
      <c r="E1240" s="50" t="s">
        <v>5047</v>
      </c>
    </row>
    <row r="1241" spans="1:5" s="51" customFormat="1" x14ac:dyDescent="0.15">
      <c r="A1241" s="50" t="s">
        <v>5048</v>
      </c>
      <c r="B1241" s="50" t="s">
        <v>5049</v>
      </c>
      <c r="C1241" s="50" t="s">
        <v>5050</v>
      </c>
      <c r="D1241" s="50" t="s">
        <v>5051</v>
      </c>
      <c r="E1241" s="50" t="s">
        <v>5052</v>
      </c>
    </row>
    <row r="1242" spans="1:5" s="51" customFormat="1" x14ac:dyDescent="0.15">
      <c r="A1242" s="50" t="s">
        <v>5053</v>
      </c>
      <c r="B1242" s="50" t="s">
        <v>5054</v>
      </c>
      <c r="C1242" s="50" t="s">
        <v>5055</v>
      </c>
      <c r="D1242" s="50" t="s">
        <v>5051</v>
      </c>
      <c r="E1242" s="50" t="s">
        <v>5056</v>
      </c>
    </row>
    <row r="1243" spans="1:5" s="51" customFormat="1" x14ac:dyDescent="0.15">
      <c r="A1243" s="50" t="s">
        <v>5057</v>
      </c>
      <c r="B1243" s="50" t="s">
        <v>5058</v>
      </c>
      <c r="C1243" s="50" t="s">
        <v>5059</v>
      </c>
      <c r="D1243" s="50" t="s">
        <v>5051</v>
      </c>
      <c r="E1243" s="50" t="s">
        <v>5060</v>
      </c>
    </row>
    <row r="1244" spans="1:5" s="51" customFormat="1" x14ac:dyDescent="0.15">
      <c r="A1244" s="50" t="s">
        <v>5061</v>
      </c>
      <c r="B1244" s="50" t="s">
        <v>5062</v>
      </c>
      <c r="C1244" s="50" t="s">
        <v>5063</v>
      </c>
      <c r="D1244" s="50" t="s">
        <v>5064</v>
      </c>
      <c r="E1244" s="50" t="s">
        <v>5065</v>
      </c>
    </row>
    <row r="1245" spans="1:5" s="51" customFormat="1" x14ac:dyDescent="0.15">
      <c r="A1245" s="50" t="s">
        <v>5066</v>
      </c>
      <c r="B1245" s="50" t="s">
        <v>5067</v>
      </c>
      <c r="C1245" s="50" t="s">
        <v>5068</v>
      </c>
      <c r="D1245" s="50" t="s">
        <v>5069</v>
      </c>
      <c r="E1245" s="50" t="s">
        <v>5070</v>
      </c>
    </row>
    <row r="1246" spans="1:5" s="51" customFormat="1" x14ac:dyDescent="0.15">
      <c r="A1246" s="50" t="s">
        <v>5071</v>
      </c>
      <c r="B1246" s="50" t="s">
        <v>5072</v>
      </c>
      <c r="C1246" s="50" t="s">
        <v>5073</v>
      </c>
      <c r="D1246" s="50" t="s">
        <v>5074</v>
      </c>
      <c r="E1246" s="50" t="s">
        <v>5075</v>
      </c>
    </row>
    <row r="1247" spans="1:5" s="51" customFormat="1" x14ac:dyDescent="0.15">
      <c r="A1247" s="50" t="s">
        <v>5076</v>
      </c>
      <c r="B1247" s="50" t="s">
        <v>5077</v>
      </c>
      <c r="C1247" s="50" t="s">
        <v>5078</v>
      </c>
      <c r="D1247" s="50" t="s">
        <v>5064</v>
      </c>
      <c r="E1247" s="50" t="s">
        <v>5079</v>
      </c>
    </row>
    <row r="1248" spans="1:5" s="51" customFormat="1" x14ac:dyDescent="0.15">
      <c r="A1248" s="50" t="s">
        <v>5080</v>
      </c>
      <c r="B1248" s="50" t="s">
        <v>5081</v>
      </c>
      <c r="C1248" s="50" t="s">
        <v>5082</v>
      </c>
      <c r="D1248" s="50" t="s">
        <v>5004</v>
      </c>
      <c r="E1248" s="50" t="s">
        <v>5083</v>
      </c>
    </row>
    <row r="1249" spans="1:5" s="51" customFormat="1" x14ac:dyDescent="0.15">
      <c r="A1249" s="50" t="s">
        <v>5084</v>
      </c>
      <c r="B1249" s="50" t="s">
        <v>5085</v>
      </c>
      <c r="C1249" s="50" t="s">
        <v>5086</v>
      </c>
      <c r="D1249" s="50" t="s">
        <v>5004</v>
      </c>
      <c r="E1249" s="50" t="s">
        <v>5087</v>
      </c>
    </row>
    <row r="1250" spans="1:5" s="51" customFormat="1" x14ac:dyDescent="0.15">
      <c r="A1250" s="50" t="s">
        <v>5088</v>
      </c>
      <c r="B1250" s="50" t="s">
        <v>5089</v>
      </c>
      <c r="C1250" s="50" t="s">
        <v>5090</v>
      </c>
      <c r="D1250" s="50" t="s">
        <v>5004</v>
      </c>
      <c r="E1250" s="50" t="s">
        <v>5091</v>
      </c>
    </row>
    <row r="1251" spans="1:5" s="51" customFormat="1" x14ac:dyDescent="0.15">
      <c r="A1251" s="50" t="s">
        <v>5092</v>
      </c>
      <c r="B1251" s="50" t="s">
        <v>5093</v>
      </c>
      <c r="C1251" s="50" t="s">
        <v>5094</v>
      </c>
      <c r="D1251" s="50" t="s">
        <v>5064</v>
      </c>
      <c r="E1251" s="50" t="s">
        <v>5095</v>
      </c>
    </row>
    <row r="1252" spans="1:5" s="51" customFormat="1" x14ac:dyDescent="0.15">
      <c r="A1252" s="50" t="s">
        <v>5096</v>
      </c>
      <c r="B1252" s="50" t="s">
        <v>5097</v>
      </c>
      <c r="C1252" s="50" t="s">
        <v>5098</v>
      </c>
      <c r="D1252" s="50" t="s">
        <v>5069</v>
      </c>
      <c r="E1252" s="50" t="s">
        <v>5099</v>
      </c>
    </row>
    <row r="1253" spans="1:5" s="51" customFormat="1" x14ac:dyDescent="0.15">
      <c r="A1253" s="50" t="s">
        <v>5100</v>
      </c>
      <c r="B1253" s="50" t="s">
        <v>5101</v>
      </c>
      <c r="C1253" s="50" t="s">
        <v>5102</v>
      </c>
      <c r="D1253" s="50" t="s">
        <v>5074</v>
      </c>
      <c r="E1253" s="50" t="s">
        <v>5103</v>
      </c>
    </row>
    <row r="1254" spans="1:5" s="51" customFormat="1" x14ac:dyDescent="0.15">
      <c r="A1254" s="50" t="s">
        <v>5104</v>
      </c>
      <c r="B1254" s="50" t="s">
        <v>5105</v>
      </c>
      <c r="C1254" s="50" t="s">
        <v>5106</v>
      </c>
      <c r="D1254" s="50" t="s">
        <v>5064</v>
      </c>
      <c r="E1254" s="50" t="s">
        <v>5107</v>
      </c>
    </row>
    <row r="1255" spans="1:5" s="51" customFormat="1" x14ac:dyDescent="0.15">
      <c r="A1255" s="50" t="s">
        <v>5108</v>
      </c>
      <c r="B1255" s="50" t="s">
        <v>5109</v>
      </c>
      <c r="C1255" s="50" t="s">
        <v>5110</v>
      </c>
      <c r="D1255" s="50" t="s">
        <v>5004</v>
      </c>
      <c r="E1255" s="50" t="s">
        <v>5111</v>
      </c>
    </row>
    <row r="1256" spans="1:5" s="51" customFormat="1" x14ac:dyDescent="0.15">
      <c r="A1256" s="50" t="s">
        <v>5112</v>
      </c>
      <c r="B1256" s="50" t="s">
        <v>5113</v>
      </c>
      <c r="C1256" s="50" t="s">
        <v>5114</v>
      </c>
      <c r="D1256" s="50" t="s">
        <v>5115</v>
      </c>
      <c r="E1256" s="50" t="s">
        <v>5116</v>
      </c>
    </row>
    <row r="1257" spans="1:5" s="51" customFormat="1" x14ac:dyDescent="0.15">
      <c r="A1257" s="50" t="s">
        <v>5117</v>
      </c>
      <c r="B1257" s="50" t="s">
        <v>5118</v>
      </c>
      <c r="C1257" s="50" t="s">
        <v>5119</v>
      </c>
      <c r="D1257" s="50" t="s">
        <v>5064</v>
      </c>
      <c r="E1257" s="50" t="s">
        <v>5095</v>
      </c>
    </row>
    <row r="1258" spans="1:5" s="51" customFormat="1" x14ac:dyDescent="0.15">
      <c r="A1258" s="50" t="s">
        <v>5120</v>
      </c>
      <c r="B1258" s="50" t="s">
        <v>5121</v>
      </c>
      <c r="C1258" s="50" t="s">
        <v>5122</v>
      </c>
      <c r="D1258" s="50" t="s">
        <v>5064</v>
      </c>
      <c r="E1258" s="50" t="s">
        <v>5123</v>
      </c>
    </row>
    <row r="1259" spans="1:5" s="51" customFormat="1" x14ac:dyDescent="0.15">
      <c r="A1259" s="50" t="s">
        <v>5124</v>
      </c>
      <c r="B1259" s="50" t="s">
        <v>5125</v>
      </c>
      <c r="C1259" s="50" t="s">
        <v>5126</v>
      </c>
      <c r="D1259" s="50" t="s">
        <v>5127</v>
      </c>
      <c r="E1259" s="50" t="s">
        <v>5128</v>
      </c>
    </row>
    <row r="1260" spans="1:5" s="51" customFormat="1" x14ac:dyDescent="0.15">
      <c r="A1260" s="50" t="s">
        <v>5129</v>
      </c>
      <c r="B1260" s="50" t="s">
        <v>5130</v>
      </c>
      <c r="C1260" s="50" t="s">
        <v>5131</v>
      </c>
      <c r="D1260" s="50" t="s">
        <v>5064</v>
      </c>
      <c r="E1260" s="50" t="s">
        <v>5132</v>
      </c>
    </row>
    <row r="1261" spans="1:5" s="51" customFormat="1" x14ac:dyDescent="0.15">
      <c r="A1261" s="50" t="s">
        <v>5133</v>
      </c>
      <c r="B1261" s="50" t="s">
        <v>5134</v>
      </c>
      <c r="C1261" s="50" t="s">
        <v>5135</v>
      </c>
      <c r="D1261" s="50" t="s">
        <v>5064</v>
      </c>
      <c r="E1261" s="50" t="s">
        <v>5136</v>
      </c>
    </row>
    <row r="1262" spans="1:5" s="51" customFormat="1" x14ac:dyDescent="0.15">
      <c r="A1262" s="50" t="s">
        <v>5137</v>
      </c>
      <c r="B1262" s="50" t="s">
        <v>5138</v>
      </c>
      <c r="C1262" s="50" t="s">
        <v>5139</v>
      </c>
      <c r="D1262" s="50" t="s">
        <v>5127</v>
      </c>
      <c r="E1262" s="50" t="s">
        <v>5140</v>
      </c>
    </row>
    <row r="1263" spans="1:5" s="51" customFormat="1" x14ac:dyDescent="0.15">
      <c r="A1263" s="50" t="s">
        <v>5141</v>
      </c>
      <c r="B1263" s="50" t="s">
        <v>5142</v>
      </c>
      <c r="C1263" s="50" t="s">
        <v>5143</v>
      </c>
      <c r="D1263" s="50" t="s">
        <v>5074</v>
      </c>
      <c r="E1263" s="50" t="s">
        <v>5144</v>
      </c>
    </row>
    <row r="1264" spans="1:5" s="51" customFormat="1" x14ac:dyDescent="0.15">
      <c r="A1264" s="50" t="s">
        <v>5145</v>
      </c>
      <c r="B1264" s="50" t="s">
        <v>5146</v>
      </c>
      <c r="C1264" s="50" t="s">
        <v>5147</v>
      </c>
      <c r="D1264" s="50" t="s">
        <v>5069</v>
      </c>
      <c r="E1264" s="50" t="s">
        <v>5148</v>
      </c>
    </row>
    <row r="1265" spans="1:5" s="51" customFormat="1" x14ac:dyDescent="0.15">
      <c r="A1265" s="50" t="s">
        <v>5149</v>
      </c>
      <c r="B1265" s="50" t="s">
        <v>5150</v>
      </c>
      <c r="C1265" s="50" t="s">
        <v>5151</v>
      </c>
      <c r="D1265" s="50" t="s">
        <v>5069</v>
      </c>
      <c r="E1265" s="50" t="s">
        <v>5152</v>
      </c>
    </row>
    <row r="1266" spans="1:5" s="51" customFormat="1" x14ac:dyDescent="0.15">
      <c r="A1266" s="50" t="s">
        <v>5153</v>
      </c>
      <c r="B1266" s="50" t="s">
        <v>5154</v>
      </c>
      <c r="C1266" s="50" t="s">
        <v>5155</v>
      </c>
    </row>
    <row r="1267" spans="1:5" s="51" customFormat="1" x14ac:dyDescent="0.15">
      <c r="A1267" s="50" t="s">
        <v>5156</v>
      </c>
      <c r="B1267" s="50" t="s">
        <v>5157</v>
      </c>
      <c r="C1267" s="50" t="s">
        <v>5158</v>
      </c>
      <c r="D1267" s="50" t="s">
        <v>5159</v>
      </c>
      <c r="E1267" s="50" t="s">
        <v>5160</v>
      </c>
    </row>
    <row r="1268" spans="1:5" s="51" customFormat="1" x14ac:dyDescent="0.15">
      <c r="A1268" s="50" t="s">
        <v>5161</v>
      </c>
      <c r="B1268" s="50" t="s">
        <v>5162</v>
      </c>
      <c r="C1268" s="50" t="s">
        <v>5163</v>
      </c>
      <c r="D1268" s="50" t="s">
        <v>5159</v>
      </c>
      <c r="E1268" s="50" t="s">
        <v>5164</v>
      </c>
    </row>
    <row r="1269" spans="1:5" s="51" customFormat="1" x14ac:dyDescent="0.15">
      <c r="A1269" s="50" t="s">
        <v>5165</v>
      </c>
      <c r="B1269" s="50" t="s">
        <v>5166</v>
      </c>
      <c r="C1269" s="50" t="s">
        <v>5167</v>
      </c>
      <c r="D1269" s="50" t="s">
        <v>5159</v>
      </c>
      <c r="E1269" s="50" t="s">
        <v>5168</v>
      </c>
    </row>
    <row r="1270" spans="1:5" s="51" customFormat="1" x14ac:dyDescent="0.15">
      <c r="A1270" s="50" t="s">
        <v>5169</v>
      </c>
      <c r="B1270" s="50" t="s">
        <v>5170</v>
      </c>
      <c r="C1270" s="50" t="s">
        <v>5171</v>
      </c>
      <c r="D1270" s="50" t="s">
        <v>5159</v>
      </c>
      <c r="E1270" s="50" t="s">
        <v>5172</v>
      </c>
    </row>
    <row r="1271" spans="1:5" s="51" customFormat="1" x14ac:dyDescent="0.15">
      <c r="A1271" s="50" t="s">
        <v>5173</v>
      </c>
      <c r="B1271" s="50" t="s">
        <v>5174</v>
      </c>
      <c r="C1271" s="50" t="s">
        <v>5175</v>
      </c>
      <c r="D1271" s="50" t="s">
        <v>5159</v>
      </c>
      <c r="E1271" s="50" t="s">
        <v>5176</v>
      </c>
    </row>
    <row r="1272" spans="1:5" s="51" customFormat="1" x14ac:dyDescent="0.15">
      <c r="A1272" s="50" t="s">
        <v>5177</v>
      </c>
      <c r="B1272" s="50" t="s">
        <v>5178</v>
      </c>
      <c r="C1272" s="50" t="s">
        <v>5179</v>
      </c>
      <c r="D1272" s="50" t="s">
        <v>5159</v>
      </c>
      <c r="E1272" s="50" t="s">
        <v>5180</v>
      </c>
    </row>
    <row r="1273" spans="1:5" s="51" customFormat="1" x14ac:dyDescent="0.15">
      <c r="A1273" s="50" t="s">
        <v>5181</v>
      </c>
      <c r="B1273" s="50" t="s">
        <v>5182</v>
      </c>
      <c r="C1273" s="50" t="s">
        <v>5183</v>
      </c>
      <c r="D1273" s="50" t="s">
        <v>5159</v>
      </c>
      <c r="E1273" s="50" t="s">
        <v>5184</v>
      </c>
    </row>
    <row r="1274" spans="1:5" s="51" customFormat="1" x14ac:dyDescent="0.15">
      <c r="A1274" s="50" t="s">
        <v>5185</v>
      </c>
      <c r="B1274" s="50" t="s">
        <v>5186</v>
      </c>
      <c r="C1274" s="50" t="s">
        <v>5187</v>
      </c>
      <c r="D1274" s="50" t="s">
        <v>5159</v>
      </c>
      <c r="E1274" s="50" t="s">
        <v>5188</v>
      </c>
    </row>
    <row r="1275" spans="1:5" s="51" customFormat="1" x14ac:dyDescent="0.15">
      <c r="A1275" s="50" t="s">
        <v>5189</v>
      </c>
      <c r="B1275" s="50" t="s">
        <v>5190</v>
      </c>
      <c r="C1275" s="50" t="s">
        <v>5191</v>
      </c>
      <c r="D1275" s="50" t="s">
        <v>5159</v>
      </c>
      <c r="E1275" s="50" t="s">
        <v>5192</v>
      </c>
    </row>
    <row r="1276" spans="1:5" s="51" customFormat="1" x14ac:dyDescent="0.15">
      <c r="A1276" s="50" t="s">
        <v>5193</v>
      </c>
      <c r="B1276" s="50" t="s">
        <v>5194</v>
      </c>
      <c r="C1276" s="50" t="s">
        <v>5195</v>
      </c>
      <c r="D1276" s="50" t="s">
        <v>5159</v>
      </c>
      <c r="E1276" s="50" t="s">
        <v>5196</v>
      </c>
    </row>
    <row r="1277" spans="1:5" s="51" customFormat="1" x14ac:dyDescent="0.15">
      <c r="A1277" s="50" t="s">
        <v>5197</v>
      </c>
      <c r="B1277" s="50" t="s">
        <v>5198</v>
      </c>
      <c r="C1277" s="50" t="s">
        <v>5199</v>
      </c>
      <c r="D1277" s="50" t="s">
        <v>5159</v>
      </c>
      <c r="E1277" s="50" t="s">
        <v>5200</v>
      </c>
    </row>
    <row r="1278" spans="1:5" s="51" customFormat="1" x14ac:dyDescent="0.15">
      <c r="A1278" s="50" t="s">
        <v>5201</v>
      </c>
      <c r="B1278" s="50" t="s">
        <v>5202</v>
      </c>
      <c r="C1278" s="50" t="s">
        <v>5203</v>
      </c>
      <c r="D1278" s="50" t="s">
        <v>5159</v>
      </c>
      <c r="E1278" s="50" t="s">
        <v>5204</v>
      </c>
    </row>
    <row r="1279" spans="1:5" s="51" customFormat="1" x14ac:dyDescent="0.15">
      <c r="A1279" s="50" t="s">
        <v>5205</v>
      </c>
      <c r="B1279" s="50" t="s">
        <v>5206</v>
      </c>
      <c r="C1279" s="50" t="s">
        <v>5207</v>
      </c>
      <c r="D1279" s="50" t="s">
        <v>5159</v>
      </c>
      <c r="E1279" s="50" t="s">
        <v>5208</v>
      </c>
    </row>
    <row r="1280" spans="1:5" s="51" customFormat="1" x14ac:dyDescent="0.15">
      <c r="A1280" s="50" t="s">
        <v>5209</v>
      </c>
      <c r="B1280" s="50" t="s">
        <v>5210</v>
      </c>
      <c r="C1280" s="50" t="s">
        <v>5211</v>
      </c>
      <c r="D1280" s="50" t="s">
        <v>5159</v>
      </c>
      <c r="E1280" s="50" t="s">
        <v>5212</v>
      </c>
    </row>
    <row r="1281" spans="1:5" s="51" customFormat="1" x14ac:dyDescent="0.15">
      <c r="A1281" s="50" t="s">
        <v>5213</v>
      </c>
      <c r="B1281" s="50" t="s">
        <v>5214</v>
      </c>
      <c r="C1281" s="50" t="s">
        <v>5215</v>
      </c>
      <c r="D1281" s="50" t="s">
        <v>5159</v>
      </c>
      <c r="E1281" s="50" t="s">
        <v>5216</v>
      </c>
    </row>
    <row r="1282" spans="1:5" s="51" customFormat="1" x14ac:dyDescent="0.15">
      <c r="A1282" s="50" t="s">
        <v>5217</v>
      </c>
      <c r="B1282" s="50" t="s">
        <v>5218</v>
      </c>
      <c r="C1282" s="50" t="s">
        <v>5219</v>
      </c>
      <c r="D1282" s="50" t="s">
        <v>5159</v>
      </c>
      <c r="E1282" s="50" t="s">
        <v>5220</v>
      </c>
    </row>
    <row r="1283" spans="1:5" s="51" customFormat="1" x14ac:dyDescent="0.15">
      <c r="A1283" s="50" t="s">
        <v>5221</v>
      </c>
      <c r="B1283" s="50" t="s">
        <v>5222</v>
      </c>
      <c r="C1283" s="50" t="s">
        <v>5223</v>
      </c>
      <c r="D1283" s="50" t="s">
        <v>5224</v>
      </c>
      <c r="E1283" s="50" t="s">
        <v>5225</v>
      </c>
    </row>
    <row r="1284" spans="1:5" s="51" customFormat="1" x14ac:dyDescent="0.15">
      <c r="A1284" s="50" t="s">
        <v>5226</v>
      </c>
      <c r="B1284" s="50" t="s">
        <v>5227</v>
      </c>
      <c r="C1284" s="50" t="s">
        <v>5228</v>
      </c>
      <c r="D1284" s="50" t="s">
        <v>5159</v>
      </c>
      <c r="E1284" s="50" t="s">
        <v>5229</v>
      </c>
    </row>
    <row r="1285" spans="1:5" s="51" customFormat="1" x14ac:dyDescent="0.15">
      <c r="A1285" s="50" t="s">
        <v>5230</v>
      </c>
      <c r="B1285" s="50" t="s">
        <v>5231</v>
      </c>
      <c r="C1285" s="50" t="s">
        <v>5232</v>
      </c>
      <c r="D1285" s="50" t="s">
        <v>5159</v>
      </c>
      <c r="E1285" s="50" t="s">
        <v>5233</v>
      </c>
    </row>
    <row r="1286" spans="1:5" s="51" customFormat="1" x14ac:dyDescent="0.15">
      <c r="A1286" s="50" t="s">
        <v>5234</v>
      </c>
      <c r="B1286" s="50" t="s">
        <v>5235</v>
      </c>
      <c r="C1286" s="50" t="s">
        <v>5236</v>
      </c>
      <c r="D1286" s="50" t="s">
        <v>5159</v>
      </c>
      <c r="E1286" s="50" t="s">
        <v>5237</v>
      </c>
    </row>
    <row r="1287" spans="1:5" s="51" customFormat="1" x14ac:dyDescent="0.15">
      <c r="A1287" s="50" t="s">
        <v>5238</v>
      </c>
      <c r="B1287" s="50" t="s">
        <v>5239</v>
      </c>
      <c r="C1287" s="50" t="s">
        <v>5240</v>
      </c>
      <c r="D1287" s="50" t="s">
        <v>5159</v>
      </c>
      <c r="E1287" s="50" t="s">
        <v>5241</v>
      </c>
    </row>
    <row r="1288" spans="1:5" s="51" customFormat="1" x14ac:dyDescent="0.15">
      <c r="A1288" s="50" t="s">
        <v>5242</v>
      </c>
      <c r="B1288" s="50" t="s">
        <v>5243</v>
      </c>
      <c r="C1288" s="50" t="s">
        <v>5244</v>
      </c>
      <c r="D1288" s="50" t="s">
        <v>5224</v>
      </c>
      <c r="E1288" s="50" t="s">
        <v>5245</v>
      </c>
    </row>
    <row r="1289" spans="1:5" s="51" customFormat="1" x14ac:dyDescent="0.15">
      <c r="A1289" s="50" t="s">
        <v>5246</v>
      </c>
      <c r="B1289" s="50" t="s">
        <v>5247</v>
      </c>
      <c r="C1289" s="50" t="s">
        <v>5248</v>
      </c>
      <c r="D1289" s="50" t="s">
        <v>5159</v>
      </c>
      <c r="E1289" s="50" t="s">
        <v>5249</v>
      </c>
    </row>
    <row r="1290" spans="1:5" s="51" customFormat="1" x14ac:dyDescent="0.15">
      <c r="A1290" s="50" t="s">
        <v>5250</v>
      </c>
      <c r="B1290" s="50" t="s">
        <v>5251</v>
      </c>
      <c r="C1290" s="50" t="s">
        <v>5252</v>
      </c>
      <c r="D1290" s="50" t="s">
        <v>5159</v>
      </c>
      <c r="E1290" s="50" t="s">
        <v>5253</v>
      </c>
    </row>
    <row r="1291" spans="1:5" s="51" customFormat="1" x14ac:dyDescent="0.15">
      <c r="A1291" s="50" t="s">
        <v>5254</v>
      </c>
      <c r="B1291" s="50" t="s">
        <v>5255</v>
      </c>
      <c r="C1291" s="50" t="s">
        <v>3645</v>
      </c>
    </row>
    <row r="1292" spans="1:5" s="51" customFormat="1" x14ac:dyDescent="0.15">
      <c r="A1292" s="50" t="s">
        <v>5256</v>
      </c>
      <c r="B1292" s="50" t="s">
        <v>5257</v>
      </c>
      <c r="C1292" s="50" t="s">
        <v>5258</v>
      </c>
      <c r="D1292" s="50" t="s">
        <v>5259</v>
      </c>
      <c r="E1292" s="50" t="s">
        <v>5260</v>
      </c>
    </row>
    <row r="1293" spans="1:5" s="51" customFormat="1" x14ac:dyDescent="0.15">
      <c r="A1293" s="50" t="s">
        <v>5261</v>
      </c>
      <c r="B1293" s="50" t="s">
        <v>5262</v>
      </c>
      <c r="C1293" s="50" t="s">
        <v>5263</v>
      </c>
      <c r="D1293" s="50" t="s">
        <v>5259</v>
      </c>
      <c r="E1293" s="50" t="s">
        <v>5264</v>
      </c>
    </row>
    <row r="1294" spans="1:5" s="51" customFormat="1" x14ac:dyDescent="0.15">
      <c r="A1294" s="50" t="s">
        <v>5265</v>
      </c>
      <c r="B1294" s="50" t="s">
        <v>5266</v>
      </c>
      <c r="C1294" s="50" t="s">
        <v>5267</v>
      </c>
      <c r="D1294" s="50" t="s">
        <v>5259</v>
      </c>
      <c r="E1294" s="50" t="s">
        <v>5268</v>
      </c>
    </row>
    <row r="1295" spans="1:5" s="51" customFormat="1" x14ac:dyDescent="0.15">
      <c r="A1295" s="50" t="s">
        <v>5269</v>
      </c>
      <c r="B1295" s="50" t="s">
        <v>5270</v>
      </c>
      <c r="C1295" s="50" t="s">
        <v>5271</v>
      </c>
      <c r="D1295" s="50" t="s">
        <v>5259</v>
      </c>
      <c r="E1295" s="50" t="s">
        <v>5272</v>
      </c>
    </row>
    <row r="1296" spans="1:5" s="51" customFormat="1" x14ac:dyDescent="0.15">
      <c r="A1296" s="50" t="s">
        <v>5273</v>
      </c>
      <c r="B1296" s="50" t="s">
        <v>5274</v>
      </c>
      <c r="C1296" s="50" t="s">
        <v>5275</v>
      </c>
      <c r="D1296" s="50" t="s">
        <v>5259</v>
      </c>
      <c r="E1296" s="50" t="s">
        <v>5276</v>
      </c>
    </row>
    <row r="1297" spans="1:5" s="51" customFormat="1" x14ac:dyDescent="0.15">
      <c r="A1297" s="50" t="s">
        <v>5277</v>
      </c>
      <c r="B1297" s="50" t="s">
        <v>5278</v>
      </c>
      <c r="C1297" s="50" t="s">
        <v>5279</v>
      </c>
      <c r="D1297" s="50" t="s">
        <v>5259</v>
      </c>
      <c r="E1297" s="50" t="s">
        <v>5280</v>
      </c>
    </row>
    <row r="1298" spans="1:5" s="51" customFormat="1" x14ac:dyDescent="0.15">
      <c r="A1298" s="50" t="s">
        <v>5281</v>
      </c>
      <c r="B1298" s="50" t="s">
        <v>5282</v>
      </c>
      <c r="C1298" s="50" t="s">
        <v>5283</v>
      </c>
      <c r="D1298" s="50" t="s">
        <v>5259</v>
      </c>
      <c r="E1298" s="50" t="s">
        <v>5284</v>
      </c>
    </row>
    <row r="1299" spans="1:5" s="51" customFormat="1" x14ac:dyDescent="0.15">
      <c r="A1299" s="50" t="s">
        <v>5285</v>
      </c>
      <c r="B1299" s="50" t="s">
        <v>5286</v>
      </c>
      <c r="C1299" s="50" t="s">
        <v>5287</v>
      </c>
      <c r="D1299" s="50" t="s">
        <v>5259</v>
      </c>
      <c r="E1299" s="50" t="s">
        <v>5288</v>
      </c>
    </row>
    <row r="1300" spans="1:5" s="51" customFormat="1" x14ac:dyDescent="0.15">
      <c r="A1300" s="50" t="s">
        <v>5289</v>
      </c>
      <c r="B1300" s="50" t="s">
        <v>5290</v>
      </c>
      <c r="C1300" s="50" t="s">
        <v>5291</v>
      </c>
      <c r="D1300" s="50" t="s">
        <v>5159</v>
      </c>
      <c r="E1300" s="50" t="s">
        <v>5292</v>
      </c>
    </row>
    <row r="1301" spans="1:5" s="51" customFormat="1" x14ac:dyDescent="0.15">
      <c r="A1301" s="50" t="s">
        <v>5293</v>
      </c>
      <c r="B1301" s="50" t="s">
        <v>5294</v>
      </c>
      <c r="C1301" s="50" t="s">
        <v>5295</v>
      </c>
      <c r="D1301" s="50" t="s">
        <v>5296</v>
      </c>
      <c r="E1301" s="50" t="s">
        <v>5297</v>
      </c>
    </row>
    <row r="1302" spans="1:5" s="51" customFormat="1" x14ac:dyDescent="0.15">
      <c r="A1302" s="50" t="s">
        <v>5298</v>
      </c>
      <c r="B1302" s="50" t="s">
        <v>5299</v>
      </c>
      <c r="C1302" s="50" t="s">
        <v>5300</v>
      </c>
      <c r="D1302" s="50" t="s">
        <v>5159</v>
      </c>
      <c r="E1302" s="50" t="s">
        <v>5301</v>
      </c>
    </row>
    <row r="1303" spans="1:5" s="51" customFormat="1" x14ac:dyDescent="0.15">
      <c r="A1303" s="50" t="s">
        <v>5302</v>
      </c>
      <c r="B1303" s="50" t="s">
        <v>5303</v>
      </c>
      <c r="C1303" s="50" t="s">
        <v>5304</v>
      </c>
      <c r="D1303" s="50" t="s">
        <v>5305</v>
      </c>
      <c r="E1303" s="50" t="s">
        <v>5306</v>
      </c>
    </row>
    <row r="1304" spans="1:5" s="51" customFormat="1" x14ac:dyDescent="0.15">
      <c r="A1304" s="50" t="s">
        <v>5307</v>
      </c>
      <c r="B1304" s="50" t="s">
        <v>5308</v>
      </c>
      <c r="C1304" s="50" t="s">
        <v>5309</v>
      </c>
      <c r="D1304" s="50" t="s">
        <v>5259</v>
      </c>
      <c r="E1304" s="50" t="s">
        <v>5310</v>
      </c>
    </row>
    <row r="1305" spans="1:5" s="51" customFormat="1" x14ac:dyDescent="0.15">
      <c r="A1305" s="50" t="s">
        <v>5311</v>
      </c>
      <c r="B1305" s="50" t="s">
        <v>5312</v>
      </c>
      <c r="C1305" s="50" t="s">
        <v>5313</v>
      </c>
      <c r="D1305" s="50" t="s">
        <v>5259</v>
      </c>
      <c r="E1305" s="50" t="s">
        <v>5314</v>
      </c>
    </row>
    <row r="1306" spans="1:5" s="51" customFormat="1" x14ac:dyDescent="0.15">
      <c r="A1306" s="50" t="s">
        <v>5315</v>
      </c>
      <c r="B1306" s="50" t="s">
        <v>5316</v>
      </c>
      <c r="C1306" s="50" t="s">
        <v>5317</v>
      </c>
      <c r="D1306" s="50" t="s">
        <v>5159</v>
      </c>
      <c r="E1306" s="50" t="s">
        <v>5318</v>
      </c>
    </row>
    <row r="1307" spans="1:5" s="51" customFormat="1" x14ac:dyDescent="0.15">
      <c r="A1307" s="50" t="s">
        <v>5319</v>
      </c>
      <c r="B1307" s="50" t="s">
        <v>5320</v>
      </c>
      <c r="C1307" s="50" t="s">
        <v>5321</v>
      </c>
      <c r="D1307" s="50" t="s">
        <v>5259</v>
      </c>
      <c r="E1307" s="50" t="s">
        <v>5322</v>
      </c>
    </row>
    <row r="1308" spans="1:5" s="51" customFormat="1" x14ac:dyDescent="0.15">
      <c r="A1308" s="50" t="s">
        <v>5323</v>
      </c>
      <c r="B1308" s="50" t="s">
        <v>5324</v>
      </c>
      <c r="C1308" s="50" t="s">
        <v>5325</v>
      </c>
      <c r="D1308" s="50" t="s">
        <v>5259</v>
      </c>
      <c r="E1308" s="50" t="s">
        <v>5326</v>
      </c>
    </row>
    <row r="1309" spans="1:5" s="51" customFormat="1" x14ac:dyDescent="0.15">
      <c r="A1309" s="50" t="s">
        <v>5327</v>
      </c>
      <c r="B1309" s="50" t="s">
        <v>5328</v>
      </c>
      <c r="C1309" s="50" t="s">
        <v>5329</v>
      </c>
      <c r="D1309" s="50" t="s">
        <v>5296</v>
      </c>
      <c r="E1309" s="50" t="s">
        <v>5330</v>
      </c>
    </row>
    <row r="1310" spans="1:5" s="51" customFormat="1" x14ac:dyDescent="0.15">
      <c r="A1310" s="50" t="s">
        <v>5331</v>
      </c>
      <c r="B1310" s="50" t="s">
        <v>5332</v>
      </c>
      <c r="C1310" s="50" t="s">
        <v>5333</v>
      </c>
      <c r="D1310" s="50" t="s">
        <v>5259</v>
      </c>
      <c r="E1310" s="50" t="s">
        <v>5334</v>
      </c>
    </row>
    <row r="1311" spans="1:5" s="51" customFormat="1" x14ac:dyDescent="0.15">
      <c r="A1311" s="50" t="s">
        <v>5335</v>
      </c>
      <c r="B1311" s="50" t="s">
        <v>5336</v>
      </c>
      <c r="C1311" s="50" t="s">
        <v>5337</v>
      </c>
      <c r="D1311" s="50" t="s">
        <v>5338</v>
      </c>
      <c r="E1311" s="50" t="s">
        <v>5339</v>
      </c>
    </row>
    <row r="1312" spans="1:5" s="51" customFormat="1" x14ac:dyDescent="0.15">
      <c r="A1312" s="50" t="s">
        <v>5340</v>
      </c>
      <c r="B1312" s="50" t="s">
        <v>5341</v>
      </c>
      <c r="C1312" s="50" t="s">
        <v>5342</v>
      </c>
      <c r="D1312" s="50" t="s">
        <v>5259</v>
      </c>
      <c r="E1312" s="50" t="s">
        <v>5343</v>
      </c>
    </row>
    <row r="1313" spans="1:5" s="51" customFormat="1" x14ac:dyDescent="0.15">
      <c r="A1313" s="50" t="s">
        <v>5344</v>
      </c>
      <c r="B1313" s="50" t="s">
        <v>5345</v>
      </c>
      <c r="C1313" s="50" t="s">
        <v>5346</v>
      </c>
      <c r="D1313" s="50" t="s">
        <v>5347</v>
      </c>
      <c r="E1313" s="50" t="s">
        <v>5348</v>
      </c>
    </row>
    <row r="1314" spans="1:5" s="51" customFormat="1" x14ac:dyDescent="0.15">
      <c r="A1314" s="50" t="s">
        <v>5349</v>
      </c>
      <c r="B1314" s="50" t="s">
        <v>5350</v>
      </c>
      <c r="C1314" s="50" t="s">
        <v>5351</v>
      </c>
      <c r="D1314" s="50" t="s">
        <v>5259</v>
      </c>
      <c r="E1314" s="50" t="s">
        <v>5352</v>
      </c>
    </row>
    <row r="1315" spans="1:5" s="51" customFormat="1" x14ac:dyDescent="0.15">
      <c r="A1315" s="50" t="s">
        <v>5353</v>
      </c>
      <c r="B1315" s="50" t="s">
        <v>5354</v>
      </c>
      <c r="C1315" s="50" t="s">
        <v>5355</v>
      </c>
      <c r="D1315" s="50" t="s">
        <v>5259</v>
      </c>
      <c r="E1315" s="50" t="s">
        <v>5356</v>
      </c>
    </row>
    <row r="1316" spans="1:5" s="51" customFormat="1" x14ac:dyDescent="0.15">
      <c r="A1316" s="50" t="s">
        <v>5357</v>
      </c>
      <c r="B1316" s="50" t="s">
        <v>5358</v>
      </c>
      <c r="C1316" s="50" t="s">
        <v>5359</v>
      </c>
      <c r="D1316" s="50" t="s">
        <v>5305</v>
      </c>
      <c r="E1316" s="50" t="s">
        <v>5360</v>
      </c>
    </row>
    <row r="1317" spans="1:5" s="51" customFormat="1" x14ac:dyDescent="0.15">
      <c r="A1317" s="50" t="s">
        <v>5361</v>
      </c>
      <c r="B1317" s="50" t="s">
        <v>5362</v>
      </c>
      <c r="C1317" s="50" t="s">
        <v>5363</v>
      </c>
      <c r="D1317" s="50" t="s">
        <v>5259</v>
      </c>
      <c r="E1317" s="50" t="s">
        <v>5364</v>
      </c>
    </row>
    <row r="1318" spans="1:5" s="51" customFormat="1" x14ac:dyDescent="0.15">
      <c r="A1318" s="50" t="s">
        <v>5365</v>
      </c>
      <c r="B1318" s="50" t="s">
        <v>5366</v>
      </c>
      <c r="C1318" s="50" t="s">
        <v>5367</v>
      </c>
      <c r="D1318" s="50" t="s">
        <v>5259</v>
      </c>
      <c r="E1318" s="50" t="s">
        <v>5368</v>
      </c>
    </row>
    <row r="1319" spans="1:5" s="51" customFormat="1" x14ac:dyDescent="0.15">
      <c r="A1319" s="50" t="s">
        <v>5369</v>
      </c>
      <c r="B1319" s="50" t="s">
        <v>5370</v>
      </c>
      <c r="C1319" s="50" t="s">
        <v>5371</v>
      </c>
      <c r="D1319" s="50" t="s">
        <v>5259</v>
      </c>
      <c r="E1319" s="50" t="s">
        <v>5372</v>
      </c>
    </row>
    <row r="1320" spans="1:5" s="51" customFormat="1" x14ac:dyDescent="0.15">
      <c r="A1320" s="50" t="s">
        <v>5373</v>
      </c>
      <c r="B1320" s="50" t="s">
        <v>5374</v>
      </c>
      <c r="C1320" s="50" t="s">
        <v>5375</v>
      </c>
      <c r="D1320" s="50" t="s">
        <v>5296</v>
      </c>
      <c r="E1320" s="50" t="s">
        <v>5376</v>
      </c>
    </row>
    <row r="1321" spans="1:5" s="51" customFormat="1" x14ac:dyDescent="0.15">
      <c r="A1321" s="50" t="s">
        <v>5377</v>
      </c>
      <c r="B1321" s="50" t="s">
        <v>5378</v>
      </c>
      <c r="C1321" s="50" t="s">
        <v>5379</v>
      </c>
      <c r="D1321" s="50" t="s">
        <v>5296</v>
      </c>
      <c r="E1321" s="50" t="s">
        <v>5380</v>
      </c>
    </row>
    <row r="1322" spans="1:5" s="51" customFormat="1" x14ac:dyDescent="0.15">
      <c r="A1322" s="50" t="s">
        <v>5381</v>
      </c>
      <c r="B1322" s="50" t="s">
        <v>5382</v>
      </c>
      <c r="C1322" s="50" t="s">
        <v>5383</v>
      </c>
      <c r="D1322" s="50" t="s">
        <v>5259</v>
      </c>
      <c r="E1322" s="50" t="s">
        <v>5384</v>
      </c>
    </row>
    <row r="1323" spans="1:5" s="51" customFormat="1" x14ac:dyDescent="0.15">
      <c r="A1323" s="50" t="s">
        <v>5385</v>
      </c>
      <c r="B1323" s="50" t="s">
        <v>5386</v>
      </c>
      <c r="C1323" s="50" t="s">
        <v>5387</v>
      </c>
      <c r="D1323" s="50" t="s">
        <v>5259</v>
      </c>
      <c r="E1323" s="50" t="s">
        <v>5388</v>
      </c>
    </row>
    <row r="1324" spans="1:5" s="51" customFormat="1" x14ac:dyDescent="0.15">
      <c r="A1324" s="50" t="s">
        <v>5389</v>
      </c>
      <c r="B1324" s="50" t="s">
        <v>5390</v>
      </c>
      <c r="C1324" s="50" t="s">
        <v>5391</v>
      </c>
      <c r="D1324" s="50" t="s">
        <v>5224</v>
      </c>
      <c r="E1324" s="50" t="s">
        <v>5392</v>
      </c>
    </row>
    <row r="1325" spans="1:5" s="51" customFormat="1" x14ac:dyDescent="0.15">
      <c r="A1325" s="50" t="s">
        <v>5393</v>
      </c>
      <c r="B1325" s="50" t="s">
        <v>5394</v>
      </c>
      <c r="C1325" s="50" t="s">
        <v>5395</v>
      </c>
      <c r="D1325" s="50" t="s">
        <v>5259</v>
      </c>
      <c r="E1325" s="50" t="s">
        <v>5396</v>
      </c>
    </row>
    <row r="1326" spans="1:5" s="51" customFormat="1" x14ac:dyDescent="0.15">
      <c r="A1326" s="50" t="s">
        <v>5397</v>
      </c>
      <c r="B1326" s="50" t="s">
        <v>5398</v>
      </c>
      <c r="C1326" s="50" t="s">
        <v>5399</v>
      </c>
      <c r="D1326" s="50" t="s">
        <v>5400</v>
      </c>
      <c r="E1326" s="50" t="s">
        <v>5401</v>
      </c>
    </row>
    <row r="1327" spans="1:5" s="51" customFormat="1" x14ac:dyDescent="0.15">
      <c r="A1327" s="50" t="s">
        <v>5402</v>
      </c>
      <c r="B1327" s="50" t="s">
        <v>5403</v>
      </c>
      <c r="C1327" s="50" t="s">
        <v>5404</v>
      </c>
      <c r="D1327" s="50" t="s">
        <v>5259</v>
      </c>
      <c r="E1327" s="50" t="s">
        <v>5405</v>
      </c>
    </row>
    <row r="1328" spans="1:5" s="51" customFormat="1" x14ac:dyDescent="0.15">
      <c r="A1328" s="50" t="s">
        <v>5406</v>
      </c>
      <c r="B1328" s="50" t="s">
        <v>5407</v>
      </c>
      <c r="C1328" s="50" t="s">
        <v>5408</v>
      </c>
      <c r="D1328" s="50" t="s">
        <v>5259</v>
      </c>
      <c r="E1328" s="50" t="s">
        <v>5409</v>
      </c>
    </row>
    <row r="1329" spans="1:5" s="51" customFormat="1" x14ac:dyDescent="0.15">
      <c r="A1329" s="50" t="s">
        <v>5410</v>
      </c>
      <c r="B1329" s="50" t="s">
        <v>5411</v>
      </c>
      <c r="C1329" s="50" t="s">
        <v>5412</v>
      </c>
      <c r="D1329" s="50" t="s">
        <v>5259</v>
      </c>
      <c r="E1329" s="50" t="s">
        <v>5413</v>
      </c>
    </row>
    <row r="1330" spans="1:5" s="51" customFormat="1" x14ac:dyDescent="0.15">
      <c r="A1330" s="50" t="s">
        <v>5414</v>
      </c>
      <c r="B1330" s="50" t="s">
        <v>5415</v>
      </c>
      <c r="C1330" s="50" t="s">
        <v>5416</v>
      </c>
      <c r="D1330" s="50" t="s">
        <v>5004</v>
      </c>
      <c r="E1330" s="50" t="s">
        <v>5111</v>
      </c>
    </row>
    <row r="1331" spans="1:5" s="51" customFormat="1" x14ac:dyDescent="0.15">
      <c r="A1331" s="50" t="s">
        <v>5417</v>
      </c>
      <c r="B1331" s="50" t="s">
        <v>5418</v>
      </c>
      <c r="C1331" s="50" t="s">
        <v>5419</v>
      </c>
      <c r="D1331" s="50" t="s">
        <v>5259</v>
      </c>
      <c r="E1331" s="50" t="s">
        <v>5420</v>
      </c>
    </row>
    <row r="1332" spans="1:5" s="51" customFormat="1" x14ac:dyDescent="0.15">
      <c r="A1332" s="50" t="s">
        <v>5421</v>
      </c>
      <c r="B1332" s="50" t="s">
        <v>5422</v>
      </c>
      <c r="C1332" s="50" t="s">
        <v>5423</v>
      </c>
      <c r="D1332" s="50" t="s">
        <v>5259</v>
      </c>
      <c r="E1332" s="50" t="s">
        <v>5424</v>
      </c>
    </row>
    <row r="1333" spans="1:5" s="51" customFormat="1" x14ac:dyDescent="0.15">
      <c r="A1333" s="50" t="s">
        <v>5425</v>
      </c>
      <c r="B1333" s="50" t="s">
        <v>5426</v>
      </c>
      <c r="C1333" s="50" t="s">
        <v>5427</v>
      </c>
      <c r="D1333" s="50" t="s">
        <v>5428</v>
      </c>
      <c r="E1333" s="50" t="s">
        <v>5429</v>
      </c>
    </row>
    <row r="1334" spans="1:5" s="51" customFormat="1" x14ac:dyDescent="0.15">
      <c r="A1334" s="50" t="s">
        <v>5430</v>
      </c>
      <c r="B1334" s="50" t="s">
        <v>5431</v>
      </c>
      <c r="C1334" s="50" t="s">
        <v>5432</v>
      </c>
      <c r="D1334" s="50" t="s">
        <v>5259</v>
      </c>
      <c r="E1334" s="50" t="s">
        <v>5433</v>
      </c>
    </row>
    <row r="1335" spans="1:5" s="51" customFormat="1" x14ac:dyDescent="0.15">
      <c r="A1335" s="50" t="s">
        <v>5434</v>
      </c>
      <c r="B1335" s="50" t="s">
        <v>5435</v>
      </c>
      <c r="C1335" s="50" t="s">
        <v>5436</v>
      </c>
      <c r="D1335" s="50" t="s">
        <v>5259</v>
      </c>
      <c r="E1335" s="50" t="s">
        <v>5334</v>
      </c>
    </row>
    <row r="1336" spans="1:5" s="51" customFormat="1" x14ac:dyDescent="0.15">
      <c r="A1336" s="50" t="s">
        <v>5437</v>
      </c>
      <c r="B1336" s="50" t="s">
        <v>5438</v>
      </c>
      <c r="C1336" s="50" t="s">
        <v>5439</v>
      </c>
      <c r="D1336" s="50" t="s">
        <v>5259</v>
      </c>
      <c r="E1336" s="50" t="s">
        <v>5440</v>
      </c>
    </row>
    <row r="1337" spans="1:5" s="51" customFormat="1" x14ac:dyDescent="0.15">
      <c r="A1337" s="50" t="s">
        <v>5441</v>
      </c>
      <c r="B1337" s="50" t="s">
        <v>5442</v>
      </c>
      <c r="C1337" s="50" t="s">
        <v>5443</v>
      </c>
      <c r="D1337" s="50" t="s">
        <v>5347</v>
      </c>
      <c r="E1337" s="50" t="s">
        <v>5444</v>
      </c>
    </row>
    <row r="1338" spans="1:5" s="51" customFormat="1" x14ac:dyDescent="0.15">
      <c r="A1338" s="50" t="s">
        <v>5445</v>
      </c>
      <c r="B1338" s="50" t="s">
        <v>5446</v>
      </c>
      <c r="C1338" s="50" t="s">
        <v>5447</v>
      </c>
      <c r="D1338" s="50" t="s">
        <v>5347</v>
      </c>
      <c r="E1338" s="50" t="s">
        <v>5448</v>
      </c>
    </row>
    <row r="1339" spans="1:5" s="51" customFormat="1" x14ac:dyDescent="0.15">
      <c r="A1339" s="50" t="s">
        <v>5449</v>
      </c>
      <c r="B1339" s="50" t="s">
        <v>5450</v>
      </c>
      <c r="C1339" s="50" t="s">
        <v>5451</v>
      </c>
      <c r="D1339" s="50" t="s">
        <v>5347</v>
      </c>
      <c r="E1339" s="50" t="s">
        <v>5448</v>
      </c>
    </row>
    <row r="1340" spans="1:5" s="51" customFormat="1" x14ac:dyDescent="0.15">
      <c r="A1340" s="50" t="s">
        <v>5452</v>
      </c>
      <c r="B1340" s="50" t="s">
        <v>5453</v>
      </c>
      <c r="C1340" s="50" t="s">
        <v>5454</v>
      </c>
    </row>
    <row r="1341" spans="1:5" s="51" customFormat="1" x14ac:dyDescent="0.15">
      <c r="A1341" s="50" t="s">
        <v>5455</v>
      </c>
      <c r="B1341" s="50" t="s">
        <v>5456</v>
      </c>
      <c r="C1341" s="50" t="s">
        <v>5457</v>
      </c>
      <c r="D1341" s="50" t="s">
        <v>5458</v>
      </c>
      <c r="E1341" s="50" t="s">
        <v>5459</v>
      </c>
    </row>
    <row r="1342" spans="1:5" s="51" customFormat="1" x14ac:dyDescent="0.15">
      <c r="A1342" s="50" t="s">
        <v>5460</v>
      </c>
      <c r="B1342" s="50" t="s">
        <v>5461</v>
      </c>
      <c r="C1342" s="50" t="s">
        <v>5462</v>
      </c>
      <c r="D1342" s="50" t="s">
        <v>5458</v>
      </c>
      <c r="E1342" s="50" t="s">
        <v>5463</v>
      </c>
    </row>
    <row r="1343" spans="1:5" s="51" customFormat="1" x14ac:dyDescent="0.15">
      <c r="A1343" s="50" t="s">
        <v>5464</v>
      </c>
      <c r="B1343" s="50" t="s">
        <v>5465</v>
      </c>
      <c r="C1343" s="50" t="s">
        <v>5466</v>
      </c>
      <c r="D1343" s="50" t="s">
        <v>5458</v>
      </c>
      <c r="E1343" s="50" t="s">
        <v>5467</v>
      </c>
    </row>
    <row r="1344" spans="1:5" s="51" customFormat="1" x14ac:dyDescent="0.15">
      <c r="A1344" s="50" t="s">
        <v>5468</v>
      </c>
      <c r="B1344" s="50" t="s">
        <v>5469</v>
      </c>
      <c r="C1344" s="50" t="s">
        <v>5470</v>
      </c>
      <c r="D1344" s="50" t="s">
        <v>5458</v>
      </c>
      <c r="E1344" s="50" t="s">
        <v>5471</v>
      </c>
    </row>
    <row r="1345" spans="1:5" s="51" customFormat="1" x14ac:dyDescent="0.15">
      <c r="A1345" s="50" t="s">
        <v>5472</v>
      </c>
      <c r="B1345" s="50" t="s">
        <v>5473</v>
      </c>
      <c r="C1345" s="50" t="s">
        <v>5474</v>
      </c>
      <c r="D1345" s="50" t="s">
        <v>5458</v>
      </c>
      <c r="E1345" s="50" t="s">
        <v>5475</v>
      </c>
    </row>
    <row r="1346" spans="1:5" s="51" customFormat="1" x14ac:dyDescent="0.15">
      <c r="A1346" s="50" t="s">
        <v>5476</v>
      </c>
      <c r="B1346" s="50" t="s">
        <v>5477</v>
      </c>
      <c r="C1346" s="50" t="s">
        <v>5478</v>
      </c>
      <c r="D1346" s="50" t="s">
        <v>5458</v>
      </c>
      <c r="E1346" s="50" t="s">
        <v>5479</v>
      </c>
    </row>
    <row r="1347" spans="1:5" s="51" customFormat="1" x14ac:dyDescent="0.15">
      <c r="A1347" s="50" t="s">
        <v>5480</v>
      </c>
      <c r="B1347" s="50" t="s">
        <v>5481</v>
      </c>
      <c r="C1347" s="50" t="s">
        <v>5482</v>
      </c>
      <c r="D1347" s="50" t="s">
        <v>5458</v>
      </c>
      <c r="E1347" s="50" t="s">
        <v>5483</v>
      </c>
    </row>
    <row r="1348" spans="1:5" s="51" customFormat="1" x14ac:dyDescent="0.15">
      <c r="A1348" s="50" t="s">
        <v>5484</v>
      </c>
      <c r="B1348" s="50" t="s">
        <v>5485</v>
      </c>
      <c r="C1348" s="50" t="s">
        <v>5486</v>
      </c>
      <c r="D1348" s="50" t="s">
        <v>5458</v>
      </c>
      <c r="E1348" s="50" t="s">
        <v>5487</v>
      </c>
    </row>
    <row r="1349" spans="1:5" s="51" customFormat="1" x14ac:dyDescent="0.15">
      <c r="A1349" s="50" t="s">
        <v>5488</v>
      </c>
      <c r="B1349" s="50" t="s">
        <v>5489</v>
      </c>
      <c r="C1349" s="50" t="s">
        <v>5490</v>
      </c>
      <c r="D1349" s="50" t="s">
        <v>5458</v>
      </c>
      <c r="E1349" s="50" t="s">
        <v>5491</v>
      </c>
    </row>
    <row r="1350" spans="1:5" s="51" customFormat="1" x14ac:dyDescent="0.15">
      <c r="A1350" s="50" t="s">
        <v>5492</v>
      </c>
      <c r="B1350" s="50" t="s">
        <v>5493</v>
      </c>
      <c r="C1350" s="50" t="s">
        <v>5494</v>
      </c>
      <c r="D1350" s="50" t="s">
        <v>5495</v>
      </c>
      <c r="E1350" s="50" t="s">
        <v>5496</v>
      </c>
    </row>
    <row r="1351" spans="1:5" s="51" customFormat="1" x14ac:dyDescent="0.15">
      <c r="A1351" s="50" t="s">
        <v>5497</v>
      </c>
      <c r="B1351" s="50" t="s">
        <v>5498</v>
      </c>
      <c r="C1351" s="50" t="s">
        <v>5499</v>
      </c>
      <c r="D1351" s="50" t="s">
        <v>5159</v>
      </c>
      <c r="E1351" s="50" t="s">
        <v>5500</v>
      </c>
    </row>
    <row r="1352" spans="1:5" s="51" customFormat="1" x14ac:dyDescent="0.15">
      <c r="A1352" s="50" t="s">
        <v>5501</v>
      </c>
      <c r="B1352" s="50" t="s">
        <v>5502</v>
      </c>
      <c r="C1352" s="50" t="s">
        <v>5503</v>
      </c>
      <c r="D1352" s="50" t="s">
        <v>5458</v>
      </c>
      <c r="E1352" s="50" t="s">
        <v>5504</v>
      </c>
    </row>
    <row r="1353" spans="1:5" s="51" customFormat="1" x14ac:dyDescent="0.15">
      <c r="A1353" s="50" t="s">
        <v>5505</v>
      </c>
      <c r="B1353" s="50" t="s">
        <v>5506</v>
      </c>
      <c r="C1353" s="50" t="s">
        <v>5507</v>
      </c>
      <c r="D1353" s="50" t="s">
        <v>5508</v>
      </c>
      <c r="E1353" s="50" t="s">
        <v>5509</v>
      </c>
    </row>
    <row r="1354" spans="1:5" s="51" customFormat="1" x14ac:dyDescent="0.15">
      <c r="A1354" s="50" t="s">
        <v>5510</v>
      </c>
      <c r="B1354" s="50" t="s">
        <v>5511</v>
      </c>
      <c r="C1354" s="50" t="s">
        <v>5512</v>
      </c>
      <c r="D1354" s="50" t="s">
        <v>5513</v>
      </c>
      <c r="E1354" s="50" t="s">
        <v>5514</v>
      </c>
    </row>
    <row r="1355" spans="1:5" s="51" customFormat="1" x14ac:dyDescent="0.15">
      <c r="A1355" s="50" t="s">
        <v>5515</v>
      </c>
      <c r="B1355" s="50" t="s">
        <v>5516</v>
      </c>
      <c r="C1355" s="50" t="s">
        <v>5517</v>
      </c>
      <c r="D1355" s="50" t="s">
        <v>5518</v>
      </c>
      <c r="E1355" s="50" t="s">
        <v>5519</v>
      </c>
    </row>
    <row r="1356" spans="1:5" s="51" customFormat="1" x14ac:dyDescent="0.15">
      <c r="A1356" s="50" t="s">
        <v>5520</v>
      </c>
      <c r="B1356" s="50" t="s">
        <v>5521</v>
      </c>
      <c r="C1356" s="50" t="s">
        <v>5522</v>
      </c>
      <c r="D1356" s="50" t="s">
        <v>5259</v>
      </c>
      <c r="E1356" s="50" t="s">
        <v>5523</v>
      </c>
    </row>
    <row r="1357" spans="1:5" s="51" customFormat="1" x14ac:dyDescent="0.15">
      <c r="A1357" s="50" t="s">
        <v>5524</v>
      </c>
      <c r="B1357" s="50" t="s">
        <v>5525</v>
      </c>
      <c r="C1357" s="50" t="s">
        <v>5526</v>
      </c>
      <c r="D1357" s="50" t="s">
        <v>5527</v>
      </c>
      <c r="E1357" s="50" t="s">
        <v>5528</v>
      </c>
    </row>
    <row r="1358" spans="1:5" s="51" customFormat="1" x14ac:dyDescent="0.15">
      <c r="A1358" s="50" t="s">
        <v>5529</v>
      </c>
      <c r="B1358" s="50" t="s">
        <v>5530</v>
      </c>
      <c r="C1358" s="50" t="s">
        <v>5531</v>
      </c>
      <c r="D1358" s="50" t="s">
        <v>5532</v>
      </c>
      <c r="E1358" s="50" t="s">
        <v>5533</v>
      </c>
    </row>
    <row r="1359" spans="1:5" s="51" customFormat="1" x14ac:dyDescent="0.15">
      <c r="A1359" s="50" t="s">
        <v>5534</v>
      </c>
      <c r="B1359" s="50" t="s">
        <v>5535</v>
      </c>
      <c r="C1359" s="50" t="s">
        <v>5536</v>
      </c>
      <c r="D1359" s="50" t="s">
        <v>5537</v>
      </c>
      <c r="E1359" s="50" t="s">
        <v>5538</v>
      </c>
    </row>
    <row r="1360" spans="1:5" s="51" customFormat="1" x14ac:dyDescent="0.15">
      <c r="A1360" s="50" t="s">
        <v>5539</v>
      </c>
      <c r="B1360" s="50" t="s">
        <v>5540</v>
      </c>
      <c r="C1360" s="50" t="s">
        <v>5541</v>
      </c>
      <c r="D1360" s="50" t="s">
        <v>5527</v>
      </c>
      <c r="E1360" s="50" t="s">
        <v>5542</v>
      </c>
    </row>
    <row r="1361" spans="1:5" s="51" customFormat="1" x14ac:dyDescent="0.15">
      <c r="A1361" s="50" t="s">
        <v>5543</v>
      </c>
      <c r="B1361" s="50" t="s">
        <v>5544</v>
      </c>
      <c r="C1361" s="50" t="s">
        <v>5545</v>
      </c>
      <c r="D1361" s="50" t="s">
        <v>5546</v>
      </c>
      <c r="E1361" s="50" t="s">
        <v>5547</v>
      </c>
    </row>
    <row r="1362" spans="1:5" s="51" customFormat="1" x14ac:dyDescent="0.15">
      <c r="A1362" s="50" t="s">
        <v>5548</v>
      </c>
      <c r="B1362" s="50" t="s">
        <v>5549</v>
      </c>
      <c r="C1362" s="50" t="s">
        <v>5550</v>
      </c>
      <c r="D1362" s="50" t="s">
        <v>5551</v>
      </c>
      <c r="E1362" s="50" t="s">
        <v>5552</v>
      </c>
    </row>
    <row r="1363" spans="1:5" s="51" customFormat="1" x14ac:dyDescent="0.15">
      <c r="A1363" s="50" t="s">
        <v>5553</v>
      </c>
      <c r="B1363" s="50" t="s">
        <v>5554</v>
      </c>
      <c r="C1363" s="50" t="s">
        <v>5555</v>
      </c>
      <c r="D1363" s="50" t="s">
        <v>5556</v>
      </c>
      <c r="E1363" s="50" t="s">
        <v>5557</v>
      </c>
    </row>
    <row r="1364" spans="1:5" s="51" customFormat="1" x14ac:dyDescent="0.15">
      <c r="A1364" s="50" t="s">
        <v>5558</v>
      </c>
      <c r="B1364" s="50" t="s">
        <v>5559</v>
      </c>
      <c r="C1364" s="50" t="s">
        <v>5560</v>
      </c>
      <c r="D1364" s="50" t="s">
        <v>5561</v>
      </c>
      <c r="E1364" s="50" t="s">
        <v>5562</v>
      </c>
    </row>
    <row r="1365" spans="1:5" s="51" customFormat="1" x14ac:dyDescent="0.15">
      <c r="A1365" s="50" t="s">
        <v>5563</v>
      </c>
      <c r="B1365" s="50" t="s">
        <v>5564</v>
      </c>
      <c r="C1365" s="50" t="s">
        <v>5565</v>
      </c>
      <c r="D1365" s="50" t="s">
        <v>5259</v>
      </c>
      <c r="E1365" s="50" t="s">
        <v>5566</v>
      </c>
    </row>
    <row r="1366" spans="1:5" s="51" customFormat="1" x14ac:dyDescent="0.15">
      <c r="A1366" s="50" t="s">
        <v>5567</v>
      </c>
      <c r="B1366" s="50" t="s">
        <v>5568</v>
      </c>
      <c r="C1366" s="50" t="s">
        <v>5569</v>
      </c>
      <c r="D1366" s="50" t="s">
        <v>5556</v>
      </c>
      <c r="E1366" s="50" t="s">
        <v>5570</v>
      </c>
    </row>
    <row r="1367" spans="1:5" s="51" customFormat="1" x14ac:dyDescent="0.15">
      <c r="A1367" s="50" t="s">
        <v>5571</v>
      </c>
      <c r="B1367" s="50" t="s">
        <v>5572</v>
      </c>
      <c r="C1367" s="50" t="s">
        <v>5573</v>
      </c>
      <c r="D1367" s="50" t="s">
        <v>5561</v>
      </c>
      <c r="E1367" s="50" t="s">
        <v>5574</v>
      </c>
    </row>
    <row r="1368" spans="1:5" s="51" customFormat="1" x14ac:dyDescent="0.15">
      <c r="A1368" s="50" t="s">
        <v>5575</v>
      </c>
      <c r="B1368" s="50" t="s">
        <v>5576</v>
      </c>
      <c r="C1368" s="50" t="s">
        <v>5577</v>
      </c>
      <c r="D1368" s="50" t="s">
        <v>5578</v>
      </c>
      <c r="E1368" s="50" t="s">
        <v>5579</v>
      </c>
    </row>
    <row r="1369" spans="1:5" s="51" customFormat="1" x14ac:dyDescent="0.15">
      <c r="A1369" s="50" t="s">
        <v>5580</v>
      </c>
      <c r="B1369" s="50" t="s">
        <v>5581</v>
      </c>
      <c r="C1369" s="50" t="s">
        <v>5582</v>
      </c>
      <c r="D1369" s="50" t="s">
        <v>5561</v>
      </c>
      <c r="E1369" s="50" t="s">
        <v>5583</v>
      </c>
    </row>
    <row r="1370" spans="1:5" s="51" customFormat="1" x14ac:dyDescent="0.15">
      <c r="A1370" s="50" t="s">
        <v>5584</v>
      </c>
      <c r="B1370" s="50" t="s">
        <v>5585</v>
      </c>
      <c r="C1370" s="50" t="s">
        <v>5586</v>
      </c>
      <c r="D1370" s="50" t="s">
        <v>5561</v>
      </c>
      <c r="E1370" s="50" t="s">
        <v>5587</v>
      </c>
    </row>
    <row r="1371" spans="1:5" s="51" customFormat="1" x14ac:dyDescent="0.15">
      <c r="A1371" s="50" t="s">
        <v>5588</v>
      </c>
      <c r="B1371" s="50" t="s">
        <v>5589</v>
      </c>
      <c r="C1371" s="50" t="s">
        <v>5590</v>
      </c>
      <c r="D1371" s="50" t="s">
        <v>5546</v>
      </c>
      <c r="E1371" s="50" t="s">
        <v>5591</v>
      </c>
    </row>
    <row r="1372" spans="1:5" s="51" customFormat="1" x14ac:dyDescent="0.15">
      <c r="A1372" s="50" t="s">
        <v>5592</v>
      </c>
      <c r="B1372" s="50" t="s">
        <v>5593</v>
      </c>
      <c r="C1372" s="50" t="s">
        <v>5594</v>
      </c>
      <c r="D1372" s="50" t="s">
        <v>5513</v>
      </c>
      <c r="E1372" s="50" t="s">
        <v>5595</v>
      </c>
    </row>
    <row r="1373" spans="1:5" s="51" customFormat="1" x14ac:dyDescent="0.15">
      <c r="A1373" s="50" t="s">
        <v>5596</v>
      </c>
      <c r="B1373" s="50" t="s">
        <v>5597</v>
      </c>
      <c r="C1373" s="50" t="s">
        <v>5598</v>
      </c>
      <c r="D1373" s="50" t="s">
        <v>5561</v>
      </c>
      <c r="E1373" s="50" t="s">
        <v>5599</v>
      </c>
    </row>
    <row r="1374" spans="1:5" s="51" customFormat="1" x14ac:dyDescent="0.15">
      <c r="A1374" s="50" t="s">
        <v>5600</v>
      </c>
      <c r="B1374" s="50" t="s">
        <v>5601</v>
      </c>
      <c r="C1374" s="50" t="s">
        <v>5602</v>
      </c>
      <c r="D1374" s="50" t="s">
        <v>5513</v>
      </c>
      <c r="E1374" s="50" t="s">
        <v>5603</v>
      </c>
    </row>
    <row r="1375" spans="1:5" s="51" customFormat="1" x14ac:dyDescent="0.15">
      <c r="A1375" s="50" t="s">
        <v>5604</v>
      </c>
      <c r="B1375" s="50" t="s">
        <v>5605</v>
      </c>
      <c r="C1375" s="50" t="s">
        <v>5606</v>
      </c>
      <c r="D1375" s="50" t="s">
        <v>5578</v>
      </c>
      <c r="E1375" s="50" t="s">
        <v>5607</v>
      </c>
    </row>
    <row r="1376" spans="1:5" s="51" customFormat="1" x14ac:dyDescent="0.15">
      <c r="A1376" s="50" t="s">
        <v>5608</v>
      </c>
      <c r="B1376" s="50" t="s">
        <v>5609</v>
      </c>
      <c r="C1376" s="50" t="s">
        <v>5610</v>
      </c>
      <c r="D1376" s="50" t="s">
        <v>5546</v>
      </c>
      <c r="E1376" s="50" t="s">
        <v>5611</v>
      </c>
    </row>
    <row r="1377" spans="1:5" s="51" customFormat="1" x14ac:dyDescent="0.15">
      <c r="A1377" s="50" t="s">
        <v>5612</v>
      </c>
      <c r="B1377" s="50" t="s">
        <v>5613</v>
      </c>
      <c r="C1377" s="50" t="s">
        <v>5614</v>
      </c>
      <c r="D1377" s="50" t="s">
        <v>5615</v>
      </c>
      <c r="E1377" s="50" t="s">
        <v>5616</v>
      </c>
    </row>
    <row r="1378" spans="1:5" s="51" customFormat="1" x14ac:dyDescent="0.15">
      <c r="A1378" s="50" t="s">
        <v>5617</v>
      </c>
      <c r="B1378" s="50" t="s">
        <v>5618</v>
      </c>
      <c r="C1378" s="50" t="s">
        <v>5619</v>
      </c>
      <c r="D1378" s="50" t="s">
        <v>5259</v>
      </c>
      <c r="E1378" s="50" t="s">
        <v>5620</v>
      </c>
    </row>
    <row r="1379" spans="1:5" s="51" customFormat="1" x14ac:dyDescent="0.15">
      <c r="A1379" s="50" t="s">
        <v>5621</v>
      </c>
      <c r="B1379" s="50" t="s">
        <v>5622</v>
      </c>
      <c r="C1379" s="50" t="s">
        <v>5623</v>
      </c>
      <c r="D1379" s="50" t="s">
        <v>5546</v>
      </c>
      <c r="E1379" s="50" t="s">
        <v>5624</v>
      </c>
    </row>
    <row r="1380" spans="1:5" s="51" customFormat="1" x14ac:dyDescent="0.15">
      <c r="A1380" s="50" t="s">
        <v>5625</v>
      </c>
      <c r="B1380" s="50" t="s">
        <v>5626</v>
      </c>
      <c r="C1380" s="50" t="s">
        <v>5627</v>
      </c>
      <c r="D1380" s="50" t="s">
        <v>5561</v>
      </c>
      <c r="E1380" s="50" t="s">
        <v>5628</v>
      </c>
    </row>
    <row r="1381" spans="1:5" s="51" customFormat="1" x14ac:dyDescent="0.15">
      <c r="A1381" s="50" t="s">
        <v>5629</v>
      </c>
      <c r="B1381" s="50" t="s">
        <v>5630</v>
      </c>
      <c r="C1381" s="50" t="s">
        <v>5631</v>
      </c>
      <c r="D1381" s="50" t="s">
        <v>5537</v>
      </c>
      <c r="E1381" s="50" t="s">
        <v>5632</v>
      </c>
    </row>
    <row r="1382" spans="1:5" s="51" customFormat="1" x14ac:dyDescent="0.15">
      <c r="A1382" s="50" t="s">
        <v>5633</v>
      </c>
      <c r="B1382" s="50" t="s">
        <v>5634</v>
      </c>
      <c r="C1382" s="50" t="s">
        <v>5635</v>
      </c>
      <c r="D1382" s="50" t="s">
        <v>5578</v>
      </c>
      <c r="E1382" s="50" t="s">
        <v>5636</v>
      </c>
    </row>
    <row r="1383" spans="1:5" s="51" customFormat="1" x14ac:dyDescent="0.15">
      <c r="A1383" s="50" t="s">
        <v>5637</v>
      </c>
      <c r="B1383" s="50" t="s">
        <v>5638</v>
      </c>
      <c r="C1383" s="50" t="s">
        <v>5639</v>
      </c>
      <c r="D1383" s="50" t="s">
        <v>5578</v>
      </c>
      <c r="E1383" s="50" t="s">
        <v>5640</v>
      </c>
    </row>
    <row r="1384" spans="1:5" s="51" customFormat="1" x14ac:dyDescent="0.15">
      <c r="A1384" s="50" t="s">
        <v>5641</v>
      </c>
      <c r="B1384" s="50" t="s">
        <v>5642</v>
      </c>
      <c r="C1384" s="50" t="s">
        <v>5643</v>
      </c>
      <c r="D1384" s="50" t="s">
        <v>5578</v>
      </c>
      <c r="E1384" s="50" t="s">
        <v>5644</v>
      </c>
    </row>
    <row r="1385" spans="1:5" s="51" customFormat="1" x14ac:dyDescent="0.15">
      <c r="A1385" s="50" t="s">
        <v>5645</v>
      </c>
      <c r="B1385" s="50" t="s">
        <v>5646</v>
      </c>
      <c r="C1385" s="50" t="s">
        <v>5647</v>
      </c>
      <c r="D1385" s="50" t="s">
        <v>5561</v>
      </c>
      <c r="E1385" s="50" t="s">
        <v>5648</v>
      </c>
    </row>
    <row r="1386" spans="1:5" s="51" customFormat="1" x14ac:dyDescent="0.15">
      <c r="A1386" s="50" t="s">
        <v>5649</v>
      </c>
      <c r="B1386" s="50" t="s">
        <v>5650</v>
      </c>
      <c r="C1386" s="50" t="s">
        <v>5651</v>
      </c>
      <c r="D1386" s="50" t="s">
        <v>5527</v>
      </c>
      <c r="E1386" s="50" t="s">
        <v>5652</v>
      </c>
    </row>
    <row r="1387" spans="1:5" s="51" customFormat="1" x14ac:dyDescent="0.15">
      <c r="A1387" s="50" t="s">
        <v>5653</v>
      </c>
      <c r="B1387" s="50" t="s">
        <v>5654</v>
      </c>
      <c r="C1387" s="50" t="s">
        <v>5655</v>
      </c>
      <c r="D1387" s="50" t="s">
        <v>5578</v>
      </c>
      <c r="E1387" s="50" t="s">
        <v>5656</v>
      </c>
    </row>
    <row r="1388" spans="1:5" s="51" customFormat="1" x14ac:dyDescent="0.15">
      <c r="A1388" s="50" t="s">
        <v>5657</v>
      </c>
      <c r="B1388" s="50" t="s">
        <v>5658</v>
      </c>
      <c r="C1388" s="50" t="s">
        <v>5659</v>
      </c>
      <c r="D1388" s="50" t="s">
        <v>5532</v>
      </c>
      <c r="E1388" s="50" t="s">
        <v>5660</v>
      </c>
    </row>
    <row r="1389" spans="1:5" s="51" customFormat="1" x14ac:dyDescent="0.15">
      <c r="A1389" s="50" t="s">
        <v>5661</v>
      </c>
      <c r="B1389" s="50" t="s">
        <v>5662</v>
      </c>
      <c r="C1389" s="50" t="s">
        <v>5663</v>
      </c>
      <c r="D1389" s="50" t="s">
        <v>5532</v>
      </c>
      <c r="E1389" s="50" t="s">
        <v>5664</v>
      </c>
    </row>
    <row r="1390" spans="1:5" s="51" customFormat="1" x14ac:dyDescent="0.15">
      <c r="A1390" s="50" t="s">
        <v>5665</v>
      </c>
      <c r="B1390" s="50" t="s">
        <v>5666</v>
      </c>
      <c r="C1390" s="50" t="s">
        <v>5667</v>
      </c>
      <c r="D1390" s="50" t="s">
        <v>5668</v>
      </c>
      <c r="E1390" s="50" t="s">
        <v>5669</v>
      </c>
    </row>
    <row r="1391" spans="1:5" s="51" customFormat="1" x14ac:dyDescent="0.15">
      <c r="A1391" s="50" t="s">
        <v>5670</v>
      </c>
      <c r="B1391" s="50" t="s">
        <v>5671</v>
      </c>
      <c r="C1391" s="50" t="s">
        <v>5672</v>
      </c>
      <c r="D1391" s="50" t="s">
        <v>5673</v>
      </c>
      <c r="E1391" s="50" t="s">
        <v>5674</v>
      </c>
    </row>
    <row r="1392" spans="1:5" s="51" customFormat="1" x14ac:dyDescent="0.15">
      <c r="A1392" s="50" t="s">
        <v>5675</v>
      </c>
      <c r="B1392" s="50" t="s">
        <v>5676</v>
      </c>
      <c r="C1392" s="50" t="s">
        <v>5677</v>
      </c>
      <c r="D1392" s="50" t="s">
        <v>5127</v>
      </c>
      <c r="E1392" s="50" t="s">
        <v>5678</v>
      </c>
    </row>
    <row r="1393" spans="1:5" s="51" customFormat="1" x14ac:dyDescent="0.15">
      <c r="A1393" s="50" t="s">
        <v>5679</v>
      </c>
      <c r="B1393" s="50" t="s">
        <v>5680</v>
      </c>
      <c r="C1393" s="50" t="s">
        <v>5681</v>
      </c>
      <c r="D1393" s="50" t="s">
        <v>5127</v>
      </c>
      <c r="E1393" s="50" t="s">
        <v>5682</v>
      </c>
    </row>
    <row r="1394" spans="1:5" s="51" customFormat="1" x14ac:dyDescent="0.15">
      <c r="A1394" s="50" t="s">
        <v>5683</v>
      </c>
      <c r="B1394" s="50" t="s">
        <v>5684</v>
      </c>
      <c r="C1394" s="50" t="s">
        <v>5685</v>
      </c>
      <c r="D1394" s="50" t="s">
        <v>5686</v>
      </c>
      <c r="E1394" s="50" t="s">
        <v>5687</v>
      </c>
    </row>
    <row r="1395" spans="1:5" s="51" customFormat="1" x14ac:dyDescent="0.15">
      <c r="A1395" s="50" t="s">
        <v>5688</v>
      </c>
      <c r="B1395" s="50" t="s">
        <v>5689</v>
      </c>
      <c r="C1395" s="50" t="s">
        <v>5690</v>
      </c>
      <c r="D1395" s="50" t="s">
        <v>5686</v>
      </c>
      <c r="E1395" s="50" t="s">
        <v>5691</v>
      </c>
    </row>
    <row r="1396" spans="1:5" s="51" customFormat="1" x14ac:dyDescent="0.15">
      <c r="A1396" s="50" t="s">
        <v>5692</v>
      </c>
      <c r="B1396" s="50" t="s">
        <v>5693</v>
      </c>
      <c r="C1396" s="50" t="s">
        <v>5694</v>
      </c>
      <c r="D1396" s="50" t="s">
        <v>5695</v>
      </c>
      <c r="E1396" s="50" t="s">
        <v>5696</v>
      </c>
    </row>
    <row r="1397" spans="1:5" s="51" customFormat="1" x14ac:dyDescent="0.15">
      <c r="A1397" s="50" t="s">
        <v>5697</v>
      </c>
      <c r="B1397" s="50" t="s">
        <v>5698</v>
      </c>
      <c r="C1397" s="50" t="s">
        <v>5699</v>
      </c>
      <c r="D1397" s="50" t="s">
        <v>5673</v>
      </c>
      <c r="E1397" s="50" t="s">
        <v>5700</v>
      </c>
    </row>
    <row r="1398" spans="1:5" s="51" customFormat="1" x14ac:dyDescent="0.15">
      <c r="A1398" s="50" t="s">
        <v>5701</v>
      </c>
      <c r="B1398" s="50" t="s">
        <v>5702</v>
      </c>
      <c r="C1398" s="50" t="s">
        <v>5703</v>
      </c>
      <c r="D1398" s="50" t="s">
        <v>5127</v>
      </c>
      <c r="E1398" s="50" t="s">
        <v>5704</v>
      </c>
    </row>
    <row r="1399" spans="1:5" s="51" customFormat="1" x14ac:dyDescent="0.15">
      <c r="A1399" s="50" t="s">
        <v>5705</v>
      </c>
      <c r="B1399" s="50" t="s">
        <v>5706</v>
      </c>
      <c r="C1399" s="50" t="s">
        <v>5707</v>
      </c>
      <c r="D1399" s="50" t="s">
        <v>5673</v>
      </c>
      <c r="E1399" s="50" t="s">
        <v>5708</v>
      </c>
    </row>
    <row r="1400" spans="1:5" s="51" customFormat="1" x14ac:dyDescent="0.15">
      <c r="A1400" s="50" t="s">
        <v>5709</v>
      </c>
      <c r="B1400" s="50" t="s">
        <v>5710</v>
      </c>
      <c r="C1400" s="50" t="s">
        <v>5711</v>
      </c>
      <c r="D1400" s="50" t="s">
        <v>5673</v>
      </c>
      <c r="E1400" s="50" t="s">
        <v>5712</v>
      </c>
    </row>
    <row r="1401" spans="1:5" s="51" customFormat="1" x14ac:dyDescent="0.15">
      <c r="A1401" s="50" t="s">
        <v>5713</v>
      </c>
      <c r="B1401" s="50" t="s">
        <v>5714</v>
      </c>
      <c r="C1401" s="50" t="s">
        <v>5715</v>
      </c>
      <c r="D1401" s="50" t="s">
        <v>5716</v>
      </c>
      <c r="E1401" s="50" t="s">
        <v>5717</v>
      </c>
    </row>
    <row r="1402" spans="1:5" s="51" customFormat="1" x14ac:dyDescent="0.15">
      <c r="A1402" s="50" t="s">
        <v>5718</v>
      </c>
      <c r="B1402" s="50" t="s">
        <v>5719</v>
      </c>
      <c r="C1402" s="50" t="s">
        <v>5720</v>
      </c>
      <c r="D1402" s="50" t="s">
        <v>5127</v>
      </c>
      <c r="E1402" s="50" t="s">
        <v>5721</v>
      </c>
    </row>
    <row r="1403" spans="1:5" s="51" customFormat="1" x14ac:dyDescent="0.15">
      <c r="A1403" s="50" t="s">
        <v>5722</v>
      </c>
      <c r="B1403" s="50" t="s">
        <v>5723</v>
      </c>
      <c r="C1403" s="50" t="s">
        <v>5724</v>
      </c>
      <c r="D1403" s="50" t="s">
        <v>5673</v>
      </c>
      <c r="E1403" s="50" t="s">
        <v>5725</v>
      </c>
    </row>
    <row r="1404" spans="1:5" s="51" customFormat="1" x14ac:dyDescent="0.15">
      <c r="A1404" s="50" t="s">
        <v>5726</v>
      </c>
      <c r="B1404" s="50" t="s">
        <v>5727</v>
      </c>
      <c r="C1404" s="50" t="s">
        <v>5728</v>
      </c>
      <c r="D1404" s="50" t="s">
        <v>5673</v>
      </c>
      <c r="E1404" s="50" t="s">
        <v>5729</v>
      </c>
    </row>
    <row r="1405" spans="1:5" s="51" customFormat="1" x14ac:dyDescent="0.15">
      <c r="A1405" s="50" t="s">
        <v>5730</v>
      </c>
      <c r="B1405" s="50" t="s">
        <v>5731</v>
      </c>
      <c r="C1405" s="50" t="s">
        <v>5732</v>
      </c>
      <c r="D1405" s="50" t="s">
        <v>5673</v>
      </c>
      <c r="E1405" s="50" t="s">
        <v>5733</v>
      </c>
    </row>
    <row r="1406" spans="1:5" s="51" customFormat="1" x14ac:dyDescent="0.15">
      <c r="A1406" s="50" t="s">
        <v>5734</v>
      </c>
      <c r="B1406" s="50" t="s">
        <v>5735</v>
      </c>
      <c r="C1406" s="50" t="s">
        <v>5736</v>
      </c>
      <c r="D1406" s="50" t="s">
        <v>5127</v>
      </c>
      <c r="E1406" s="50" t="s">
        <v>5678</v>
      </c>
    </row>
    <row r="1407" spans="1:5" s="51" customFormat="1" x14ac:dyDescent="0.15">
      <c r="A1407" s="50" t="s">
        <v>5737</v>
      </c>
      <c r="B1407" s="50" t="s">
        <v>5738</v>
      </c>
      <c r="C1407" s="50" t="s">
        <v>5739</v>
      </c>
      <c r="D1407" s="50" t="s">
        <v>5716</v>
      </c>
      <c r="E1407" s="50" t="s">
        <v>5740</v>
      </c>
    </row>
    <row r="1408" spans="1:5" s="51" customFormat="1" x14ac:dyDescent="0.15">
      <c r="A1408" s="50" t="s">
        <v>5741</v>
      </c>
      <c r="B1408" s="50" t="s">
        <v>5742</v>
      </c>
      <c r="C1408" s="50" t="s">
        <v>5743</v>
      </c>
      <c r="D1408" s="50" t="s">
        <v>5673</v>
      </c>
      <c r="E1408" s="50" t="s">
        <v>5740</v>
      </c>
    </row>
    <row r="1409" spans="1:5" s="51" customFormat="1" x14ac:dyDescent="0.15">
      <c r="A1409" s="50" t="s">
        <v>5744</v>
      </c>
      <c r="B1409" s="50" t="s">
        <v>5745</v>
      </c>
      <c r="C1409" s="50" t="s">
        <v>5746</v>
      </c>
      <c r="D1409" s="50" t="s">
        <v>5686</v>
      </c>
      <c r="E1409" s="50" t="s">
        <v>5740</v>
      </c>
    </row>
    <row r="1410" spans="1:5" s="51" customFormat="1" x14ac:dyDescent="0.15">
      <c r="A1410" s="50" t="s">
        <v>5747</v>
      </c>
      <c r="B1410" s="50" t="s">
        <v>5748</v>
      </c>
      <c r="C1410" s="50" t="s">
        <v>5749</v>
      </c>
      <c r="D1410" s="50" t="s">
        <v>5673</v>
      </c>
      <c r="E1410" s="50" t="s">
        <v>5750</v>
      </c>
    </row>
    <row r="1411" spans="1:5" s="51" customFormat="1" x14ac:dyDescent="0.15">
      <c r="A1411" s="50" t="s">
        <v>5751</v>
      </c>
      <c r="B1411" s="50" t="s">
        <v>5752</v>
      </c>
      <c r="C1411" s="50" t="s">
        <v>5753</v>
      </c>
      <c r="D1411" s="50" t="s">
        <v>5673</v>
      </c>
      <c r="E1411" s="50" t="s">
        <v>5754</v>
      </c>
    </row>
    <row r="1412" spans="1:5" s="51" customFormat="1" x14ac:dyDescent="0.15">
      <c r="A1412" s="50" t="s">
        <v>5755</v>
      </c>
      <c r="B1412" s="50" t="s">
        <v>5756</v>
      </c>
      <c r="C1412" s="50" t="s">
        <v>5757</v>
      </c>
      <c r="D1412" s="50" t="s">
        <v>5758</v>
      </c>
      <c r="E1412" s="50" t="s">
        <v>5759</v>
      </c>
    </row>
    <row r="1413" spans="1:5" s="51" customFormat="1" x14ac:dyDescent="0.15">
      <c r="A1413" s="50" t="s">
        <v>5760</v>
      </c>
      <c r="B1413" s="50" t="s">
        <v>5761</v>
      </c>
      <c r="C1413" s="50" t="s">
        <v>5762</v>
      </c>
      <c r="D1413" s="50" t="s">
        <v>5686</v>
      </c>
      <c r="E1413" s="50" t="s">
        <v>5763</v>
      </c>
    </row>
    <row r="1414" spans="1:5" s="51" customFormat="1" x14ac:dyDescent="0.15">
      <c r="A1414" s="50" t="s">
        <v>5764</v>
      </c>
      <c r="B1414" s="50" t="s">
        <v>5765</v>
      </c>
      <c r="C1414" s="50" t="s">
        <v>5766</v>
      </c>
      <c r="D1414" s="50" t="s">
        <v>5673</v>
      </c>
      <c r="E1414" s="50" t="s">
        <v>5708</v>
      </c>
    </row>
    <row r="1415" spans="1:5" s="51" customFormat="1" x14ac:dyDescent="0.15">
      <c r="A1415" s="50" t="s">
        <v>5767</v>
      </c>
      <c r="B1415" s="50" t="s">
        <v>5768</v>
      </c>
      <c r="C1415" s="50" t="s">
        <v>5769</v>
      </c>
      <c r="D1415" s="50" t="s">
        <v>5673</v>
      </c>
      <c r="E1415" s="50" t="s">
        <v>5770</v>
      </c>
    </row>
    <row r="1416" spans="1:5" s="51" customFormat="1" x14ac:dyDescent="0.15">
      <c r="A1416" s="50" t="s">
        <v>5771</v>
      </c>
      <c r="B1416" s="50" t="s">
        <v>5772</v>
      </c>
      <c r="C1416" s="50" t="s">
        <v>5773</v>
      </c>
      <c r="D1416" s="50" t="s">
        <v>5673</v>
      </c>
      <c r="E1416" s="50" t="s">
        <v>5774</v>
      </c>
    </row>
    <row r="1417" spans="1:5" s="51" customFormat="1" x14ac:dyDescent="0.15">
      <c r="A1417" s="50" t="s">
        <v>5775</v>
      </c>
      <c r="B1417" s="50" t="s">
        <v>5776</v>
      </c>
      <c r="C1417" s="50" t="s">
        <v>5777</v>
      </c>
      <c r="D1417" s="50" t="s">
        <v>5673</v>
      </c>
      <c r="E1417" s="50" t="s">
        <v>5770</v>
      </c>
    </row>
    <row r="1418" spans="1:5" s="51" customFormat="1" x14ac:dyDescent="0.15">
      <c r="A1418" s="50" t="s">
        <v>5778</v>
      </c>
      <c r="B1418" s="50" t="s">
        <v>5779</v>
      </c>
      <c r="C1418" s="50" t="s">
        <v>5780</v>
      </c>
      <c r="D1418" s="50" t="s">
        <v>5781</v>
      </c>
      <c r="E1418" s="50" t="s">
        <v>5782</v>
      </c>
    </row>
    <row r="1419" spans="1:5" s="51" customFormat="1" x14ac:dyDescent="0.15">
      <c r="A1419" s="50" t="s">
        <v>5783</v>
      </c>
      <c r="B1419" s="50" t="s">
        <v>5784</v>
      </c>
      <c r="C1419" s="50" t="s">
        <v>5785</v>
      </c>
      <c r="D1419" s="50" t="s">
        <v>5786</v>
      </c>
      <c r="E1419" s="50" t="s">
        <v>5787</v>
      </c>
    </row>
    <row r="1420" spans="1:5" s="51" customFormat="1" x14ac:dyDescent="0.15">
      <c r="A1420" s="50" t="s">
        <v>5788</v>
      </c>
      <c r="B1420" s="50" t="s">
        <v>5789</v>
      </c>
      <c r="C1420" s="50" t="s">
        <v>5790</v>
      </c>
      <c r="D1420" s="50" t="s">
        <v>5695</v>
      </c>
      <c r="E1420" s="50" t="s">
        <v>5791</v>
      </c>
    </row>
    <row r="1421" spans="1:5" s="51" customFormat="1" x14ac:dyDescent="0.15">
      <c r="A1421" s="50" t="s">
        <v>5792</v>
      </c>
      <c r="B1421" s="50" t="s">
        <v>5793</v>
      </c>
      <c r="C1421" s="50" t="s">
        <v>5794</v>
      </c>
      <c r="D1421" s="50" t="s">
        <v>5695</v>
      </c>
      <c r="E1421" s="50" t="s">
        <v>5795</v>
      </c>
    </row>
    <row r="1422" spans="1:5" s="51" customFormat="1" x14ac:dyDescent="0.15">
      <c r="A1422" s="50" t="s">
        <v>5796</v>
      </c>
      <c r="B1422" s="50" t="s">
        <v>5797</v>
      </c>
      <c r="C1422" s="50" t="s">
        <v>5798</v>
      </c>
      <c r="D1422" s="50" t="s">
        <v>5695</v>
      </c>
      <c r="E1422" s="50" t="s">
        <v>5799</v>
      </c>
    </row>
    <row r="1423" spans="1:5" s="51" customFormat="1" x14ac:dyDescent="0.15">
      <c r="A1423" s="50" t="s">
        <v>5800</v>
      </c>
      <c r="B1423" s="50" t="s">
        <v>5801</v>
      </c>
      <c r="C1423" s="50" t="s">
        <v>5802</v>
      </c>
      <c r="D1423" s="50" t="s">
        <v>5695</v>
      </c>
      <c r="E1423" s="50" t="s">
        <v>5803</v>
      </c>
    </row>
    <row r="1424" spans="1:5" s="51" customFormat="1" x14ac:dyDescent="0.15">
      <c r="A1424" s="50" t="s">
        <v>5804</v>
      </c>
      <c r="B1424" s="50" t="s">
        <v>5805</v>
      </c>
      <c r="C1424" s="50" t="s">
        <v>5806</v>
      </c>
      <c r="D1424" s="50" t="s">
        <v>5781</v>
      </c>
      <c r="E1424" s="50" t="s">
        <v>5807</v>
      </c>
    </row>
    <row r="1425" spans="1:5" s="51" customFormat="1" x14ac:dyDescent="0.15">
      <c r="A1425" s="50" t="s">
        <v>5808</v>
      </c>
      <c r="B1425" s="50" t="s">
        <v>5809</v>
      </c>
      <c r="C1425" s="50" t="s">
        <v>5810</v>
      </c>
      <c r="D1425" s="50" t="s">
        <v>5811</v>
      </c>
      <c r="E1425" s="50" t="s">
        <v>5812</v>
      </c>
    </row>
    <row r="1426" spans="1:5" s="51" customFormat="1" x14ac:dyDescent="0.15">
      <c r="A1426" s="50" t="s">
        <v>5813</v>
      </c>
      <c r="B1426" s="50" t="s">
        <v>5814</v>
      </c>
      <c r="C1426" s="50" t="s">
        <v>5815</v>
      </c>
      <c r="D1426" s="50" t="s">
        <v>5811</v>
      </c>
      <c r="E1426" s="50" t="s">
        <v>5816</v>
      </c>
    </row>
    <row r="1427" spans="1:5" s="51" customFormat="1" x14ac:dyDescent="0.15">
      <c r="A1427" s="50" t="s">
        <v>5817</v>
      </c>
      <c r="B1427" s="50" t="s">
        <v>5818</v>
      </c>
      <c r="C1427" s="50" t="s">
        <v>5819</v>
      </c>
      <c r="D1427" s="50" t="s">
        <v>5781</v>
      </c>
      <c r="E1427" s="50" t="s">
        <v>5820</v>
      </c>
    </row>
    <row r="1428" spans="1:5" s="51" customFormat="1" x14ac:dyDescent="0.15">
      <c r="A1428" s="50" t="s">
        <v>5821</v>
      </c>
      <c r="B1428" s="50" t="s">
        <v>5822</v>
      </c>
      <c r="C1428" s="50" t="s">
        <v>5823</v>
      </c>
      <c r="D1428" s="50" t="s">
        <v>5781</v>
      </c>
      <c r="E1428" s="50" t="s">
        <v>5824</v>
      </c>
    </row>
    <row r="1429" spans="1:5" s="51" customFormat="1" x14ac:dyDescent="0.15">
      <c r="A1429" s="50" t="s">
        <v>5825</v>
      </c>
      <c r="B1429" s="50" t="s">
        <v>5826</v>
      </c>
      <c r="C1429" s="50" t="s">
        <v>5827</v>
      </c>
      <c r="D1429" s="50" t="s">
        <v>5828</v>
      </c>
      <c r="E1429" s="50" t="s">
        <v>5829</v>
      </c>
    </row>
    <row r="1430" spans="1:5" s="51" customFormat="1" x14ac:dyDescent="0.15">
      <c r="A1430" s="50" t="s">
        <v>5830</v>
      </c>
      <c r="B1430" s="50" t="s">
        <v>5831</v>
      </c>
      <c r="C1430" s="50" t="s">
        <v>5832</v>
      </c>
      <c r="D1430" s="50" t="s">
        <v>5828</v>
      </c>
      <c r="E1430" s="50" t="s">
        <v>5833</v>
      </c>
    </row>
    <row r="1431" spans="1:5" s="51" customFormat="1" x14ac:dyDescent="0.15">
      <c r="A1431" s="50" t="s">
        <v>5834</v>
      </c>
      <c r="B1431" s="50" t="s">
        <v>5835</v>
      </c>
      <c r="C1431" s="50" t="s">
        <v>5836</v>
      </c>
      <c r="D1431" s="50" t="s">
        <v>5837</v>
      </c>
      <c r="E1431" s="50" t="s">
        <v>5838</v>
      </c>
    </row>
    <row r="1432" spans="1:5" s="51" customFormat="1" x14ac:dyDescent="0.15">
      <c r="A1432" s="50" t="s">
        <v>5839</v>
      </c>
      <c r="B1432" s="50" t="s">
        <v>5840</v>
      </c>
      <c r="C1432" s="50" t="s">
        <v>5841</v>
      </c>
      <c r="D1432" s="50" t="s">
        <v>5842</v>
      </c>
      <c r="E1432" s="50" t="s">
        <v>5843</v>
      </c>
    </row>
    <row r="1433" spans="1:5" s="51" customFormat="1" x14ac:dyDescent="0.15">
      <c r="A1433" s="50" t="s">
        <v>5844</v>
      </c>
      <c r="B1433" s="50" t="s">
        <v>5845</v>
      </c>
      <c r="C1433" s="50" t="s">
        <v>5846</v>
      </c>
      <c r="D1433" s="50" t="s">
        <v>5847</v>
      </c>
      <c r="E1433" s="50" t="s">
        <v>5848</v>
      </c>
    </row>
    <row r="1434" spans="1:5" s="51" customFormat="1" x14ac:dyDescent="0.15">
      <c r="A1434" s="50" t="s">
        <v>5849</v>
      </c>
      <c r="B1434" s="50" t="s">
        <v>5850</v>
      </c>
      <c r="C1434" s="50" t="s">
        <v>5851</v>
      </c>
      <c r="D1434" s="50" t="s">
        <v>5852</v>
      </c>
      <c r="E1434" s="50" t="s">
        <v>5853</v>
      </c>
    </row>
    <row r="1435" spans="1:5" s="51" customFormat="1" x14ac:dyDescent="0.15">
      <c r="A1435" s="50" t="s">
        <v>5854</v>
      </c>
      <c r="B1435" s="50" t="s">
        <v>5855</v>
      </c>
      <c r="C1435" s="50" t="s">
        <v>5856</v>
      </c>
      <c r="D1435" s="50" t="s">
        <v>4915</v>
      </c>
      <c r="E1435" s="50" t="s">
        <v>5857</v>
      </c>
    </row>
    <row r="1436" spans="1:5" s="51" customFormat="1" x14ac:dyDescent="0.15">
      <c r="A1436" s="50" t="s">
        <v>5858</v>
      </c>
      <c r="B1436" s="50" t="s">
        <v>5859</v>
      </c>
      <c r="C1436" s="50" t="s">
        <v>5860</v>
      </c>
      <c r="D1436" s="50" t="s">
        <v>5837</v>
      </c>
      <c r="E1436" s="50" t="s">
        <v>5861</v>
      </c>
    </row>
    <row r="1437" spans="1:5" s="51" customFormat="1" x14ac:dyDescent="0.15">
      <c r="A1437" s="50" t="s">
        <v>5862</v>
      </c>
      <c r="B1437" s="50" t="s">
        <v>5863</v>
      </c>
      <c r="C1437" s="50" t="s">
        <v>5864</v>
      </c>
      <c r="D1437" s="50" t="s">
        <v>5837</v>
      </c>
      <c r="E1437" s="50" t="s">
        <v>5865</v>
      </c>
    </row>
    <row r="1438" spans="1:5" s="51" customFormat="1" x14ac:dyDescent="0.15">
      <c r="A1438" s="50" t="s">
        <v>5866</v>
      </c>
      <c r="B1438" s="50" t="s">
        <v>5867</v>
      </c>
      <c r="C1438" s="50" t="s">
        <v>5868</v>
      </c>
      <c r="D1438" s="50" t="s">
        <v>5828</v>
      </c>
      <c r="E1438" s="50" t="s">
        <v>5869</v>
      </c>
    </row>
    <row r="1439" spans="1:5" s="51" customFormat="1" x14ac:dyDescent="0.15">
      <c r="A1439" s="50" t="s">
        <v>5870</v>
      </c>
      <c r="B1439" s="50" t="s">
        <v>5871</v>
      </c>
      <c r="C1439" s="50" t="s">
        <v>5872</v>
      </c>
      <c r="D1439" s="50" t="s">
        <v>5873</v>
      </c>
      <c r="E1439" s="50" t="s">
        <v>5874</v>
      </c>
    </row>
    <row r="1440" spans="1:5" s="51" customFormat="1" x14ac:dyDescent="0.15">
      <c r="A1440" s="50" t="s">
        <v>5875</v>
      </c>
      <c r="B1440" s="50" t="s">
        <v>5876</v>
      </c>
      <c r="C1440" s="50" t="s">
        <v>5877</v>
      </c>
      <c r="D1440" s="50" t="s">
        <v>5837</v>
      </c>
      <c r="E1440" s="50" t="s">
        <v>5878</v>
      </c>
    </row>
    <row r="1441" spans="1:5" s="51" customFormat="1" x14ac:dyDescent="0.15">
      <c r="A1441" s="50" t="s">
        <v>5879</v>
      </c>
      <c r="B1441" s="50" t="s">
        <v>5880</v>
      </c>
      <c r="C1441" s="50" t="s">
        <v>5881</v>
      </c>
      <c r="D1441" s="50" t="s">
        <v>5837</v>
      </c>
      <c r="E1441" s="50" t="s">
        <v>5882</v>
      </c>
    </row>
    <row r="1442" spans="1:5" s="51" customFormat="1" x14ac:dyDescent="0.15">
      <c r="A1442" s="50" t="s">
        <v>5883</v>
      </c>
      <c r="B1442" s="50" t="s">
        <v>5884</v>
      </c>
      <c r="C1442" s="50" t="s">
        <v>5885</v>
      </c>
      <c r="D1442" s="50" t="s">
        <v>5842</v>
      </c>
      <c r="E1442" s="50" t="s">
        <v>5886</v>
      </c>
    </row>
    <row r="1443" spans="1:5" s="51" customFormat="1" x14ac:dyDescent="0.15">
      <c r="A1443" s="50" t="s">
        <v>5887</v>
      </c>
      <c r="B1443" s="50" t="s">
        <v>5888</v>
      </c>
      <c r="C1443" s="50" t="s">
        <v>5889</v>
      </c>
      <c r="D1443" s="50" t="s">
        <v>5842</v>
      </c>
      <c r="E1443" s="50" t="s">
        <v>5886</v>
      </c>
    </row>
    <row r="1444" spans="1:5" s="51" customFormat="1" x14ac:dyDescent="0.15">
      <c r="A1444" s="50" t="s">
        <v>5890</v>
      </c>
      <c r="B1444" s="50" t="s">
        <v>5891</v>
      </c>
      <c r="C1444" s="50" t="s">
        <v>5892</v>
      </c>
      <c r="D1444" s="50" t="s">
        <v>5842</v>
      </c>
      <c r="E1444" s="50" t="s">
        <v>5893</v>
      </c>
    </row>
    <row r="1445" spans="1:5" s="51" customFormat="1" x14ac:dyDescent="0.15">
      <c r="A1445" s="50" t="s">
        <v>5894</v>
      </c>
      <c r="B1445" s="50" t="s">
        <v>5895</v>
      </c>
      <c r="C1445" s="50" t="s">
        <v>5896</v>
      </c>
      <c r="D1445" s="50" t="s">
        <v>5847</v>
      </c>
      <c r="E1445" s="50" t="s">
        <v>5897</v>
      </c>
    </row>
    <row r="1446" spans="1:5" s="51" customFormat="1" x14ac:dyDescent="0.15">
      <c r="A1446" s="50" t="s">
        <v>5898</v>
      </c>
      <c r="B1446" s="50" t="s">
        <v>5899</v>
      </c>
      <c r="C1446" s="50" t="s">
        <v>5900</v>
      </c>
      <c r="D1446" s="50" t="s">
        <v>5847</v>
      </c>
      <c r="E1446" s="50" t="s">
        <v>5901</v>
      </c>
    </row>
    <row r="1447" spans="1:5" s="51" customFormat="1" x14ac:dyDescent="0.15">
      <c r="A1447" s="50" t="s">
        <v>5902</v>
      </c>
      <c r="B1447" s="50" t="s">
        <v>5903</v>
      </c>
      <c r="C1447" s="50" t="s">
        <v>5904</v>
      </c>
      <c r="D1447" s="50" t="s">
        <v>5847</v>
      </c>
      <c r="E1447" s="50" t="s">
        <v>5905</v>
      </c>
    </row>
    <row r="1448" spans="1:5" s="51" customFormat="1" x14ac:dyDescent="0.15">
      <c r="A1448" s="50" t="s">
        <v>5906</v>
      </c>
      <c r="B1448" s="50" t="s">
        <v>5907</v>
      </c>
      <c r="C1448" s="50" t="s">
        <v>5908</v>
      </c>
      <c r="D1448" s="50" t="s">
        <v>5847</v>
      </c>
      <c r="E1448" s="50" t="s">
        <v>5909</v>
      </c>
    </row>
    <row r="1449" spans="1:5" s="51" customFormat="1" x14ac:dyDescent="0.15">
      <c r="A1449" s="50" t="s">
        <v>5910</v>
      </c>
      <c r="B1449" s="50" t="s">
        <v>5911</v>
      </c>
      <c r="C1449" s="50" t="s">
        <v>5912</v>
      </c>
      <c r="D1449" s="50" t="s">
        <v>5913</v>
      </c>
      <c r="E1449" s="50" t="s">
        <v>5914</v>
      </c>
    </row>
    <row r="1450" spans="1:5" s="51" customFormat="1" x14ac:dyDescent="0.15">
      <c r="A1450" s="50" t="s">
        <v>5915</v>
      </c>
      <c r="B1450" s="50" t="s">
        <v>5916</v>
      </c>
      <c r="C1450" s="50" t="s">
        <v>5917</v>
      </c>
      <c r="D1450" s="50" t="s">
        <v>5847</v>
      </c>
      <c r="E1450" s="50" t="s">
        <v>5918</v>
      </c>
    </row>
    <row r="1451" spans="1:5" s="51" customFormat="1" x14ac:dyDescent="0.15">
      <c r="A1451" s="50" t="s">
        <v>5919</v>
      </c>
      <c r="B1451" s="50" t="s">
        <v>5920</v>
      </c>
      <c r="C1451" s="50" t="s">
        <v>5921</v>
      </c>
      <c r="D1451" s="50" t="s">
        <v>5913</v>
      </c>
      <c r="E1451" s="50" t="s">
        <v>5922</v>
      </c>
    </row>
    <row r="1452" spans="1:5" s="51" customFormat="1" x14ac:dyDescent="0.15">
      <c r="A1452" s="50" t="s">
        <v>5923</v>
      </c>
      <c r="B1452" s="50" t="s">
        <v>5924</v>
      </c>
      <c r="C1452" s="50" t="s">
        <v>5925</v>
      </c>
      <c r="D1452" s="50" t="s">
        <v>5913</v>
      </c>
      <c r="E1452" s="50" t="s">
        <v>5926</v>
      </c>
    </row>
    <row r="1453" spans="1:5" s="51" customFormat="1" x14ac:dyDescent="0.15">
      <c r="A1453" s="50" t="s">
        <v>5927</v>
      </c>
      <c r="B1453" s="50" t="s">
        <v>5928</v>
      </c>
      <c r="C1453" s="50" t="s">
        <v>5929</v>
      </c>
      <c r="D1453" s="50" t="s">
        <v>5913</v>
      </c>
      <c r="E1453" s="50" t="s">
        <v>5930</v>
      </c>
    </row>
    <row r="1454" spans="1:5" s="51" customFormat="1" x14ac:dyDescent="0.15">
      <c r="A1454" s="50" t="s">
        <v>5931</v>
      </c>
      <c r="B1454" s="50" t="s">
        <v>5932</v>
      </c>
      <c r="C1454" s="50" t="s">
        <v>5933</v>
      </c>
      <c r="D1454" s="50" t="s">
        <v>4915</v>
      </c>
      <c r="E1454" s="50" t="s">
        <v>5934</v>
      </c>
    </row>
    <row r="1455" spans="1:5" s="51" customFormat="1" x14ac:dyDescent="0.15">
      <c r="A1455" s="50" t="s">
        <v>5935</v>
      </c>
      <c r="B1455" s="50" t="s">
        <v>5936</v>
      </c>
      <c r="C1455" s="50" t="s">
        <v>5937</v>
      </c>
      <c r="D1455" s="50" t="s">
        <v>4915</v>
      </c>
      <c r="E1455" s="50" t="s">
        <v>5938</v>
      </c>
    </row>
    <row r="1456" spans="1:5" s="51" customFormat="1" x14ac:dyDescent="0.15">
      <c r="A1456" s="50" t="s">
        <v>5939</v>
      </c>
      <c r="B1456" s="50" t="s">
        <v>5940</v>
      </c>
      <c r="C1456" s="50" t="s">
        <v>5941</v>
      </c>
      <c r="D1456" s="50" t="s">
        <v>4915</v>
      </c>
      <c r="E1456" s="50" t="s">
        <v>5942</v>
      </c>
    </row>
    <row r="1457" spans="1:5" s="51" customFormat="1" x14ac:dyDescent="0.15">
      <c r="A1457" s="50" t="s">
        <v>5943</v>
      </c>
      <c r="B1457" s="50" t="s">
        <v>5944</v>
      </c>
      <c r="C1457" s="50" t="s">
        <v>5945</v>
      </c>
      <c r="D1457" s="50" t="s">
        <v>4915</v>
      </c>
      <c r="E1457" s="50" t="s">
        <v>5946</v>
      </c>
    </row>
    <row r="1458" spans="1:5" s="51" customFormat="1" x14ac:dyDescent="0.15">
      <c r="A1458" s="50" t="s">
        <v>5947</v>
      </c>
      <c r="B1458" s="50" t="s">
        <v>5948</v>
      </c>
      <c r="C1458" s="50" t="s">
        <v>5949</v>
      </c>
      <c r="D1458" s="50" t="s">
        <v>4915</v>
      </c>
      <c r="E1458" s="50" t="s">
        <v>5950</v>
      </c>
    </row>
    <row r="1459" spans="1:5" s="51" customFormat="1" x14ac:dyDescent="0.15">
      <c r="A1459" s="50" t="s">
        <v>5951</v>
      </c>
      <c r="B1459" s="50" t="s">
        <v>5952</v>
      </c>
      <c r="C1459" s="50" t="s">
        <v>5953</v>
      </c>
      <c r="D1459" s="50" t="s">
        <v>5954</v>
      </c>
      <c r="E1459" s="50" t="s">
        <v>5955</v>
      </c>
    </row>
    <row r="1460" spans="1:5" s="51" customFormat="1" x14ac:dyDescent="0.15">
      <c r="A1460" s="50" t="s">
        <v>5956</v>
      </c>
      <c r="B1460" s="50" t="s">
        <v>5957</v>
      </c>
      <c r="C1460" s="50" t="s">
        <v>5958</v>
      </c>
      <c r="D1460" s="50" t="s">
        <v>5959</v>
      </c>
      <c r="E1460" s="50" t="s">
        <v>5960</v>
      </c>
    </row>
    <row r="1461" spans="1:5" s="51" customFormat="1" x14ac:dyDescent="0.15">
      <c r="A1461" s="50" t="s">
        <v>5961</v>
      </c>
      <c r="B1461" s="50" t="s">
        <v>5962</v>
      </c>
      <c r="C1461" s="50" t="s">
        <v>5963</v>
      </c>
      <c r="D1461" s="50" t="s">
        <v>5964</v>
      </c>
      <c r="E1461" s="50" t="s">
        <v>5965</v>
      </c>
    </row>
    <row r="1462" spans="1:5" s="51" customFormat="1" x14ac:dyDescent="0.15">
      <c r="A1462" s="50" t="s">
        <v>5966</v>
      </c>
      <c r="B1462" s="50" t="s">
        <v>5967</v>
      </c>
      <c r="C1462" s="50" t="s">
        <v>5968</v>
      </c>
      <c r="D1462" s="50" t="s">
        <v>5959</v>
      </c>
      <c r="E1462" s="50" t="s">
        <v>5969</v>
      </c>
    </row>
    <row r="1463" spans="1:5" s="51" customFormat="1" x14ac:dyDescent="0.15">
      <c r="A1463" s="50" t="s">
        <v>5970</v>
      </c>
      <c r="B1463" s="50" t="s">
        <v>5971</v>
      </c>
      <c r="C1463" s="50" t="s">
        <v>5972</v>
      </c>
      <c r="D1463" s="50" t="s">
        <v>5973</v>
      </c>
      <c r="E1463" s="50" t="s">
        <v>5974</v>
      </c>
    </row>
    <row r="1464" spans="1:5" s="51" customFormat="1" x14ac:dyDescent="0.15">
      <c r="A1464" s="50" t="s">
        <v>5975</v>
      </c>
      <c r="B1464" s="50" t="s">
        <v>5976</v>
      </c>
      <c r="C1464" s="50" t="s">
        <v>5977</v>
      </c>
      <c r="D1464" s="50" t="s">
        <v>5964</v>
      </c>
      <c r="E1464" s="50" t="s">
        <v>5978</v>
      </c>
    </row>
    <row r="1465" spans="1:5" s="51" customFormat="1" x14ac:dyDescent="0.15">
      <c r="A1465" s="50" t="s">
        <v>5979</v>
      </c>
      <c r="B1465" s="50" t="s">
        <v>5980</v>
      </c>
      <c r="C1465" s="50" t="s">
        <v>5981</v>
      </c>
      <c r="D1465" s="50" t="s">
        <v>5964</v>
      </c>
      <c r="E1465" s="50" t="s">
        <v>5982</v>
      </c>
    </row>
    <row r="1466" spans="1:5" s="51" customFormat="1" x14ac:dyDescent="0.15">
      <c r="A1466" s="50" t="s">
        <v>5983</v>
      </c>
      <c r="B1466" s="50" t="s">
        <v>5984</v>
      </c>
      <c r="C1466" s="50" t="s">
        <v>5985</v>
      </c>
      <c r="D1466" s="50" t="s">
        <v>5964</v>
      </c>
      <c r="E1466" s="50" t="s">
        <v>5986</v>
      </c>
    </row>
    <row r="1467" spans="1:5" s="51" customFormat="1" x14ac:dyDescent="0.15">
      <c r="A1467" s="50" t="s">
        <v>5987</v>
      </c>
      <c r="B1467" s="50" t="s">
        <v>5988</v>
      </c>
      <c r="C1467" s="50" t="s">
        <v>5989</v>
      </c>
      <c r="D1467" s="50" t="s">
        <v>5964</v>
      </c>
      <c r="E1467" s="50" t="s">
        <v>5990</v>
      </c>
    </row>
    <row r="1468" spans="1:5" s="51" customFormat="1" x14ac:dyDescent="0.15">
      <c r="A1468" s="50" t="s">
        <v>5991</v>
      </c>
      <c r="B1468" s="50" t="s">
        <v>5992</v>
      </c>
      <c r="C1468" s="50" t="s">
        <v>5993</v>
      </c>
      <c r="D1468" s="50" t="s">
        <v>5964</v>
      </c>
      <c r="E1468" s="50" t="s">
        <v>5994</v>
      </c>
    </row>
    <row r="1469" spans="1:5" s="51" customFormat="1" x14ac:dyDescent="0.15">
      <c r="A1469" s="50" t="s">
        <v>5995</v>
      </c>
      <c r="B1469" s="50" t="s">
        <v>5996</v>
      </c>
      <c r="C1469" s="50" t="s">
        <v>5997</v>
      </c>
      <c r="D1469" s="50" t="s">
        <v>5964</v>
      </c>
      <c r="E1469" s="50" t="s">
        <v>5998</v>
      </c>
    </row>
    <row r="1470" spans="1:5" s="51" customFormat="1" x14ac:dyDescent="0.15">
      <c r="A1470" s="50" t="s">
        <v>5999</v>
      </c>
      <c r="B1470" s="50" t="s">
        <v>6000</v>
      </c>
      <c r="C1470" s="50" t="s">
        <v>6001</v>
      </c>
      <c r="D1470" s="50" t="s">
        <v>5964</v>
      </c>
      <c r="E1470" s="50" t="s">
        <v>6002</v>
      </c>
    </row>
    <row r="1471" spans="1:5" s="51" customFormat="1" x14ac:dyDescent="0.15">
      <c r="A1471" s="50" t="s">
        <v>6003</v>
      </c>
      <c r="B1471" s="50" t="s">
        <v>6004</v>
      </c>
      <c r="C1471" s="50" t="s">
        <v>6005</v>
      </c>
      <c r="D1471" s="50" t="s">
        <v>5959</v>
      </c>
      <c r="E1471" s="50" t="s">
        <v>6006</v>
      </c>
    </row>
    <row r="1472" spans="1:5" s="51" customFormat="1" x14ac:dyDescent="0.15">
      <c r="A1472" s="50" t="s">
        <v>6007</v>
      </c>
      <c r="B1472" s="50" t="s">
        <v>6008</v>
      </c>
      <c r="C1472" s="50" t="s">
        <v>6009</v>
      </c>
      <c r="D1472" s="50" t="s">
        <v>6010</v>
      </c>
      <c r="E1472" s="50" t="s">
        <v>6011</v>
      </c>
    </row>
    <row r="1473" spans="1:5" s="51" customFormat="1" x14ac:dyDescent="0.15">
      <c r="A1473" s="50" t="s">
        <v>6012</v>
      </c>
      <c r="B1473" s="50" t="s">
        <v>6013</v>
      </c>
      <c r="C1473" s="50" t="s">
        <v>6014</v>
      </c>
      <c r="D1473" s="50" t="s">
        <v>5959</v>
      </c>
      <c r="E1473" s="50" t="s">
        <v>6015</v>
      </c>
    </row>
    <row r="1474" spans="1:5" s="51" customFormat="1" x14ac:dyDescent="0.15">
      <c r="A1474" s="50" t="s">
        <v>6016</v>
      </c>
      <c r="B1474" s="50" t="s">
        <v>6017</v>
      </c>
      <c r="C1474" s="50" t="s">
        <v>6018</v>
      </c>
      <c r="D1474" s="50" t="s">
        <v>5959</v>
      </c>
      <c r="E1474" s="50" t="s">
        <v>6019</v>
      </c>
    </row>
    <row r="1475" spans="1:5" s="51" customFormat="1" x14ac:dyDescent="0.15">
      <c r="A1475" s="50" t="s">
        <v>6020</v>
      </c>
      <c r="B1475" s="50" t="s">
        <v>6021</v>
      </c>
      <c r="C1475" s="50" t="s">
        <v>6022</v>
      </c>
      <c r="D1475" s="50" t="s">
        <v>5959</v>
      </c>
      <c r="E1475" s="50" t="s">
        <v>6023</v>
      </c>
    </row>
    <row r="1476" spans="1:5" s="51" customFormat="1" x14ac:dyDescent="0.15">
      <c r="A1476" s="50" t="s">
        <v>6024</v>
      </c>
      <c r="B1476" s="50" t="s">
        <v>6025</v>
      </c>
      <c r="C1476" s="50" t="s">
        <v>6026</v>
      </c>
      <c r="D1476" s="50" t="s">
        <v>5959</v>
      </c>
      <c r="E1476" s="50" t="s">
        <v>6027</v>
      </c>
    </row>
    <row r="1477" spans="1:5" s="51" customFormat="1" x14ac:dyDescent="0.15">
      <c r="A1477" s="50" t="s">
        <v>6028</v>
      </c>
      <c r="B1477" s="50" t="s">
        <v>6029</v>
      </c>
      <c r="C1477" s="50" t="s">
        <v>6030</v>
      </c>
      <c r="D1477" s="50" t="s">
        <v>5959</v>
      </c>
      <c r="E1477" s="50" t="s">
        <v>6031</v>
      </c>
    </row>
    <row r="1478" spans="1:5" s="51" customFormat="1" x14ac:dyDescent="0.15">
      <c r="A1478" s="50" t="s">
        <v>6032</v>
      </c>
      <c r="B1478" s="50" t="s">
        <v>6033</v>
      </c>
      <c r="C1478" s="50" t="s">
        <v>6034</v>
      </c>
      <c r="D1478" s="50" t="s">
        <v>6035</v>
      </c>
      <c r="E1478" s="50" t="s">
        <v>6036</v>
      </c>
    </row>
    <row r="1479" spans="1:5" s="51" customFormat="1" x14ac:dyDescent="0.15">
      <c r="A1479" s="50" t="s">
        <v>6037</v>
      </c>
      <c r="B1479" s="50" t="s">
        <v>6038</v>
      </c>
      <c r="C1479" s="50" t="s">
        <v>6039</v>
      </c>
      <c r="D1479" s="50" t="s">
        <v>6040</v>
      </c>
      <c r="E1479" s="50" t="s">
        <v>6041</v>
      </c>
    </row>
    <row r="1480" spans="1:5" s="51" customFormat="1" x14ac:dyDescent="0.15">
      <c r="A1480" s="50" t="s">
        <v>6042</v>
      </c>
      <c r="B1480" s="50" t="s">
        <v>6043</v>
      </c>
      <c r="C1480" s="50" t="s">
        <v>6044</v>
      </c>
      <c r="D1480" s="50" t="s">
        <v>6045</v>
      </c>
      <c r="E1480" s="50" t="s">
        <v>6046</v>
      </c>
    </row>
    <row r="1481" spans="1:5" s="51" customFormat="1" x14ac:dyDescent="0.15">
      <c r="A1481" s="50" t="s">
        <v>6047</v>
      </c>
      <c r="B1481" s="50" t="s">
        <v>6048</v>
      </c>
      <c r="C1481" s="50" t="s">
        <v>6049</v>
      </c>
      <c r="D1481" s="50" t="s">
        <v>6050</v>
      </c>
      <c r="E1481" s="50" t="s">
        <v>6051</v>
      </c>
    </row>
    <row r="1482" spans="1:5" s="51" customFormat="1" x14ac:dyDescent="0.15">
      <c r="A1482" s="50" t="s">
        <v>6052</v>
      </c>
      <c r="B1482" s="50" t="s">
        <v>6053</v>
      </c>
      <c r="C1482" s="50" t="s">
        <v>6054</v>
      </c>
      <c r="D1482" s="50" t="s">
        <v>6055</v>
      </c>
      <c r="E1482" s="50" t="s">
        <v>6056</v>
      </c>
    </row>
    <row r="1483" spans="1:5" s="51" customFormat="1" x14ac:dyDescent="0.15">
      <c r="A1483" s="50" t="s">
        <v>6057</v>
      </c>
      <c r="B1483" s="50" t="s">
        <v>6058</v>
      </c>
      <c r="C1483" s="50" t="s">
        <v>6059</v>
      </c>
      <c r="D1483" s="50" t="s">
        <v>6060</v>
      </c>
      <c r="E1483" s="50" t="s">
        <v>6061</v>
      </c>
    </row>
    <row r="1484" spans="1:5" s="51" customFormat="1" x14ac:dyDescent="0.15">
      <c r="A1484" s="50" t="s">
        <v>6062</v>
      </c>
      <c r="B1484" s="50" t="s">
        <v>6063</v>
      </c>
      <c r="C1484" s="50" t="s">
        <v>6064</v>
      </c>
      <c r="D1484" s="50" t="s">
        <v>6040</v>
      </c>
      <c r="E1484" s="50" t="s">
        <v>6065</v>
      </c>
    </row>
    <row r="1485" spans="1:5" s="51" customFormat="1" x14ac:dyDescent="0.15">
      <c r="A1485" s="50" t="s">
        <v>6066</v>
      </c>
      <c r="B1485" s="50" t="s">
        <v>6067</v>
      </c>
      <c r="C1485" s="50" t="s">
        <v>6068</v>
      </c>
      <c r="D1485" s="50" t="s">
        <v>6060</v>
      </c>
      <c r="E1485" s="50" t="s">
        <v>6069</v>
      </c>
    </row>
    <row r="1486" spans="1:5" s="51" customFormat="1" x14ac:dyDescent="0.15">
      <c r="A1486" s="50" t="s">
        <v>6070</v>
      </c>
      <c r="B1486" s="50" t="s">
        <v>6071</v>
      </c>
      <c r="C1486" s="50" t="s">
        <v>6072</v>
      </c>
      <c r="D1486" s="50" t="s">
        <v>6060</v>
      </c>
      <c r="E1486" s="50" t="s">
        <v>6073</v>
      </c>
    </row>
    <row r="1487" spans="1:5" s="51" customFormat="1" x14ac:dyDescent="0.15">
      <c r="A1487" s="50" t="s">
        <v>6074</v>
      </c>
      <c r="B1487" s="50" t="s">
        <v>6075</v>
      </c>
      <c r="C1487" s="50" t="s">
        <v>6076</v>
      </c>
      <c r="D1487" s="50" t="s">
        <v>6060</v>
      </c>
      <c r="E1487" s="50" t="s">
        <v>6077</v>
      </c>
    </row>
    <row r="1488" spans="1:5" s="51" customFormat="1" x14ac:dyDescent="0.15">
      <c r="A1488" s="50" t="s">
        <v>6078</v>
      </c>
      <c r="B1488" s="50" t="s">
        <v>6079</v>
      </c>
      <c r="C1488" s="50" t="s">
        <v>6080</v>
      </c>
      <c r="D1488" s="50" t="s">
        <v>6040</v>
      </c>
      <c r="E1488" s="50" t="s">
        <v>6081</v>
      </c>
    </row>
    <row r="1489" spans="1:5" s="51" customFormat="1" x14ac:dyDescent="0.15">
      <c r="A1489" s="50" t="s">
        <v>6082</v>
      </c>
      <c r="B1489" s="50" t="s">
        <v>6083</v>
      </c>
      <c r="C1489" s="50" t="s">
        <v>6084</v>
      </c>
      <c r="D1489" s="50" t="s">
        <v>6040</v>
      </c>
      <c r="E1489" s="50" t="s">
        <v>6085</v>
      </c>
    </row>
    <row r="1490" spans="1:5" s="51" customFormat="1" x14ac:dyDescent="0.15">
      <c r="A1490" s="50" t="s">
        <v>6086</v>
      </c>
      <c r="B1490" s="50" t="s">
        <v>6087</v>
      </c>
      <c r="C1490" s="50" t="s">
        <v>6088</v>
      </c>
      <c r="D1490" s="50" t="s">
        <v>6040</v>
      </c>
      <c r="E1490" s="50" t="s">
        <v>6089</v>
      </c>
    </row>
    <row r="1491" spans="1:5" s="51" customFormat="1" x14ac:dyDescent="0.15">
      <c r="A1491" s="50" t="s">
        <v>6090</v>
      </c>
      <c r="B1491" s="50" t="s">
        <v>6091</v>
      </c>
      <c r="C1491" s="50" t="s">
        <v>6092</v>
      </c>
      <c r="D1491" s="50" t="s">
        <v>6050</v>
      </c>
      <c r="E1491" s="50" t="s">
        <v>6093</v>
      </c>
    </row>
    <row r="1492" spans="1:5" s="51" customFormat="1" x14ac:dyDescent="0.15">
      <c r="A1492" s="50" t="s">
        <v>6094</v>
      </c>
      <c r="B1492" s="50" t="s">
        <v>6095</v>
      </c>
      <c r="C1492" s="50" t="s">
        <v>6096</v>
      </c>
      <c r="D1492" s="50" t="s">
        <v>6050</v>
      </c>
      <c r="E1492" s="50" t="s">
        <v>6097</v>
      </c>
    </row>
    <row r="1493" spans="1:5" s="51" customFormat="1" x14ac:dyDescent="0.15">
      <c r="A1493" s="50" t="s">
        <v>6098</v>
      </c>
      <c r="B1493" s="50" t="s">
        <v>6099</v>
      </c>
      <c r="C1493" s="50" t="s">
        <v>6100</v>
      </c>
      <c r="D1493" s="50" t="s">
        <v>6101</v>
      </c>
      <c r="E1493" s="50" t="s">
        <v>6102</v>
      </c>
    </row>
    <row r="1494" spans="1:5" s="51" customFormat="1" x14ac:dyDescent="0.15">
      <c r="A1494" s="50" t="s">
        <v>6103</v>
      </c>
      <c r="B1494" s="50" t="s">
        <v>6104</v>
      </c>
      <c r="C1494" s="50" t="s">
        <v>6105</v>
      </c>
      <c r="D1494" s="50" t="s">
        <v>6101</v>
      </c>
      <c r="E1494" s="50" t="s">
        <v>6106</v>
      </c>
    </row>
    <row r="1495" spans="1:5" s="51" customFormat="1" x14ac:dyDescent="0.15">
      <c r="A1495" s="50" t="s">
        <v>6107</v>
      </c>
      <c r="B1495" s="50" t="s">
        <v>6108</v>
      </c>
      <c r="C1495" s="50" t="s">
        <v>6109</v>
      </c>
      <c r="D1495" s="50" t="s">
        <v>6101</v>
      </c>
      <c r="E1495" s="50" t="s">
        <v>6110</v>
      </c>
    </row>
    <row r="1496" spans="1:5" s="51" customFormat="1" x14ac:dyDescent="0.15">
      <c r="A1496" s="50" t="s">
        <v>6111</v>
      </c>
      <c r="B1496" s="50" t="s">
        <v>6112</v>
      </c>
      <c r="C1496" s="50" t="s">
        <v>6113</v>
      </c>
      <c r="D1496" s="50" t="s">
        <v>6114</v>
      </c>
      <c r="E1496" s="50" t="s">
        <v>6115</v>
      </c>
    </row>
    <row r="1497" spans="1:5" s="51" customFormat="1" x14ac:dyDescent="0.15">
      <c r="A1497" s="50" t="s">
        <v>6116</v>
      </c>
      <c r="B1497" s="50" t="s">
        <v>6117</v>
      </c>
      <c r="C1497" s="50" t="s">
        <v>6118</v>
      </c>
    </row>
    <row r="1498" spans="1:5" s="51" customFormat="1" x14ac:dyDescent="0.15">
      <c r="A1498" s="50" t="s">
        <v>6119</v>
      </c>
      <c r="B1498" s="50" t="s">
        <v>6120</v>
      </c>
      <c r="C1498" s="50" t="s">
        <v>6121</v>
      </c>
      <c r="D1498" s="50" t="s">
        <v>6122</v>
      </c>
      <c r="E1498" s="50" t="s">
        <v>6123</v>
      </c>
    </row>
    <row r="1499" spans="1:5" s="51" customFormat="1" x14ac:dyDescent="0.15">
      <c r="A1499" s="50" t="s">
        <v>6124</v>
      </c>
      <c r="B1499" s="50" t="s">
        <v>6125</v>
      </c>
      <c r="C1499" s="50" t="s">
        <v>6126</v>
      </c>
      <c r="D1499" s="50" t="s">
        <v>6127</v>
      </c>
      <c r="E1499" s="50" t="s">
        <v>6128</v>
      </c>
    </row>
    <row r="1500" spans="1:5" s="51" customFormat="1" x14ac:dyDescent="0.15">
      <c r="A1500" s="50" t="s">
        <v>6129</v>
      </c>
      <c r="B1500" s="50" t="s">
        <v>6130</v>
      </c>
      <c r="C1500" s="50" t="s">
        <v>6131</v>
      </c>
      <c r="D1500" s="50" t="s">
        <v>6127</v>
      </c>
      <c r="E1500" s="50" t="s">
        <v>6132</v>
      </c>
    </row>
    <row r="1501" spans="1:5" s="51" customFormat="1" x14ac:dyDescent="0.15">
      <c r="A1501" s="50" t="s">
        <v>6133</v>
      </c>
      <c r="B1501" s="50" t="s">
        <v>6134</v>
      </c>
      <c r="C1501" s="50" t="s">
        <v>6135</v>
      </c>
      <c r="D1501" s="50" t="s">
        <v>6136</v>
      </c>
      <c r="E1501" s="50" t="s">
        <v>6137</v>
      </c>
    </row>
    <row r="1502" spans="1:5" s="51" customFormat="1" x14ac:dyDescent="0.15">
      <c r="A1502" s="50" t="s">
        <v>6138</v>
      </c>
      <c r="B1502" s="50" t="s">
        <v>6139</v>
      </c>
      <c r="C1502" s="50" t="s">
        <v>6140</v>
      </c>
      <c r="D1502" s="50" t="s">
        <v>6141</v>
      </c>
      <c r="E1502" s="50" t="s">
        <v>6142</v>
      </c>
    </row>
    <row r="1503" spans="1:5" s="51" customFormat="1" x14ac:dyDescent="0.15">
      <c r="A1503" s="50" t="s">
        <v>6143</v>
      </c>
      <c r="B1503" s="50" t="s">
        <v>6144</v>
      </c>
      <c r="C1503" s="50" t="s">
        <v>6145</v>
      </c>
      <c r="D1503" s="50" t="s">
        <v>6146</v>
      </c>
      <c r="E1503" s="50" t="s">
        <v>6147</v>
      </c>
    </row>
    <row r="1504" spans="1:5" s="51" customFormat="1" x14ac:dyDescent="0.15">
      <c r="A1504" s="50" t="s">
        <v>6148</v>
      </c>
      <c r="B1504" s="50" t="s">
        <v>6149</v>
      </c>
      <c r="C1504" s="50" t="s">
        <v>6150</v>
      </c>
      <c r="D1504" s="50" t="s">
        <v>6151</v>
      </c>
      <c r="E1504" s="50" t="s">
        <v>6152</v>
      </c>
    </row>
    <row r="1505" spans="1:5" s="51" customFormat="1" x14ac:dyDescent="0.15">
      <c r="A1505" s="50" t="s">
        <v>6153</v>
      </c>
      <c r="B1505" s="50" t="s">
        <v>6154</v>
      </c>
      <c r="C1505" s="50" t="s">
        <v>6155</v>
      </c>
      <c r="D1505" s="50" t="s">
        <v>6156</v>
      </c>
      <c r="E1505" s="50" t="s">
        <v>6157</v>
      </c>
    </row>
    <row r="1506" spans="1:5" s="51" customFormat="1" x14ac:dyDescent="0.15">
      <c r="A1506" s="50" t="s">
        <v>6158</v>
      </c>
      <c r="B1506" s="50" t="s">
        <v>6159</v>
      </c>
      <c r="C1506" s="50" t="s">
        <v>6160</v>
      </c>
      <c r="D1506" s="50" t="s">
        <v>6161</v>
      </c>
      <c r="E1506" s="50" t="s">
        <v>6162</v>
      </c>
    </row>
    <row r="1507" spans="1:5" s="51" customFormat="1" x14ac:dyDescent="0.15">
      <c r="A1507" s="50" t="s">
        <v>6163</v>
      </c>
      <c r="B1507" s="50" t="s">
        <v>6164</v>
      </c>
      <c r="C1507" s="50" t="s">
        <v>6165</v>
      </c>
      <c r="D1507" s="50" t="s">
        <v>6161</v>
      </c>
      <c r="E1507" s="50" t="s">
        <v>6166</v>
      </c>
    </row>
    <row r="1508" spans="1:5" s="51" customFormat="1" x14ac:dyDescent="0.15">
      <c r="A1508" s="50" t="s">
        <v>6167</v>
      </c>
      <c r="B1508" s="50" t="s">
        <v>6168</v>
      </c>
      <c r="C1508" s="50" t="s">
        <v>6169</v>
      </c>
      <c r="D1508" s="50" t="s">
        <v>6161</v>
      </c>
      <c r="E1508" s="50" t="s">
        <v>6170</v>
      </c>
    </row>
    <row r="1509" spans="1:5" s="51" customFormat="1" x14ac:dyDescent="0.15">
      <c r="A1509" s="50" t="s">
        <v>6171</v>
      </c>
      <c r="B1509" s="50" t="s">
        <v>6172</v>
      </c>
      <c r="C1509" s="50" t="s">
        <v>6173</v>
      </c>
      <c r="D1509" s="50" t="s">
        <v>6174</v>
      </c>
      <c r="E1509" s="50" t="s">
        <v>6175</v>
      </c>
    </row>
    <row r="1510" spans="1:5" s="51" customFormat="1" x14ac:dyDescent="0.15">
      <c r="A1510" s="50" t="s">
        <v>6176</v>
      </c>
      <c r="B1510" s="50" t="s">
        <v>6177</v>
      </c>
      <c r="C1510" s="50" t="s">
        <v>6178</v>
      </c>
      <c r="D1510" s="50" t="s">
        <v>6179</v>
      </c>
      <c r="E1510" s="50" t="s">
        <v>6180</v>
      </c>
    </row>
    <row r="1511" spans="1:5" s="51" customFormat="1" x14ac:dyDescent="0.15">
      <c r="A1511" s="50" t="s">
        <v>6181</v>
      </c>
      <c r="B1511" s="50" t="s">
        <v>6182</v>
      </c>
      <c r="C1511" s="50" t="s">
        <v>6183</v>
      </c>
      <c r="D1511" s="50" t="s">
        <v>6179</v>
      </c>
      <c r="E1511" s="50" t="s">
        <v>6184</v>
      </c>
    </row>
    <row r="1512" spans="1:5" s="51" customFormat="1" x14ac:dyDescent="0.15">
      <c r="A1512" s="50" t="s">
        <v>6185</v>
      </c>
      <c r="B1512" s="50" t="s">
        <v>6186</v>
      </c>
      <c r="C1512" s="50" t="s">
        <v>6187</v>
      </c>
      <c r="D1512" s="50" t="s">
        <v>6188</v>
      </c>
      <c r="E1512" s="50" t="s">
        <v>6189</v>
      </c>
    </row>
    <row r="1513" spans="1:5" s="51" customFormat="1" x14ac:dyDescent="0.15">
      <c r="A1513" s="50" t="s">
        <v>6190</v>
      </c>
      <c r="B1513" s="50" t="s">
        <v>6191</v>
      </c>
      <c r="C1513" s="50" t="s">
        <v>6192</v>
      </c>
      <c r="D1513" s="50" t="s">
        <v>6193</v>
      </c>
      <c r="E1513" s="50" t="s">
        <v>6194</v>
      </c>
    </row>
    <row r="1514" spans="1:5" s="51" customFormat="1" x14ac:dyDescent="0.15">
      <c r="A1514" s="50" t="s">
        <v>6195</v>
      </c>
      <c r="B1514" s="50" t="s">
        <v>6196</v>
      </c>
      <c r="C1514" s="50" t="s">
        <v>6197</v>
      </c>
      <c r="D1514" s="50" t="s">
        <v>6146</v>
      </c>
      <c r="E1514" s="50" t="s">
        <v>6198</v>
      </c>
    </row>
    <row r="1515" spans="1:5" s="51" customFormat="1" x14ac:dyDescent="0.15">
      <c r="A1515" s="50" t="s">
        <v>6199</v>
      </c>
      <c r="B1515" s="50" t="s">
        <v>6200</v>
      </c>
      <c r="C1515" s="50" t="s">
        <v>6201</v>
      </c>
      <c r="D1515" s="50" t="s">
        <v>6156</v>
      </c>
      <c r="E1515" s="50" t="s">
        <v>6202</v>
      </c>
    </row>
    <row r="1516" spans="1:5" s="51" customFormat="1" x14ac:dyDescent="0.15">
      <c r="A1516" s="50" t="s">
        <v>6203</v>
      </c>
      <c r="B1516" s="50" t="s">
        <v>6204</v>
      </c>
      <c r="C1516" s="50" t="s">
        <v>6205</v>
      </c>
      <c r="D1516" s="50" t="s">
        <v>6179</v>
      </c>
      <c r="E1516" s="50" t="s">
        <v>6206</v>
      </c>
    </row>
    <row r="1517" spans="1:5" s="51" customFormat="1" x14ac:dyDescent="0.15">
      <c r="A1517" s="50" t="s">
        <v>6207</v>
      </c>
      <c r="B1517" s="50" t="s">
        <v>6208</v>
      </c>
      <c r="C1517" s="50" t="s">
        <v>6209</v>
      </c>
      <c r="D1517" s="50" t="s">
        <v>6127</v>
      </c>
      <c r="E1517" s="50" t="s">
        <v>6210</v>
      </c>
    </row>
    <row r="1518" spans="1:5" s="51" customFormat="1" x14ac:dyDescent="0.15">
      <c r="A1518" s="50" t="s">
        <v>6211</v>
      </c>
      <c r="B1518" s="50" t="s">
        <v>6212</v>
      </c>
      <c r="C1518" s="50" t="s">
        <v>6213</v>
      </c>
      <c r="D1518" s="50" t="s">
        <v>6156</v>
      </c>
      <c r="E1518" s="50" t="s">
        <v>6214</v>
      </c>
    </row>
    <row r="1519" spans="1:5" s="51" customFormat="1" x14ac:dyDescent="0.15">
      <c r="A1519" s="50" t="s">
        <v>6215</v>
      </c>
      <c r="B1519" s="50" t="s">
        <v>6216</v>
      </c>
      <c r="C1519" s="50" t="s">
        <v>6217</v>
      </c>
      <c r="D1519" s="50" t="s">
        <v>6161</v>
      </c>
      <c r="E1519" s="50" t="s">
        <v>6218</v>
      </c>
    </row>
    <row r="1520" spans="1:5" s="51" customFormat="1" x14ac:dyDescent="0.15">
      <c r="A1520" s="50" t="s">
        <v>6219</v>
      </c>
      <c r="B1520" s="50" t="s">
        <v>6220</v>
      </c>
      <c r="C1520" s="50" t="s">
        <v>6221</v>
      </c>
      <c r="D1520" s="50" t="s">
        <v>6174</v>
      </c>
      <c r="E1520" s="50" t="s">
        <v>6222</v>
      </c>
    </row>
    <row r="1521" spans="1:5" s="51" customFormat="1" x14ac:dyDescent="0.15">
      <c r="A1521" s="50" t="s">
        <v>6223</v>
      </c>
      <c r="B1521" s="50" t="s">
        <v>6224</v>
      </c>
      <c r="C1521" s="50" t="s">
        <v>6225</v>
      </c>
      <c r="D1521" s="50" t="s">
        <v>6226</v>
      </c>
      <c r="E1521" s="50" t="s">
        <v>6227</v>
      </c>
    </row>
    <row r="1522" spans="1:5" s="51" customFormat="1" x14ac:dyDescent="0.15">
      <c r="A1522" s="50" t="s">
        <v>6228</v>
      </c>
      <c r="B1522" s="50" t="s">
        <v>6229</v>
      </c>
      <c r="C1522" s="50" t="s">
        <v>6230</v>
      </c>
      <c r="D1522" s="50" t="s">
        <v>6146</v>
      </c>
      <c r="E1522" s="50" t="s">
        <v>6231</v>
      </c>
    </row>
    <row r="1523" spans="1:5" s="51" customFormat="1" x14ac:dyDescent="0.15">
      <c r="A1523" s="50" t="s">
        <v>6232</v>
      </c>
      <c r="B1523" s="50" t="s">
        <v>6233</v>
      </c>
      <c r="C1523" s="50" t="s">
        <v>6234</v>
      </c>
      <c r="D1523" s="50" t="s">
        <v>6146</v>
      </c>
      <c r="E1523" s="50" t="s">
        <v>6235</v>
      </c>
    </row>
    <row r="1524" spans="1:5" s="51" customFormat="1" x14ac:dyDescent="0.15">
      <c r="A1524" s="50" t="s">
        <v>6236</v>
      </c>
      <c r="B1524" s="50" t="s">
        <v>6237</v>
      </c>
      <c r="C1524" s="50" t="s">
        <v>6238</v>
      </c>
      <c r="D1524" s="50" t="s">
        <v>6146</v>
      </c>
      <c r="E1524" s="50" t="s">
        <v>6239</v>
      </c>
    </row>
    <row r="1525" spans="1:5" s="51" customFormat="1" x14ac:dyDescent="0.15">
      <c r="A1525" s="50" t="s">
        <v>6240</v>
      </c>
      <c r="B1525" s="50" t="s">
        <v>6241</v>
      </c>
      <c r="C1525" s="50" t="s">
        <v>6242</v>
      </c>
      <c r="D1525" s="50" t="s">
        <v>6174</v>
      </c>
      <c r="E1525" s="50" t="s">
        <v>6243</v>
      </c>
    </row>
    <row r="1526" spans="1:5" s="51" customFormat="1" x14ac:dyDescent="0.15">
      <c r="A1526" s="50" t="s">
        <v>6244</v>
      </c>
      <c r="B1526" s="50" t="s">
        <v>6245</v>
      </c>
      <c r="C1526" s="50" t="s">
        <v>6246</v>
      </c>
      <c r="D1526" s="50" t="s">
        <v>6247</v>
      </c>
      <c r="E1526" s="50" t="s">
        <v>6248</v>
      </c>
    </row>
    <row r="1527" spans="1:5" s="51" customFormat="1" x14ac:dyDescent="0.15">
      <c r="A1527" s="50" t="s">
        <v>6249</v>
      </c>
      <c r="B1527" s="50" t="s">
        <v>6250</v>
      </c>
      <c r="C1527" s="50" t="s">
        <v>6251</v>
      </c>
      <c r="D1527" s="50" t="s">
        <v>6252</v>
      </c>
      <c r="E1527" s="50" t="s">
        <v>6253</v>
      </c>
    </row>
    <row r="1528" spans="1:5" s="51" customFormat="1" x14ac:dyDescent="0.15">
      <c r="A1528" s="50" t="s">
        <v>6254</v>
      </c>
      <c r="B1528" s="50" t="s">
        <v>6255</v>
      </c>
      <c r="C1528" s="50" t="s">
        <v>6256</v>
      </c>
    </row>
    <row r="1529" spans="1:5" s="51" customFormat="1" x14ac:dyDescent="0.15">
      <c r="A1529" s="50" t="s">
        <v>6257</v>
      </c>
      <c r="B1529" s="50" t="s">
        <v>6258</v>
      </c>
      <c r="C1529" s="50" t="s">
        <v>6259</v>
      </c>
      <c r="D1529" s="50" t="s">
        <v>6260</v>
      </c>
      <c r="E1529" s="50" t="s">
        <v>6261</v>
      </c>
    </row>
    <row r="1530" spans="1:5" s="51" customFormat="1" x14ac:dyDescent="0.15">
      <c r="A1530" s="50" t="s">
        <v>6262</v>
      </c>
      <c r="B1530" s="50" t="s">
        <v>6263</v>
      </c>
      <c r="C1530" s="50" t="s">
        <v>6264</v>
      </c>
      <c r="D1530" s="50" t="s">
        <v>6260</v>
      </c>
      <c r="E1530" s="50" t="s">
        <v>6265</v>
      </c>
    </row>
    <row r="1531" spans="1:5" s="51" customFormat="1" x14ac:dyDescent="0.15">
      <c r="A1531" s="50" t="s">
        <v>6266</v>
      </c>
      <c r="B1531" s="50" t="s">
        <v>6267</v>
      </c>
      <c r="C1531" s="50" t="s">
        <v>6268</v>
      </c>
      <c r="D1531" s="50" t="s">
        <v>6260</v>
      </c>
      <c r="E1531" s="50" t="s">
        <v>6269</v>
      </c>
    </row>
    <row r="1532" spans="1:5" s="51" customFormat="1" x14ac:dyDescent="0.15">
      <c r="A1532" s="50" t="s">
        <v>6270</v>
      </c>
      <c r="B1532" s="50" t="s">
        <v>6271</v>
      </c>
      <c r="C1532" s="50" t="s">
        <v>6272</v>
      </c>
      <c r="D1532" s="50" t="s">
        <v>6260</v>
      </c>
      <c r="E1532" s="50" t="s">
        <v>6273</v>
      </c>
    </row>
    <row r="1533" spans="1:5" s="51" customFormat="1" x14ac:dyDescent="0.15">
      <c r="A1533" s="50" t="s">
        <v>6274</v>
      </c>
      <c r="B1533" s="50" t="s">
        <v>6275</v>
      </c>
      <c r="C1533" s="50" t="s">
        <v>6276</v>
      </c>
      <c r="D1533" s="50" t="s">
        <v>6260</v>
      </c>
      <c r="E1533" s="50" t="s">
        <v>6277</v>
      </c>
    </row>
    <row r="1534" spans="1:5" s="51" customFormat="1" x14ac:dyDescent="0.15">
      <c r="A1534" s="50" t="s">
        <v>6278</v>
      </c>
      <c r="B1534" s="50" t="s">
        <v>6279</v>
      </c>
      <c r="C1534" s="50" t="s">
        <v>6280</v>
      </c>
      <c r="D1534" s="50" t="s">
        <v>6260</v>
      </c>
      <c r="E1534" s="50" t="s">
        <v>6281</v>
      </c>
    </row>
    <row r="1535" spans="1:5" s="51" customFormat="1" x14ac:dyDescent="0.15">
      <c r="A1535" s="50" t="s">
        <v>6282</v>
      </c>
      <c r="B1535" s="50" t="s">
        <v>6283</v>
      </c>
      <c r="C1535" s="50" t="s">
        <v>6284</v>
      </c>
      <c r="D1535" s="50" t="s">
        <v>6260</v>
      </c>
      <c r="E1535" s="50" t="s">
        <v>6285</v>
      </c>
    </row>
    <row r="1536" spans="1:5" s="51" customFormat="1" x14ac:dyDescent="0.15">
      <c r="A1536" s="50" t="s">
        <v>6286</v>
      </c>
      <c r="B1536" s="50" t="s">
        <v>6287</v>
      </c>
      <c r="C1536" s="50" t="s">
        <v>6288</v>
      </c>
      <c r="D1536" s="50" t="s">
        <v>6289</v>
      </c>
      <c r="E1536" s="50" t="s">
        <v>6290</v>
      </c>
    </row>
    <row r="1537" spans="1:5" s="51" customFormat="1" x14ac:dyDescent="0.15">
      <c r="A1537" s="50" t="s">
        <v>6291</v>
      </c>
      <c r="B1537" s="50" t="s">
        <v>6292</v>
      </c>
      <c r="C1537" s="50" t="s">
        <v>6293</v>
      </c>
      <c r="D1537" s="50" t="s">
        <v>6294</v>
      </c>
      <c r="E1537" s="50" t="s">
        <v>6295</v>
      </c>
    </row>
    <row r="1538" spans="1:5" s="51" customFormat="1" x14ac:dyDescent="0.15">
      <c r="A1538" s="50" t="s">
        <v>6296</v>
      </c>
      <c r="B1538" s="50" t="s">
        <v>6297</v>
      </c>
      <c r="C1538" s="50" t="s">
        <v>6298</v>
      </c>
      <c r="D1538" s="50" t="s">
        <v>6299</v>
      </c>
      <c r="E1538" s="50" t="s">
        <v>6300</v>
      </c>
    </row>
    <row r="1539" spans="1:5" s="51" customFormat="1" x14ac:dyDescent="0.15">
      <c r="A1539" s="50" t="s">
        <v>6301</v>
      </c>
      <c r="B1539" s="50" t="s">
        <v>6302</v>
      </c>
      <c r="C1539" s="50" t="s">
        <v>6303</v>
      </c>
      <c r="D1539" s="50" t="s">
        <v>6304</v>
      </c>
      <c r="E1539" s="50" t="s">
        <v>6305</v>
      </c>
    </row>
    <row r="1540" spans="1:5" s="51" customFormat="1" x14ac:dyDescent="0.15">
      <c r="A1540" s="50" t="s">
        <v>6306</v>
      </c>
      <c r="B1540" s="50" t="s">
        <v>6307</v>
      </c>
      <c r="C1540" s="50" t="s">
        <v>6308</v>
      </c>
      <c r="D1540" s="50" t="s">
        <v>6309</v>
      </c>
      <c r="E1540" s="50" t="s">
        <v>6310</v>
      </c>
    </row>
    <row r="1541" spans="1:5" s="51" customFormat="1" x14ac:dyDescent="0.15">
      <c r="A1541" s="50" t="s">
        <v>6311</v>
      </c>
      <c r="B1541" s="50" t="s">
        <v>6312</v>
      </c>
      <c r="C1541" s="50" t="s">
        <v>6313</v>
      </c>
      <c r="D1541" s="50" t="s">
        <v>6314</v>
      </c>
      <c r="E1541" s="50" t="s">
        <v>6315</v>
      </c>
    </row>
    <row r="1542" spans="1:5" s="51" customFormat="1" x14ac:dyDescent="0.15">
      <c r="A1542" s="50" t="s">
        <v>6316</v>
      </c>
      <c r="B1542" s="50" t="s">
        <v>2907</v>
      </c>
      <c r="C1542" s="50" t="s">
        <v>2908</v>
      </c>
      <c r="D1542" s="50" t="s">
        <v>6317</v>
      </c>
      <c r="E1542" s="50" t="s">
        <v>6318</v>
      </c>
    </row>
    <row r="1543" spans="1:5" s="51" customFormat="1" x14ac:dyDescent="0.15">
      <c r="A1543" s="50" t="s">
        <v>6319</v>
      </c>
      <c r="B1543" s="50" t="s">
        <v>6320</v>
      </c>
      <c r="C1543" s="50" t="s">
        <v>4718</v>
      </c>
      <c r="D1543" s="50" t="s">
        <v>6321</v>
      </c>
      <c r="E1543" s="50" t="s">
        <v>6322</v>
      </c>
    </row>
    <row r="1544" spans="1:5" s="51" customFormat="1" x14ac:dyDescent="0.15">
      <c r="A1544" s="50" t="s">
        <v>6323</v>
      </c>
      <c r="B1544" s="50" t="s">
        <v>6324</v>
      </c>
      <c r="C1544" s="50" t="s">
        <v>6325</v>
      </c>
      <c r="D1544" s="50" t="s">
        <v>6326</v>
      </c>
      <c r="E1544" s="50" t="s">
        <v>6327</v>
      </c>
    </row>
    <row r="1545" spans="1:5" s="51" customFormat="1" x14ac:dyDescent="0.15">
      <c r="A1545" s="50" t="s">
        <v>6328</v>
      </c>
      <c r="B1545" s="50" t="s">
        <v>6329</v>
      </c>
      <c r="C1545" s="50" t="s">
        <v>6330</v>
      </c>
      <c r="D1545" s="50" t="s">
        <v>6331</v>
      </c>
      <c r="E1545" s="50" t="s">
        <v>6332</v>
      </c>
    </row>
    <row r="1546" spans="1:5" s="51" customFormat="1" x14ac:dyDescent="0.15">
      <c r="A1546" s="50" t="s">
        <v>6333</v>
      </c>
      <c r="B1546" s="50" t="s">
        <v>6334</v>
      </c>
      <c r="C1546" s="50" t="s">
        <v>6335</v>
      </c>
      <c r="D1546" s="50" t="s">
        <v>6336</v>
      </c>
      <c r="E1546" s="50" t="s">
        <v>6337</v>
      </c>
    </row>
    <row r="1547" spans="1:5" s="51" customFormat="1" x14ac:dyDescent="0.15">
      <c r="A1547" s="50" t="s">
        <v>6338</v>
      </c>
      <c r="B1547" s="50" t="s">
        <v>6339</v>
      </c>
      <c r="C1547" s="50" t="s">
        <v>6340</v>
      </c>
      <c r="D1547" s="50" t="s">
        <v>6341</v>
      </c>
      <c r="E1547" s="50" t="s">
        <v>6342</v>
      </c>
    </row>
    <row r="1548" spans="1:5" s="51" customFormat="1" x14ac:dyDescent="0.15">
      <c r="A1548" s="50" t="s">
        <v>6343</v>
      </c>
      <c r="B1548" s="50" t="s">
        <v>6344</v>
      </c>
      <c r="C1548" s="50" t="s">
        <v>6345</v>
      </c>
      <c r="D1548" s="50" t="s">
        <v>6346</v>
      </c>
      <c r="E1548" s="50" t="s">
        <v>6347</v>
      </c>
    </row>
    <row r="1549" spans="1:5" s="51" customFormat="1" x14ac:dyDescent="0.15">
      <c r="A1549" s="50" t="s">
        <v>6348</v>
      </c>
      <c r="B1549" s="50" t="s">
        <v>6349</v>
      </c>
      <c r="C1549" s="50" t="s">
        <v>6350</v>
      </c>
      <c r="D1549" s="50" t="s">
        <v>6351</v>
      </c>
      <c r="E1549" s="50" t="s">
        <v>6352</v>
      </c>
    </row>
    <row r="1550" spans="1:5" s="51" customFormat="1" x14ac:dyDescent="0.15">
      <c r="A1550" s="50" t="s">
        <v>6353</v>
      </c>
      <c r="B1550" s="50" t="s">
        <v>6354</v>
      </c>
      <c r="C1550" s="50" t="s">
        <v>6355</v>
      </c>
      <c r="D1550" s="50" t="s">
        <v>6260</v>
      </c>
      <c r="E1550" s="50" t="s">
        <v>6356</v>
      </c>
    </row>
    <row r="1551" spans="1:5" s="51" customFormat="1" x14ac:dyDescent="0.15">
      <c r="A1551" s="50" t="s">
        <v>6357</v>
      </c>
      <c r="B1551" s="50" t="s">
        <v>6358</v>
      </c>
      <c r="C1551" s="50" t="s">
        <v>6359</v>
      </c>
      <c r="D1551" s="50" t="s">
        <v>6260</v>
      </c>
      <c r="E1551" s="50" t="s">
        <v>6360</v>
      </c>
    </row>
    <row r="1552" spans="1:5" s="51" customFormat="1" x14ac:dyDescent="0.15">
      <c r="A1552" s="50" t="s">
        <v>6361</v>
      </c>
      <c r="B1552" s="50" t="s">
        <v>6362</v>
      </c>
      <c r="C1552" s="50" t="s">
        <v>6363</v>
      </c>
      <c r="D1552" s="50" t="s">
        <v>6260</v>
      </c>
      <c r="E1552" s="50" t="s">
        <v>6364</v>
      </c>
    </row>
    <row r="1553" spans="1:5" s="51" customFormat="1" x14ac:dyDescent="0.15">
      <c r="A1553" s="50" t="s">
        <v>6365</v>
      </c>
      <c r="B1553" s="50" t="s">
        <v>6366</v>
      </c>
      <c r="C1553" s="50" t="s">
        <v>6367</v>
      </c>
      <c r="D1553" s="50" t="s">
        <v>6260</v>
      </c>
      <c r="E1553" s="50" t="s">
        <v>6368</v>
      </c>
    </row>
    <row r="1554" spans="1:5" s="51" customFormat="1" x14ac:dyDescent="0.15">
      <c r="A1554" s="50" t="s">
        <v>6369</v>
      </c>
      <c r="B1554" s="50" t="s">
        <v>6370</v>
      </c>
      <c r="C1554" s="50" t="s">
        <v>6371</v>
      </c>
      <c r="D1554" s="50" t="s">
        <v>6346</v>
      </c>
      <c r="E1554" s="50" t="s">
        <v>6372</v>
      </c>
    </row>
    <row r="1555" spans="1:5" s="51" customFormat="1" x14ac:dyDescent="0.15">
      <c r="A1555" s="50" t="s">
        <v>6373</v>
      </c>
      <c r="B1555" s="50" t="s">
        <v>6374</v>
      </c>
      <c r="C1555" s="50" t="s">
        <v>6375</v>
      </c>
      <c r="D1555" s="50" t="s">
        <v>6346</v>
      </c>
      <c r="E1555" s="50" t="s">
        <v>6376</v>
      </c>
    </row>
    <row r="1556" spans="1:5" s="51" customFormat="1" x14ac:dyDescent="0.15">
      <c r="A1556" s="50" t="s">
        <v>6377</v>
      </c>
      <c r="B1556" s="50" t="s">
        <v>6378</v>
      </c>
      <c r="C1556" s="50" t="s">
        <v>6379</v>
      </c>
      <c r="D1556" s="50" t="s">
        <v>6299</v>
      </c>
      <c r="E1556" s="50" t="s">
        <v>6380</v>
      </c>
    </row>
    <row r="1557" spans="1:5" s="51" customFormat="1" x14ac:dyDescent="0.15">
      <c r="A1557" s="50" t="s">
        <v>6381</v>
      </c>
      <c r="B1557" s="50" t="s">
        <v>6382</v>
      </c>
      <c r="C1557" s="50" t="s">
        <v>6383</v>
      </c>
      <c r="D1557" s="50" t="s">
        <v>6317</v>
      </c>
      <c r="E1557" s="50" t="s">
        <v>6384</v>
      </c>
    </row>
    <row r="1558" spans="1:5" s="51" customFormat="1" x14ac:dyDescent="0.15">
      <c r="A1558" s="50" t="s">
        <v>6385</v>
      </c>
      <c r="B1558" s="50" t="s">
        <v>6386</v>
      </c>
      <c r="C1558" s="50" t="s">
        <v>6387</v>
      </c>
      <c r="D1558" s="50" t="s">
        <v>6317</v>
      </c>
      <c r="E1558" s="50" t="s">
        <v>6388</v>
      </c>
    </row>
    <row r="1559" spans="1:5" s="51" customFormat="1" x14ac:dyDescent="0.15">
      <c r="A1559" s="50" t="s">
        <v>6389</v>
      </c>
      <c r="B1559" s="50" t="s">
        <v>6390</v>
      </c>
      <c r="C1559" s="50" t="s">
        <v>6391</v>
      </c>
      <c r="D1559" s="50" t="s">
        <v>6392</v>
      </c>
      <c r="E1559" s="50" t="s">
        <v>6393</v>
      </c>
    </row>
    <row r="1560" spans="1:5" s="51" customFormat="1" x14ac:dyDescent="0.15">
      <c r="A1560" s="50" t="s">
        <v>6394</v>
      </c>
      <c r="B1560" s="50" t="s">
        <v>6395</v>
      </c>
      <c r="C1560" s="50" t="s">
        <v>6396</v>
      </c>
      <c r="D1560" s="50" t="s">
        <v>6397</v>
      </c>
      <c r="E1560" s="50" t="s">
        <v>6398</v>
      </c>
    </row>
    <row r="1561" spans="1:5" s="51" customFormat="1" x14ac:dyDescent="0.15">
      <c r="A1561" s="50" t="s">
        <v>6399</v>
      </c>
      <c r="B1561" s="50" t="s">
        <v>6400</v>
      </c>
      <c r="C1561" s="50" t="s">
        <v>6401</v>
      </c>
      <c r="D1561" s="50" t="s">
        <v>6402</v>
      </c>
      <c r="E1561" s="50" t="s">
        <v>6403</v>
      </c>
    </row>
    <row r="1562" spans="1:5" s="51" customFormat="1" x14ac:dyDescent="0.15">
      <c r="A1562" s="50" t="s">
        <v>6404</v>
      </c>
      <c r="B1562" s="50" t="s">
        <v>6405</v>
      </c>
      <c r="C1562" s="50" t="s">
        <v>6406</v>
      </c>
      <c r="D1562" s="50" t="s">
        <v>6407</v>
      </c>
      <c r="E1562" s="50" t="s">
        <v>6408</v>
      </c>
    </row>
    <row r="1563" spans="1:5" s="51" customFormat="1" x14ac:dyDescent="0.15">
      <c r="A1563" s="50" t="s">
        <v>6409</v>
      </c>
      <c r="B1563" s="50" t="s">
        <v>6410</v>
      </c>
      <c r="C1563" s="50" t="s">
        <v>6411</v>
      </c>
      <c r="D1563" s="50" t="s">
        <v>6412</v>
      </c>
      <c r="E1563" s="50" t="s">
        <v>6413</v>
      </c>
    </row>
    <row r="1564" spans="1:5" s="51" customFormat="1" x14ac:dyDescent="0.15">
      <c r="A1564" s="50" t="s">
        <v>6414</v>
      </c>
      <c r="B1564" s="50" t="s">
        <v>6415</v>
      </c>
      <c r="C1564" s="50" t="s">
        <v>6416</v>
      </c>
      <c r="D1564" s="50" t="s">
        <v>6417</v>
      </c>
      <c r="E1564" s="50" t="s">
        <v>6418</v>
      </c>
    </row>
    <row r="1565" spans="1:5" s="51" customFormat="1" x14ac:dyDescent="0.15">
      <c r="A1565" s="50" t="s">
        <v>6419</v>
      </c>
      <c r="B1565" s="50" t="s">
        <v>6420</v>
      </c>
      <c r="C1565" s="50" t="s">
        <v>6421</v>
      </c>
      <c r="D1565" s="50" t="s">
        <v>6331</v>
      </c>
      <c r="E1565" s="50" t="s">
        <v>6422</v>
      </c>
    </row>
    <row r="1566" spans="1:5" s="51" customFormat="1" x14ac:dyDescent="0.15">
      <c r="A1566" s="50" t="s">
        <v>6423</v>
      </c>
      <c r="B1566" s="50" t="s">
        <v>6424</v>
      </c>
      <c r="C1566" s="50" t="s">
        <v>6425</v>
      </c>
      <c r="D1566" s="50" t="s">
        <v>6426</v>
      </c>
      <c r="E1566" s="50" t="s">
        <v>6427</v>
      </c>
    </row>
    <row r="1567" spans="1:5" s="51" customFormat="1" x14ac:dyDescent="0.15">
      <c r="A1567" s="50" t="s">
        <v>6428</v>
      </c>
      <c r="B1567" s="50" t="s">
        <v>6429</v>
      </c>
      <c r="C1567" s="50" t="s">
        <v>6430</v>
      </c>
      <c r="D1567" s="50" t="s">
        <v>6431</v>
      </c>
      <c r="E1567" s="50" t="s">
        <v>6432</v>
      </c>
    </row>
    <row r="1568" spans="1:5" s="51" customFormat="1" x14ac:dyDescent="0.15">
      <c r="A1568" s="50" t="s">
        <v>6433</v>
      </c>
      <c r="B1568" s="50" t="s">
        <v>6434</v>
      </c>
      <c r="C1568" s="50" t="s">
        <v>6435</v>
      </c>
      <c r="D1568" s="50" t="s">
        <v>6436</v>
      </c>
      <c r="E1568" s="50" t="s">
        <v>6437</v>
      </c>
    </row>
    <row r="1569" spans="1:5" s="51" customFormat="1" x14ac:dyDescent="0.15">
      <c r="A1569" s="50" t="s">
        <v>6438</v>
      </c>
      <c r="B1569" s="50" t="s">
        <v>6439</v>
      </c>
      <c r="C1569" s="50" t="s">
        <v>6440</v>
      </c>
      <c r="D1569" s="50" t="s">
        <v>6441</v>
      </c>
      <c r="E1569" s="50" t="s">
        <v>6442</v>
      </c>
    </row>
    <row r="1570" spans="1:5" s="51" customFormat="1" x14ac:dyDescent="0.15">
      <c r="A1570" s="50" t="s">
        <v>6443</v>
      </c>
      <c r="B1570" s="50" t="s">
        <v>6444</v>
      </c>
      <c r="C1570" s="50" t="s">
        <v>6445</v>
      </c>
      <c r="D1570" s="50" t="s">
        <v>6446</v>
      </c>
      <c r="E1570" s="50" t="s">
        <v>6447</v>
      </c>
    </row>
    <row r="1571" spans="1:5" s="51" customFormat="1" x14ac:dyDescent="0.15">
      <c r="A1571" s="50" t="s">
        <v>6448</v>
      </c>
      <c r="B1571" s="50" t="s">
        <v>6449</v>
      </c>
      <c r="C1571" s="50" t="s">
        <v>6450</v>
      </c>
      <c r="D1571" s="50" t="s">
        <v>6397</v>
      </c>
      <c r="E1571" s="50" t="s">
        <v>6451</v>
      </c>
    </row>
    <row r="1572" spans="1:5" s="51" customFormat="1" x14ac:dyDescent="0.15">
      <c r="A1572" s="50" t="s">
        <v>6452</v>
      </c>
      <c r="B1572" s="50" t="s">
        <v>6453</v>
      </c>
      <c r="C1572" s="50" t="s">
        <v>6454</v>
      </c>
      <c r="D1572" s="50" t="s">
        <v>6436</v>
      </c>
      <c r="E1572" s="50" t="s">
        <v>6455</v>
      </c>
    </row>
    <row r="1573" spans="1:5" s="51" customFormat="1" x14ac:dyDescent="0.15">
      <c r="A1573" s="50" t="s">
        <v>6456</v>
      </c>
      <c r="B1573" s="50" t="s">
        <v>6457</v>
      </c>
      <c r="C1573" s="50" t="s">
        <v>6458</v>
      </c>
      <c r="D1573" s="50" t="s">
        <v>6331</v>
      </c>
      <c r="E1573" s="50" t="s">
        <v>6459</v>
      </c>
    </row>
    <row r="1574" spans="1:5" s="51" customFormat="1" x14ac:dyDescent="0.15">
      <c r="A1574" s="50" t="s">
        <v>6460</v>
      </c>
      <c r="B1574" s="50" t="s">
        <v>6461</v>
      </c>
      <c r="C1574" s="50" t="s">
        <v>6462</v>
      </c>
      <c r="D1574" s="50" t="s">
        <v>6436</v>
      </c>
      <c r="E1574" s="50" t="s">
        <v>6463</v>
      </c>
    </row>
    <row r="1575" spans="1:5" s="51" customFormat="1" x14ac:dyDescent="0.15">
      <c r="A1575" s="50" t="s">
        <v>6464</v>
      </c>
      <c r="B1575" s="50" t="s">
        <v>6465</v>
      </c>
      <c r="C1575" s="50" t="s">
        <v>6466</v>
      </c>
      <c r="D1575" s="50" t="s">
        <v>6436</v>
      </c>
      <c r="E1575" s="50" t="s">
        <v>6467</v>
      </c>
    </row>
    <row r="1576" spans="1:5" s="51" customFormat="1" x14ac:dyDescent="0.15">
      <c r="A1576" s="50" t="s">
        <v>6468</v>
      </c>
      <c r="B1576" s="50" t="s">
        <v>6469</v>
      </c>
      <c r="C1576" s="50" t="s">
        <v>6470</v>
      </c>
      <c r="D1576" s="50" t="s">
        <v>6436</v>
      </c>
      <c r="E1576" s="50" t="s">
        <v>6471</v>
      </c>
    </row>
    <row r="1577" spans="1:5" s="51" customFormat="1" x14ac:dyDescent="0.15">
      <c r="A1577" s="50" t="s">
        <v>6472</v>
      </c>
      <c r="B1577" s="50" t="s">
        <v>6473</v>
      </c>
      <c r="C1577" s="50" t="s">
        <v>6474</v>
      </c>
      <c r="D1577" s="50" t="s">
        <v>6475</v>
      </c>
      <c r="E1577" s="50" t="s">
        <v>6476</v>
      </c>
    </row>
    <row r="1578" spans="1:5" s="51" customFormat="1" x14ac:dyDescent="0.15">
      <c r="A1578" s="50" t="s">
        <v>6477</v>
      </c>
      <c r="B1578" s="50" t="s">
        <v>6478</v>
      </c>
      <c r="C1578" s="50" t="s">
        <v>6479</v>
      </c>
      <c r="D1578" s="50" t="s">
        <v>6480</v>
      </c>
      <c r="E1578" s="50" t="s">
        <v>6481</v>
      </c>
    </row>
    <row r="1579" spans="1:5" s="51" customFormat="1" x14ac:dyDescent="0.15">
      <c r="A1579" s="50" t="s">
        <v>6482</v>
      </c>
      <c r="B1579" s="50" t="s">
        <v>6483</v>
      </c>
      <c r="C1579" s="50" t="s">
        <v>6484</v>
      </c>
      <c r="D1579" s="50" t="s">
        <v>6480</v>
      </c>
      <c r="E1579" s="50" t="s">
        <v>6485</v>
      </c>
    </row>
    <row r="1580" spans="1:5" s="51" customFormat="1" x14ac:dyDescent="0.15">
      <c r="A1580" s="50" t="s">
        <v>6486</v>
      </c>
      <c r="B1580" s="50" t="s">
        <v>6487</v>
      </c>
      <c r="C1580" s="50" t="s">
        <v>6488</v>
      </c>
      <c r="D1580" s="50" t="s">
        <v>6489</v>
      </c>
      <c r="E1580" s="50" t="s">
        <v>6490</v>
      </c>
    </row>
    <row r="1581" spans="1:5" s="51" customFormat="1" x14ac:dyDescent="0.15">
      <c r="A1581" s="50" t="s">
        <v>6491</v>
      </c>
      <c r="B1581" s="50" t="s">
        <v>6492</v>
      </c>
      <c r="C1581" s="50" t="s">
        <v>6493</v>
      </c>
      <c r="D1581" s="50" t="s">
        <v>6494</v>
      </c>
      <c r="E1581" s="50" t="s">
        <v>6495</v>
      </c>
    </row>
    <row r="1582" spans="1:5" s="51" customFormat="1" x14ac:dyDescent="0.15">
      <c r="A1582" s="50" t="s">
        <v>6496</v>
      </c>
      <c r="B1582" s="50" t="s">
        <v>6497</v>
      </c>
      <c r="C1582" s="50" t="s">
        <v>6498</v>
      </c>
      <c r="D1582" s="50" t="s">
        <v>6499</v>
      </c>
      <c r="E1582" s="50" t="s">
        <v>6500</v>
      </c>
    </row>
    <row r="1583" spans="1:5" s="51" customFormat="1" x14ac:dyDescent="0.15">
      <c r="A1583" s="50" t="s">
        <v>6501</v>
      </c>
      <c r="B1583" s="50" t="s">
        <v>6502</v>
      </c>
      <c r="C1583" s="50" t="s">
        <v>6503</v>
      </c>
      <c r="D1583" s="50" t="s">
        <v>6504</v>
      </c>
      <c r="E1583" s="50" t="s">
        <v>6505</v>
      </c>
    </row>
    <row r="1584" spans="1:5" s="51" customFormat="1" x14ac:dyDescent="0.15">
      <c r="A1584" s="50" t="s">
        <v>6506</v>
      </c>
      <c r="B1584" s="50" t="s">
        <v>6507</v>
      </c>
      <c r="C1584" s="50" t="s">
        <v>6508</v>
      </c>
      <c r="D1584" s="50" t="s">
        <v>6499</v>
      </c>
      <c r="E1584" s="50" t="s">
        <v>6509</v>
      </c>
    </row>
    <row r="1585" spans="1:5" s="51" customFormat="1" x14ac:dyDescent="0.15">
      <c r="A1585" s="50" t="s">
        <v>6510</v>
      </c>
      <c r="B1585" s="50" t="s">
        <v>6511</v>
      </c>
      <c r="C1585" s="50" t="s">
        <v>4718</v>
      </c>
      <c r="D1585" s="50" t="s">
        <v>6499</v>
      </c>
      <c r="E1585" s="50" t="s">
        <v>6512</v>
      </c>
    </row>
    <row r="1586" spans="1:5" s="51" customFormat="1" x14ac:dyDescent="0.15">
      <c r="A1586" s="50" t="s">
        <v>6513</v>
      </c>
      <c r="B1586" s="50" t="s">
        <v>6514</v>
      </c>
      <c r="C1586" s="50" t="s">
        <v>6515</v>
      </c>
      <c r="D1586" s="50" t="s">
        <v>6489</v>
      </c>
      <c r="E1586" s="50" t="s">
        <v>6516</v>
      </c>
    </row>
    <row r="1587" spans="1:5" s="51" customFormat="1" x14ac:dyDescent="0.15">
      <c r="A1587" s="50" t="s">
        <v>6517</v>
      </c>
      <c r="B1587" s="50" t="s">
        <v>6518</v>
      </c>
      <c r="C1587" s="50" t="s">
        <v>6519</v>
      </c>
      <c r="D1587" s="50" t="s">
        <v>6489</v>
      </c>
      <c r="E1587" s="50" t="s">
        <v>6520</v>
      </c>
    </row>
    <row r="1588" spans="1:5" s="51" customFormat="1" x14ac:dyDescent="0.15">
      <c r="A1588" s="50" t="s">
        <v>6521</v>
      </c>
      <c r="B1588" s="50" t="s">
        <v>6522</v>
      </c>
      <c r="C1588" s="50" t="s">
        <v>6523</v>
      </c>
      <c r="D1588" s="50" t="s">
        <v>6480</v>
      </c>
      <c r="E1588" s="50" t="s">
        <v>6524</v>
      </c>
    </row>
    <row r="1589" spans="1:5" s="51" customFormat="1" x14ac:dyDescent="0.15">
      <c r="A1589" s="50" t="s">
        <v>6525</v>
      </c>
      <c r="B1589" s="50" t="s">
        <v>6526</v>
      </c>
      <c r="C1589" s="50" t="s">
        <v>6527</v>
      </c>
      <c r="D1589" s="50" t="s">
        <v>6480</v>
      </c>
      <c r="E1589" s="50" t="s">
        <v>6528</v>
      </c>
    </row>
    <row r="1590" spans="1:5" s="51" customFormat="1" x14ac:dyDescent="0.15">
      <c r="A1590" s="50" t="s">
        <v>6529</v>
      </c>
      <c r="B1590" s="50" t="s">
        <v>6530</v>
      </c>
      <c r="C1590" s="50" t="s">
        <v>6531</v>
      </c>
      <c r="D1590" s="50" t="s">
        <v>6480</v>
      </c>
      <c r="E1590" s="50" t="s">
        <v>6532</v>
      </c>
    </row>
    <row r="1591" spans="1:5" s="51" customFormat="1" x14ac:dyDescent="0.15">
      <c r="A1591" s="50" t="s">
        <v>6533</v>
      </c>
      <c r="B1591" s="50" t="s">
        <v>6534</v>
      </c>
      <c r="C1591" s="50" t="s">
        <v>6535</v>
      </c>
      <c r="D1591" s="50" t="s">
        <v>6494</v>
      </c>
      <c r="E1591" s="50" t="s">
        <v>6536</v>
      </c>
    </row>
    <row r="1592" spans="1:5" s="51" customFormat="1" x14ac:dyDescent="0.15">
      <c r="A1592" s="50" t="s">
        <v>6537</v>
      </c>
      <c r="B1592" s="50" t="s">
        <v>6538</v>
      </c>
      <c r="C1592" s="50" t="s">
        <v>6539</v>
      </c>
      <c r="D1592" s="50" t="s">
        <v>6494</v>
      </c>
      <c r="E1592" s="50" t="s">
        <v>6540</v>
      </c>
    </row>
    <row r="1593" spans="1:5" s="51" customFormat="1" x14ac:dyDescent="0.15">
      <c r="A1593" s="50" t="s">
        <v>6541</v>
      </c>
      <c r="B1593" s="50" t="s">
        <v>6542</v>
      </c>
      <c r="C1593" s="50" t="s">
        <v>6543</v>
      </c>
      <c r="D1593" s="50" t="s">
        <v>6494</v>
      </c>
      <c r="E1593" s="50" t="s">
        <v>6544</v>
      </c>
    </row>
    <row r="1594" spans="1:5" s="51" customFormat="1" x14ac:dyDescent="0.15">
      <c r="A1594" s="50" t="s">
        <v>6545</v>
      </c>
      <c r="B1594" s="50" t="s">
        <v>6546</v>
      </c>
      <c r="C1594" s="50" t="s">
        <v>6547</v>
      </c>
      <c r="D1594" s="50" t="s">
        <v>6494</v>
      </c>
      <c r="E1594" s="50" t="s">
        <v>6548</v>
      </c>
    </row>
    <row r="1595" spans="1:5" s="51" customFormat="1" x14ac:dyDescent="0.15">
      <c r="A1595" s="50" t="s">
        <v>6549</v>
      </c>
      <c r="B1595" s="50" t="s">
        <v>6550</v>
      </c>
      <c r="C1595" s="50" t="s">
        <v>6551</v>
      </c>
      <c r="D1595" s="50" t="s">
        <v>6480</v>
      </c>
      <c r="E1595" s="50" t="s">
        <v>6552</v>
      </c>
    </row>
    <row r="1596" spans="1:5" s="51" customFormat="1" x14ac:dyDescent="0.15">
      <c r="A1596" s="50" t="s">
        <v>6553</v>
      </c>
      <c r="B1596" s="50" t="s">
        <v>6554</v>
      </c>
      <c r="C1596" s="50" t="s">
        <v>6555</v>
      </c>
      <c r="D1596" s="50" t="s">
        <v>6480</v>
      </c>
      <c r="E1596" s="50" t="s">
        <v>6552</v>
      </c>
    </row>
    <row r="1597" spans="1:5" s="51" customFormat="1" x14ac:dyDescent="0.15">
      <c r="A1597" s="50" t="s">
        <v>6556</v>
      </c>
      <c r="B1597" s="50" t="s">
        <v>6557</v>
      </c>
      <c r="C1597" s="50" t="s">
        <v>6558</v>
      </c>
      <c r="D1597" s="50" t="s">
        <v>6480</v>
      </c>
      <c r="E1597" s="50" t="s">
        <v>6559</v>
      </c>
    </row>
    <row r="1598" spans="1:5" s="51" customFormat="1" x14ac:dyDescent="0.15">
      <c r="A1598" s="50" t="s">
        <v>6560</v>
      </c>
      <c r="B1598" s="50" t="s">
        <v>6561</v>
      </c>
      <c r="C1598" s="50" t="s">
        <v>6562</v>
      </c>
      <c r="D1598" s="50" t="s">
        <v>6480</v>
      </c>
      <c r="E1598" s="50" t="s">
        <v>6563</v>
      </c>
    </row>
    <row r="1599" spans="1:5" s="51" customFormat="1" x14ac:dyDescent="0.15">
      <c r="A1599" s="50" t="s">
        <v>6564</v>
      </c>
      <c r="B1599" s="50" t="s">
        <v>6565</v>
      </c>
      <c r="C1599" s="50" t="s">
        <v>6566</v>
      </c>
      <c r="D1599" s="50" t="s">
        <v>6480</v>
      </c>
      <c r="E1599" s="50" t="s">
        <v>6567</v>
      </c>
    </row>
    <row r="1600" spans="1:5" s="51" customFormat="1" x14ac:dyDescent="0.15">
      <c r="A1600" s="50" t="s">
        <v>6568</v>
      </c>
      <c r="B1600" s="50" t="s">
        <v>6569</v>
      </c>
      <c r="C1600" s="50" t="s">
        <v>6570</v>
      </c>
      <c r="D1600" s="50" t="s">
        <v>6499</v>
      </c>
      <c r="E1600" s="50" t="s">
        <v>6571</v>
      </c>
    </row>
    <row r="1601" spans="1:5" s="51" customFormat="1" x14ac:dyDescent="0.15">
      <c r="A1601" s="50" t="s">
        <v>6572</v>
      </c>
      <c r="B1601" s="50" t="s">
        <v>6573</v>
      </c>
      <c r="C1601" s="50" t="s">
        <v>6574</v>
      </c>
      <c r="D1601" s="50" t="s">
        <v>6499</v>
      </c>
      <c r="E1601" s="50" t="s">
        <v>6575</v>
      </c>
    </row>
    <row r="1602" spans="1:5" s="51" customFormat="1" x14ac:dyDescent="0.15">
      <c r="A1602" s="50" t="s">
        <v>6576</v>
      </c>
      <c r="B1602" s="50" t="s">
        <v>6577</v>
      </c>
      <c r="C1602" s="50" t="s">
        <v>6578</v>
      </c>
      <c r="D1602" s="50" t="s">
        <v>6579</v>
      </c>
      <c r="E1602" s="50" t="s">
        <v>6580</v>
      </c>
    </row>
    <row r="1603" spans="1:5" s="51" customFormat="1" x14ac:dyDescent="0.15">
      <c r="A1603" s="50" t="s">
        <v>6581</v>
      </c>
      <c r="B1603" s="50" t="s">
        <v>6582</v>
      </c>
      <c r="C1603" s="50" t="s">
        <v>6583</v>
      </c>
      <c r="D1603" s="50" t="s">
        <v>6584</v>
      </c>
      <c r="E1603" s="50" t="s">
        <v>6585</v>
      </c>
    </row>
    <row r="1604" spans="1:5" s="51" customFormat="1" x14ac:dyDescent="0.15">
      <c r="A1604" s="50" t="s">
        <v>6586</v>
      </c>
      <c r="B1604" s="50" t="s">
        <v>6587</v>
      </c>
      <c r="C1604" s="50" t="s">
        <v>6588</v>
      </c>
      <c r="D1604" s="50" t="s">
        <v>6584</v>
      </c>
      <c r="E1604" s="50" t="s">
        <v>6589</v>
      </c>
    </row>
    <row r="1605" spans="1:5" s="51" customFormat="1" x14ac:dyDescent="0.15">
      <c r="A1605" s="50" t="s">
        <v>6590</v>
      </c>
      <c r="B1605" s="50" t="s">
        <v>6591</v>
      </c>
      <c r="C1605" s="50" t="s">
        <v>6592</v>
      </c>
      <c r="D1605" s="50" t="s">
        <v>6584</v>
      </c>
      <c r="E1605" s="50" t="s">
        <v>6593</v>
      </c>
    </row>
    <row r="1606" spans="1:5" s="51" customFormat="1" x14ac:dyDescent="0.15">
      <c r="A1606" s="50" t="s">
        <v>6594</v>
      </c>
      <c r="B1606" s="50" t="s">
        <v>6595</v>
      </c>
      <c r="C1606" s="50" t="s">
        <v>6596</v>
      </c>
      <c r="D1606" s="50" t="s">
        <v>6597</v>
      </c>
      <c r="E1606" s="50" t="s">
        <v>6598</v>
      </c>
    </row>
    <row r="1607" spans="1:5" s="51" customFormat="1" x14ac:dyDescent="0.15">
      <c r="A1607" s="50" t="s">
        <v>6599</v>
      </c>
      <c r="B1607" s="50" t="s">
        <v>6600</v>
      </c>
      <c r="C1607" s="50" t="s">
        <v>6601</v>
      </c>
      <c r="D1607" s="50" t="s">
        <v>6602</v>
      </c>
      <c r="E1607" s="50" t="s">
        <v>6603</v>
      </c>
    </row>
    <row r="1608" spans="1:5" s="51" customFormat="1" x14ac:dyDescent="0.15">
      <c r="A1608" s="50" t="s">
        <v>6604</v>
      </c>
      <c r="B1608" s="50" t="s">
        <v>6605</v>
      </c>
      <c r="C1608" s="50" t="s">
        <v>6606</v>
      </c>
      <c r="D1608" s="50" t="s">
        <v>6607</v>
      </c>
      <c r="E1608" s="50" t="s">
        <v>6608</v>
      </c>
    </row>
    <row r="1609" spans="1:5" s="51" customFormat="1" x14ac:dyDescent="0.15">
      <c r="A1609" s="50" t="s">
        <v>6609</v>
      </c>
      <c r="B1609" s="50" t="s">
        <v>6610</v>
      </c>
      <c r="C1609" s="50" t="s">
        <v>6611</v>
      </c>
      <c r="D1609" s="50" t="s">
        <v>6612</v>
      </c>
      <c r="E1609" s="50" t="s">
        <v>6613</v>
      </c>
    </row>
    <row r="1610" spans="1:5" s="51" customFormat="1" x14ac:dyDescent="0.15">
      <c r="A1610" s="50" t="s">
        <v>6614</v>
      </c>
      <c r="B1610" s="50" t="s">
        <v>6615</v>
      </c>
      <c r="C1610" s="50" t="s">
        <v>6616</v>
      </c>
      <c r="D1610" s="50" t="s">
        <v>6607</v>
      </c>
      <c r="E1610" s="50" t="s">
        <v>6617</v>
      </c>
    </row>
    <row r="1611" spans="1:5" s="51" customFormat="1" x14ac:dyDescent="0.15">
      <c r="A1611" s="50" t="s">
        <v>6618</v>
      </c>
      <c r="B1611" s="50" t="s">
        <v>6619</v>
      </c>
      <c r="C1611" s="50" t="s">
        <v>6620</v>
      </c>
      <c r="D1611" s="50" t="s">
        <v>6607</v>
      </c>
      <c r="E1611" s="50" t="s">
        <v>6621</v>
      </c>
    </row>
    <row r="1612" spans="1:5" s="51" customFormat="1" x14ac:dyDescent="0.15">
      <c r="A1612" s="50" t="s">
        <v>6622</v>
      </c>
      <c r="B1612" s="50" t="s">
        <v>6623</v>
      </c>
      <c r="C1612" s="50" t="s">
        <v>6624</v>
      </c>
      <c r="D1612" s="50" t="s">
        <v>6579</v>
      </c>
      <c r="E1612" s="50" t="s">
        <v>6625</v>
      </c>
    </row>
    <row r="1613" spans="1:5" s="51" customFormat="1" x14ac:dyDescent="0.15">
      <c r="A1613" s="50" t="s">
        <v>6626</v>
      </c>
      <c r="B1613" s="50" t="s">
        <v>6627</v>
      </c>
      <c r="C1613" s="50" t="s">
        <v>6628</v>
      </c>
      <c r="D1613" s="50" t="s">
        <v>6579</v>
      </c>
      <c r="E1613" s="50" t="s">
        <v>6629</v>
      </c>
    </row>
    <row r="1614" spans="1:5" s="51" customFormat="1" x14ac:dyDescent="0.15">
      <c r="A1614" s="50" t="s">
        <v>6630</v>
      </c>
      <c r="B1614" s="50" t="s">
        <v>6631</v>
      </c>
      <c r="C1614" s="50" t="s">
        <v>6632</v>
      </c>
      <c r="D1614" s="50" t="s">
        <v>6584</v>
      </c>
      <c r="E1614" s="50" t="s">
        <v>6633</v>
      </c>
    </row>
    <row r="1615" spans="1:5" s="51" customFormat="1" x14ac:dyDescent="0.15">
      <c r="A1615" s="50" t="s">
        <v>6634</v>
      </c>
      <c r="B1615" s="50" t="s">
        <v>6635</v>
      </c>
      <c r="C1615" s="50" t="s">
        <v>6636</v>
      </c>
      <c r="D1615" s="50" t="s">
        <v>6579</v>
      </c>
      <c r="E1615" s="50" t="s">
        <v>6637</v>
      </c>
    </row>
    <row r="1616" spans="1:5" s="51" customFormat="1" x14ac:dyDescent="0.15">
      <c r="A1616" s="50" t="s">
        <v>6638</v>
      </c>
      <c r="B1616" s="50" t="s">
        <v>6639</v>
      </c>
      <c r="C1616" s="50" t="s">
        <v>6640</v>
      </c>
      <c r="D1616" s="50" t="s">
        <v>6584</v>
      </c>
      <c r="E1616" s="50" t="s">
        <v>6641</v>
      </c>
    </row>
    <row r="1617" spans="1:5" s="51" customFormat="1" x14ac:dyDescent="0.15">
      <c r="A1617" s="50" t="s">
        <v>6642</v>
      </c>
      <c r="B1617" s="50" t="s">
        <v>6643</v>
      </c>
      <c r="C1617" s="50" t="s">
        <v>6644</v>
      </c>
      <c r="D1617" s="50" t="s">
        <v>6584</v>
      </c>
      <c r="E1617" s="50" t="s">
        <v>6645</v>
      </c>
    </row>
    <row r="1618" spans="1:5" s="51" customFormat="1" x14ac:dyDescent="0.15">
      <c r="A1618" s="50" t="s">
        <v>6646</v>
      </c>
      <c r="B1618" s="50" t="s">
        <v>6647</v>
      </c>
      <c r="C1618" s="50" t="s">
        <v>6648</v>
      </c>
      <c r="D1618" s="50" t="s">
        <v>6584</v>
      </c>
      <c r="E1618" s="50" t="s">
        <v>6649</v>
      </c>
    </row>
    <row r="1619" spans="1:5" s="51" customFormat="1" x14ac:dyDescent="0.15">
      <c r="A1619" s="50" t="s">
        <v>6650</v>
      </c>
      <c r="B1619" s="50" t="s">
        <v>6651</v>
      </c>
      <c r="C1619" s="50" t="s">
        <v>6652</v>
      </c>
      <c r="D1619" s="50" t="s">
        <v>6653</v>
      </c>
      <c r="E1619" s="50" t="s">
        <v>6654</v>
      </c>
    </row>
    <row r="1620" spans="1:5" s="51" customFormat="1" x14ac:dyDescent="0.15">
      <c r="A1620" s="50" t="s">
        <v>6655</v>
      </c>
      <c r="B1620" s="50" t="s">
        <v>6656</v>
      </c>
      <c r="C1620" s="50" t="s">
        <v>6657</v>
      </c>
      <c r="D1620" s="50" t="s">
        <v>6658</v>
      </c>
      <c r="E1620" s="50" t="s">
        <v>6659</v>
      </c>
    </row>
    <row r="1621" spans="1:5" s="51" customFormat="1" x14ac:dyDescent="0.15">
      <c r="A1621" s="50" t="s">
        <v>6660</v>
      </c>
      <c r="B1621" s="50" t="s">
        <v>6661</v>
      </c>
      <c r="C1621" s="50" t="s">
        <v>6662</v>
      </c>
      <c r="D1621" s="50" t="s">
        <v>6663</v>
      </c>
      <c r="E1621" s="50" t="s">
        <v>6664</v>
      </c>
    </row>
    <row r="1622" spans="1:5" s="51" customFormat="1" x14ac:dyDescent="0.15">
      <c r="A1622" s="50" t="s">
        <v>6665</v>
      </c>
      <c r="B1622" s="50" t="s">
        <v>6666</v>
      </c>
      <c r="C1622" s="50" t="s">
        <v>6667</v>
      </c>
      <c r="D1622" s="50" t="s">
        <v>6668</v>
      </c>
      <c r="E1622" s="50" t="s">
        <v>6669</v>
      </c>
    </row>
    <row r="1623" spans="1:5" s="51" customFormat="1" x14ac:dyDescent="0.15">
      <c r="A1623" s="50" t="s">
        <v>6670</v>
      </c>
      <c r="B1623" s="50" t="s">
        <v>6671</v>
      </c>
      <c r="C1623" s="50" t="s">
        <v>6672</v>
      </c>
      <c r="D1623" s="50" t="s">
        <v>6673</v>
      </c>
      <c r="E1623" s="50" t="s">
        <v>6674</v>
      </c>
    </row>
    <row r="1624" spans="1:5" s="51" customFormat="1" x14ac:dyDescent="0.15">
      <c r="A1624" s="50" t="s">
        <v>6675</v>
      </c>
      <c r="B1624" s="50" t="s">
        <v>6676</v>
      </c>
      <c r="C1624" s="50" t="s">
        <v>6677</v>
      </c>
      <c r="D1624" s="50" t="s">
        <v>6678</v>
      </c>
      <c r="E1624" s="50" t="s">
        <v>6679</v>
      </c>
    </row>
    <row r="1625" spans="1:5" s="51" customFormat="1" x14ac:dyDescent="0.15">
      <c r="A1625" s="50" t="s">
        <v>6680</v>
      </c>
      <c r="B1625" s="50" t="s">
        <v>6681</v>
      </c>
      <c r="C1625" s="50" t="s">
        <v>6682</v>
      </c>
      <c r="D1625" s="50" t="s">
        <v>6683</v>
      </c>
      <c r="E1625" s="50" t="s">
        <v>6684</v>
      </c>
    </row>
    <row r="1626" spans="1:5" s="51" customFormat="1" x14ac:dyDescent="0.15">
      <c r="A1626" s="50" t="s">
        <v>6685</v>
      </c>
      <c r="B1626" s="50" t="s">
        <v>6686</v>
      </c>
      <c r="C1626" s="50" t="s">
        <v>6687</v>
      </c>
      <c r="D1626" s="50" t="s">
        <v>6653</v>
      </c>
      <c r="E1626" s="50" t="s">
        <v>6688</v>
      </c>
    </row>
    <row r="1627" spans="1:5" s="51" customFormat="1" x14ac:dyDescent="0.15">
      <c r="A1627" s="50" t="s">
        <v>6689</v>
      </c>
      <c r="B1627" s="50" t="s">
        <v>6690</v>
      </c>
      <c r="C1627" s="50" t="s">
        <v>6691</v>
      </c>
      <c r="D1627" s="50" t="s">
        <v>6692</v>
      </c>
      <c r="E1627" s="50" t="s">
        <v>6693</v>
      </c>
    </row>
    <row r="1628" spans="1:5" s="51" customFormat="1" x14ac:dyDescent="0.15">
      <c r="A1628" s="50" t="s">
        <v>6694</v>
      </c>
      <c r="B1628" s="50" t="s">
        <v>6695</v>
      </c>
      <c r="C1628" s="50" t="s">
        <v>6696</v>
      </c>
      <c r="D1628" s="50" t="s">
        <v>6668</v>
      </c>
      <c r="E1628" s="50" t="s">
        <v>6697</v>
      </c>
    </row>
    <row r="1629" spans="1:5" s="51" customFormat="1" x14ac:dyDescent="0.15">
      <c r="A1629" s="50" t="s">
        <v>6698</v>
      </c>
      <c r="B1629" s="50" t="s">
        <v>6699</v>
      </c>
      <c r="C1629" s="50" t="s">
        <v>6700</v>
      </c>
      <c r="D1629" s="50" t="s">
        <v>6653</v>
      </c>
      <c r="E1629" s="50" t="s">
        <v>6701</v>
      </c>
    </row>
    <row r="1630" spans="1:5" s="51" customFormat="1" x14ac:dyDescent="0.15">
      <c r="A1630" s="50" t="s">
        <v>6702</v>
      </c>
      <c r="B1630" s="50" t="s">
        <v>6703</v>
      </c>
      <c r="C1630" s="50" t="s">
        <v>6704</v>
      </c>
      <c r="D1630" s="50" t="s">
        <v>6673</v>
      </c>
      <c r="E1630" s="50" t="s">
        <v>6705</v>
      </c>
    </row>
    <row r="1631" spans="1:5" s="51" customFormat="1" x14ac:dyDescent="0.15">
      <c r="A1631" s="50" t="s">
        <v>6706</v>
      </c>
      <c r="B1631" s="50" t="s">
        <v>6707</v>
      </c>
      <c r="C1631" s="50" t="s">
        <v>6708</v>
      </c>
      <c r="D1631" s="50" t="s">
        <v>6709</v>
      </c>
      <c r="E1631" s="50" t="s">
        <v>6710</v>
      </c>
    </row>
    <row r="1632" spans="1:5" s="51" customFormat="1" x14ac:dyDescent="0.15">
      <c r="A1632" s="50" t="s">
        <v>6711</v>
      </c>
      <c r="B1632" s="50" t="s">
        <v>6712</v>
      </c>
      <c r="C1632" s="50" t="s">
        <v>6713</v>
      </c>
      <c r="D1632" s="50" t="s">
        <v>6653</v>
      </c>
      <c r="E1632" s="50" t="s">
        <v>6714</v>
      </c>
    </row>
    <row r="1633" spans="1:5" s="51" customFormat="1" x14ac:dyDescent="0.15">
      <c r="A1633" s="50" t="s">
        <v>6715</v>
      </c>
      <c r="B1633" s="50" t="s">
        <v>6716</v>
      </c>
      <c r="C1633" s="50" t="s">
        <v>6717</v>
      </c>
      <c r="D1633" s="50" t="s">
        <v>6653</v>
      </c>
      <c r="E1633" s="50" t="s">
        <v>6718</v>
      </c>
    </row>
    <row r="1634" spans="1:5" s="51" customFormat="1" x14ac:dyDescent="0.15">
      <c r="A1634" s="50" t="s">
        <v>6719</v>
      </c>
      <c r="B1634" s="50" t="s">
        <v>6720</v>
      </c>
      <c r="C1634" s="50" t="s">
        <v>6721</v>
      </c>
      <c r="D1634" s="50" t="s">
        <v>6722</v>
      </c>
      <c r="E1634" s="50" t="s">
        <v>6723</v>
      </c>
    </row>
    <row r="1635" spans="1:5" s="51" customFormat="1" x14ac:dyDescent="0.15">
      <c r="A1635" s="50" t="s">
        <v>6724</v>
      </c>
      <c r="B1635" s="50" t="s">
        <v>6725</v>
      </c>
      <c r="C1635" s="50" t="s">
        <v>6726</v>
      </c>
      <c r="D1635" s="50" t="s">
        <v>6668</v>
      </c>
      <c r="E1635" s="50" t="s">
        <v>6727</v>
      </c>
    </row>
    <row r="1636" spans="1:5" s="51" customFormat="1" x14ac:dyDescent="0.15">
      <c r="A1636" s="50" t="s">
        <v>6728</v>
      </c>
      <c r="B1636" s="50" t="s">
        <v>6729</v>
      </c>
      <c r="C1636" s="50" t="s">
        <v>6730</v>
      </c>
      <c r="D1636" s="50" t="s">
        <v>6663</v>
      </c>
      <c r="E1636" s="50" t="s">
        <v>6731</v>
      </c>
    </row>
    <row r="1637" spans="1:5" s="51" customFormat="1" x14ac:dyDescent="0.15">
      <c r="A1637" s="50" t="s">
        <v>6732</v>
      </c>
      <c r="B1637" s="50" t="s">
        <v>6733</v>
      </c>
      <c r="C1637" s="50" t="s">
        <v>6734</v>
      </c>
      <c r="D1637" s="50" t="s">
        <v>6663</v>
      </c>
      <c r="E1637" s="50" t="s">
        <v>6735</v>
      </c>
    </row>
    <row r="1638" spans="1:5" s="51" customFormat="1" x14ac:dyDescent="0.15">
      <c r="A1638" s="50" t="s">
        <v>6736</v>
      </c>
      <c r="B1638" s="50" t="s">
        <v>6737</v>
      </c>
      <c r="C1638" s="50" t="s">
        <v>6738</v>
      </c>
      <c r="D1638" s="50" t="s">
        <v>6663</v>
      </c>
      <c r="E1638" s="50" t="s">
        <v>6739</v>
      </c>
    </row>
    <row r="1639" spans="1:5" s="51" customFormat="1" x14ac:dyDescent="0.15">
      <c r="A1639" s="50" t="s">
        <v>6740</v>
      </c>
      <c r="B1639" s="50" t="s">
        <v>6741</v>
      </c>
      <c r="C1639" s="50" t="s">
        <v>6742</v>
      </c>
      <c r="D1639" s="50" t="s">
        <v>6480</v>
      </c>
      <c r="E1639" s="50" t="s">
        <v>6743</v>
      </c>
    </row>
    <row r="1640" spans="1:5" s="51" customFormat="1" x14ac:dyDescent="0.15">
      <c r="A1640" s="50" t="s">
        <v>6744</v>
      </c>
      <c r="B1640" s="50" t="s">
        <v>6745</v>
      </c>
      <c r="C1640" s="50" t="s">
        <v>6746</v>
      </c>
      <c r="D1640" s="50" t="s">
        <v>6747</v>
      </c>
      <c r="E1640" s="50" t="s">
        <v>6748</v>
      </c>
    </row>
    <row r="1641" spans="1:5" s="51" customFormat="1" x14ac:dyDescent="0.15">
      <c r="A1641" s="50" t="s">
        <v>6749</v>
      </c>
      <c r="B1641" s="50" t="s">
        <v>6750</v>
      </c>
      <c r="C1641" s="50" t="s">
        <v>6751</v>
      </c>
      <c r="D1641" s="50" t="s">
        <v>6747</v>
      </c>
      <c r="E1641" s="50" t="s">
        <v>6752</v>
      </c>
    </row>
    <row r="1642" spans="1:5" s="51" customFormat="1" x14ac:dyDescent="0.15">
      <c r="A1642" s="50" t="s">
        <v>6753</v>
      </c>
      <c r="B1642" s="50" t="s">
        <v>6754</v>
      </c>
      <c r="C1642" s="50" t="s">
        <v>6755</v>
      </c>
      <c r="D1642" s="50" t="s">
        <v>6480</v>
      </c>
      <c r="E1642" s="50" t="s">
        <v>6756</v>
      </c>
    </row>
    <row r="1643" spans="1:5" s="51" customFormat="1" x14ac:dyDescent="0.15">
      <c r="A1643" s="50" t="s">
        <v>6757</v>
      </c>
      <c r="B1643" s="50" t="s">
        <v>6758</v>
      </c>
      <c r="C1643" s="50" t="s">
        <v>6759</v>
      </c>
      <c r="D1643" s="50" t="s">
        <v>6480</v>
      </c>
      <c r="E1643" s="50" t="s">
        <v>6760</v>
      </c>
    </row>
    <row r="1644" spans="1:5" s="51" customFormat="1" x14ac:dyDescent="0.15">
      <c r="A1644" s="50" t="s">
        <v>6761</v>
      </c>
      <c r="B1644" s="50" t="s">
        <v>6762</v>
      </c>
      <c r="C1644" s="50" t="s">
        <v>6763</v>
      </c>
      <c r="D1644" s="50" t="s">
        <v>6764</v>
      </c>
      <c r="E1644" s="50" t="s">
        <v>6765</v>
      </c>
    </row>
    <row r="1645" spans="1:5" s="51" customFormat="1" x14ac:dyDescent="0.15">
      <c r="A1645" s="50" t="s">
        <v>6766</v>
      </c>
      <c r="B1645" s="50" t="s">
        <v>6767</v>
      </c>
      <c r="C1645" s="50" t="s">
        <v>6768</v>
      </c>
      <c r="D1645" s="50" t="s">
        <v>6769</v>
      </c>
      <c r="E1645" s="50" t="s">
        <v>6770</v>
      </c>
    </row>
    <row r="1646" spans="1:5" s="51" customFormat="1" x14ac:dyDescent="0.15">
      <c r="A1646" s="50" t="s">
        <v>6771</v>
      </c>
      <c r="B1646" s="50" t="s">
        <v>6772</v>
      </c>
      <c r="C1646" s="50" t="s">
        <v>6773</v>
      </c>
      <c r="D1646" s="50" t="s">
        <v>6769</v>
      </c>
      <c r="E1646" s="50" t="s">
        <v>6774</v>
      </c>
    </row>
    <row r="1647" spans="1:5" s="51" customFormat="1" x14ac:dyDescent="0.15">
      <c r="A1647" s="50" t="s">
        <v>6775</v>
      </c>
      <c r="B1647" s="50" t="s">
        <v>6776</v>
      </c>
      <c r="C1647" s="50" t="s">
        <v>6777</v>
      </c>
      <c r="D1647" s="50" t="s">
        <v>6769</v>
      </c>
      <c r="E1647" s="50" t="s">
        <v>6778</v>
      </c>
    </row>
    <row r="1648" spans="1:5" s="51" customFormat="1" x14ac:dyDescent="0.15">
      <c r="A1648" s="50" t="s">
        <v>6779</v>
      </c>
      <c r="B1648" s="50" t="s">
        <v>6780</v>
      </c>
      <c r="C1648" s="50" t="s">
        <v>4638</v>
      </c>
      <c r="D1648" s="50" t="s">
        <v>6747</v>
      </c>
      <c r="E1648" s="50" t="s">
        <v>6781</v>
      </c>
    </row>
    <row r="1649" spans="1:5" s="51" customFormat="1" x14ac:dyDescent="0.15">
      <c r="A1649" s="50" t="s">
        <v>6782</v>
      </c>
      <c r="B1649" s="50" t="s">
        <v>6783</v>
      </c>
      <c r="C1649" s="50" t="s">
        <v>6784</v>
      </c>
      <c r="D1649" s="50" t="s">
        <v>6747</v>
      </c>
      <c r="E1649" s="50" t="s">
        <v>6785</v>
      </c>
    </row>
    <row r="1650" spans="1:5" s="51" customFormat="1" x14ac:dyDescent="0.15">
      <c r="A1650" s="50" t="s">
        <v>6786</v>
      </c>
      <c r="B1650" s="50" t="s">
        <v>6787</v>
      </c>
      <c r="C1650" s="50" t="s">
        <v>6788</v>
      </c>
      <c r="D1650" s="50" t="s">
        <v>6747</v>
      </c>
      <c r="E1650" s="50" t="s">
        <v>6789</v>
      </c>
    </row>
    <row r="1651" spans="1:5" s="51" customFormat="1" x14ac:dyDescent="0.15">
      <c r="A1651" s="50" t="s">
        <v>6790</v>
      </c>
      <c r="B1651" s="50" t="s">
        <v>6791</v>
      </c>
      <c r="C1651" s="50" t="s">
        <v>6792</v>
      </c>
      <c r="D1651" s="50" t="s">
        <v>6747</v>
      </c>
      <c r="E1651" s="50" t="s">
        <v>6793</v>
      </c>
    </row>
    <row r="1652" spans="1:5" s="51" customFormat="1" x14ac:dyDescent="0.15">
      <c r="A1652" s="50" t="s">
        <v>6794</v>
      </c>
      <c r="B1652" s="50" t="s">
        <v>6795</v>
      </c>
      <c r="C1652" s="50" t="s">
        <v>6796</v>
      </c>
      <c r="D1652" s="50" t="s">
        <v>6747</v>
      </c>
      <c r="E1652" s="50" t="s">
        <v>6793</v>
      </c>
    </row>
    <row r="1653" spans="1:5" s="51" customFormat="1" x14ac:dyDescent="0.15">
      <c r="A1653" s="50" t="s">
        <v>6797</v>
      </c>
      <c r="B1653" s="50" t="s">
        <v>6798</v>
      </c>
      <c r="C1653" s="50" t="s">
        <v>6799</v>
      </c>
      <c r="D1653" s="50" t="s">
        <v>6747</v>
      </c>
      <c r="E1653" s="50" t="s">
        <v>6793</v>
      </c>
    </row>
    <row r="1654" spans="1:5" s="51" customFormat="1" x14ac:dyDescent="0.15">
      <c r="A1654" s="50" t="s">
        <v>6800</v>
      </c>
      <c r="B1654" s="50" t="s">
        <v>6801</v>
      </c>
      <c r="C1654" s="50" t="s">
        <v>6802</v>
      </c>
      <c r="D1654" s="50" t="s">
        <v>6747</v>
      </c>
      <c r="E1654" s="50" t="s">
        <v>6793</v>
      </c>
    </row>
    <row r="1655" spans="1:5" s="51" customFormat="1" x14ac:dyDescent="0.15">
      <c r="A1655" s="50" t="s">
        <v>6803</v>
      </c>
      <c r="B1655" s="50" t="s">
        <v>6804</v>
      </c>
      <c r="C1655" s="50" t="s">
        <v>6805</v>
      </c>
      <c r="D1655" s="50" t="s">
        <v>6747</v>
      </c>
      <c r="E1655" s="50" t="s">
        <v>6806</v>
      </c>
    </row>
    <row r="1656" spans="1:5" s="51" customFormat="1" x14ac:dyDescent="0.15">
      <c r="A1656" s="50" t="s">
        <v>6807</v>
      </c>
      <c r="B1656" s="50" t="s">
        <v>6808</v>
      </c>
      <c r="C1656" s="50" t="s">
        <v>6809</v>
      </c>
      <c r="D1656" s="50" t="s">
        <v>6747</v>
      </c>
      <c r="E1656" s="50" t="s">
        <v>6810</v>
      </c>
    </row>
    <row r="1657" spans="1:5" s="51" customFormat="1" x14ac:dyDescent="0.15">
      <c r="A1657" s="50" t="s">
        <v>6811</v>
      </c>
      <c r="B1657" s="50" t="s">
        <v>6812</v>
      </c>
      <c r="C1657" s="50" t="s">
        <v>6813</v>
      </c>
      <c r="D1657" s="50" t="s">
        <v>6747</v>
      </c>
      <c r="E1657" s="50" t="s">
        <v>6814</v>
      </c>
    </row>
    <row r="1658" spans="1:5" s="51" customFormat="1" x14ac:dyDescent="0.15">
      <c r="A1658" s="50" t="s">
        <v>6815</v>
      </c>
      <c r="B1658" s="50" t="s">
        <v>6816</v>
      </c>
      <c r="C1658" s="50" t="s">
        <v>6817</v>
      </c>
      <c r="D1658" s="50" t="s">
        <v>6747</v>
      </c>
      <c r="E1658" s="50" t="s">
        <v>6818</v>
      </c>
    </row>
    <row r="1659" spans="1:5" s="51" customFormat="1" x14ac:dyDescent="0.15">
      <c r="A1659" s="50" t="s">
        <v>6819</v>
      </c>
      <c r="B1659" s="50" t="s">
        <v>6820</v>
      </c>
      <c r="C1659" s="50" t="s">
        <v>6821</v>
      </c>
      <c r="D1659" s="50" t="s">
        <v>6747</v>
      </c>
      <c r="E1659" s="50" t="s">
        <v>6822</v>
      </c>
    </row>
    <row r="1660" spans="1:5" s="51" customFormat="1" x14ac:dyDescent="0.15">
      <c r="A1660" s="50" t="s">
        <v>6823</v>
      </c>
      <c r="B1660" s="50" t="s">
        <v>6824</v>
      </c>
      <c r="C1660" s="50" t="s">
        <v>6825</v>
      </c>
      <c r="D1660" s="50" t="s">
        <v>6747</v>
      </c>
      <c r="E1660" s="50" t="s">
        <v>6826</v>
      </c>
    </row>
    <row r="1661" spans="1:5" s="51" customFormat="1" x14ac:dyDescent="0.15">
      <c r="A1661" s="50" t="s">
        <v>6827</v>
      </c>
      <c r="B1661" s="50" t="s">
        <v>6828</v>
      </c>
      <c r="C1661" s="50" t="s">
        <v>6829</v>
      </c>
      <c r="D1661" s="50" t="s">
        <v>6480</v>
      </c>
      <c r="E1661" s="50" t="s">
        <v>6830</v>
      </c>
    </row>
    <row r="1662" spans="1:5" s="51" customFormat="1" x14ac:dyDescent="0.15">
      <c r="A1662" s="50" t="s">
        <v>6831</v>
      </c>
      <c r="B1662" s="50" t="s">
        <v>6832</v>
      </c>
      <c r="C1662" s="50" t="s">
        <v>6833</v>
      </c>
      <c r="D1662" s="50" t="s">
        <v>6834</v>
      </c>
      <c r="E1662" s="50" t="s">
        <v>6835</v>
      </c>
    </row>
    <row r="1663" spans="1:5" s="51" customFormat="1" x14ac:dyDescent="0.15">
      <c r="A1663" s="50" t="s">
        <v>6836</v>
      </c>
      <c r="B1663" s="50" t="s">
        <v>6837</v>
      </c>
      <c r="C1663" s="50" t="s">
        <v>6838</v>
      </c>
      <c r="D1663" s="50" t="s">
        <v>6834</v>
      </c>
      <c r="E1663" s="50" t="s">
        <v>6839</v>
      </c>
    </row>
    <row r="1664" spans="1:5" s="51" customFormat="1" x14ac:dyDescent="0.15">
      <c r="A1664" s="50" t="s">
        <v>6840</v>
      </c>
      <c r="B1664" s="50" t="s">
        <v>6841</v>
      </c>
      <c r="C1664" s="50" t="s">
        <v>6842</v>
      </c>
      <c r="D1664" s="50" t="s">
        <v>6834</v>
      </c>
      <c r="E1664" s="50" t="s">
        <v>6843</v>
      </c>
    </row>
    <row r="1665" spans="1:5" s="51" customFormat="1" x14ac:dyDescent="0.15">
      <c r="A1665" s="50" t="s">
        <v>6844</v>
      </c>
      <c r="B1665" s="50" t="s">
        <v>6845</v>
      </c>
      <c r="C1665" s="50" t="s">
        <v>6846</v>
      </c>
      <c r="D1665" s="50" t="s">
        <v>6834</v>
      </c>
      <c r="E1665" s="50" t="s">
        <v>6847</v>
      </c>
    </row>
    <row r="1666" spans="1:5" s="51" customFormat="1" x14ac:dyDescent="0.15">
      <c r="A1666" s="50" t="s">
        <v>6848</v>
      </c>
      <c r="B1666" s="50" t="s">
        <v>6849</v>
      </c>
      <c r="C1666" s="50" t="s">
        <v>6850</v>
      </c>
      <c r="D1666" s="50" t="s">
        <v>6834</v>
      </c>
      <c r="E1666" s="50" t="s">
        <v>6851</v>
      </c>
    </row>
    <row r="1667" spans="1:5" s="51" customFormat="1" x14ac:dyDescent="0.15">
      <c r="A1667" s="50" t="s">
        <v>6852</v>
      </c>
      <c r="B1667" s="50" t="s">
        <v>6853</v>
      </c>
      <c r="C1667" s="50" t="s">
        <v>6854</v>
      </c>
      <c r="D1667" s="50" t="s">
        <v>6834</v>
      </c>
      <c r="E1667" s="50" t="s">
        <v>6855</v>
      </c>
    </row>
    <row r="1668" spans="1:5" s="51" customFormat="1" x14ac:dyDescent="0.15">
      <c r="A1668" s="50" t="s">
        <v>6856</v>
      </c>
      <c r="B1668" s="50" t="s">
        <v>6857</v>
      </c>
      <c r="C1668" s="50" t="s">
        <v>6858</v>
      </c>
      <c r="D1668" s="50" t="s">
        <v>6834</v>
      </c>
      <c r="E1668" s="50" t="s">
        <v>6859</v>
      </c>
    </row>
    <row r="1669" spans="1:5" s="51" customFormat="1" x14ac:dyDescent="0.15">
      <c r="A1669" s="50" t="s">
        <v>6860</v>
      </c>
      <c r="B1669" s="50" t="s">
        <v>6861</v>
      </c>
      <c r="C1669" s="50" t="s">
        <v>6862</v>
      </c>
      <c r="D1669" s="50" t="s">
        <v>6769</v>
      </c>
      <c r="E1669" s="50" t="s">
        <v>6863</v>
      </c>
    </row>
    <row r="1670" spans="1:5" s="51" customFormat="1" x14ac:dyDescent="0.15">
      <c r="A1670" s="50" t="s">
        <v>6864</v>
      </c>
      <c r="B1670" s="50" t="s">
        <v>6865</v>
      </c>
      <c r="C1670" s="50" t="s">
        <v>6866</v>
      </c>
      <c r="D1670" s="50" t="s">
        <v>6769</v>
      </c>
      <c r="E1670" s="50" t="s">
        <v>6867</v>
      </c>
    </row>
    <row r="1671" spans="1:5" s="51" customFormat="1" x14ac:dyDescent="0.15">
      <c r="A1671" s="50" t="s">
        <v>6868</v>
      </c>
      <c r="B1671" s="50" t="s">
        <v>6869</v>
      </c>
      <c r="C1671" s="50" t="s">
        <v>6870</v>
      </c>
      <c r="D1671" s="50" t="s">
        <v>6769</v>
      </c>
      <c r="E1671" s="50" t="s">
        <v>6871</v>
      </c>
    </row>
    <row r="1672" spans="1:5" s="51" customFormat="1" x14ac:dyDescent="0.15">
      <c r="A1672" s="50" t="s">
        <v>6872</v>
      </c>
      <c r="B1672" s="50" t="s">
        <v>6873</v>
      </c>
      <c r="C1672" s="50" t="s">
        <v>6874</v>
      </c>
      <c r="D1672" s="50" t="s">
        <v>6769</v>
      </c>
      <c r="E1672" s="50" t="s">
        <v>6875</v>
      </c>
    </row>
    <row r="1673" spans="1:5" s="51" customFormat="1" x14ac:dyDescent="0.15">
      <c r="A1673" s="50" t="s">
        <v>6876</v>
      </c>
      <c r="B1673" s="50" t="s">
        <v>6877</v>
      </c>
      <c r="C1673" s="50" t="s">
        <v>6878</v>
      </c>
    </row>
    <row r="1674" spans="1:5" s="51" customFormat="1" x14ac:dyDescent="0.15">
      <c r="A1674" s="50" t="s">
        <v>6879</v>
      </c>
      <c r="B1674" s="50" t="s">
        <v>6880</v>
      </c>
      <c r="C1674" s="50" t="s">
        <v>6881</v>
      </c>
      <c r="D1674" s="50" t="s">
        <v>6882</v>
      </c>
      <c r="E1674" s="50" t="s">
        <v>6883</v>
      </c>
    </row>
    <row r="1675" spans="1:5" s="51" customFormat="1" x14ac:dyDescent="0.15">
      <c r="A1675" s="50" t="s">
        <v>6884</v>
      </c>
      <c r="B1675" s="50" t="s">
        <v>6885</v>
      </c>
      <c r="C1675" s="50" t="s">
        <v>6886</v>
      </c>
      <c r="D1675" s="50" t="s">
        <v>6882</v>
      </c>
      <c r="E1675" s="50" t="s">
        <v>6887</v>
      </c>
    </row>
    <row r="1676" spans="1:5" s="51" customFormat="1" x14ac:dyDescent="0.15">
      <c r="A1676" s="50" t="s">
        <v>6888</v>
      </c>
      <c r="B1676" s="50" t="s">
        <v>6889</v>
      </c>
      <c r="C1676" s="50" t="s">
        <v>6890</v>
      </c>
      <c r="D1676" s="50" t="s">
        <v>6882</v>
      </c>
      <c r="E1676" s="50" t="s">
        <v>6891</v>
      </c>
    </row>
    <row r="1677" spans="1:5" s="51" customFormat="1" x14ac:dyDescent="0.15">
      <c r="A1677" s="50" t="s">
        <v>6892</v>
      </c>
      <c r="B1677" s="50" t="s">
        <v>6893</v>
      </c>
      <c r="C1677" s="50" t="s">
        <v>6894</v>
      </c>
      <c r="D1677" s="50" t="s">
        <v>6882</v>
      </c>
      <c r="E1677" s="50" t="s">
        <v>6895</v>
      </c>
    </row>
    <row r="1678" spans="1:5" s="51" customFormat="1" x14ac:dyDescent="0.15">
      <c r="A1678" s="50" t="s">
        <v>6896</v>
      </c>
      <c r="B1678" s="50" t="s">
        <v>6897</v>
      </c>
      <c r="C1678" s="50" t="s">
        <v>6898</v>
      </c>
      <c r="D1678" s="50" t="s">
        <v>6882</v>
      </c>
      <c r="E1678" s="50" t="s">
        <v>6899</v>
      </c>
    </row>
    <row r="1679" spans="1:5" s="51" customFormat="1" x14ac:dyDescent="0.15">
      <c r="A1679" s="50" t="s">
        <v>6900</v>
      </c>
      <c r="B1679" s="50" t="s">
        <v>6901</v>
      </c>
      <c r="C1679" s="50" t="s">
        <v>6902</v>
      </c>
      <c r="D1679" s="50" t="s">
        <v>6882</v>
      </c>
      <c r="E1679" s="50" t="s">
        <v>6903</v>
      </c>
    </row>
    <row r="1680" spans="1:5" s="51" customFormat="1" x14ac:dyDescent="0.15">
      <c r="A1680" s="50" t="s">
        <v>6904</v>
      </c>
      <c r="B1680" s="50" t="s">
        <v>6905</v>
      </c>
      <c r="C1680" s="50" t="s">
        <v>6906</v>
      </c>
      <c r="D1680" s="50" t="s">
        <v>6882</v>
      </c>
      <c r="E1680" s="50" t="s">
        <v>6907</v>
      </c>
    </row>
    <row r="1681" spans="1:5" s="51" customFormat="1" x14ac:dyDescent="0.15">
      <c r="A1681" s="50" t="s">
        <v>6908</v>
      </c>
      <c r="B1681" s="50" t="s">
        <v>6909</v>
      </c>
      <c r="C1681" s="50" t="s">
        <v>6910</v>
      </c>
    </row>
    <row r="1682" spans="1:5" s="51" customFormat="1" x14ac:dyDescent="0.15">
      <c r="A1682" s="50" t="s">
        <v>6911</v>
      </c>
      <c r="B1682" s="50" t="s">
        <v>6912</v>
      </c>
      <c r="C1682" s="50" t="s">
        <v>6913</v>
      </c>
      <c r="D1682" s="50" t="s">
        <v>6914</v>
      </c>
      <c r="E1682" s="50" t="s">
        <v>6915</v>
      </c>
    </row>
    <row r="1683" spans="1:5" s="51" customFormat="1" x14ac:dyDescent="0.15">
      <c r="A1683" s="50" t="s">
        <v>6916</v>
      </c>
      <c r="B1683" s="50" t="s">
        <v>6917</v>
      </c>
      <c r="C1683" s="50" t="s">
        <v>6918</v>
      </c>
      <c r="D1683" s="50" t="s">
        <v>6914</v>
      </c>
      <c r="E1683" s="50" t="s">
        <v>6919</v>
      </c>
    </row>
    <row r="1684" spans="1:5" s="51" customFormat="1" x14ac:dyDescent="0.15">
      <c r="A1684" s="50" t="s">
        <v>6920</v>
      </c>
      <c r="B1684" s="50" t="s">
        <v>6921</v>
      </c>
      <c r="C1684" s="50" t="s">
        <v>6922</v>
      </c>
      <c r="D1684" s="50" t="s">
        <v>6914</v>
      </c>
      <c r="E1684" s="50" t="s">
        <v>6923</v>
      </c>
    </row>
    <row r="1685" spans="1:5" s="51" customFormat="1" x14ac:dyDescent="0.15">
      <c r="A1685" s="50" t="s">
        <v>6924</v>
      </c>
      <c r="B1685" s="50" t="s">
        <v>6925</v>
      </c>
      <c r="C1685" s="50" t="s">
        <v>6926</v>
      </c>
      <c r="D1685" s="50" t="s">
        <v>6914</v>
      </c>
      <c r="E1685" s="50" t="s">
        <v>6927</v>
      </c>
    </row>
    <row r="1686" spans="1:5" s="51" customFormat="1" x14ac:dyDescent="0.15">
      <c r="A1686" s="50" t="s">
        <v>6928</v>
      </c>
      <c r="B1686" s="50" t="s">
        <v>6929</v>
      </c>
      <c r="C1686" s="50" t="s">
        <v>6930</v>
      </c>
      <c r="D1686" s="50" t="s">
        <v>6914</v>
      </c>
      <c r="E1686" s="50" t="s">
        <v>6931</v>
      </c>
    </row>
    <row r="1687" spans="1:5" s="51" customFormat="1" x14ac:dyDescent="0.15">
      <c r="A1687" s="50" t="s">
        <v>6932</v>
      </c>
      <c r="B1687" s="50" t="s">
        <v>6933</v>
      </c>
      <c r="C1687" s="50" t="s">
        <v>6934</v>
      </c>
      <c r="D1687" s="50" t="s">
        <v>6914</v>
      </c>
      <c r="E1687" s="50" t="s">
        <v>6935</v>
      </c>
    </row>
    <row r="1688" spans="1:5" s="51" customFormat="1" x14ac:dyDescent="0.15">
      <c r="A1688" s="50" t="s">
        <v>6936</v>
      </c>
      <c r="B1688" s="50" t="s">
        <v>6937</v>
      </c>
      <c r="C1688" s="50" t="s">
        <v>6938</v>
      </c>
      <c r="D1688" s="50" t="s">
        <v>6914</v>
      </c>
      <c r="E1688" s="50" t="s">
        <v>6939</v>
      </c>
    </row>
    <row r="1689" spans="1:5" s="51" customFormat="1" x14ac:dyDescent="0.15">
      <c r="A1689" s="50" t="s">
        <v>6940</v>
      </c>
      <c r="B1689" s="50" t="s">
        <v>6941</v>
      </c>
      <c r="C1689" s="50" t="s">
        <v>6942</v>
      </c>
      <c r="D1689" s="50" t="s">
        <v>6943</v>
      </c>
      <c r="E1689" s="50" t="s">
        <v>6944</v>
      </c>
    </row>
    <row r="1690" spans="1:5" s="51" customFormat="1" x14ac:dyDescent="0.15">
      <c r="A1690" s="50" t="s">
        <v>6945</v>
      </c>
      <c r="B1690" s="50" t="s">
        <v>6946</v>
      </c>
      <c r="C1690" s="50" t="s">
        <v>6947</v>
      </c>
      <c r="D1690" s="50" t="s">
        <v>6948</v>
      </c>
      <c r="E1690" s="50" t="s">
        <v>6949</v>
      </c>
    </row>
    <row r="1691" spans="1:5" s="51" customFormat="1" x14ac:dyDescent="0.15">
      <c r="A1691" s="50" t="s">
        <v>6950</v>
      </c>
      <c r="B1691" s="50" t="s">
        <v>6951</v>
      </c>
      <c r="C1691" s="50" t="s">
        <v>6952</v>
      </c>
      <c r="D1691" s="50" t="s">
        <v>6953</v>
      </c>
      <c r="E1691" s="50" t="s">
        <v>6954</v>
      </c>
    </row>
    <row r="1692" spans="1:5" s="51" customFormat="1" x14ac:dyDescent="0.15">
      <c r="A1692" s="50" t="s">
        <v>6955</v>
      </c>
      <c r="B1692" s="50" t="s">
        <v>6956</v>
      </c>
      <c r="C1692" s="50" t="s">
        <v>6957</v>
      </c>
      <c r="D1692" s="50" t="s">
        <v>6958</v>
      </c>
      <c r="E1692" s="50" t="s">
        <v>6959</v>
      </c>
    </row>
    <row r="1693" spans="1:5" s="51" customFormat="1" x14ac:dyDescent="0.15">
      <c r="A1693" s="50" t="s">
        <v>6960</v>
      </c>
      <c r="B1693" s="50" t="s">
        <v>6961</v>
      </c>
      <c r="C1693" s="50" t="s">
        <v>6962</v>
      </c>
      <c r="D1693" s="50" t="s">
        <v>6963</v>
      </c>
      <c r="E1693" s="50" t="s">
        <v>6964</v>
      </c>
    </row>
    <row r="1694" spans="1:5" s="51" customFormat="1" x14ac:dyDescent="0.15">
      <c r="A1694" s="50" t="s">
        <v>6965</v>
      </c>
      <c r="B1694" s="50" t="s">
        <v>6966</v>
      </c>
      <c r="C1694" s="50" t="s">
        <v>6967</v>
      </c>
      <c r="D1694" s="50" t="s">
        <v>6943</v>
      </c>
      <c r="E1694" s="50" t="s">
        <v>6968</v>
      </c>
    </row>
    <row r="1695" spans="1:5" s="51" customFormat="1" x14ac:dyDescent="0.15">
      <c r="A1695" s="50" t="s">
        <v>6969</v>
      </c>
      <c r="B1695" s="50" t="s">
        <v>6970</v>
      </c>
      <c r="C1695" s="50" t="s">
        <v>6971</v>
      </c>
      <c r="D1695" s="50" t="s">
        <v>6972</v>
      </c>
      <c r="E1695" s="50" t="s">
        <v>6973</v>
      </c>
    </row>
    <row r="1696" spans="1:5" s="51" customFormat="1" x14ac:dyDescent="0.15">
      <c r="A1696" s="50" t="s">
        <v>6974</v>
      </c>
      <c r="B1696" s="50" t="s">
        <v>6975</v>
      </c>
      <c r="C1696" s="50" t="s">
        <v>6976</v>
      </c>
      <c r="D1696" s="50" t="s">
        <v>6977</v>
      </c>
      <c r="E1696" s="50" t="s">
        <v>6978</v>
      </c>
    </row>
    <row r="1697" spans="1:5" s="51" customFormat="1" x14ac:dyDescent="0.15">
      <c r="A1697" s="50" t="s">
        <v>6979</v>
      </c>
      <c r="B1697" s="50" t="s">
        <v>6980</v>
      </c>
      <c r="C1697" s="50" t="s">
        <v>6981</v>
      </c>
      <c r="D1697" s="50" t="s">
        <v>6943</v>
      </c>
      <c r="E1697" s="50" t="s">
        <v>6982</v>
      </c>
    </row>
    <row r="1698" spans="1:5" s="51" customFormat="1" x14ac:dyDescent="0.15">
      <c r="A1698" s="50" t="s">
        <v>6983</v>
      </c>
      <c r="B1698" s="50" t="s">
        <v>6984</v>
      </c>
      <c r="C1698" s="50" t="s">
        <v>6985</v>
      </c>
      <c r="D1698" s="50" t="s">
        <v>6986</v>
      </c>
      <c r="E1698" s="50" t="s">
        <v>6987</v>
      </c>
    </row>
    <row r="1699" spans="1:5" s="51" customFormat="1" x14ac:dyDescent="0.15">
      <c r="A1699" s="50" t="s">
        <v>6988</v>
      </c>
      <c r="B1699" s="50" t="s">
        <v>6989</v>
      </c>
      <c r="C1699" s="50" t="s">
        <v>6990</v>
      </c>
      <c r="D1699" s="50" t="s">
        <v>6991</v>
      </c>
      <c r="E1699" s="50" t="s">
        <v>6992</v>
      </c>
    </row>
    <row r="1700" spans="1:5" s="51" customFormat="1" x14ac:dyDescent="0.15">
      <c r="A1700" s="50" t="s">
        <v>6993</v>
      </c>
      <c r="B1700" s="50" t="s">
        <v>6994</v>
      </c>
      <c r="C1700" s="50" t="s">
        <v>6995</v>
      </c>
      <c r="D1700" s="50" t="s">
        <v>6882</v>
      </c>
      <c r="E1700" s="50" t="s">
        <v>6996</v>
      </c>
    </row>
    <row r="1701" spans="1:5" s="51" customFormat="1" x14ac:dyDescent="0.15">
      <c r="A1701" s="50" t="s">
        <v>6997</v>
      </c>
      <c r="B1701" s="50" t="s">
        <v>6998</v>
      </c>
      <c r="C1701" s="50" t="s">
        <v>6999</v>
      </c>
      <c r="D1701" s="50" t="s">
        <v>7000</v>
      </c>
      <c r="E1701" s="50" t="s">
        <v>7001</v>
      </c>
    </row>
    <row r="1702" spans="1:5" s="51" customFormat="1" x14ac:dyDescent="0.15">
      <c r="A1702" s="50" t="s">
        <v>7002</v>
      </c>
      <c r="B1702" s="50" t="s">
        <v>7003</v>
      </c>
      <c r="C1702" s="50" t="s">
        <v>7004</v>
      </c>
      <c r="D1702" s="50" t="s">
        <v>6914</v>
      </c>
      <c r="E1702" s="50" t="s">
        <v>7005</v>
      </c>
    </row>
    <row r="1703" spans="1:5" s="51" customFormat="1" x14ac:dyDescent="0.15">
      <c r="A1703" s="50" t="s">
        <v>7006</v>
      </c>
      <c r="B1703" s="50" t="s">
        <v>7007</v>
      </c>
      <c r="C1703" s="50" t="s">
        <v>7008</v>
      </c>
      <c r="D1703" s="50" t="s">
        <v>6914</v>
      </c>
      <c r="E1703" s="50" t="s">
        <v>7009</v>
      </c>
    </row>
    <row r="1704" spans="1:5" s="51" customFormat="1" x14ac:dyDescent="0.15">
      <c r="A1704" s="50" t="s">
        <v>7010</v>
      </c>
      <c r="B1704" s="50" t="s">
        <v>7011</v>
      </c>
      <c r="C1704" s="50" t="s">
        <v>7012</v>
      </c>
      <c r="D1704" s="50" t="s">
        <v>6914</v>
      </c>
      <c r="E1704" s="50" t="s">
        <v>7009</v>
      </c>
    </row>
    <row r="1705" spans="1:5" s="51" customFormat="1" x14ac:dyDescent="0.15">
      <c r="A1705" s="50" t="s">
        <v>7013</v>
      </c>
      <c r="B1705" s="50" t="s">
        <v>7014</v>
      </c>
      <c r="C1705" s="50" t="s">
        <v>7015</v>
      </c>
      <c r="D1705" s="50" t="s">
        <v>7016</v>
      </c>
      <c r="E1705" s="50" t="s">
        <v>7017</v>
      </c>
    </row>
    <row r="1706" spans="1:5" s="51" customFormat="1" x14ac:dyDescent="0.15">
      <c r="A1706" s="50" t="s">
        <v>7018</v>
      </c>
      <c r="B1706" s="50" t="s">
        <v>7019</v>
      </c>
      <c r="C1706" s="50" t="s">
        <v>7020</v>
      </c>
      <c r="D1706" s="50" t="s">
        <v>6914</v>
      </c>
      <c r="E1706" s="50" t="s">
        <v>7021</v>
      </c>
    </row>
    <row r="1707" spans="1:5" s="51" customFormat="1" x14ac:dyDescent="0.15">
      <c r="A1707" s="50" t="s">
        <v>7022</v>
      </c>
      <c r="B1707" s="50" t="s">
        <v>7023</v>
      </c>
      <c r="C1707" s="50" t="s">
        <v>1804</v>
      </c>
      <c r="D1707" s="50" t="s">
        <v>6914</v>
      </c>
      <c r="E1707" s="50" t="s">
        <v>7024</v>
      </c>
    </row>
    <row r="1708" spans="1:5" s="51" customFormat="1" x14ac:dyDescent="0.15">
      <c r="A1708" s="50" t="s">
        <v>7025</v>
      </c>
      <c r="B1708" s="50" t="s">
        <v>7026</v>
      </c>
      <c r="C1708" s="50" t="s">
        <v>7027</v>
      </c>
      <c r="D1708" s="50" t="s">
        <v>7016</v>
      </c>
      <c r="E1708" s="50" t="s">
        <v>7028</v>
      </c>
    </row>
    <row r="1709" spans="1:5" s="51" customFormat="1" x14ac:dyDescent="0.15">
      <c r="A1709" s="50" t="s">
        <v>7029</v>
      </c>
      <c r="B1709" s="50" t="s">
        <v>7030</v>
      </c>
      <c r="C1709" s="50" t="s">
        <v>7031</v>
      </c>
      <c r="D1709" s="50" t="s">
        <v>6972</v>
      </c>
      <c r="E1709" s="50" t="s">
        <v>7032</v>
      </c>
    </row>
    <row r="1710" spans="1:5" s="51" customFormat="1" x14ac:dyDescent="0.15">
      <c r="A1710" s="50" t="s">
        <v>7033</v>
      </c>
      <c r="B1710" s="50" t="s">
        <v>7034</v>
      </c>
      <c r="C1710" s="50" t="s">
        <v>7035</v>
      </c>
      <c r="D1710" s="50" t="s">
        <v>6953</v>
      </c>
      <c r="E1710" s="50" t="s">
        <v>7036</v>
      </c>
    </row>
    <row r="1711" spans="1:5" s="51" customFormat="1" x14ac:dyDescent="0.15">
      <c r="A1711" s="50" t="s">
        <v>7037</v>
      </c>
      <c r="B1711" s="50" t="s">
        <v>7038</v>
      </c>
      <c r="C1711" s="50" t="s">
        <v>7039</v>
      </c>
      <c r="D1711" s="50" t="s">
        <v>7040</v>
      </c>
      <c r="E1711" s="50" t="s">
        <v>7041</v>
      </c>
    </row>
    <row r="1712" spans="1:5" s="51" customFormat="1" x14ac:dyDescent="0.15">
      <c r="A1712" s="50" t="s">
        <v>7042</v>
      </c>
      <c r="B1712" s="50" t="s">
        <v>7043</v>
      </c>
      <c r="C1712" s="50" t="s">
        <v>7044</v>
      </c>
      <c r="D1712" s="50" t="s">
        <v>7045</v>
      </c>
      <c r="E1712" s="50" t="s">
        <v>7046</v>
      </c>
    </row>
    <row r="1713" spans="1:5" s="51" customFormat="1" x14ac:dyDescent="0.15">
      <c r="A1713" s="50" t="s">
        <v>7047</v>
      </c>
      <c r="B1713" s="50" t="s">
        <v>7048</v>
      </c>
      <c r="C1713" s="50" t="s">
        <v>7049</v>
      </c>
      <c r="D1713" s="50" t="s">
        <v>7050</v>
      </c>
      <c r="E1713" s="50" t="s">
        <v>7051</v>
      </c>
    </row>
    <row r="1714" spans="1:5" s="51" customFormat="1" x14ac:dyDescent="0.15">
      <c r="A1714" s="50" t="s">
        <v>7052</v>
      </c>
      <c r="B1714" s="50" t="s">
        <v>7053</v>
      </c>
      <c r="C1714" s="50" t="s">
        <v>7054</v>
      </c>
      <c r="D1714" s="50" t="s">
        <v>6914</v>
      </c>
      <c r="E1714" s="50" t="s">
        <v>7055</v>
      </c>
    </row>
    <row r="1715" spans="1:5" s="51" customFormat="1" x14ac:dyDescent="0.15">
      <c r="A1715" s="50" t="s">
        <v>7056</v>
      </c>
      <c r="B1715" s="50" t="s">
        <v>7057</v>
      </c>
      <c r="C1715" s="50" t="s">
        <v>7058</v>
      </c>
      <c r="D1715" s="50" t="s">
        <v>6914</v>
      </c>
      <c r="E1715" s="50" t="s">
        <v>7059</v>
      </c>
    </row>
    <row r="1716" spans="1:5" s="51" customFormat="1" x14ac:dyDescent="0.15">
      <c r="A1716" s="50" t="s">
        <v>7060</v>
      </c>
      <c r="B1716" s="50" t="s">
        <v>7061</v>
      </c>
      <c r="C1716" s="50" t="s">
        <v>7062</v>
      </c>
      <c r="D1716" s="50" t="s">
        <v>6914</v>
      </c>
      <c r="E1716" s="50" t="s">
        <v>7063</v>
      </c>
    </row>
    <row r="1717" spans="1:5" s="51" customFormat="1" x14ac:dyDescent="0.15">
      <c r="A1717" s="50" t="s">
        <v>7064</v>
      </c>
      <c r="B1717" s="50" t="s">
        <v>7065</v>
      </c>
      <c r="C1717" s="50" t="s">
        <v>7066</v>
      </c>
      <c r="D1717" s="50" t="s">
        <v>6914</v>
      </c>
      <c r="E1717" s="50" t="s">
        <v>7067</v>
      </c>
    </row>
    <row r="1718" spans="1:5" s="51" customFormat="1" x14ac:dyDescent="0.15">
      <c r="A1718" s="50" t="s">
        <v>7068</v>
      </c>
      <c r="B1718" s="50" t="s">
        <v>7069</v>
      </c>
      <c r="C1718" s="50" t="s">
        <v>7070</v>
      </c>
      <c r="D1718" s="50" t="s">
        <v>6914</v>
      </c>
      <c r="E1718" s="50" t="s">
        <v>7071</v>
      </c>
    </row>
    <row r="1719" spans="1:5" s="51" customFormat="1" x14ac:dyDescent="0.15">
      <c r="A1719" s="50" t="s">
        <v>7072</v>
      </c>
      <c r="B1719" s="50" t="s">
        <v>7073</v>
      </c>
      <c r="C1719" s="50" t="s">
        <v>7074</v>
      </c>
      <c r="D1719" s="50" t="s">
        <v>6914</v>
      </c>
      <c r="E1719" s="50" t="s">
        <v>7075</v>
      </c>
    </row>
    <row r="1720" spans="1:5" s="51" customFormat="1" x14ac:dyDescent="0.15">
      <c r="A1720" s="50" t="s">
        <v>7076</v>
      </c>
      <c r="B1720" s="50" t="s">
        <v>7077</v>
      </c>
      <c r="C1720" s="50" t="s">
        <v>7078</v>
      </c>
      <c r="D1720" s="50" t="s">
        <v>6914</v>
      </c>
      <c r="E1720" s="50" t="s">
        <v>7079</v>
      </c>
    </row>
    <row r="1721" spans="1:5" s="51" customFormat="1" x14ac:dyDescent="0.15">
      <c r="A1721" s="50" t="s">
        <v>7080</v>
      </c>
      <c r="B1721" s="50" t="s">
        <v>7081</v>
      </c>
      <c r="C1721" s="50" t="s">
        <v>7082</v>
      </c>
      <c r="D1721" s="50" t="s">
        <v>6914</v>
      </c>
      <c r="E1721" s="50" t="s">
        <v>7083</v>
      </c>
    </row>
    <row r="1722" spans="1:5" s="51" customFormat="1" x14ac:dyDescent="0.15">
      <c r="A1722" s="50" t="s">
        <v>7084</v>
      </c>
      <c r="B1722" s="50" t="s">
        <v>7085</v>
      </c>
      <c r="C1722" s="50" t="s">
        <v>7086</v>
      </c>
      <c r="D1722" s="50" t="s">
        <v>6914</v>
      </c>
      <c r="E1722" s="50" t="s">
        <v>7087</v>
      </c>
    </row>
    <row r="1723" spans="1:5" s="51" customFormat="1" x14ac:dyDescent="0.15">
      <c r="A1723" s="50" t="s">
        <v>7088</v>
      </c>
      <c r="B1723" s="50" t="s">
        <v>7089</v>
      </c>
      <c r="C1723" s="50" t="s">
        <v>7090</v>
      </c>
      <c r="D1723" s="50" t="s">
        <v>6882</v>
      </c>
      <c r="E1723" s="50" t="s">
        <v>7091</v>
      </c>
    </row>
    <row r="1724" spans="1:5" s="51" customFormat="1" x14ac:dyDescent="0.15">
      <c r="A1724" s="50" t="s">
        <v>7092</v>
      </c>
      <c r="B1724" s="50" t="s">
        <v>7093</v>
      </c>
      <c r="C1724" s="50" t="s">
        <v>7094</v>
      </c>
      <c r="D1724" s="50" t="s">
        <v>6882</v>
      </c>
      <c r="E1724" s="50" t="s">
        <v>7095</v>
      </c>
    </row>
    <row r="1725" spans="1:5" s="51" customFormat="1" x14ac:dyDescent="0.15">
      <c r="A1725" s="50" t="s">
        <v>7096</v>
      </c>
      <c r="B1725" s="50" t="s">
        <v>7097</v>
      </c>
      <c r="C1725" s="50" t="s">
        <v>7098</v>
      </c>
      <c r="D1725" s="50" t="s">
        <v>6882</v>
      </c>
      <c r="E1725" s="50" t="s">
        <v>7099</v>
      </c>
    </row>
    <row r="1726" spans="1:5" s="51" customFormat="1" x14ac:dyDescent="0.15">
      <c r="A1726" s="50" t="s">
        <v>7100</v>
      </c>
      <c r="B1726" s="50" t="s">
        <v>7101</v>
      </c>
      <c r="C1726" s="50" t="s">
        <v>7102</v>
      </c>
      <c r="D1726" s="50" t="s">
        <v>6882</v>
      </c>
      <c r="E1726" s="50" t="s">
        <v>7103</v>
      </c>
    </row>
    <row r="1727" spans="1:5" s="51" customFormat="1" x14ac:dyDescent="0.15">
      <c r="A1727" s="50" t="s">
        <v>7104</v>
      </c>
      <c r="B1727" s="50" t="s">
        <v>7105</v>
      </c>
      <c r="C1727" s="50" t="s">
        <v>7106</v>
      </c>
      <c r="D1727" s="50" t="s">
        <v>7107</v>
      </c>
      <c r="E1727" s="50" t="s">
        <v>7108</v>
      </c>
    </row>
    <row r="1728" spans="1:5" s="51" customFormat="1" x14ac:dyDescent="0.15">
      <c r="A1728" s="50" t="s">
        <v>7109</v>
      </c>
      <c r="B1728" s="50" t="s">
        <v>7110</v>
      </c>
      <c r="C1728" s="50" t="s">
        <v>7111</v>
      </c>
      <c r="D1728" s="50" t="s">
        <v>6953</v>
      </c>
      <c r="E1728" s="50" t="s">
        <v>7112</v>
      </c>
    </row>
    <row r="1729" spans="1:5" s="51" customFormat="1" x14ac:dyDescent="0.15">
      <c r="A1729" s="50" t="s">
        <v>7113</v>
      </c>
      <c r="B1729" s="50" t="s">
        <v>7114</v>
      </c>
      <c r="C1729" s="50" t="s">
        <v>7115</v>
      </c>
      <c r="D1729" s="50" t="s">
        <v>7040</v>
      </c>
      <c r="E1729" s="50" t="s">
        <v>7116</v>
      </c>
    </row>
    <row r="1730" spans="1:5" s="51" customFormat="1" x14ac:dyDescent="0.15">
      <c r="A1730" s="50" t="s">
        <v>7117</v>
      </c>
      <c r="B1730" s="50" t="s">
        <v>7118</v>
      </c>
      <c r="C1730" s="50" t="s">
        <v>7119</v>
      </c>
      <c r="D1730" s="50" t="s">
        <v>7045</v>
      </c>
      <c r="E1730" s="50" t="s">
        <v>7120</v>
      </c>
    </row>
    <row r="1731" spans="1:5" s="51" customFormat="1" x14ac:dyDescent="0.15">
      <c r="A1731" s="50" t="s">
        <v>7121</v>
      </c>
      <c r="B1731" s="50" t="s">
        <v>7122</v>
      </c>
      <c r="C1731" s="50" t="s">
        <v>7123</v>
      </c>
      <c r="D1731" s="50" t="s">
        <v>7045</v>
      </c>
      <c r="E1731" s="50" t="s">
        <v>7124</v>
      </c>
    </row>
    <row r="1732" spans="1:5" s="51" customFormat="1" x14ac:dyDescent="0.15">
      <c r="A1732" s="50" t="s">
        <v>7125</v>
      </c>
      <c r="B1732" s="50" t="s">
        <v>7126</v>
      </c>
      <c r="C1732" s="50" t="s">
        <v>7127</v>
      </c>
      <c r="D1732" s="50" t="s">
        <v>7000</v>
      </c>
      <c r="E1732" s="50" t="s">
        <v>7128</v>
      </c>
    </row>
    <row r="1733" spans="1:5" s="51" customFormat="1" x14ac:dyDescent="0.15">
      <c r="A1733" s="50" t="s">
        <v>7129</v>
      </c>
      <c r="B1733" s="50" t="s">
        <v>7130</v>
      </c>
      <c r="C1733" s="50" t="s">
        <v>7131</v>
      </c>
      <c r="D1733" s="50" t="s">
        <v>6943</v>
      </c>
      <c r="E1733" s="50" t="s">
        <v>7132</v>
      </c>
    </row>
    <row r="1734" spans="1:5" s="51" customFormat="1" x14ac:dyDescent="0.15">
      <c r="A1734" s="50" t="s">
        <v>7133</v>
      </c>
      <c r="B1734" s="50" t="s">
        <v>7134</v>
      </c>
      <c r="C1734" s="50" t="s">
        <v>7135</v>
      </c>
      <c r="D1734" s="50" t="s">
        <v>7136</v>
      </c>
      <c r="E1734" s="50" t="s">
        <v>7137</v>
      </c>
    </row>
    <row r="1735" spans="1:5" s="51" customFormat="1" x14ac:dyDescent="0.15">
      <c r="A1735" s="50" t="s">
        <v>7138</v>
      </c>
      <c r="B1735" s="50" t="s">
        <v>7139</v>
      </c>
      <c r="C1735" s="50" t="s">
        <v>7140</v>
      </c>
      <c r="D1735" s="50" t="s">
        <v>6963</v>
      </c>
      <c r="E1735" s="50" t="s">
        <v>7141</v>
      </c>
    </row>
    <row r="1736" spans="1:5" s="51" customFormat="1" x14ac:dyDescent="0.15">
      <c r="A1736" s="50" t="s">
        <v>7142</v>
      </c>
      <c r="B1736" s="50" t="s">
        <v>7143</v>
      </c>
      <c r="C1736" s="50" t="s">
        <v>7144</v>
      </c>
      <c r="D1736" s="50" t="s">
        <v>6963</v>
      </c>
      <c r="E1736" s="50" t="s">
        <v>7145</v>
      </c>
    </row>
    <row r="1737" spans="1:5" s="51" customFormat="1" x14ac:dyDescent="0.15">
      <c r="A1737" s="50" t="s">
        <v>7146</v>
      </c>
      <c r="B1737" s="50" t="s">
        <v>7147</v>
      </c>
      <c r="C1737" s="50" t="s">
        <v>7148</v>
      </c>
      <c r="D1737" s="50" t="s">
        <v>6963</v>
      </c>
      <c r="E1737" s="50" t="s">
        <v>7149</v>
      </c>
    </row>
    <row r="1738" spans="1:5" s="51" customFormat="1" x14ac:dyDescent="0.15">
      <c r="A1738" s="50" t="s">
        <v>7150</v>
      </c>
      <c r="B1738" s="50" t="s">
        <v>7151</v>
      </c>
      <c r="C1738" s="50" t="s">
        <v>7152</v>
      </c>
      <c r="D1738" s="50" t="s">
        <v>6963</v>
      </c>
      <c r="E1738" s="50" t="s">
        <v>7153</v>
      </c>
    </row>
    <row r="1739" spans="1:5" s="51" customFormat="1" x14ac:dyDescent="0.15">
      <c r="A1739" s="50" t="s">
        <v>7154</v>
      </c>
      <c r="B1739" s="50" t="s">
        <v>7155</v>
      </c>
      <c r="C1739" s="50" t="s">
        <v>7156</v>
      </c>
      <c r="D1739" s="50" t="s">
        <v>6963</v>
      </c>
      <c r="E1739" s="50" t="s">
        <v>7157</v>
      </c>
    </row>
    <row r="1740" spans="1:5" s="51" customFormat="1" x14ac:dyDescent="0.15">
      <c r="A1740" s="50" t="s">
        <v>7158</v>
      </c>
      <c r="B1740" s="50" t="s">
        <v>7159</v>
      </c>
      <c r="C1740" s="50" t="s">
        <v>7160</v>
      </c>
      <c r="D1740" s="50" t="s">
        <v>6963</v>
      </c>
      <c r="E1740" s="50" t="s">
        <v>7161</v>
      </c>
    </row>
    <row r="1741" spans="1:5" s="51" customFormat="1" x14ac:dyDescent="0.15">
      <c r="A1741" s="50" t="s">
        <v>7162</v>
      </c>
      <c r="B1741" s="50" t="s">
        <v>7163</v>
      </c>
      <c r="C1741" s="50" t="s">
        <v>7164</v>
      </c>
      <c r="D1741" s="50" t="s">
        <v>6963</v>
      </c>
      <c r="E1741" s="50" t="s">
        <v>7165</v>
      </c>
    </row>
    <row r="1742" spans="1:5" s="51" customFormat="1" x14ac:dyDescent="0.15">
      <c r="A1742" s="50" t="s">
        <v>7166</v>
      </c>
      <c r="B1742" s="50" t="s">
        <v>7167</v>
      </c>
      <c r="C1742" s="50" t="s">
        <v>7168</v>
      </c>
      <c r="D1742" s="50" t="s">
        <v>7169</v>
      </c>
      <c r="E1742" s="50" t="s">
        <v>7170</v>
      </c>
    </row>
    <row r="1743" spans="1:5" s="51" customFormat="1" x14ac:dyDescent="0.15">
      <c r="A1743" s="50" t="s">
        <v>7171</v>
      </c>
      <c r="B1743" s="50" t="s">
        <v>7172</v>
      </c>
      <c r="C1743" s="50" t="s">
        <v>7173</v>
      </c>
      <c r="D1743" s="50" t="s">
        <v>6986</v>
      </c>
      <c r="E1743" s="50" t="s">
        <v>7174</v>
      </c>
    </row>
    <row r="1744" spans="1:5" s="51" customFormat="1" x14ac:dyDescent="0.15">
      <c r="A1744" s="50" t="s">
        <v>7175</v>
      </c>
      <c r="B1744" s="50" t="s">
        <v>7176</v>
      </c>
      <c r="C1744" s="50" t="s">
        <v>7177</v>
      </c>
      <c r="D1744" s="50" t="s">
        <v>6991</v>
      </c>
      <c r="E1744" s="50" t="s">
        <v>7178</v>
      </c>
    </row>
    <row r="1745" spans="1:5" s="51" customFormat="1" x14ac:dyDescent="0.15">
      <c r="A1745" s="50" t="s">
        <v>7179</v>
      </c>
      <c r="B1745" s="50" t="s">
        <v>7180</v>
      </c>
      <c r="C1745" s="50" t="s">
        <v>7181</v>
      </c>
      <c r="D1745" s="50" t="s">
        <v>6991</v>
      </c>
      <c r="E1745" s="50" t="s">
        <v>7182</v>
      </c>
    </row>
    <row r="1746" spans="1:5" s="51" customFormat="1" x14ac:dyDescent="0.15">
      <c r="A1746" s="50" t="s">
        <v>7183</v>
      </c>
      <c r="B1746" s="50" t="s">
        <v>7184</v>
      </c>
      <c r="C1746" s="50" t="s">
        <v>7185</v>
      </c>
      <c r="D1746" s="50" t="s">
        <v>6986</v>
      </c>
      <c r="E1746" s="50" t="s">
        <v>7186</v>
      </c>
    </row>
    <row r="1747" spans="1:5" s="51" customFormat="1" x14ac:dyDescent="0.15">
      <c r="A1747" s="50" t="s">
        <v>7187</v>
      </c>
      <c r="B1747" s="50" t="s">
        <v>7188</v>
      </c>
      <c r="C1747" s="50" t="s">
        <v>7189</v>
      </c>
      <c r="D1747" s="50" t="s">
        <v>7190</v>
      </c>
      <c r="E1747" s="50" t="s">
        <v>7191</v>
      </c>
    </row>
    <row r="1748" spans="1:5" s="51" customFormat="1" x14ac:dyDescent="0.15">
      <c r="A1748" s="50" t="s">
        <v>7192</v>
      </c>
      <c r="B1748" s="50" t="s">
        <v>7193</v>
      </c>
      <c r="C1748" s="50" t="s">
        <v>7194</v>
      </c>
      <c r="D1748" s="50" t="s">
        <v>7195</v>
      </c>
      <c r="E1748" s="50" t="s">
        <v>7196</v>
      </c>
    </row>
    <row r="1749" spans="1:5" s="51" customFormat="1" x14ac:dyDescent="0.15">
      <c r="A1749" s="50" t="s">
        <v>7197</v>
      </c>
      <c r="B1749" s="50" t="s">
        <v>7198</v>
      </c>
      <c r="C1749" s="50" t="s">
        <v>7199</v>
      </c>
      <c r="D1749" s="50" t="s">
        <v>7000</v>
      </c>
      <c r="E1749" s="50" t="s">
        <v>7200</v>
      </c>
    </row>
    <row r="1750" spans="1:5" s="51" customFormat="1" x14ac:dyDescent="0.15">
      <c r="A1750" s="50" t="s">
        <v>7201</v>
      </c>
      <c r="B1750" s="50" t="s">
        <v>7202</v>
      </c>
      <c r="C1750" s="50" t="s">
        <v>7203</v>
      </c>
      <c r="D1750" s="50" t="s">
        <v>7190</v>
      </c>
      <c r="E1750" s="50" t="s">
        <v>7204</v>
      </c>
    </row>
    <row r="1751" spans="1:5" s="51" customFormat="1" x14ac:dyDescent="0.15">
      <c r="A1751" s="50" t="s">
        <v>7205</v>
      </c>
      <c r="B1751" s="50" t="s">
        <v>7206</v>
      </c>
      <c r="C1751" s="50" t="s">
        <v>7207</v>
      </c>
      <c r="D1751" s="50" t="s">
        <v>7195</v>
      </c>
      <c r="E1751" s="50" t="s">
        <v>7208</v>
      </c>
    </row>
    <row r="1752" spans="1:5" s="51" customFormat="1" x14ac:dyDescent="0.15">
      <c r="A1752" s="50" t="s">
        <v>7209</v>
      </c>
      <c r="B1752" s="50" t="s">
        <v>7210</v>
      </c>
      <c r="C1752" s="50" t="s">
        <v>7211</v>
      </c>
      <c r="D1752" s="50" t="s">
        <v>7212</v>
      </c>
      <c r="E1752" s="50" t="s">
        <v>7213</v>
      </c>
    </row>
    <row r="1753" spans="1:5" s="51" customFormat="1" x14ac:dyDescent="0.15">
      <c r="A1753" s="50" t="s">
        <v>7214</v>
      </c>
      <c r="B1753" s="50" t="s">
        <v>7215</v>
      </c>
      <c r="C1753" s="50" t="s">
        <v>1866</v>
      </c>
      <c r="D1753" s="50" t="s">
        <v>7212</v>
      </c>
      <c r="E1753" s="50" t="s">
        <v>7216</v>
      </c>
    </row>
    <row r="1754" spans="1:5" s="51" customFormat="1" x14ac:dyDescent="0.15">
      <c r="A1754" s="50" t="s">
        <v>7217</v>
      </c>
      <c r="B1754" s="50" t="s">
        <v>7218</v>
      </c>
      <c r="C1754" s="50" t="s">
        <v>7219</v>
      </c>
      <c r="D1754" s="50" t="s">
        <v>7190</v>
      </c>
      <c r="E1754" s="50" t="s">
        <v>7220</v>
      </c>
    </row>
    <row r="1755" spans="1:5" s="51" customFormat="1" x14ac:dyDescent="0.15">
      <c r="A1755" s="50" t="s">
        <v>7221</v>
      </c>
      <c r="B1755" s="50" t="s">
        <v>7222</v>
      </c>
      <c r="C1755" s="50" t="s">
        <v>7223</v>
      </c>
      <c r="D1755" s="50" t="s">
        <v>7212</v>
      </c>
      <c r="E1755" s="50" t="s">
        <v>7224</v>
      </c>
    </row>
    <row r="1756" spans="1:5" s="51" customFormat="1" x14ac:dyDescent="0.15">
      <c r="A1756" s="50" t="s">
        <v>7225</v>
      </c>
      <c r="B1756" s="50" t="s">
        <v>7226</v>
      </c>
      <c r="C1756" s="50" t="s">
        <v>7227</v>
      </c>
      <c r="D1756" s="50" t="s">
        <v>7190</v>
      </c>
      <c r="E1756" s="50" t="s">
        <v>7228</v>
      </c>
    </row>
    <row r="1757" spans="1:5" s="51" customFormat="1" x14ac:dyDescent="0.15">
      <c r="A1757" s="50" t="s">
        <v>7229</v>
      </c>
      <c r="B1757" s="50" t="s">
        <v>7230</v>
      </c>
      <c r="C1757" s="50" t="s">
        <v>7231</v>
      </c>
      <c r="D1757" s="50" t="s">
        <v>7190</v>
      </c>
      <c r="E1757" s="50" t="s">
        <v>7232</v>
      </c>
    </row>
    <row r="1758" spans="1:5" s="51" customFormat="1" x14ac:dyDescent="0.15">
      <c r="A1758" s="50" t="s">
        <v>7233</v>
      </c>
      <c r="B1758" s="50" t="s">
        <v>7234</v>
      </c>
      <c r="C1758" s="50" t="s">
        <v>7235</v>
      </c>
      <c r="D1758" s="50" t="s">
        <v>7000</v>
      </c>
      <c r="E1758" s="50" t="s">
        <v>7236</v>
      </c>
    </row>
    <row r="1759" spans="1:5" s="51" customFormat="1" x14ac:dyDescent="0.15">
      <c r="A1759" s="50" t="s">
        <v>7237</v>
      </c>
      <c r="B1759" s="50" t="s">
        <v>7238</v>
      </c>
      <c r="C1759" s="50" t="s">
        <v>7239</v>
      </c>
      <c r="D1759" s="50" t="s">
        <v>7190</v>
      </c>
      <c r="E1759" s="50" t="s">
        <v>7240</v>
      </c>
    </row>
    <row r="1760" spans="1:5" s="51" customFormat="1" x14ac:dyDescent="0.15">
      <c r="A1760" s="50" t="s">
        <v>7241</v>
      </c>
      <c r="B1760" s="50" t="s">
        <v>7242</v>
      </c>
      <c r="C1760" s="50" t="s">
        <v>7243</v>
      </c>
      <c r="D1760" s="50" t="s">
        <v>7000</v>
      </c>
      <c r="E1760" s="50" t="s">
        <v>7244</v>
      </c>
    </row>
    <row r="1761" spans="1:5" s="51" customFormat="1" x14ac:dyDescent="0.15">
      <c r="A1761" s="50" t="s">
        <v>7245</v>
      </c>
      <c r="B1761" s="50" t="s">
        <v>7246</v>
      </c>
      <c r="C1761" s="50" t="s">
        <v>7247</v>
      </c>
      <c r="D1761" s="50" t="s">
        <v>7195</v>
      </c>
      <c r="E1761" s="50" t="s">
        <v>7248</v>
      </c>
    </row>
    <row r="1762" spans="1:5" s="51" customFormat="1" x14ac:dyDescent="0.15">
      <c r="A1762" s="50" t="s">
        <v>7249</v>
      </c>
      <c r="B1762" s="50" t="s">
        <v>7250</v>
      </c>
      <c r="C1762" s="50" t="s">
        <v>7251</v>
      </c>
      <c r="D1762" s="50" t="s">
        <v>7195</v>
      </c>
      <c r="E1762" s="50" t="s">
        <v>7252</v>
      </c>
    </row>
    <row r="1763" spans="1:5" s="51" customFormat="1" x14ac:dyDescent="0.15">
      <c r="A1763" s="50" t="s">
        <v>7253</v>
      </c>
      <c r="B1763" s="50" t="s">
        <v>7254</v>
      </c>
      <c r="C1763" s="50" t="s">
        <v>7255</v>
      </c>
      <c r="D1763" s="50" t="s">
        <v>7190</v>
      </c>
      <c r="E1763" s="50" t="s">
        <v>7256</v>
      </c>
    </row>
    <row r="1764" spans="1:5" s="51" customFormat="1" x14ac:dyDescent="0.15">
      <c r="A1764" s="50" t="s">
        <v>7257</v>
      </c>
      <c r="B1764" s="50" t="s">
        <v>7258</v>
      </c>
      <c r="C1764" s="50" t="s">
        <v>7259</v>
      </c>
      <c r="D1764" s="50" t="s">
        <v>7190</v>
      </c>
      <c r="E1764" s="50" t="s">
        <v>7260</v>
      </c>
    </row>
    <row r="1765" spans="1:5" s="51" customFormat="1" x14ac:dyDescent="0.15">
      <c r="A1765" s="50" t="s">
        <v>7261</v>
      </c>
      <c r="B1765" s="50" t="s">
        <v>7262</v>
      </c>
      <c r="C1765" s="50" t="s">
        <v>7263</v>
      </c>
      <c r="D1765" s="50" t="s">
        <v>7264</v>
      </c>
      <c r="E1765" s="50" t="s">
        <v>7265</v>
      </c>
    </row>
    <row r="1766" spans="1:5" s="51" customFormat="1" x14ac:dyDescent="0.15">
      <c r="A1766" s="50" t="s">
        <v>7266</v>
      </c>
      <c r="B1766" s="50" t="s">
        <v>7267</v>
      </c>
      <c r="C1766" s="50" t="s">
        <v>7268</v>
      </c>
      <c r="D1766" s="50" t="s">
        <v>7212</v>
      </c>
      <c r="E1766" s="50" t="s">
        <v>7269</v>
      </c>
    </row>
    <row r="1767" spans="1:5" s="51" customFormat="1" x14ac:dyDescent="0.15">
      <c r="A1767" s="50" t="s">
        <v>7270</v>
      </c>
      <c r="B1767" s="50" t="s">
        <v>7271</v>
      </c>
      <c r="C1767" s="50" t="s">
        <v>7272</v>
      </c>
      <c r="D1767" s="50" t="s">
        <v>7273</v>
      </c>
      <c r="E1767" s="50" t="s">
        <v>7274</v>
      </c>
    </row>
    <row r="1768" spans="1:5" s="51" customFormat="1" x14ac:dyDescent="0.15">
      <c r="A1768" s="50" t="s">
        <v>7275</v>
      </c>
      <c r="B1768" s="50" t="s">
        <v>7276</v>
      </c>
      <c r="C1768" s="50" t="s">
        <v>7277</v>
      </c>
      <c r="D1768" s="50" t="s">
        <v>7278</v>
      </c>
      <c r="E1768" s="50" t="s">
        <v>7279</v>
      </c>
    </row>
    <row r="1769" spans="1:5" s="51" customFormat="1" x14ac:dyDescent="0.15">
      <c r="A1769" s="50" t="s">
        <v>7280</v>
      </c>
      <c r="B1769" s="50" t="s">
        <v>7281</v>
      </c>
      <c r="C1769" s="50" t="s">
        <v>7282</v>
      </c>
      <c r="D1769" s="50" t="s">
        <v>7283</v>
      </c>
      <c r="E1769" s="50" t="s">
        <v>7284</v>
      </c>
    </row>
    <row r="1770" spans="1:5" s="51" customFormat="1" x14ac:dyDescent="0.15">
      <c r="A1770" s="50" t="s">
        <v>7285</v>
      </c>
      <c r="B1770" s="50" t="s">
        <v>7286</v>
      </c>
      <c r="C1770" s="50" t="s">
        <v>7287</v>
      </c>
      <c r="D1770" s="50" t="s">
        <v>7283</v>
      </c>
      <c r="E1770" s="50" t="s">
        <v>7288</v>
      </c>
    </row>
    <row r="1771" spans="1:5" s="51" customFormat="1" x14ac:dyDescent="0.15">
      <c r="A1771" s="50" t="s">
        <v>7289</v>
      </c>
      <c r="B1771" s="50" t="s">
        <v>7290</v>
      </c>
      <c r="C1771" s="50" t="s">
        <v>7291</v>
      </c>
      <c r="D1771" s="50" t="s">
        <v>7283</v>
      </c>
      <c r="E1771" s="50" t="s">
        <v>7292</v>
      </c>
    </row>
    <row r="1772" spans="1:5" s="51" customFormat="1" x14ac:dyDescent="0.15">
      <c r="A1772" s="50" t="s">
        <v>7293</v>
      </c>
      <c r="B1772" s="50" t="s">
        <v>7294</v>
      </c>
      <c r="C1772" s="50" t="s">
        <v>7295</v>
      </c>
      <c r="D1772" s="50" t="s">
        <v>7296</v>
      </c>
      <c r="E1772" s="50" t="s">
        <v>7297</v>
      </c>
    </row>
    <row r="1773" spans="1:5" s="51" customFormat="1" x14ac:dyDescent="0.15">
      <c r="A1773" s="50" t="s">
        <v>7298</v>
      </c>
      <c r="B1773" s="50" t="s">
        <v>7299</v>
      </c>
      <c r="C1773" s="50" t="s">
        <v>7300</v>
      </c>
      <c r="D1773" s="50" t="s">
        <v>7301</v>
      </c>
      <c r="E1773" s="50" t="s">
        <v>7302</v>
      </c>
    </row>
    <row r="1774" spans="1:5" s="51" customFormat="1" x14ac:dyDescent="0.15">
      <c r="A1774" s="50" t="s">
        <v>7303</v>
      </c>
      <c r="B1774" s="50" t="s">
        <v>7304</v>
      </c>
      <c r="C1774" s="50" t="s">
        <v>4598</v>
      </c>
      <c r="D1774" s="50" t="s">
        <v>7305</v>
      </c>
      <c r="E1774" s="50" t="s">
        <v>7306</v>
      </c>
    </row>
    <row r="1775" spans="1:5" s="51" customFormat="1" x14ac:dyDescent="0.15">
      <c r="A1775" s="50" t="s">
        <v>7307</v>
      </c>
      <c r="B1775" s="50" t="s">
        <v>7308</v>
      </c>
      <c r="C1775" s="50" t="s">
        <v>7309</v>
      </c>
      <c r="D1775" s="50" t="s">
        <v>7305</v>
      </c>
      <c r="E1775" s="50" t="s">
        <v>7310</v>
      </c>
    </row>
    <row r="1776" spans="1:5" s="51" customFormat="1" x14ac:dyDescent="0.15">
      <c r="A1776" s="50" t="s">
        <v>7311</v>
      </c>
      <c r="B1776" s="50" t="s">
        <v>7312</v>
      </c>
      <c r="C1776" s="50" t="s">
        <v>7313</v>
      </c>
      <c r="D1776" s="50" t="s">
        <v>7314</v>
      </c>
      <c r="E1776" s="50" t="s">
        <v>7315</v>
      </c>
    </row>
    <row r="1777" spans="1:5" s="51" customFormat="1" x14ac:dyDescent="0.15">
      <c r="A1777" s="50" t="s">
        <v>7316</v>
      </c>
      <c r="B1777" s="50" t="s">
        <v>7317</v>
      </c>
      <c r="C1777" s="50" t="s">
        <v>7318</v>
      </c>
      <c r="D1777" s="50" t="s">
        <v>7314</v>
      </c>
      <c r="E1777" s="50" t="s">
        <v>7319</v>
      </c>
    </row>
    <row r="1778" spans="1:5" s="51" customFormat="1" x14ac:dyDescent="0.15">
      <c r="A1778" s="50" t="s">
        <v>7320</v>
      </c>
      <c r="B1778" s="50" t="s">
        <v>7321</v>
      </c>
      <c r="C1778" s="50" t="s">
        <v>7322</v>
      </c>
      <c r="D1778" s="50" t="s">
        <v>7283</v>
      </c>
      <c r="E1778" s="50" t="s">
        <v>7323</v>
      </c>
    </row>
    <row r="1779" spans="1:5" s="51" customFormat="1" x14ac:dyDescent="0.15">
      <c r="A1779" s="50" t="s">
        <v>7324</v>
      </c>
      <c r="B1779" s="50" t="s">
        <v>7325</v>
      </c>
      <c r="C1779" s="50" t="s">
        <v>7326</v>
      </c>
      <c r="D1779" s="50" t="s">
        <v>7283</v>
      </c>
      <c r="E1779" s="50" t="s">
        <v>7327</v>
      </c>
    </row>
    <row r="1780" spans="1:5" s="51" customFormat="1" x14ac:dyDescent="0.15">
      <c r="A1780" s="50" t="s">
        <v>7328</v>
      </c>
      <c r="B1780" s="50" t="s">
        <v>7329</v>
      </c>
      <c r="C1780" s="50" t="s">
        <v>7330</v>
      </c>
      <c r="D1780" s="50" t="s">
        <v>7331</v>
      </c>
      <c r="E1780" s="50" t="s">
        <v>7332</v>
      </c>
    </row>
    <row r="1781" spans="1:5" s="51" customFormat="1" x14ac:dyDescent="0.15">
      <c r="A1781" s="50" t="s">
        <v>7333</v>
      </c>
      <c r="B1781" s="50" t="s">
        <v>7334</v>
      </c>
      <c r="C1781" s="50" t="s">
        <v>7335</v>
      </c>
      <c r="D1781" s="50" t="s">
        <v>7331</v>
      </c>
      <c r="E1781" s="50" t="s">
        <v>7332</v>
      </c>
    </row>
    <row r="1782" spans="1:5" s="51" customFormat="1" x14ac:dyDescent="0.15">
      <c r="A1782" s="50" t="s">
        <v>7336</v>
      </c>
      <c r="B1782" s="50" t="s">
        <v>7337</v>
      </c>
      <c r="C1782" s="50" t="s">
        <v>7338</v>
      </c>
      <c r="D1782" s="50" t="s">
        <v>7283</v>
      </c>
      <c r="E1782" s="50" t="s">
        <v>7339</v>
      </c>
    </row>
    <row r="1783" spans="1:5" s="51" customFormat="1" x14ac:dyDescent="0.15">
      <c r="A1783" s="50" t="s">
        <v>7340</v>
      </c>
      <c r="B1783" s="50" t="s">
        <v>7341</v>
      </c>
      <c r="C1783" s="50" t="s">
        <v>7342</v>
      </c>
      <c r="D1783" s="50" t="s">
        <v>7343</v>
      </c>
      <c r="E1783" s="50" t="s">
        <v>7344</v>
      </c>
    </row>
    <row r="1784" spans="1:5" s="51" customFormat="1" x14ac:dyDescent="0.15">
      <c r="A1784" s="50" t="s">
        <v>7345</v>
      </c>
      <c r="B1784" s="50" t="s">
        <v>7346</v>
      </c>
      <c r="C1784" s="50" t="s">
        <v>7347</v>
      </c>
      <c r="D1784" s="50" t="s">
        <v>7343</v>
      </c>
      <c r="E1784" s="50" t="s">
        <v>7348</v>
      </c>
    </row>
    <row r="1785" spans="1:5" s="51" customFormat="1" x14ac:dyDescent="0.15">
      <c r="A1785" s="50" t="s">
        <v>7349</v>
      </c>
      <c r="B1785" s="50" t="s">
        <v>7350</v>
      </c>
      <c r="C1785" s="50" t="s">
        <v>7351</v>
      </c>
      <c r="D1785" s="50" t="s">
        <v>7314</v>
      </c>
      <c r="E1785" s="50" t="s">
        <v>7352</v>
      </c>
    </row>
    <row r="1786" spans="1:5" s="51" customFormat="1" x14ac:dyDescent="0.15">
      <c r="A1786" s="50" t="s">
        <v>7353</v>
      </c>
      <c r="B1786" s="50" t="s">
        <v>7354</v>
      </c>
      <c r="C1786" s="50" t="s">
        <v>7355</v>
      </c>
      <c r="D1786" s="50" t="s">
        <v>7343</v>
      </c>
      <c r="E1786" s="50" t="s">
        <v>7356</v>
      </c>
    </row>
    <row r="1787" spans="1:5" s="51" customFormat="1" x14ac:dyDescent="0.15">
      <c r="A1787" s="50" t="s">
        <v>7357</v>
      </c>
      <c r="B1787" s="50" t="s">
        <v>7358</v>
      </c>
      <c r="C1787" s="50" t="s">
        <v>7359</v>
      </c>
      <c r="D1787" s="50" t="s">
        <v>7314</v>
      </c>
      <c r="E1787" s="50" t="s">
        <v>7360</v>
      </c>
    </row>
    <row r="1788" spans="1:5" s="51" customFormat="1" x14ac:dyDescent="0.15">
      <c r="A1788" s="50" t="s">
        <v>7361</v>
      </c>
      <c r="B1788" s="50" t="s">
        <v>7362</v>
      </c>
      <c r="C1788" s="50" t="s">
        <v>7363</v>
      </c>
    </row>
    <row r="1789" spans="1:5" s="51" customFormat="1" x14ac:dyDescent="0.15">
      <c r="A1789" s="50" t="s">
        <v>7364</v>
      </c>
      <c r="B1789" s="50" t="s">
        <v>7365</v>
      </c>
      <c r="C1789" s="50" t="s">
        <v>7366</v>
      </c>
      <c r="D1789" s="50" t="s">
        <v>7367</v>
      </c>
      <c r="E1789" s="50" t="s">
        <v>7368</v>
      </c>
    </row>
    <row r="1790" spans="1:5" s="51" customFormat="1" x14ac:dyDescent="0.15">
      <c r="A1790" s="50" t="s">
        <v>7369</v>
      </c>
      <c r="B1790" s="50" t="s">
        <v>7370</v>
      </c>
      <c r="C1790" s="50" t="s">
        <v>7371</v>
      </c>
      <c r="D1790" s="50" t="s">
        <v>7367</v>
      </c>
      <c r="E1790" s="50" t="s">
        <v>7372</v>
      </c>
    </row>
    <row r="1791" spans="1:5" s="51" customFormat="1" x14ac:dyDescent="0.15">
      <c r="A1791" s="50" t="s">
        <v>7373</v>
      </c>
      <c r="B1791" s="50" t="s">
        <v>7374</v>
      </c>
      <c r="C1791" s="50" t="s">
        <v>7375</v>
      </c>
      <c r="D1791" s="50" t="s">
        <v>7367</v>
      </c>
      <c r="E1791" s="50" t="s">
        <v>7376</v>
      </c>
    </row>
    <row r="1792" spans="1:5" s="51" customFormat="1" x14ac:dyDescent="0.15">
      <c r="A1792" s="50" t="s">
        <v>7377</v>
      </c>
      <c r="B1792" s="50" t="s">
        <v>7378</v>
      </c>
      <c r="C1792" s="50" t="s">
        <v>7379</v>
      </c>
      <c r="D1792" s="50" t="s">
        <v>7380</v>
      </c>
      <c r="E1792" s="50" t="s">
        <v>7381</v>
      </c>
    </row>
    <row r="1793" spans="1:5" s="51" customFormat="1" x14ac:dyDescent="0.15">
      <c r="A1793" s="50" t="s">
        <v>7382</v>
      </c>
      <c r="B1793" s="50" t="s">
        <v>7383</v>
      </c>
      <c r="C1793" s="50" t="s">
        <v>7384</v>
      </c>
      <c r="D1793" s="50" t="s">
        <v>7367</v>
      </c>
      <c r="E1793" s="50" t="s">
        <v>7385</v>
      </c>
    </row>
    <row r="1794" spans="1:5" s="51" customFormat="1" x14ac:dyDescent="0.15">
      <c r="A1794" s="50" t="s">
        <v>7386</v>
      </c>
      <c r="B1794" s="50" t="s">
        <v>7387</v>
      </c>
      <c r="C1794" s="50" t="s">
        <v>7388</v>
      </c>
      <c r="D1794" s="50" t="s">
        <v>7389</v>
      </c>
      <c r="E1794" s="50" t="s">
        <v>7390</v>
      </c>
    </row>
    <row r="1795" spans="1:5" s="51" customFormat="1" x14ac:dyDescent="0.15">
      <c r="A1795" s="50" t="s">
        <v>7391</v>
      </c>
      <c r="B1795" s="50" t="s">
        <v>7392</v>
      </c>
      <c r="C1795" s="50" t="s">
        <v>7393</v>
      </c>
      <c r="D1795" s="50" t="s">
        <v>7394</v>
      </c>
      <c r="E1795" s="50" t="s">
        <v>7395</v>
      </c>
    </row>
    <row r="1796" spans="1:5" s="51" customFormat="1" x14ac:dyDescent="0.15">
      <c r="A1796" s="50" t="s">
        <v>7396</v>
      </c>
      <c r="B1796" s="50" t="s">
        <v>7397</v>
      </c>
      <c r="C1796" s="50" t="s">
        <v>7398</v>
      </c>
      <c r="D1796" s="50" t="s">
        <v>7399</v>
      </c>
      <c r="E1796" s="50" t="s">
        <v>7400</v>
      </c>
    </row>
    <row r="1797" spans="1:5" s="51" customFormat="1" x14ac:dyDescent="0.15">
      <c r="A1797" s="50" t="s">
        <v>7401</v>
      </c>
      <c r="B1797" s="50" t="s">
        <v>7402</v>
      </c>
      <c r="C1797" s="50" t="s">
        <v>7403</v>
      </c>
      <c r="D1797" s="50" t="s">
        <v>7394</v>
      </c>
      <c r="E1797" s="50" t="s">
        <v>7404</v>
      </c>
    </row>
    <row r="1798" spans="1:5" s="51" customFormat="1" x14ac:dyDescent="0.15">
      <c r="A1798" s="50" t="s">
        <v>7405</v>
      </c>
      <c r="B1798" s="50" t="s">
        <v>7406</v>
      </c>
      <c r="C1798" s="50" t="s">
        <v>7407</v>
      </c>
      <c r="D1798" s="50" t="s">
        <v>7408</v>
      </c>
      <c r="E1798" s="50" t="s">
        <v>7409</v>
      </c>
    </row>
    <row r="1799" spans="1:5" s="51" customFormat="1" x14ac:dyDescent="0.15">
      <c r="A1799" s="50" t="s">
        <v>7410</v>
      </c>
      <c r="B1799" s="50" t="s">
        <v>7411</v>
      </c>
      <c r="C1799" s="50" t="s">
        <v>7412</v>
      </c>
      <c r="D1799" s="50" t="s">
        <v>7408</v>
      </c>
      <c r="E1799" s="50" t="s">
        <v>7413</v>
      </c>
    </row>
    <row r="1800" spans="1:5" s="51" customFormat="1" x14ac:dyDescent="0.15">
      <c r="A1800" s="50" t="s">
        <v>7414</v>
      </c>
      <c r="B1800" s="50" t="s">
        <v>7415</v>
      </c>
      <c r="C1800" s="50" t="s">
        <v>7416</v>
      </c>
      <c r="D1800" s="50" t="s">
        <v>7408</v>
      </c>
      <c r="E1800" s="50" t="s">
        <v>7417</v>
      </c>
    </row>
    <row r="1801" spans="1:5" s="51" customFormat="1" x14ac:dyDescent="0.15">
      <c r="A1801" s="50" t="s">
        <v>7418</v>
      </c>
      <c r="B1801" s="50" t="s">
        <v>7419</v>
      </c>
      <c r="C1801" s="50" t="s">
        <v>7420</v>
      </c>
      <c r="D1801" s="50" t="s">
        <v>7421</v>
      </c>
      <c r="E1801" s="50" t="s">
        <v>7422</v>
      </c>
    </row>
    <row r="1802" spans="1:5" s="51" customFormat="1" x14ac:dyDescent="0.15">
      <c r="A1802" s="50" t="s">
        <v>7423</v>
      </c>
      <c r="B1802" s="50" t="s">
        <v>7424</v>
      </c>
      <c r="C1802" s="50" t="s">
        <v>7425</v>
      </c>
      <c r="D1802" s="50" t="s">
        <v>7426</v>
      </c>
      <c r="E1802" s="50" t="s">
        <v>7427</v>
      </c>
    </row>
    <row r="1803" spans="1:5" s="51" customFormat="1" x14ac:dyDescent="0.15">
      <c r="A1803" s="50" t="s">
        <v>7428</v>
      </c>
      <c r="B1803" s="50" t="s">
        <v>7429</v>
      </c>
      <c r="C1803" s="50" t="s">
        <v>7430</v>
      </c>
      <c r="D1803" s="50" t="s">
        <v>7421</v>
      </c>
      <c r="E1803" s="50" t="s">
        <v>7431</v>
      </c>
    </row>
    <row r="1804" spans="1:5" s="51" customFormat="1" x14ac:dyDescent="0.15">
      <c r="A1804" s="50" t="s">
        <v>7432</v>
      </c>
      <c r="B1804" s="50" t="s">
        <v>7433</v>
      </c>
      <c r="C1804" s="50" t="s">
        <v>7434</v>
      </c>
      <c r="D1804" s="50" t="s">
        <v>7435</v>
      </c>
      <c r="E1804" s="50" t="s">
        <v>7436</v>
      </c>
    </row>
    <row r="1805" spans="1:5" s="51" customFormat="1" x14ac:dyDescent="0.15">
      <c r="A1805" s="50" t="s">
        <v>7437</v>
      </c>
      <c r="B1805" s="50" t="s">
        <v>7438</v>
      </c>
      <c r="C1805" s="50" t="s">
        <v>7439</v>
      </c>
      <c r="D1805" s="50" t="s">
        <v>7440</v>
      </c>
      <c r="E1805" s="50" t="s">
        <v>7441</v>
      </c>
    </row>
    <row r="1806" spans="1:5" s="51" customFormat="1" x14ac:dyDescent="0.15">
      <c r="A1806" s="50" t="s">
        <v>7442</v>
      </c>
      <c r="B1806" s="50" t="s">
        <v>7443</v>
      </c>
      <c r="C1806" s="50" t="s">
        <v>7444</v>
      </c>
      <c r="D1806" s="50" t="s">
        <v>7367</v>
      </c>
      <c r="E1806" s="50" t="s">
        <v>7445</v>
      </c>
    </row>
    <row r="1807" spans="1:5" s="51" customFormat="1" x14ac:dyDescent="0.15">
      <c r="A1807" s="50" t="s">
        <v>7446</v>
      </c>
      <c r="B1807" s="50" t="s">
        <v>7447</v>
      </c>
      <c r="C1807" s="50" t="s">
        <v>7448</v>
      </c>
      <c r="D1807" s="50" t="s">
        <v>7421</v>
      </c>
      <c r="E1807" s="50" t="s">
        <v>7449</v>
      </c>
    </row>
    <row r="1808" spans="1:5" s="51" customFormat="1" x14ac:dyDescent="0.15">
      <c r="A1808" s="50" t="s">
        <v>7450</v>
      </c>
      <c r="B1808" s="50" t="s">
        <v>7451</v>
      </c>
      <c r="C1808" s="50" t="s">
        <v>7452</v>
      </c>
      <c r="D1808" s="50" t="s">
        <v>7408</v>
      </c>
      <c r="E1808" s="50" t="s">
        <v>7453</v>
      </c>
    </row>
    <row r="1809" spans="1:5" s="51" customFormat="1" x14ac:dyDescent="0.15">
      <c r="A1809" s="50" t="s">
        <v>7454</v>
      </c>
      <c r="B1809" s="50" t="s">
        <v>7455</v>
      </c>
      <c r="C1809" s="50" t="s">
        <v>7456</v>
      </c>
      <c r="D1809" s="50" t="s">
        <v>7408</v>
      </c>
      <c r="E1809" s="50" t="s">
        <v>7457</v>
      </c>
    </row>
    <row r="1810" spans="1:5" s="51" customFormat="1" x14ac:dyDescent="0.15">
      <c r="A1810" s="50" t="s">
        <v>7458</v>
      </c>
      <c r="B1810" s="50" t="s">
        <v>7459</v>
      </c>
      <c r="C1810" s="50" t="s">
        <v>7460</v>
      </c>
      <c r="D1810" s="50" t="s">
        <v>7408</v>
      </c>
      <c r="E1810" s="50" t="s">
        <v>7461</v>
      </c>
    </row>
    <row r="1811" spans="1:5" s="51" customFormat="1" x14ac:dyDescent="0.15">
      <c r="A1811" s="50" t="s">
        <v>7462</v>
      </c>
      <c r="B1811" s="50" t="s">
        <v>7463</v>
      </c>
      <c r="C1811" s="50" t="s">
        <v>7464</v>
      </c>
      <c r="D1811" s="50" t="s">
        <v>7408</v>
      </c>
      <c r="E1811" s="50" t="s">
        <v>7465</v>
      </c>
    </row>
    <row r="1812" spans="1:5" s="51" customFormat="1" x14ac:dyDescent="0.15">
      <c r="A1812" s="50" t="s">
        <v>7466</v>
      </c>
      <c r="B1812" s="50" t="s">
        <v>7467</v>
      </c>
      <c r="C1812" s="50" t="s">
        <v>7468</v>
      </c>
      <c r="D1812" s="50" t="s">
        <v>7367</v>
      </c>
      <c r="E1812" s="50" t="s">
        <v>7469</v>
      </c>
    </row>
    <row r="1813" spans="1:5" s="51" customFormat="1" x14ac:dyDescent="0.15">
      <c r="A1813" s="50" t="s">
        <v>7470</v>
      </c>
      <c r="B1813" s="50" t="s">
        <v>7471</v>
      </c>
      <c r="C1813" s="50" t="s">
        <v>7472</v>
      </c>
      <c r="D1813" s="50" t="s">
        <v>7367</v>
      </c>
      <c r="E1813" s="50" t="s">
        <v>7473</v>
      </c>
    </row>
    <row r="1814" spans="1:5" s="51" customFormat="1" x14ac:dyDescent="0.15">
      <c r="A1814" s="50" t="s">
        <v>7474</v>
      </c>
      <c r="B1814" s="50" t="s">
        <v>7475</v>
      </c>
      <c r="C1814" s="50" t="s">
        <v>7476</v>
      </c>
      <c r="D1814" s="50" t="s">
        <v>7435</v>
      </c>
      <c r="E1814" s="50" t="s">
        <v>7477</v>
      </c>
    </row>
    <row r="1815" spans="1:5" s="51" customFormat="1" x14ac:dyDescent="0.15">
      <c r="A1815" s="50" t="s">
        <v>7478</v>
      </c>
      <c r="B1815" s="50" t="s">
        <v>7479</v>
      </c>
      <c r="C1815" s="50" t="s">
        <v>7480</v>
      </c>
      <c r="D1815" s="50" t="s">
        <v>7435</v>
      </c>
      <c r="E1815" s="50" t="s">
        <v>7481</v>
      </c>
    </row>
    <row r="1816" spans="1:5" s="51" customFormat="1" x14ac:dyDescent="0.15">
      <c r="A1816" s="50" t="s">
        <v>7482</v>
      </c>
      <c r="B1816" s="50" t="s">
        <v>7483</v>
      </c>
      <c r="C1816" s="50" t="s">
        <v>7484</v>
      </c>
      <c r="D1816" s="50" t="s">
        <v>7435</v>
      </c>
      <c r="E1816" s="50" t="s">
        <v>7485</v>
      </c>
    </row>
    <row r="1817" spans="1:5" s="51" customFormat="1" x14ac:dyDescent="0.15">
      <c r="A1817" s="50" t="s">
        <v>7486</v>
      </c>
      <c r="B1817" s="50" t="s">
        <v>7487</v>
      </c>
      <c r="C1817" s="50" t="s">
        <v>7488</v>
      </c>
      <c r="D1817" s="50" t="s">
        <v>7435</v>
      </c>
      <c r="E1817" s="50" t="s">
        <v>7489</v>
      </c>
    </row>
    <row r="1818" spans="1:5" s="51" customFormat="1" x14ac:dyDescent="0.15">
      <c r="A1818" s="50" t="s">
        <v>7490</v>
      </c>
      <c r="B1818" s="50" t="s">
        <v>7491</v>
      </c>
      <c r="C1818" s="50" t="s">
        <v>7492</v>
      </c>
      <c r="D1818" s="50" t="s">
        <v>7367</v>
      </c>
      <c r="E1818" s="50" t="s">
        <v>7493</v>
      </c>
    </row>
    <row r="1819" spans="1:5" s="51" customFormat="1" x14ac:dyDescent="0.15">
      <c r="A1819" s="50" t="s">
        <v>7494</v>
      </c>
      <c r="B1819" s="50" t="s">
        <v>7495</v>
      </c>
      <c r="C1819" s="50" t="s">
        <v>7496</v>
      </c>
      <c r="D1819" s="50" t="s">
        <v>7435</v>
      </c>
      <c r="E1819" s="50" t="s">
        <v>7497</v>
      </c>
    </row>
    <row r="1820" spans="1:5" s="51" customFormat="1" x14ac:dyDescent="0.15">
      <c r="A1820" s="50" t="s">
        <v>7498</v>
      </c>
      <c r="B1820" s="50" t="s">
        <v>7499</v>
      </c>
      <c r="C1820" s="50" t="s">
        <v>7500</v>
      </c>
      <c r="D1820" s="50" t="s">
        <v>7367</v>
      </c>
      <c r="E1820" s="50" t="s">
        <v>7501</v>
      </c>
    </row>
    <row r="1821" spans="1:5" s="51" customFormat="1" x14ac:dyDescent="0.15">
      <c r="A1821" s="50" t="s">
        <v>7502</v>
      </c>
      <c r="B1821" s="50" t="s">
        <v>7503</v>
      </c>
      <c r="C1821" s="50" t="s">
        <v>7504</v>
      </c>
      <c r="D1821" s="50" t="s">
        <v>7367</v>
      </c>
      <c r="E1821" s="50" t="s">
        <v>7505</v>
      </c>
    </row>
    <row r="1822" spans="1:5" s="51" customFormat="1" x14ac:dyDescent="0.15">
      <c r="A1822" s="50" t="s">
        <v>7506</v>
      </c>
      <c r="B1822" s="50" t="s">
        <v>7507</v>
      </c>
      <c r="C1822" s="50" t="s">
        <v>7508</v>
      </c>
      <c r="D1822" s="50" t="s">
        <v>7367</v>
      </c>
      <c r="E1822" s="50" t="s">
        <v>7509</v>
      </c>
    </row>
    <row r="1823" spans="1:5" s="51" customFormat="1" x14ac:dyDescent="0.15">
      <c r="A1823" s="50" t="s">
        <v>7510</v>
      </c>
      <c r="B1823" s="50" t="s">
        <v>7511</v>
      </c>
      <c r="C1823" s="50" t="s">
        <v>7512</v>
      </c>
      <c r="D1823" s="50" t="s">
        <v>7367</v>
      </c>
      <c r="E1823" s="50" t="s">
        <v>7513</v>
      </c>
    </row>
    <row r="1824" spans="1:5" s="51" customFormat="1" x14ac:dyDescent="0.15">
      <c r="A1824" s="50" t="s">
        <v>7514</v>
      </c>
      <c r="B1824" s="50" t="s">
        <v>7515</v>
      </c>
      <c r="C1824" s="50" t="s">
        <v>7516</v>
      </c>
      <c r="D1824" s="50" t="s">
        <v>7435</v>
      </c>
      <c r="E1824" s="50" t="s">
        <v>7517</v>
      </c>
    </row>
    <row r="1825" spans="1:5" s="51" customFormat="1" x14ac:dyDescent="0.15">
      <c r="A1825" s="50" t="s">
        <v>7518</v>
      </c>
      <c r="B1825" s="50" t="s">
        <v>7519</v>
      </c>
      <c r="C1825" s="50" t="s">
        <v>7520</v>
      </c>
      <c r="D1825" s="50" t="s">
        <v>7521</v>
      </c>
      <c r="E1825" s="50" t="s">
        <v>7522</v>
      </c>
    </row>
    <row r="1826" spans="1:5" s="51" customFormat="1" x14ac:dyDescent="0.15">
      <c r="A1826" s="50" t="s">
        <v>7523</v>
      </c>
      <c r="B1826" s="50" t="s">
        <v>7524</v>
      </c>
      <c r="C1826" s="50" t="s">
        <v>7525</v>
      </c>
      <c r="D1826" s="50" t="s">
        <v>7394</v>
      </c>
      <c r="E1826" s="50" t="s">
        <v>7526</v>
      </c>
    </row>
    <row r="1827" spans="1:5" s="51" customFormat="1" x14ac:dyDescent="0.15">
      <c r="A1827" s="50" t="s">
        <v>7527</v>
      </c>
      <c r="B1827" s="50" t="s">
        <v>7528</v>
      </c>
      <c r="C1827" s="50" t="s">
        <v>7529</v>
      </c>
      <c r="D1827" s="50" t="s">
        <v>7394</v>
      </c>
      <c r="E1827" s="50" t="s">
        <v>7530</v>
      </c>
    </row>
    <row r="1828" spans="1:5" s="51" customFormat="1" x14ac:dyDescent="0.15">
      <c r="A1828" s="50" t="s">
        <v>7531</v>
      </c>
      <c r="B1828" s="50" t="s">
        <v>7532</v>
      </c>
      <c r="C1828" s="50" t="s">
        <v>7533</v>
      </c>
      <c r="D1828" s="50" t="s">
        <v>7394</v>
      </c>
      <c r="E1828" s="50" t="s">
        <v>7534</v>
      </c>
    </row>
    <row r="1829" spans="1:5" s="51" customFormat="1" x14ac:dyDescent="0.15">
      <c r="A1829" s="50" t="s">
        <v>7535</v>
      </c>
      <c r="B1829" s="50" t="s">
        <v>7536</v>
      </c>
      <c r="C1829" s="50" t="s">
        <v>7537</v>
      </c>
      <c r="D1829" s="50" t="s">
        <v>7394</v>
      </c>
      <c r="E1829" s="50" t="s">
        <v>7538</v>
      </c>
    </row>
    <row r="1830" spans="1:5" s="51" customFormat="1" x14ac:dyDescent="0.15">
      <c r="A1830" s="50" t="s">
        <v>7539</v>
      </c>
      <c r="B1830" s="50" t="s">
        <v>7540</v>
      </c>
      <c r="C1830" s="50" t="s">
        <v>7541</v>
      </c>
      <c r="D1830" s="50" t="s">
        <v>7394</v>
      </c>
      <c r="E1830" s="50" t="s">
        <v>7542</v>
      </c>
    </row>
    <row r="1831" spans="1:5" s="51" customFormat="1" x14ac:dyDescent="0.15">
      <c r="A1831" s="50" t="s">
        <v>7543</v>
      </c>
      <c r="B1831" s="50" t="s">
        <v>7544</v>
      </c>
      <c r="C1831" s="50" t="s">
        <v>7545</v>
      </c>
      <c r="D1831" s="50" t="s">
        <v>7394</v>
      </c>
      <c r="E1831" s="50" t="s">
        <v>7546</v>
      </c>
    </row>
    <row r="1832" spans="1:5" s="51" customFormat="1" x14ac:dyDescent="0.15">
      <c r="A1832" s="50" t="s">
        <v>7547</v>
      </c>
      <c r="B1832" s="50" t="s">
        <v>7548</v>
      </c>
      <c r="C1832" s="50" t="s">
        <v>7549</v>
      </c>
      <c r="D1832" s="50" t="s">
        <v>7394</v>
      </c>
      <c r="E1832" s="50" t="s">
        <v>7550</v>
      </c>
    </row>
    <row r="1833" spans="1:5" s="51" customFormat="1" x14ac:dyDescent="0.15">
      <c r="A1833" s="50" t="s">
        <v>7551</v>
      </c>
      <c r="B1833" s="50" t="s">
        <v>7552</v>
      </c>
      <c r="C1833" s="50" t="s">
        <v>7553</v>
      </c>
      <c r="D1833" s="50" t="s">
        <v>7394</v>
      </c>
      <c r="E1833" s="50" t="s">
        <v>7554</v>
      </c>
    </row>
    <row r="1834" spans="1:5" s="51" customFormat="1" x14ac:dyDescent="0.15">
      <c r="A1834" s="50" t="s">
        <v>7555</v>
      </c>
      <c r="B1834" s="50" t="s">
        <v>7556</v>
      </c>
      <c r="C1834" s="50" t="s">
        <v>7557</v>
      </c>
      <c r="D1834" s="50" t="s">
        <v>7394</v>
      </c>
      <c r="E1834" s="50" t="s">
        <v>7558</v>
      </c>
    </row>
    <row r="1835" spans="1:5" s="51" customFormat="1" x14ac:dyDescent="0.15">
      <c r="A1835" s="50" t="s">
        <v>7559</v>
      </c>
      <c r="B1835" s="50" t="s">
        <v>7560</v>
      </c>
      <c r="C1835" s="50" t="s">
        <v>7561</v>
      </c>
      <c r="D1835" s="50" t="s">
        <v>7394</v>
      </c>
      <c r="E1835" s="50" t="s">
        <v>7562</v>
      </c>
    </row>
    <row r="1836" spans="1:5" s="51" customFormat="1" x14ac:dyDescent="0.15">
      <c r="A1836" s="50" t="s">
        <v>7563</v>
      </c>
      <c r="B1836" s="50" t="s">
        <v>7564</v>
      </c>
      <c r="C1836" s="50" t="s">
        <v>7565</v>
      </c>
      <c r="D1836" s="50" t="s">
        <v>7394</v>
      </c>
      <c r="E1836" s="50" t="s">
        <v>7566</v>
      </c>
    </row>
    <row r="1837" spans="1:5" s="51" customFormat="1" x14ac:dyDescent="0.15">
      <c r="A1837" s="50" t="s">
        <v>7567</v>
      </c>
      <c r="B1837" s="50" t="s">
        <v>7568</v>
      </c>
      <c r="C1837" s="50" t="s">
        <v>7569</v>
      </c>
      <c r="D1837" s="50" t="s">
        <v>7440</v>
      </c>
      <c r="E1837" s="50" t="s">
        <v>7570</v>
      </c>
    </row>
    <row r="1838" spans="1:5" s="51" customFormat="1" x14ac:dyDescent="0.15">
      <c r="A1838" s="50" t="s">
        <v>7571</v>
      </c>
      <c r="B1838" s="50" t="s">
        <v>7572</v>
      </c>
      <c r="C1838" s="50" t="s">
        <v>7573</v>
      </c>
      <c r="D1838" s="50" t="s">
        <v>7574</v>
      </c>
      <c r="E1838" s="50" t="s">
        <v>7575</v>
      </c>
    </row>
    <row r="1839" spans="1:5" s="51" customFormat="1" x14ac:dyDescent="0.15">
      <c r="A1839" s="50" t="s">
        <v>7576</v>
      </c>
      <c r="B1839" s="50" t="s">
        <v>7577</v>
      </c>
      <c r="C1839" s="50" t="s">
        <v>7578</v>
      </c>
      <c r="D1839" s="50" t="s">
        <v>7579</v>
      </c>
      <c r="E1839" s="50" t="s">
        <v>7580</v>
      </c>
    </row>
    <row r="1840" spans="1:5" s="51" customFormat="1" x14ac:dyDescent="0.15">
      <c r="A1840" s="50" t="s">
        <v>7581</v>
      </c>
      <c r="B1840" s="50" t="s">
        <v>7582</v>
      </c>
      <c r="C1840" s="50" t="s">
        <v>7583</v>
      </c>
      <c r="D1840" s="50" t="s">
        <v>6991</v>
      </c>
      <c r="E1840" s="50" t="s">
        <v>7584</v>
      </c>
    </row>
    <row r="1841" spans="1:5" s="51" customFormat="1" x14ac:dyDescent="0.15">
      <c r="A1841" s="50" t="s">
        <v>7585</v>
      </c>
      <c r="B1841" s="50" t="s">
        <v>7586</v>
      </c>
      <c r="C1841" s="50" t="s">
        <v>7587</v>
      </c>
      <c r="D1841" s="50" t="s">
        <v>7588</v>
      </c>
      <c r="E1841" s="50" t="s">
        <v>7589</v>
      </c>
    </row>
    <row r="1842" spans="1:5" s="51" customFormat="1" x14ac:dyDescent="0.15">
      <c r="A1842" s="50" t="s">
        <v>7590</v>
      </c>
      <c r="B1842" s="50" t="s">
        <v>7591</v>
      </c>
      <c r="C1842" s="50" t="s">
        <v>7592</v>
      </c>
      <c r="D1842" s="50" t="s">
        <v>7593</v>
      </c>
      <c r="E1842" s="50" t="s">
        <v>7594</v>
      </c>
    </row>
    <row r="1843" spans="1:5" s="51" customFormat="1" x14ac:dyDescent="0.15">
      <c r="A1843" s="50" t="s">
        <v>7595</v>
      </c>
      <c r="B1843" s="50" t="s">
        <v>7596</v>
      </c>
      <c r="C1843" s="50" t="s">
        <v>7597</v>
      </c>
      <c r="D1843" s="50" t="s">
        <v>7598</v>
      </c>
      <c r="E1843" s="50" t="s">
        <v>7599</v>
      </c>
    </row>
    <row r="1844" spans="1:5" s="51" customFormat="1" x14ac:dyDescent="0.15">
      <c r="A1844" s="50" t="s">
        <v>7600</v>
      </c>
      <c r="B1844" s="50" t="s">
        <v>7601</v>
      </c>
      <c r="C1844" s="50" t="s">
        <v>7602</v>
      </c>
      <c r="D1844" s="50" t="s">
        <v>7593</v>
      </c>
      <c r="E1844" s="50" t="s">
        <v>7603</v>
      </c>
    </row>
    <row r="1845" spans="1:5" s="51" customFormat="1" x14ac:dyDescent="0.15">
      <c r="A1845" s="50" t="s">
        <v>7604</v>
      </c>
      <c r="B1845" s="50" t="s">
        <v>7605</v>
      </c>
      <c r="C1845" s="50" t="s">
        <v>7606</v>
      </c>
      <c r="D1845" s="50" t="s">
        <v>7607</v>
      </c>
      <c r="E1845" s="50" t="s">
        <v>7608</v>
      </c>
    </row>
    <row r="1846" spans="1:5" s="51" customFormat="1" x14ac:dyDescent="0.15">
      <c r="A1846" s="50" t="s">
        <v>7609</v>
      </c>
      <c r="B1846" s="50" t="s">
        <v>7610</v>
      </c>
      <c r="C1846" s="50" t="s">
        <v>7611</v>
      </c>
      <c r="D1846" s="50" t="s">
        <v>7612</v>
      </c>
      <c r="E1846" s="50" t="s">
        <v>7613</v>
      </c>
    </row>
    <row r="1847" spans="1:5" s="51" customFormat="1" x14ac:dyDescent="0.15">
      <c r="A1847" s="50" t="s">
        <v>7614</v>
      </c>
      <c r="B1847" s="50" t="s">
        <v>7615</v>
      </c>
      <c r="C1847" s="50" t="s">
        <v>7616</v>
      </c>
      <c r="D1847" s="50" t="s">
        <v>7617</v>
      </c>
      <c r="E1847" s="50" t="s">
        <v>7618</v>
      </c>
    </row>
    <row r="1848" spans="1:5" s="51" customFormat="1" x14ac:dyDescent="0.15">
      <c r="A1848" s="50" t="s">
        <v>7619</v>
      </c>
      <c r="B1848" s="50" t="s">
        <v>7620</v>
      </c>
      <c r="C1848" s="50" t="s">
        <v>7621</v>
      </c>
      <c r="D1848" s="50" t="s">
        <v>7612</v>
      </c>
      <c r="E1848" s="50" t="s">
        <v>7622</v>
      </c>
    </row>
    <row r="1849" spans="1:5" s="51" customFormat="1" x14ac:dyDescent="0.15">
      <c r="A1849" s="50" t="s">
        <v>7623</v>
      </c>
      <c r="B1849" s="50" t="s">
        <v>7624</v>
      </c>
      <c r="C1849" s="50" t="s">
        <v>7625</v>
      </c>
      <c r="D1849" s="50" t="s">
        <v>7626</v>
      </c>
      <c r="E1849" s="50" t="s">
        <v>7627</v>
      </c>
    </row>
    <row r="1850" spans="1:5" s="51" customFormat="1" x14ac:dyDescent="0.15">
      <c r="A1850" s="50" t="s">
        <v>7628</v>
      </c>
      <c r="B1850" s="50" t="s">
        <v>7629</v>
      </c>
      <c r="C1850" s="50" t="s">
        <v>7630</v>
      </c>
      <c r="D1850" s="50" t="s">
        <v>7631</v>
      </c>
      <c r="E1850" s="50" t="s">
        <v>7632</v>
      </c>
    </row>
    <row r="1851" spans="1:5" s="51" customFormat="1" x14ac:dyDescent="0.15">
      <c r="A1851" s="50" t="s">
        <v>7633</v>
      </c>
      <c r="B1851" s="50" t="s">
        <v>7634</v>
      </c>
      <c r="C1851" s="50" t="s">
        <v>7635</v>
      </c>
      <c r="D1851" s="50" t="s">
        <v>7612</v>
      </c>
      <c r="E1851" s="50" t="s">
        <v>7636</v>
      </c>
    </row>
    <row r="1852" spans="1:5" s="51" customFormat="1" x14ac:dyDescent="0.15">
      <c r="A1852" s="50" t="s">
        <v>7637</v>
      </c>
      <c r="B1852" s="50" t="s">
        <v>7638</v>
      </c>
      <c r="C1852" s="50" t="s">
        <v>7639</v>
      </c>
      <c r="D1852" s="50" t="s">
        <v>7612</v>
      </c>
      <c r="E1852" s="50" t="s">
        <v>7640</v>
      </c>
    </row>
    <row r="1853" spans="1:5" s="51" customFormat="1" x14ac:dyDescent="0.15">
      <c r="A1853" s="50" t="s">
        <v>7641</v>
      </c>
      <c r="B1853" s="50" t="s">
        <v>7642</v>
      </c>
      <c r="C1853" s="50" t="s">
        <v>7643</v>
      </c>
      <c r="D1853" s="50" t="s">
        <v>7579</v>
      </c>
      <c r="E1853" s="50" t="s">
        <v>7644</v>
      </c>
    </row>
    <row r="1854" spans="1:5" s="51" customFormat="1" x14ac:dyDescent="0.15">
      <c r="A1854" s="50" t="s">
        <v>7645</v>
      </c>
      <c r="B1854" s="50" t="s">
        <v>7646</v>
      </c>
      <c r="C1854" s="50" t="s">
        <v>7647</v>
      </c>
      <c r="D1854" s="50" t="s">
        <v>7588</v>
      </c>
      <c r="E1854" s="50" t="s">
        <v>7648</v>
      </c>
    </row>
    <row r="1855" spans="1:5" s="51" customFormat="1" x14ac:dyDescent="0.15">
      <c r="A1855" s="50" t="s">
        <v>7649</v>
      </c>
      <c r="B1855" s="50" t="s">
        <v>7650</v>
      </c>
      <c r="C1855" s="50" t="s">
        <v>7651</v>
      </c>
      <c r="D1855" s="50" t="s">
        <v>7588</v>
      </c>
      <c r="E1855" s="50" t="s">
        <v>7652</v>
      </c>
    </row>
    <row r="1856" spans="1:5" s="51" customFormat="1" x14ac:dyDescent="0.15">
      <c r="A1856" s="50" t="s">
        <v>7653</v>
      </c>
      <c r="B1856" s="50" t="s">
        <v>7654</v>
      </c>
      <c r="C1856" s="50" t="s">
        <v>7655</v>
      </c>
      <c r="D1856" s="50" t="s">
        <v>7656</v>
      </c>
      <c r="E1856" s="50" t="s">
        <v>7657</v>
      </c>
    </row>
    <row r="1857" spans="1:5" s="51" customFormat="1" x14ac:dyDescent="0.15">
      <c r="A1857" s="50" t="s">
        <v>7658</v>
      </c>
      <c r="B1857" s="50" t="s">
        <v>7659</v>
      </c>
      <c r="C1857" s="50" t="s">
        <v>7660</v>
      </c>
      <c r="D1857" s="50" t="s">
        <v>7661</v>
      </c>
      <c r="E1857" s="50" t="s">
        <v>7662</v>
      </c>
    </row>
    <row r="1858" spans="1:5" s="51" customFormat="1" x14ac:dyDescent="0.15">
      <c r="A1858" s="50" t="s">
        <v>7663</v>
      </c>
      <c r="B1858" s="50" t="s">
        <v>7664</v>
      </c>
      <c r="C1858" s="50" t="s">
        <v>7665</v>
      </c>
      <c r="D1858" s="50" t="s">
        <v>7666</v>
      </c>
      <c r="E1858" s="50" t="s">
        <v>7667</v>
      </c>
    </row>
    <row r="1859" spans="1:5" s="51" customFormat="1" x14ac:dyDescent="0.15">
      <c r="A1859" s="50" t="s">
        <v>7668</v>
      </c>
      <c r="B1859" s="50" t="s">
        <v>7669</v>
      </c>
      <c r="C1859" s="50" t="s">
        <v>7670</v>
      </c>
      <c r="D1859" s="50" t="s">
        <v>7671</v>
      </c>
      <c r="E1859" s="50" t="s">
        <v>7672</v>
      </c>
    </row>
    <row r="1860" spans="1:5" s="51" customFormat="1" x14ac:dyDescent="0.15">
      <c r="A1860" s="50" t="s">
        <v>7673</v>
      </c>
      <c r="B1860" s="50" t="s">
        <v>7674</v>
      </c>
      <c r="C1860" s="50" t="s">
        <v>7675</v>
      </c>
      <c r="D1860" s="50" t="s">
        <v>7676</v>
      </c>
      <c r="E1860" s="50" t="s">
        <v>7677</v>
      </c>
    </row>
    <row r="1861" spans="1:5" s="51" customFormat="1" x14ac:dyDescent="0.15">
      <c r="A1861" s="50" t="s">
        <v>7678</v>
      </c>
      <c r="B1861" s="50" t="s">
        <v>7679</v>
      </c>
      <c r="C1861" s="50" t="s">
        <v>7680</v>
      </c>
      <c r="D1861" s="50" t="s">
        <v>7666</v>
      </c>
      <c r="E1861" s="50" t="s">
        <v>7681</v>
      </c>
    </row>
    <row r="1862" spans="1:5" s="51" customFormat="1" x14ac:dyDescent="0.15">
      <c r="A1862" s="50" t="s">
        <v>7682</v>
      </c>
      <c r="B1862" s="50" t="s">
        <v>7683</v>
      </c>
      <c r="C1862" s="50" t="s">
        <v>7684</v>
      </c>
      <c r="D1862" s="50" t="s">
        <v>7671</v>
      </c>
      <c r="E1862" s="50" t="s">
        <v>7685</v>
      </c>
    </row>
    <row r="1863" spans="1:5" s="51" customFormat="1" x14ac:dyDescent="0.15">
      <c r="A1863" s="50" t="s">
        <v>7686</v>
      </c>
      <c r="B1863" s="50" t="s">
        <v>7687</v>
      </c>
      <c r="C1863" s="50" t="s">
        <v>7688</v>
      </c>
      <c r="D1863" s="50" t="s">
        <v>7689</v>
      </c>
      <c r="E1863" s="50" t="s">
        <v>7690</v>
      </c>
    </row>
    <row r="1864" spans="1:5" s="51" customFormat="1" x14ac:dyDescent="0.15">
      <c r="A1864" s="50" t="s">
        <v>7691</v>
      </c>
      <c r="B1864" s="50" t="s">
        <v>7692</v>
      </c>
      <c r="C1864" s="50" t="s">
        <v>7693</v>
      </c>
      <c r="D1864" s="50" t="s">
        <v>7676</v>
      </c>
      <c r="E1864" s="50" t="s">
        <v>7694</v>
      </c>
    </row>
    <row r="1865" spans="1:5" s="51" customFormat="1" x14ac:dyDescent="0.15">
      <c r="A1865" s="50" t="s">
        <v>7695</v>
      </c>
      <c r="B1865" s="50" t="s">
        <v>7696</v>
      </c>
      <c r="C1865" s="50" t="s">
        <v>7697</v>
      </c>
      <c r="D1865" s="50" t="s">
        <v>7661</v>
      </c>
      <c r="E1865" s="50" t="s">
        <v>7698</v>
      </c>
    </row>
    <row r="1866" spans="1:5" s="51" customFormat="1" x14ac:dyDescent="0.15">
      <c r="A1866" s="50" t="s">
        <v>7699</v>
      </c>
      <c r="B1866" s="50" t="s">
        <v>7700</v>
      </c>
      <c r="C1866" s="50" t="s">
        <v>7701</v>
      </c>
      <c r="D1866" s="50" t="s">
        <v>7676</v>
      </c>
      <c r="E1866" s="50" t="s">
        <v>7702</v>
      </c>
    </row>
    <row r="1867" spans="1:5" s="51" customFormat="1" x14ac:dyDescent="0.15">
      <c r="A1867" s="50" t="s">
        <v>7703</v>
      </c>
      <c r="B1867" s="50" t="s">
        <v>7704</v>
      </c>
      <c r="C1867" s="50" t="s">
        <v>7705</v>
      </c>
      <c r="D1867" s="50" t="s">
        <v>7656</v>
      </c>
      <c r="E1867" s="50" t="s">
        <v>7706</v>
      </c>
    </row>
    <row r="1868" spans="1:5" s="51" customFormat="1" x14ac:dyDescent="0.15">
      <c r="A1868" s="50" t="s">
        <v>7707</v>
      </c>
      <c r="B1868" s="50" t="s">
        <v>7708</v>
      </c>
      <c r="C1868" s="50" t="s">
        <v>7709</v>
      </c>
      <c r="D1868" s="50" t="s">
        <v>7656</v>
      </c>
      <c r="E1868" s="50" t="s">
        <v>7710</v>
      </c>
    </row>
    <row r="1869" spans="1:5" s="51" customFormat="1" x14ac:dyDescent="0.15">
      <c r="A1869" s="50" t="s">
        <v>7711</v>
      </c>
      <c r="B1869" s="50" t="s">
        <v>7712</v>
      </c>
      <c r="C1869" s="50" t="s">
        <v>7713</v>
      </c>
      <c r="D1869" s="50" t="s">
        <v>7714</v>
      </c>
      <c r="E1869" s="50" t="s">
        <v>7715</v>
      </c>
    </row>
    <row r="1870" spans="1:5" s="51" customFormat="1" x14ac:dyDescent="0.15">
      <c r="A1870" s="50" t="s">
        <v>7716</v>
      </c>
      <c r="B1870" s="50" t="s">
        <v>7717</v>
      </c>
      <c r="C1870" s="50" t="s">
        <v>7718</v>
      </c>
      <c r="D1870" s="50" t="s">
        <v>7714</v>
      </c>
      <c r="E1870" s="50" t="s">
        <v>7719</v>
      </c>
    </row>
    <row r="1871" spans="1:5" s="51" customFormat="1" x14ac:dyDescent="0.15">
      <c r="A1871" s="50" t="s">
        <v>7720</v>
      </c>
      <c r="B1871" s="50" t="s">
        <v>7721</v>
      </c>
      <c r="C1871" s="50" t="s">
        <v>7722</v>
      </c>
      <c r="D1871" s="50" t="s">
        <v>7714</v>
      </c>
      <c r="E1871" s="50" t="s">
        <v>7723</v>
      </c>
    </row>
    <row r="1872" spans="1:5" s="51" customFormat="1" x14ac:dyDescent="0.15">
      <c r="A1872" s="50" t="s">
        <v>7724</v>
      </c>
      <c r="B1872" s="50" t="s">
        <v>7725</v>
      </c>
      <c r="C1872" s="50" t="s">
        <v>7726</v>
      </c>
      <c r="D1872" s="50" t="s">
        <v>7727</v>
      </c>
      <c r="E1872" s="50" t="s">
        <v>7728</v>
      </c>
    </row>
    <row r="1873" spans="1:5" s="51" customFormat="1" x14ac:dyDescent="0.15">
      <c r="A1873" s="50" t="s">
        <v>7729</v>
      </c>
      <c r="B1873" s="50" t="s">
        <v>7730</v>
      </c>
      <c r="C1873" s="50" t="s">
        <v>7731</v>
      </c>
      <c r="D1873" s="50" t="s">
        <v>7714</v>
      </c>
      <c r="E1873" s="50" t="s">
        <v>7732</v>
      </c>
    </row>
    <row r="1874" spans="1:5" s="51" customFormat="1" x14ac:dyDescent="0.15">
      <c r="A1874" s="50" t="s">
        <v>7733</v>
      </c>
      <c r="B1874" s="50" t="s">
        <v>7734</v>
      </c>
      <c r="C1874" s="50" t="s">
        <v>7735</v>
      </c>
      <c r="D1874" s="50" t="s">
        <v>7714</v>
      </c>
      <c r="E1874" s="50" t="s">
        <v>7736</v>
      </c>
    </row>
    <row r="1875" spans="1:5" s="51" customFormat="1" x14ac:dyDescent="0.15">
      <c r="A1875" s="50" t="s">
        <v>7737</v>
      </c>
      <c r="B1875" s="50" t="s">
        <v>7738</v>
      </c>
      <c r="C1875" s="50" t="s">
        <v>7739</v>
      </c>
      <c r="D1875" s="50" t="s">
        <v>7666</v>
      </c>
      <c r="E1875" s="50" t="s">
        <v>7740</v>
      </c>
    </row>
    <row r="1876" spans="1:5" s="51" customFormat="1" x14ac:dyDescent="0.15">
      <c r="A1876" s="50" t="s">
        <v>7741</v>
      </c>
      <c r="B1876" s="50" t="s">
        <v>7742</v>
      </c>
      <c r="C1876" s="50" t="s">
        <v>7743</v>
      </c>
      <c r="D1876" s="50" t="s">
        <v>7666</v>
      </c>
      <c r="E1876" s="50" t="s">
        <v>7744</v>
      </c>
    </row>
    <row r="1877" spans="1:5" s="51" customFormat="1" x14ac:dyDescent="0.15">
      <c r="A1877" s="50" t="s">
        <v>7745</v>
      </c>
      <c r="B1877" s="50" t="s">
        <v>7746</v>
      </c>
      <c r="C1877" s="50" t="s">
        <v>7747</v>
      </c>
      <c r="D1877" s="50" t="s">
        <v>7748</v>
      </c>
      <c r="E1877" s="50" t="s">
        <v>7749</v>
      </c>
    </row>
    <row r="1878" spans="1:5" s="51" customFormat="1" x14ac:dyDescent="0.15">
      <c r="A1878" s="50" t="s">
        <v>7750</v>
      </c>
      <c r="B1878" s="50" t="s">
        <v>7751</v>
      </c>
      <c r="C1878" s="50" t="s">
        <v>7752</v>
      </c>
      <c r="D1878" s="50" t="s">
        <v>7666</v>
      </c>
      <c r="E1878" s="50" t="s">
        <v>7753</v>
      </c>
    </row>
    <row r="1879" spans="1:5" s="51" customFormat="1" x14ac:dyDescent="0.15">
      <c r="A1879" s="50" t="s">
        <v>7754</v>
      </c>
      <c r="B1879" s="50" t="s">
        <v>7755</v>
      </c>
      <c r="C1879" s="50" t="s">
        <v>7756</v>
      </c>
      <c r="D1879" s="50" t="s">
        <v>7666</v>
      </c>
      <c r="E1879" s="50" t="s">
        <v>7757</v>
      </c>
    </row>
    <row r="1880" spans="1:5" s="51" customFormat="1" x14ac:dyDescent="0.15">
      <c r="A1880" s="50" t="s">
        <v>7758</v>
      </c>
      <c r="B1880" s="50" t="s">
        <v>7759</v>
      </c>
      <c r="C1880" s="50" t="s">
        <v>7760</v>
      </c>
      <c r="D1880" s="50" t="s">
        <v>7666</v>
      </c>
      <c r="E1880" s="50" t="s">
        <v>7761</v>
      </c>
    </row>
    <row r="1881" spans="1:5" s="51" customFormat="1" x14ac:dyDescent="0.15">
      <c r="A1881" s="50" t="s">
        <v>7762</v>
      </c>
      <c r="B1881" s="50" t="s">
        <v>7763</v>
      </c>
      <c r="C1881" s="50" t="s">
        <v>7764</v>
      </c>
      <c r="D1881" s="50" t="s">
        <v>7666</v>
      </c>
      <c r="E1881" s="50" t="s">
        <v>7765</v>
      </c>
    </row>
    <row r="1882" spans="1:5" s="51" customFormat="1" x14ac:dyDescent="0.15">
      <c r="A1882" s="50" t="s">
        <v>7766</v>
      </c>
      <c r="B1882" s="50" t="s">
        <v>7767</v>
      </c>
      <c r="C1882" s="50" t="s">
        <v>7768</v>
      </c>
      <c r="D1882" s="50" t="s">
        <v>7769</v>
      </c>
      <c r="E1882" s="50" t="s">
        <v>7770</v>
      </c>
    </row>
    <row r="1883" spans="1:5" s="51" customFormat="1" x14ac:dyDescent="0.15">
      <c r="A1883" s="50" t="s">
        <v>7771</v>
      </c>
      <c r="B1883" s="50" t="s">
        <v>7772</v>
      </c>
      <c r="C1883" s="50" t="s">
        <v>7773</v>
      </c>
      <c r="D1883" s="50" t="s">
        <v>7774</v>
      </c>
      <c r="E1883" s="50" t="s">
        <v>7775</v>
      </c>
    </row>
    <row r="1884" spans="1:5" s="51" customFormat="1" x14ac:dyDescent="0.15">
      <c r="A1884" s="50" t="s">
        <v>7776</v>
      </c>
      <c r="B1884" s="50" t="s">
        <v>7777</v>
      </c>
      <c r="C1884" s="50" t="s">
        <v>7778</v>
      </c>
      <c r="D1884" s="50" t="s">
        <v>7779</v>
      </c>
      <c r="E1884" s="50" t="s">
        <v>7780</v>
      </c>
    </row>
    <row r="1885" spans="1:5" s="51" customFormat="1" x14ac:dyDescent="0.15">
      <c r="A1885" s="50" t="s">
        <v>7781</v>
      </c>
      <c r="B1885" s="50" t="s">
        <v>7782</v>
      </c>
      <c r="C1885" s="50" t="s">
        <v>7783</v>
      </c>
      <c r="D1885" s="50" t="s">
        <v>7784</v>
      </c>
      <c r="E1885" s="50" t="s">
        <v>7785</v>
      </c>
    </row>
    <row r="1886" spans="1:5" s="51" customFormat="1" x14ac:dyDescent="0.15">
      <c r="A1886" s="50" t="s">
        <v>7786</v>
      </c>
      <c r="B1886" s="50" t="s">
        <v>7787</v>
      </c>
      <c r="C1886" s="50" t="s">
        <v>5359</v>
      </c>
      <c r="D1886" s="50" t="s">
        <v>7784</v>
      </c>
      <c r="E1886" s="50" t="s">
        <v>7788</v>
      </c>
    </row>
    <row r="1887" spans="1:5" s="51" customFormat="1" x14ac:dyDescent="0.15">
      <c r="A1887" s="50" t="s">
        <v>7789</v>
      </c>
      <c r="B1887" s="50" t="s">
        <v>7790</v>
      </c>
      <c r="C1887" s="50" t="s">
        <v>7791</v>
      </c>
      <c r="D1887" s="50" t="s">
        <v>7779</v>
      </c>
      <c r="E1887" s="50" t="s">
        <v>7792</v>
      </c>
    </row>
    <row r="1888" spans="1:5" s="51" customFormat="1" x14ac:dyDescent="0.15">
      <c r="A1888" s="50" t="s">
        <v>7793</v>
      </c>
      <c r="B1888" s="50" t="s">
        <v>7794</v>
      </c>
      <c r="C1888" s="50" t="s">
        <v>7795</v>
      </c>
      <c r="D1888" s="50" t="s">
        <v>7796</v>
      </c>
      <c r="E1888" s="50" t="s">
        <v>7797</v>
      </c>
    </row>
    <row r="1889" spans="1:5" s="51" customFormat="1" x14ac:dyDescent="0.15">
      <c r="A1889" s="50" t="s">
        <v>7798</v>
      </c>
      <c r="B1889" s="50" t="s">
        <v>7799</v>
      </c>
      <c r="C1889" s="50" t="s">
        <v>7800</v>
      </c>
      <c r="D1889" s="50" t="s">
        <v>7801</v>
      </c>
      <c r="E1889" s="50" t="s">
        <v>7802</v>
      </c>
    </row>
    <row r="1890" spans="1:5" s="51" customFormat="1" x14ac:dyDescent="0.15">
      <c r="A1890" s="50" t="s">
        <v>7803</v>
      </c>
      <c r="B1890" s="50" t="s">
        <v>7804</v>
      </c>
      <c r="C1890" s="50" t="s">
        <v>7805</v>
      </c>
      <c r="D1890" s="50" t="s">
        <v>7806</v>
      </c>
      <c r="E1890" s="50" t="s">
        <v>7807</v>
      </c>
    </row>
    <row r="1891" spans="1:5" s="51" customFormat="1" x14ac:dyDescent="0.15">
      <c r="A1891" s="50" t="s">
        <v>7808</v>
      </c>
      <c r="B1891" s="50" t="s">
        <v>7809</v>
      </c>
      <c r="C1891" s="50" t="s">
        <v>7810</v>
      </c>
      <c r="D1891" s="50" t="s">
        <v>7811</v>
      </c>
      <c r="E1891" s="50" t="s">
        <v>7812</v>
      </c>
    </row>
    <row r="1892" spans="1:5" s="51" customFormat="1" x14ac:dyDescent="0.15">
      <c r="A1892" s="50" t="s">
        <v>7813</v>
      </c>
      <c r="B1892" s="50" t="s">
        <v>7814</v>
      </c>
      <c r="C1892" s="50" t="s">
        <v>7815</v>
      </c>
      <c r="D1892" s="50" t="s">
        <v>7816</v>
      </c>
      <c r="E1892" s="50" t="s">
        <v>7817</v>
      </c>
    </row>
    <row r="1893" spans="1:5" s="51" customFormat="1" x14ac:dyDescent="0.15">
      <c r="A1893" s="50" t="s">
        <v>7818</v>
      </c>
      <c r="B1893" s="50" t="s">
        <v>7819</v>
      </c>
      <c r="C1893" s="50" t="s">
        <v>7820</v>
      </c>
      <c r="D1893" s="50" t="s">
        <v>7821</v>
      </c>
      <c r="E1893" s="50" t="s">
        <v>7822</v>
      </c>
    </row>
    <row r="1894" spans="1:5" s="51" customFormat="1" x14ac:dyDescent="0.15">
      <c r="A1894" s="50" t="s">
        <v>7823</v>
      </c>
      <c r="B1894" s="50" t="s">
        <v>7824</v>
      </c>
      <c r="C1894" s="50" t="s">
        <v>7825</v>
      </c>
      <c r="D1894" s="50" t="s">
        <v>7784</v>
      </c>
      <c r="E1894" s="50" t="s">
        <v>7826</v>
      </c>
    </row>
    <row r="1895" spans="1:5" s="51" customFormat="1" x14ac:dyDescent="0.15">
      <c r="A1895" s="50" t="s">
        <v>7827</v>
      </c>
      <c r="B1895" s="50" t="s">
        <v>7828</v>
      </c>
      <c r="C1895" s="50" t="s">
        <v>7829</v>
      </c>
      <c r="D1895" s="50" t="s">
        <v>7779</v>
      </c>
      <c r="E1895" s="50" t="s">
        <v>7830</v>
      </c>
    </row>
    <row r="1896" spans="1:5" s="51" customFormat="1" x14ac:dyDescent="0.15">
      <c r="A1896" s="50" t="s">
        <v>7831</v>
      </c>
      <c r="B1896" s="50" t="s">
        <v>7832</v>
      </c>
      <c r="C1896" s="50" t="s">
        <v>7833</v>
      </c>
      <c r="D1896" s="50" t="s">
        <v>7811</v>
      </c>
      <c r="E1896" s="50" t="s">
        <v>7834</v>
      </c>
    </row>
    <row r="1897" spans="1:5" s="51" customFormat="1" x14ac:dyDescent="0.15">
      <c r="A1897" s="50" t="s">
        <v>7835</v>
      </c>
      <c r="B1897" s="50" t="s">
        <v>7836</v>
      </c>
      <c r="C1897" s="50" t="s">
        <v>7837</v>
      </c>
      <c r="D1897" s="50" t="s">
        <v>7796</v>
      </c>
      <c r="E1897" s="50" t="s">
        <v>7838</v>
      </c>
    </row>
    <row r="1898" spans="1:5" s="51" customFormat="1" x14ac:dyDescent="0.15">
      <c r="A1898" s="50" t="s">
        <v>7839</v>
      </c>
      <c r="B1898" s="50" t="s">
        <v>7840</v>
      </c>
      <c r="C1898" s="50" t="s">
        <v>7841</v>
      </c>
      <c r="D1898" s="50" t="s">
        <v>7779</v>
      </c>
      <c r="E1898" s="50" t="s">
        <v>7842</v>
      </c>
    </row>
    <row r="1899" spans="1:5" s="51" customFormat="1" x14ac:dyDescent="0.15">
      <c r="A1899" s="50" t="s">
        <v>7843</v>
      </c>
      <c r="B1899" s="50" t="s">
        <v>7844</v>
      </c>
      <c r="C1899" s="50" t="s">
        <v>7845</v>
      </c>
      <c r="D1899" s="50" t="s">
        <v>7821</v>
      </c>
      <c r="E1899" s="50" t="s">
        <v>7846</v>
      </c>
    </row>
    <row r="1900" spans="1:5" s="51" customFormat="1" x14ac:dyDescent="0.15">
      <c r="A1900" s="50" t="s">
        <v>7847</v>
      </c>
      <c r="B1900" s="50" t="s">
        <v>7848</v>
      </c>
      <c r="C1900" s="50" t="s">
        <v>7849</v>
      </c>
      <c r="D1900" s="50" t="s">
        <v>7821</v>
      </c>
      <c r="E1900" s="50" t="s">
        <v>7850</v>
      </c>
    </row>
    <row r="1901" spans="1:5" s="51" customFormat="1" x14ac:dyDescent="0.15">
      <c r="A1901" s="50" t="s">
        <v>7851</v>
      </c>
      <c r="B1901" s="50" t="s">
        <v>7852</v>
      </c>
      <c r="C1901" s="50" t="s">
        <v>7853</v>
      </c>
      <c r="D1901" s="50" t="s">
        <v>7854</v>
      </c>
      <c r="E1901" s="50" t="s">
        <v>7855</v>
      </c>
    </row>
    <row r="1902" spans="1:5" s="51" customFormat="1" x14ac:dyDescent="0.15">
      <c r="A1902" s="50" t="s">
        <v>7856</v>
      </c>
      <c r="B1902" s="50" t="s">
        <v>7857</v>
      </c>
      <c r="C1902" s="50" t="s">
        <v>7858</v>
      </c>
      <c r="D1902" s="50" t="s">
        <v>7859</v>
      </c>
      <c r="E1902" s="50" t="s">
        <v>7860</v>
      </c>
    </row>
    <row r="1903" spans="1:5" s="51" customFormat="1" x14ac:dyDescent="0.15">
      <c r="A1903" s="50" t="s">
        <v>7861</v>
      </c>
      <c r="B1903" s="50" t="s">
        <v>7862</v>
      </c>
      <c r="C1903" s="50" t="s">
        <v>7863</v>
      </c>
      <c r="D1903" s="50" t="s">
        <v>7784</v>
      </c>
      <c r="E1903" s="50" t="s">
        <v>7864</v>
      </c>
    </row>
    <row r="1904" spans="1:5" s="51" customFormat="1" x14ac:dyDescent="0.15">
      <c r="A1904" s="50" t="s">
        <v>7865</v>
      </c>
      <c r="B1904" s="50" t="s">
        <v>7866</v>
      </c>
      <c r="C1904" s="50" t="s">
        <v>7867</v>
      </c>
      <c r="D1904" s="50" t="s">
        <v>7784</v>
      </c>
      <c r="E1904" s="50" t="s">
        <v>7868</v>
      </c>
    </row>
    <row r="1905" spans="1:5" s="51" customFormat="1" x14ac:dyDescent="0.15">
      <c r="A1905" s="50" t="s">
        <v>7869</v>
      </c>
      <c r="B1905" s="50" t="s">
        <v>7870</v>
      </c>
      <c r="C1905" s="50" t="s">
        <v>7871</v>
      </c>
      <c r="D1905" s="50" t="s">
        <v>7821</v>
      </c>
      <c r="E1905" s="50" t="s">
        <v>7872</v>
      </c>
    </row>
    <row r="1906" spans="1:5" s="51" customFormat="1" x14ac:dyDescent="0.15">
      <c r="A1906" s="50" t="s">
        <v>7873</v>
      </c>
      <c r="B1906" s="50" t="s">
        <v>7874</v>
      </c>
      <c r="C1906" s="50" t="s">
        <v>7875</v>
      </c>
      <c r="D1906" s="50" t="s">
        <v>7811</v>
      </c>
      <c r="E1906" s="50" t="s">
        <v>7876</v>
      </c>
    </row>
    <row r="1907" spans="1:5" s="51" customFormat="1" x14ac:dyDescent="0.15">
      <c r="A1907" s="50" t="s">
        <v>7877</v>
      </c>
      <c r="B1907" s="50" t="s">
        <v>7878</v>
      </c>
      <c r="C1907" s="50" t="s">
        <v>7879</v>
      </c>
      <c r="D1907" s="50" t="s">
        <v>7801</v>
      </c>
      <c r="E1907" s="50" t="s">
        <v>7880</v>
      </c>
    </row>
    <row r="1908" spans="1:5" s="51" customFormat="1" x14ac:dyDescent="0.15">
      <c r="A1908" s="50" t="s">
        <v>7881</v>
      </c>
      <c r="B1908" s="50" t="s">
        <v>7882</v>
      </c>
      <c r="C1908" s="50" t="s">
        <v>7883</v>
      </c>
      <c r="D1908" s="50" t="s">
        <v>7801</v>
      </c>
      <c r="E1908" s="50" t="s">
        <v>7884</v>
      </c>
    </row>
    <row r="1909" spans="1:5" s="51" customFormat="1" x14ac:dyDescent="0.15">
      <c r="A1909" s="50" t="s">
        <v>7885</v>
      </c>
      <c r="B1909" s="50" t="s">
        <v>7886</v>
      </c>
      <c r="C1909" s="50" t="s">
        <v>7887</v>
      </c>
      <c r="D1909" s="50" t="s">
        <v>7801</v>
      </c>
      <c r="E1909" s="50" t="s">
        <v>7888</v>
      </c>
    </row>
    <row r="1910" spans="1:5" s="51" customFormat="1" x14ac:dyDescent="0.15">
      <c r="A1910" s="50" t="s">
        <v>7889</v>
      </c>
      <c r="B1910" s="50" t="s">
        <v>7890</v>
      </c>
      <c r="C1910" s="50" t="s">
        <v>7891</v>
      </c>
      <c r="D1910" s="50" t="s">
        <v>7801</v>
      </c>
      <c r="E1910" s="50" t="s">
        <v>7892</v>
      </c>
    </row>
    <row r="1911" spans="1:5" s="51" customFormat="1" x14ac:dyDescent="0.15">
      <c r="A1911" s="50" t="s">
        <v>7893</v>
      </c>
      <c r="B1911" s="50" t="s">
        <v>7894</v>
      </c>
      <c r="C1911" s="50" t="s">
        <v>7895</v>
      </c>
      <c r="D1911" s="50" t="s">
        <v>7796</v>
      </c>
      <c r="E1911" s="50" t="s">
        <v>7896</v>
      </c>
    </row>
    <row r="1912" spans="1:5" s="51" customFormat="1" x14ac:dyDescent="0.15">
      <c r="A1912" s="50" t="s">
        <v>7897</v>
      </c>
      <c r="B1912" s="50" t="s">
        <v>7898</v>
      </c>
      <c r="C1912" s="50" t="s">
        <v>7899</v>
      </c>
      <c r="D1912" s="50" t="s">
        <v>7796</v>
      </c>
      <c r="E1912" s="50" t="s">
        <v>7900</v>
      </c>
    </row>
    <row r="1913" spans="1:5" s="51" customFormat="1" x14ac:dyDescent="0.15">
      <c r="A1913" s="50" t="s">
        <v>7901</v>
      </c>
      <c r="B1913" s="50" t="s">
        <v>7902</v>
      </c>
      <c r="C1913" s="50" t="s">
        <v>7903</v>
      </c>
      <c r="D1913" s="50" t="s">
        <v>7796</v>
      </c>
      <c r="E1913" s="50" t="s">
        <v>7904</v>
      </c>
    </row>
    <row r="1914" spans="1:5" s="51" customFormat="1" x14ac:dyDescent="0.15">
      <c r="A1914" s="50" t="s">
        <v>7905</v>
      </c>
      <c r="B1914" s="50" t="s">
        <v>7906</v>
      </c>
      <c r="C1914" s="50" t="s">
        <v>7907</v>
      </c>
      <c r="D1914" s="50" t="s">
        <v>7796</v>
      </c>
      <c r="E1914" s="50" t="s">
        <v>7908</v>
      </c>
    </row>
    <row r="1915" spans="1:5" s="51" customFormat="1" x14ac:dyDescent="0.15">
      <c r="A1915" s="50" t="s">
        <v>7909</v>
      </c>
      <c r="B1915" s="50" t="s">
        <v>7910</v>
      </c>
      <c r="C1915" s="50" t="s">
        <v>7911</v>
      </c>
      <c r="D1915" s="50" t="s">
        <v>7796</v>
      </c>
      <c r="E1915" s="50" t="s">
        <v>7912</v>
      </c>
    </row>
    <row r="1916" spans="1:5" s="51" customFormat="1" x14ac:dyDescent="0.15">
      <c r="A1916" s="50" t="s">
        <v>7913</v>
      </c>
      <c r="B1916" s="50" t="s">
        <v>7914</v>
      </c>
      <c r="C1916" s="50" t="s">
        <v>7915</v>
      </c>
      <c r="D1916" s="50" t="s">
        <v>7796</v>
      </c>
      <c r="E1916" s="50" t="s">
        <v>7916</v>
      </c>
    </row>
    <row r="1917" spans="1:5" s="51" customFormat="1" x14ac:dyDescent="0.15">
      <c r="A1917" s="50" t="s">
        <v>7917</v>
      </c>
      <c r="B1917" s="50" t="s">
        <v>7918</v>
      </c>
      <c r="C1917" s="50" t="s">
        <v>7919</v>
      </c>
      <c r="D1917" s="50" t="s">
        <v>7796</v>
      </c>
      <c r="E1917" s="50" t="s">
        <v>7920</v>
      </c>
    </row>
    <row r="1918" spans="1:5" s="51" customFormat="1" x14ac:dyDescent="0.15">
      <c r="A1918" s="50" t="s">
        <v>7921</v>
      </c>
      <c r="B1918" s="50" t="s">
        <v>7922</v>
      </c>
      <c r="C1918" s="50" t="s">
        <v>7923</v>
      </c>
      <c r="D1918" s="50" t="s">
        <v>7796</v>
      </c>
      <c r="E1918" s="50" t="s">
        <v>7924</v>
      </c>
    </row>
    <row r="1919" spans="1:5" s="51" customFormat="1" x14ac:dyDescent="0.15">
      <c r="A1919" s="50" t="s">
        <v>7925</v>
      </c>
      <c r="B1919" s="50" t="s">
        <v>7926</v>
      </c>
      <c r="C1919" s="50" t="s">
        <v>7927</v>
      </c>
      <c r="D1919" s="50" t="s">
        <v>7796</v>
      </c>
      <c r="E1919" s="50" t="s">
        <v>7928</v>
      </c>
    </row>
    <row r="1920" spans="1:5" s="51" customFormat="1" x14ac:dyDescent="0.15">
      <c r="A1920" s="50" t="s">
        <v>7929</v>
      </c>
      <c r="B1920" s="50" t="s">
        <v>7930</v>
      </c>
      <c r="C1920" s="50" t="s">
        <v>7931</v>
      </c>
      <c r="D1920" s="50" t="s">
        <v>7796</v>
      </c>
      <c r="E1920" s="50" t="s">
        <v>7932</v>
      </c>
    </row>
    <row r="1921" spans="1:5" s="51" customFormat="1" x14ac:dyDescent="0.15">
      <c r="A1921" s="50" t="s">
        <v>7933</v>
      </c>
      <c r="B1921" s="50" t="s">
        <v>7934</v>
      </c>
      <c r="C1921" s="50" t="s">
        <v>7935</v>
      </c>
      <c r="D1921" s="50" t="s">
        <v>7796</v>
      </c>
      <c r="E1921" s="50" t="s">
        <v>7936</v>
      </c>
    </row>
    <row r="1922" spans="1:5" s="51" customFormat="1" x14ac:dyDescent="0.15">
      <c r="A1922" s="50" t="s">
        <v>7937</v>
      </c>
      <c r="B1922" s="50" t="s">
        <v>7938</v>
      </c>
      <c r="C1922" s="50" t="s">
        <v>7939</v>
      </c>
      <c r="D1922" s="50" t="s">
        <v>7796</v>
      </c>
      <c r="E1922" s="50" t="s">
        <v>7940</v>
      </c>
    </row>
    <row r="1923" spans="1:5" s="51" customFormat="1" x14ac:dyDescent="0.15">
      <c r="A1923" s="50" t="s">
        <v>7941</v>
      </c>
      <c r="B1923" s="50" t="s">
        <v>7942</v>
      </c>
      <c r="C1923" s="50" t="s">
        <v>7943</v>
      </c>
      <c r="D1923" s="50" t="s">
        <v>7796</v>
      </c>
      <c r="E1923" s="50" t="s">
        <v>7944</v>
      </c>
    </row>
    <row r="1924" spans="1:5" s="51" customFormat="1" x14ac:dyDescent="0.15">
      <c r="A1924" s="50" t="s">
        <v>7945</v>
      </c>
      <c r="B1924" s="50" t="s">
        <v>7946</v>
      </c>
      <c r="C1924" s="50" t="s">
        <v>7947</v>
      </c>
      <c r="D1924" s="50" t="s">
        <v>7796</v>
      </c>
      <c r="E1924" s="50" t="s">
        <v>7948</v>
      </c>
    </row>
    <row r="1925" spans="1:5" s="51" customFormat="1" x14ac:dyDescent="0.15">
      <c r="A1925" s="50" t="s">
        <v>7949</v>
      </c>
      <c r="B1925" s="50" t="s">
        <v>7950</v>
      </c>
      <c r="C1925" s="50" t="s">
        <v>7951</v>
      </c>
      <c r="D1925" s="50" t="s">
        <v>7952</v>
      </c>
      <c r="E1925" s="50" t="s">
        <v>7953</v>
      </c>
    </row>
    <row r="1926" spans="1:5" s="51" customFormat="1" x14ac:dyDescent="0.15">
      <c r="A1926" s="50" t="s">
        <v>7954</v>
      </c>
      <c r="B1926" s="50" t="s">
        <v>7955</v>
      </c>
      <c r="C1926" s="50" t="s">
        <v>7956</v>
      </c>
      <c r="D1926" s="50" t="s">
        <v>7952</v>
      </c>
      <c r="E1926" s="50" t="s">
        <v>7957</v>
      </c>
    </row>
    <row r="1927" spans="1:5" s="51" customFormat="1" x14ac:dyDescent="0.15">
      <c r="A1927" s="50" t="s">
        <v>7958</v>
      </c>
      <c r="B1927" s="50" t="s">
        <v>7959</v>
      </c>
      <c r="C1927" s="50" t="s">
        <v>7960</v>
      </c>
      <c r="D1927" s="50" t="s">
        <v>7961</v>
      </c>
      <c r="E1927" s="50" t="s">
        <v>7962</v>
      </c>
    </row>
    <row r="1928" spans="1:5" s="51" customFormat="1" x14ac:dyDescent="0.15">
      <c r="A1928" s="50" t="s">
        <v>7963</v>
      </c>
      <c r="B1928" s="50" t="s">
        <v>7964</v>
      </c>
      <c r="C1928" s="50" t="s">
        <v>7965</v>
      </c>
      <c r="D1928" s="50" t="s">
        <v>7952</v>
      </c>
      <c r="E1928" s="50" t="s">
        <v>7966</v>
      </c>
    </row>
    <row r="1929" spans="1:5" s="51" customFormat="1" x14ac:dyDescent="0.15">
      <c r="A1929" s="50" t="s">
        <v>7967</v>
      </c>
      <c r="B1929" s="50" t="s">
        <v>7968</v>
      </c>
      <c r="C1929" s="50" t="s">
        <v>7969</v>
      </c>
      <c r="D1929" s="50" t="s">
        <v>7961</v>
      </c>
      <c r="E1929" s="50" t="s">
        <v>7970</v>
      </c>
    </row>
    <row r="1930" spans="1:5" s="51" customFormat="1" x14ac:dyDescent="0.15">
      <c r="A1930" s="50" t="s">
        <v>7971</v>
      </c>
      <c r="B1930" s="50" t="s">
        <v>7972</v>
      </c>
      <c r="C1930" s="50" t="s">
        <v>7973</v>
      </c>
      <c r="D1930" s="50" t="s">
        <v>7952</v>
      </c>
      <c r="E1930" s="50" t="s">
        <v>7974</v>
      </c>
    </row>
    <row r="1931" spans="1:5" s="51" customFormat="1" x14ac:dyDescent="0.15">
      <c r="A1931" s="50" t="s">
        <v>7975</v>
      </c>
      <c r="B1931" s="50" t="s">
        <v>7976</v>
      </c>
      <c r="C1931" s="50" t="s">
        <v>7977</v>
      </c>
      <c r="D1931" s="50" t="s">
        <v>7952</v>
      </c>
      <c r="E1931" s="50" t="s">
        <v>7978</v>
      </c>
    </row>
    <row r="1932" spans="1:5" s="51" customFormat="1" x14ac:dyDescent="0.15">
      <c r="A1932" s="50" t="s">
        <v>7979</v>
      </c>
      <c r="B1932" s="50" t="s">
        <v>7980</v>
      </c>
      <c r="C1932" s="50" t="s">
        <v>7981</v>
      </c>
      <c r="D1932" s="50" t="s">
        <v>7952</v>
      </c>
      <c r="E1932" s="50" t="s">
        <v>7982</v>
      </c>
    </row>
    <row r="1933" spans="1:5" s="51" customFormat="1" x14ac:dyDescent="0.15">
      <c r="A1933" s="50" t="s">
        <v>7983</v>
      </c>
      <c r="B1933" s="50" t="s">
        <v>7984</v>
      </c>
      <c r="C1933" s="50" t="s">
        <v>7985</v>
      </c>
      <c r="D1933" s="50" t="s">
        <v>7952</v>
      </c>
      <c r="E1933" s="50" t="s">
        <v>7986</v>
      </c>
    </row>
    <row r="1934" spans="1:5" s="51" customFormat="1" x14ac:dyDescent="0.15">
      <c r="A1934" s="50" t="s">
        <v>7987</v>
      </c>
      <c r="B1934" s="50" t="s">
        <v>7988</v>
      </c>
      <c r="C1934" s="50" t="s">
        <v>7989</v>
      </c>
      <c r="D1934" s="50" t="s">
        <v>7961</v>
      </c>
      <c r="E1934" s="50" t="s">
        <v>7990</v>
      </c>
    </row>
    <row r="1935" spans="1:5" s="51" customFormat="1" x14ac:dyDescent="0.15">
      <c r="A1935" s="50" t="s">
        <v>7991</v>
      </c>
      <c r="B1935" s="50" t="s">
        <v>7992</v>
      </c>
      <c r="C1935" s="50" t="s">
        <v>7993</v>
      </c>
      <c r="D1935" s="50" t="s">
        <v>7952</v>
      </c>
      <c r="E1935" s="50" t="s">
        <v>7994</v>
      </c>
    </row>
    <row r="1936" spans="1:5" s="51" customFormat="1" x14ac:dyDescent="0.15">
      <c r="A1936" s="50" t="s">
        <v>7995</v>
      </c>
      <c r="B1936" s="50" t="s">
        <v>7996</v>
      </c>
      <c r="C1936" s="50" t="s">
        <v>7997</v>
      </c>
      <c r="D1936" s="50" t="s">
        <v>7961</v>
      </c>
      <c r="E1936" s="50" t="s">
        <v>7998</v>
      </c>
    </row>
    <row r="1937" spans="1:5" s="51" customFormat="1" x14ac:dyDescent="0.15">
      <c r="A1937" s="50" t="s">
        <v>7999</v>
      </c>
      <c r="B1937" s="50" t="s">
        <v>8000</v>
      </c>
      <c r="C1937" s="50" t="s">
        <v>8001</v>
      </c>
      <c r="D1937" s="50" t="s">
        <v>7961</v>
      </c>
      <c r="E1937" s="50" t="s">
        <v>8002</v>
      </c>
    </row>
    <row r="1938" spans="1:5" s="51" customFormat="1" x14ac:dyDescent="0.15">
      <c r="A1938" s="50" t="s">
        <v>8003</v>
      </c>
      <c r="B1938" s="50" t="s">
        <v>8004</v>
      </c>
      <c r="C1938" s="50" t="s">
        <v>8005</v>
      </c>
      <c r="D1938" s="50" t="s">
        <v>7961</v>
      </c>
      <c r="E1938" s="50" t="s">
        <v>8006</v>
      </c>
    </row>
    <row r="1939" spans="1:5" s="51" customFormat="1" x14ac:dyDescent="0.15">
      <c r="A1939" s="50" t="s">
        <v>8007</v>
      </c>
      <c r="B1939" s="50" t="s">
        <v>8008</v>
      </c>
      <c r="C1939" s="50" t="s">
        <v>8009</v>
      </c>
      <c r="D1939" s="50" t="s">
        <v>7961</v>
      </c>
      <c r="E1939" s="50" t="s">
        <v>8010</v>
      </c>
    </row>
    <row r="1940" spans="1:5" s="51" customFormat="1" x14ac:dyDescent="0.15">
      <c r="A1940" s="50" t="s">
        <v>8011</v>
      </c>
      <c r="B1940" s="50" t="s">
        <v>8012</v>
      </c>
      <c r="C1940" s="50" t="s">
        <v>8013</v>
      </c>
      <c r="D1940" s="50" t="s">
        <v>7961</v>
      </c>
      <c r="E1940" s="50" t="s">
        <v>8014</v>
      </c>
    </row>
    <row r="1941" spans="1:5" s="51" customFormat="1" x14ac:dyDescent="0.15">
      <c r="A1941" s="50" t="s">
        <v>8015</v>
      </c>
      <c r="B1941" s="50" t="s">
        <v>8016</v>
      </c>
      <c r="C1941" s="50" t="s">
        <v>8017</v>
      </c>
      <c r="D1941" s="50" t="s">
        <v>7952</v>
      </c>
      <c r="E1941" s="50" t="s">
        <v>8018</v>
      </c>
    </row>
    <row r="1942" spans="1:5" s="51" customFormat="1" x14ac:dyDescent="0.15">
      <c r="A1942" s="50" t="s">
        <v>8019</v>
      </c>
      <c r="B1942" s="50" t="s">
        <v>8020</v>
      </c>
      <c r="C1942" s="50" t="s">
        <v>8021</v>
      </c>
      <c r="D1942" s="50" t="s">
        <v>7952</v>
      </c>
      <c r="E1942" s="50" t="s">
        <v>8022</v>
      </c>
    </row>
    <row r="1943" spans="1:5" s="51" customFormat="1" x14ac:dyDescent="0.15">
      <c r="A1943" s="50" t="s">
        <v>8023</v>
      </c>
      <c r="B1943" s="50" t="s">
        <v>8024</v>
      </c>
      <c r="C1943" s="50" t="s">
        <v>8025</v>
      </c>
      <c r="D1943" s="50" t="s">
        <v>7952</v>
      </c>
      <c r="E1943" s="50" t="s">
        <v>8026</v>
      </c>
    </row>
    <row r="1944" spans="1:5" s="51" customFormat="1" x14ac:dyDescent="0.15">
      <c r="A1944" s="50" t="s">
        <v>8027</v>
      </c>
      <c r="B1944" s="50" t="s">
        <v>8028</v>
      </c>
      <c r="C1944" s="50" t="s">
        <v>8029</v>
      </c>
      <c r="D1944" s="50" t="s">
        <v>7961</v>
      </c>
      <c r="E1944" s="50" t="s">
        <v>8030</v>
      </c>
    </row>
    <row r="1945" spans="1:5" s="51" customFormat="1" x14ac:dyDescent="0.15">
      <c r="A1945" s="50" t="s">
        <v>8031</v>
      </c>
      <c r="B1945" s="50" t="s">
        <v>8032</v>
      </c>
      <c r="C1945" s="50" t="s">
        <v>8033</v>
      </c>
      <c r="D1945" s="50" t="s">
        <v>7952</v>
      </c>
      <c r="E1945" s="50" t="s">
        <v>8034</v>
      </c>
    </row>
    <row r="1946" spans="1:5" s="51" customFormat="1" x14ac:dyDescent="0.15">
      <c r="A1946" s="50" t="s">
        <v>8035</v>
      </c>
      <c r="B1946" s="50" t="s">
        <v>8036</v>
      </c>
      <c r="C1946" s="50" t="s">
        <v>8037</v>
      </c>
      <c r="D1946" s="50" t="s">
        <v>7952</v>
      </c>
      <c r="E1946" s="50" t="s">
        <v>8038</v>
      </c>
    </row>
    <row r="1947" spans="1:5" s="51" customFormat="1" x14ac:dyDescent="0.15">
      <c r="A1947" s="50" t="s">
        <v>8039</v>
      </c>
      <c r="B1947" s="50" t="s">
        <v>8040</v>
      </c>
      <c r="C1947" s="50" t="s">
        <v>8041</v>
      </c>
      <c r="D1947" s="50" t="s">
        <v>7952</v>
      </c>
      <c r="E1947" s="50" t="s">
        <v>8042</v>
      </c>
    </row>
    <row r="1948" spans="1:5" s="51" customFormat="1" x14ac:dyDescent="0.15">
      <c r="A1948" s="50" t="s">
        <v>8043</v>
      </c>
      <c r="B1948" s="50" t="s">
        <v>8044</v>
      </c>
      <c r="C1948" s="50" t="s">
        <v>8045</v>
      </c>
      <c r="D1948" s="50" t="s">
        <v>7952</v>
      </c>
      <c r="E1948" s="50" t="s">
        <v>8046</v>
      </c>
    </row>
    <row r="1949" spans="1:5" s="51" customFormat="1" x14ac:dyDescent="0.15">
      <c r="A1949" s="50" t="s">
        <v>8047</v>
      </c>
      <c r="B1949" s="50" t="s">
        <v>8048</v>
      </c>
      <c r="C1949" s="50" t="s">
        <v>8049</v>
      </c>
      <c r="D1949" s="50" t="s">
        <v>7952</v>
      </c>
      <c r="E1949" s="50" t="s">
        <v>8050</v>
      </c>
    </row>
    <row r="1950" spans="1:5" s="51" customFormat="1" x14ac:dyDescent="0.15">
      <c r="A1950" s="50" t="s">
        <v>8051</v>
      </c>
      <c r="B1950" s="50" t="s">
        <v>8052</v>
      </c>
      <c r="C1950" s="50" t="s">
        <v>8053</v>
      </c>
      <c r="D1950" s="50" t="s">
        <v>7952</v>
      </c>
      <c r="E1950" s="50" t="s">
        <v>8054</v>
      </c>
    </row>
    <row r="1951" spans="1:5" s="51" customFormat="1" x14ac:dyDescent="0.15">
      <c r="A1951" s="50" t="s">
        <v>8055</v>
      </c>
      <c r="B1951" s="50" t="s">
        <v>8056</v>
      </c>
      <c r="C1951" s="50" t="s">
        <v>8057</v>
      </c>
      <c r="D1951" s="50" t="s">
        <v>7952</v>
      </c>
      <c r="E1951" s="50" t="s">
        <v>8058</v>
      </c>
    </row>
    <row r="1952" spans="1:5" s="51" customFormat="1" x14ac:dyDescent="0.15">
      <c r="A1952" s="50" t="s">
        <v>8059</v>
      </c>
      <c r="B1952" s="50" t="s">
        <v>8060</v>
      </c>
      <c r="C1952" s="50" t="s">
        <v>8061</v>
      </c>
      <c r="D1952" s="50" t="s">
        <v>7952</v>
      </c>
      <c r="E1952" s="50" t="s">
        <v>8062</v>
      </c>
    </row>
    <row r="1953" spans="1:5" s="51" customFormat="1" x14ac:dyDescent="0.15">
      <c r="A1953" s="50" t="s">
        <v>8063</v>
      </c>
      <c r="B1953" s="50" t="s">
        <v>8064</v>
      </c>
      <c r="C1953" s="50" t="s">
        <v>8065</v>
      </c>
      <c r="D1953" s="50" t="s">
        <v>7952</v>
      </c>
      <c r="E1953" s="50" t="s">
        <v>8066</v>
      </c>
    </row>
    <row r="1954" spans="1:5" s="51" customFormat="1" x14ac:dyDescent="0.15">
      <c r="A1954" s="50" t="s">
        <v>8067</v>
      </c>
      <c r="B1954" s="50" t="s">
        <v>8068</v>
      </c>
      <c r="C1954" s="50" t="s">
        <v>8069</v>
      </c>
      <c r="D1954" s="50" t="s">
        <v>7952</v>
      </c>
      <c r="E1954" s="50" t="s">
        <v>8070</v>
      </c>
    </row>
    <row r="1955" spans="1:5" s="51" customFormat="1" x14ac:dyDescent="0.15">
      <c r="A1955" s="50" t="s">
        <v>8071</v>
      </c>
      <c r="B1955" s="50" t="s">
        <v>8072</v>
      </c>
      <c r="C1955" s="50" t="s">
        <v>8073</v>
      </c>
      <c r="D1955" s="50" t="s">
        <v>7952</v>
      </c>
      <c r="E1955" s="50" t="s">
        <v>8074</v>
      </c>
    </row>
    <row r="1956" spans="1:5" s="51" customFormat="1" x14ac:dyDescent="0.15">
      <c r="A1956" s="50" t="s">
        <v>8075</v>
      </c>
      <c r="B1956" s="50" t="s">
        <v>8076</v>
      </c>
      <c r="C1956" s="50" t="s">
        <v>8077</v>
      </c>
      <c r="D1956" s="50" t="s">
        <v>7952</v>
      </c>
      <c r="E1956" s="50" t="s">
        <v>8078</v>
      </c>
    </row>
    <row r="1957" spans="1:5" s="51" customFormat="1" x14ac:dyDescent="0.15">
      <c r="A1957" s="50" t="s">
        <v>8079</v>
      </c>
      <c r="B1957" s="50" t="s">
        <v>8080</v>
      </c>
      <c r="C1957" s="50" t="s">
        <v>8081</v>
      </c>
      <c r="D1957" s="50" t="s">
        <v>8082</v>
      </c>
      <c r="E1957" s="50" t="s">
        <v>8083</v>
      </c>
    </row>
    <row r="1958" spans="1:5" s="51" customFormat="1" x14ac:dyDescent="0.15">
      <c r="A1958" s="50" t="s">
        <v>8084</v>
      </c>
      <c r="B1958" s="50" t="s">
        <v>8085</v>
      </c>
      <c r="C1958" s="50" t="s">
        <v>8086</v>
      </c>
      <c r="D1958" s="50" t="s">
        <v>8082</v>
      </c>
      <c r="E1958" s="50" t="s">
        <v>8087</v>
      </c>
    </row>
    <row r="1959" spans="1:5" s="51" customFormat="1" x14ac:dyDescent="0.15">
      <c r="A1959" s="50" t="s">
        <v>8088</v>
      </c>
      <c r="B1959" s="50" t="s">
        <v>8089</v>
      </c>
      <c r="C1959" s="50" t="s">
        <v>8090</v>
      </c>
      <c r="D1959" s="50" t="s">
        <v>7961</v>
      </c>
      <c r="E1959" s="50" t="s">
        <v>8091</v>
      </c>
    </row>
    <row r="1960" spans="1:5" s="51" customFormat="1" x14ac:dyDescent="0.15">
      <c r="A1960" s="50" t="s">
        <v>8092</v>
      </c>
      <c r="B1960" s="50" t="s">
        <v>8093</v>
      </c>
      <c r="C1960" s="50" t="s">
        <v>8094</v>
      </c>
      <c r="D1960" s="50" t="s">
        <v>7961</v>
      </c>
      <c r="E1960" s="50" t="s">
        <v>8095</v>
      </c>
    </row>
    <row r="1961" spans="1:5" s="51" customFormat="1" x14ac:dyDescent="0.15">
      <c r="A1961" s="50" t="s">
        <v>8096</v>
      </c>
      <c r="B1961" s="50" t="s">
        <v>8097</v>
      </c>
      <c r="C1961" s="50" t="s">
        <v>8098</v>
      </c>
      <c r="D1961" s="50" t="s">
        <v>7952</v>
      </c>
      <c r="E1961" s="50" t="s">
        <v>8099</v>
      </c>
    </row>
    <row r="1962" spans="1:5" s="51" customFormat="1" x14ac:dyDescent="0.15">
      <c r="A1962" s="50" t="s">
        <v>8100</v>
      </c>
      <c r="B1962" s="50" t="s">
        <v>8101</v>
      </c>
      <c r="C1962" s="50" t="s">
        <v>8102</v>
      </c>
      <c r="D1962" s="50" t="s">
        <v>7952</v>
      </c>
      <c r="E1962" s="50" t="s">
        <v>8103</v>
      </c>
    </row>
    <row r="1963" spans="1:5" s="51" customFormat="1" x14ac:dyDescent="0.15">
      <c r="A1963" s="50" t="s">
        <v>8104</v>
      </c>
      <c r="B1963" s="50" t="s">
        <v>8105</v>
      </c>
      <c r="C1963" s="50" t="s">
        <v>8106</v>
      </c>
      <c r="D1963" s="50" t="s">
        <v>7961</v>
      </c>
      <c r="E1963" s="50" t="s">
        <v>8107</v>
      </c>
    </row>
    <row r="1964" spans="1:5" s="51" customFormat="1" x14ac:dyDescent="0.15">
      <c r="A1964" s="50" t="s">
        <v>8108</v>
      </c>
      <c r="B1964" s="50" t="s">
        <v>8109</v>
      </c>
      <c r="C1964" s="50" t="s">
        <v>8110</v>
      </c>
      <c r="D1964" s="50" t="s">
        <v>7961</v>
      </c>
      <c r="E1964" s="50" t="s">
        <v>8111</v>
      </c>
    </row>
    <row r="1965" spans="1:5" s="51" customFormat="1" x14ac:dyDescent="0.15">
      <c r="A1965" s="50" t="s">
        <v>8112</v>
      </c>
      <c r="B1965" s="50" t="s">
        <v>8113</v>
      </c>
      <c r="C1965" s="50" t="s">
        <v>8114</v>
      </c>
      <c r="D1965" s="50" t="s">
        <v>7961</v>
      </c>
      <c r="E1965" s="50" t="s">
        <v>8115</v>
      </c>
    </row>
  </sheetData>
  <phoneticPr fontId="1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Z74"/>
  <sheetViews>
    <sheetView zoomScale="85" zoomScaleNormal="85" workbookViewId="0">
      <selection activeCell="P41" sqref="P41"/>
    </sheetView>
  </sheetViews>
  <sheetFormatPr defaultRowHeight="15" customHeight="1" x14ac:dyDescent="0.15"/>
  <cols>
    <col min="1" max="1" width="4.5" style="94" customWidth="1"/>
    <col min="2" max="2" width="8.5" style="94" customWidth="1"/>
    <col min="3" max="3" width="5.125" style="94" customWidth="1"/>
    <col min="4" max="4" width="13.375" style="94" bestFit="1" customWidth="1"/>
    <col min="5" max="11" width="6.625" style="94" customWidth="1"/>
    <col min="12" max="12" width="5.25" style="94" customWidth="1"/>
    <col min="13" max="13" width="15.875" style="94" bestFit="1" customWidth="1"/>
    <col min="14" max="14" width="5.75" style="94" customWidth="1"/>
    <col min="15" max="15" width="22.625" style="94" customWidth="1"/>
    <col min="16" max="16" width="6.625" style="94" customWidth="1"/>
    <col min="17" max="17" width="5.5" style="94" customWidth="1"/>
    <col min="18" max="18" width="12.5" style="94" customWidth="1"/>
    <col min="19" max="19" width="24" style="94" customWidth="1"/>
    <col min="20" max="20" width="10.125" style="94" customWidth="1"/>
    <col min="21" max="21" width="12" style="94" customWidth="1"/>
    <col min="22" max="22" width="7.25" style="94" customWidth="1"/>
    <col min="23" max="23" width="5.5" style="94" customWidth="1"/>
    <col min="24" max="24" width="24.5" style="94" customWidth="1"/>
    <col min="25" max="25" width="18.625" style="94" customWidth="1"/>
    <col min="26" max="26" width="7.25" style="94" customWidth="1"/>
    <col min="27" max="16384" width="9" style="94"/>
  </cols>
  <sheetData>
    <row r="1" spans="1:26" ht="15" customHeight="1" x14ac:dyDescent="0.15">
      <c r="A1" s="94" t="s">
        <v>8240</v>
      </c>
      <c r="C1" s="144" t="s">
        <v>8468</v>
      </c>
      <c r="M1" s="94" t="s">
        <v>8241</v>
      </c>
      <c r="R1" s="94" t="s">
        <v>8242</v>
      </c>
      <c r="X1" s="94" t="s">
        <v>8445</v>
      </c>
    </row>
    <row r="2" spans="1:26" ht="15" customHeight="1" x14ac:dyDescent="0.15">
      <c r="A2" s="194" t="s">
        <v>8243</v>
      </c>
      <c r="B2" s="194"/>
      <c r="C2" s="194" t="s">
        <v>8244</v>
      </c>
      <c r="D2" s="194" t="s">
        <v>8245</v>
      </c>
      <c r="E2" s="95"/>
      <c r="F2" s="96" t="s">
        <v>8246</v>
      </c>
      <c r="G2" s="97"/>
      <c r="H2" s="97"/>
      <c r="I2" s="96" t="s">
        <v>8247</v>
      </c>
      <c r="J2" s="97"/>
      <c r="K2" s="98"/>
      <c r="M2" s="31" t="s">
        <v>8362</v>
      </c>
      <c r="N2" s="99" t="s">
        <v>8248</v>
      </c>
      <c r="O2" s="31" t="s">
        <v>8363</v>
      </c>
      <c r="P2" s="31" t="s">
        <v>8364</v>
      </c>
      <c r="Q2" s="100"/>
      <c r="R2" s="186" t="s">
        <v>8249</v>
      </c>
      <c r="S2" s="186" t="s">
        <v>8365</v>
      </c>
      <c r="T2" s="186"/>
      <c r="U2" s="186"/>
      <c r="V2" s="185" t="s">
        <v>8250</v>
      </c>
      <c r="W2" s="100"/>
      <c r="X2" s="91" t="s">
        <v>8366</v>
      </c>
      <c r="Y2" s="91" t="s">
        <v>8367</v>
      </c>
      <c r="Z2" s="91" t="s">
        <v>8250</v>
      </c>
    </row>
    <row r="3" spans="1:26" ht="15" customHeight="1" x14ac:dyDescent="0.15">
      <c r="A3" s="194"/>
      <c r="B3" s="194"/>
      <c r="C3" s="194"/>
      <c r="D3" s="194"/>
      <c r="E3" s="26" t="s">
        <v>8251</v>
      </c>
      <c r="F3" s="27" t="s">
        <v>8252</v>
      </c>
      <c r="G3" s="27" t="s">
        <v>8253</v>
      </c>
      <c r="H3" s="27" t="s">
        <v>8254</v>
      </c>
      <c r="I3" s="27" t="s">
        <v>8255</v>
      </c>
      <c r="J3" s="27" t="s">
        <v>8256</v>
      </c>
      <c r="K3" s="141" t="s">
        <v>8455</v>
      </c>
      <c r="M3" s="101"/>
      <c r="N3" s="102"/>
      <c r="O3" s="103" t="s">
        <v>8368</v>
      </c>
      <c r="P3" s="31">
        <v>9</v>
      </c>
      <c r="Q3" s="100"/>
      <c r="R3" s="186"/>
      <c r="S3" s="91" t="s">
        <v>8369</v>
      </c>
      <c r="T3" s="186" t="s">
        <v>8257</v>
      </c>
      <c r="U3" s="186"/>
      <c r="V3" s="182"/>
      <c r="W3" s="100"/>
      <c r="X3" s="187" t="s">
        <v>8446</v>
      </c>
      <c r="Y3" s="30" t="s">
        <v>8370</v>
      </c>
      <c r="Z3" s="30">
        <v>56</v>
      </c>
    </row>
    <row r="4" spans="1:26" ht="15" customHeight="1" x14ac:dyDescent="0.15">
      <c r="A4" s="104"/>
      <c r="B4" s="105"/>
      <c r="C4" s="104"/>
      <c r="D4" s="28" t="s">
        <v>8258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M4" s="131" t="s">
        <v>8441</v>
      </c>
      <c r="N4" s="102" t="s">
        <v>8259</v>
      </c>
      <c r="O4" s="103" t="s">
        <v>8371</v>
      </c>
      <c r="P4" s="31">
        <v>5</v>
      </c>
      <c r="Q4" s="100"/>
      <c r="R4" s="188" t="s">
        <v>8372</v>
      </c>
      <c r="S4" s="30" t="s">
        <v>8373</v>
      </c>
      <c r="T4" s="176" t="s">
        <v>8373</v>
      </c>
      <c r="U4" s="176"/>
      <c r="V4" s="91">
        <v>2</v>
      </c>
      <c r="W4" s="100"/>
      <c r="X4" s="188"/>
      <c r="Y4" s="30" t="s">
        <v>8374</v>
      </c>
      <c r="Z4" s="30">
        <v>48</v>
      </c>
    </row>
    <row r="5" spans="1:26" ht="15" customHeight="1" x14ac:dyDescent="0.15">
      <c r="A5" s="106"/>
      <c r="B5" s="105" t="s">
        <v>8260</v>
      </c>
      <c r="C5" s="106" t="s">
        <v>8227</v>
      </c>
      <c r="D5" s="31" t="s">
        <v>8261</v>
      </c>
      <c r="E5" s="29">
        <v>8</v>
      </c>
      <c r="F5" s="29">
        <v>16</v>
      </c>
      <c r="G5" s="29">
        <v>17</v>
      </c>
      <c r="H5" s="29">
        <v>22</v>
      </c>
      <c r="I5" s="29">
        <v>27</v>
      </c>
      <c r="J5" s="29">
        <v>25</v>
      </c>
      <c r="K5" s="29">
        <v>20</v>
      </c>
      <c r="M5" s="132" t="s">
        <v>8442</v>
      </c>
      <c r="N5" s="108"/>
      <c r="O5" s="103" t="s">
        <v>8375</v>
      </c>
      <c r="P5" s="31">
        <v>1</v>
      </c>
      <c r="Q5" s="100"/>
      <c r="R5" s="176"/>
      <c r="S5" s="30" t="s">
        <v>8376</v>
      </c>
      <c r="T5" s="176" t="s">
        <v>8376</v>
      </c>
      <c r="U5" s="176"/>
      <c r="V5" s="91">
        <v>1</v>
      </c>
      <c r="W5" s="100"/>
      <c r="X5" s="188"/>
      <c r="Y5" s="30" t="s">
        <v>8377</v>
      </c>
      <c r="Z5" s="30">
        <v>40</v>
      </c>
    </row>
    <row r="6" spans="1:26" ht="15" customHeight="1" x14ac:dyDescent="0.15">
      <c r="A6" s="106">
        <v>1</v>
      </c>
      <c r="B6" s="105" t="s">
        <v>8262</v>
      </c>
      <c r="C6" s="106" t="s">
        <v>8263</v>
      </c>
      <c r="D6" s="31" t="s">
        <v>8264</v>
      </c>
      <c r="E6" s="29">
        <v>42</v>
      </c>
      <c r="F6" s="29">
        <v>31</v>
      </c>
      <c r="G6" s="29">
        <v>51</v>
      </c>
      <c r="H6" s="29">
        <v>52</v>
      </c>
      <c r="I6" s="29">
        <v>47</v>
      </c>
      <c r="J6" s="29">
        <v>48</v>
      </c>
      <c r="K6" s="29">
        <v>39</v>
      </c>
      <c r="M6" s="109"/>
      <c r="N6" s="110"/>
      <c r="O6" s="103" t="s">
        <v>8378</v>
      </c>
      <c r="P6" s="31">
        <v>0</v>
      </c>
      <c r="Q6" s="100"/>
      <c r="R6" s="176" t="s">
        <v>8265</v>
      </c>
      <c r="S6" s="186" t="s">
        <v>8266</v>
      </c>
      <c r="T6" s="186"/>
      <c r="U6" s="186"/>
      <c r="V6" s="91">
        <v>2</v>
      </c>
      <c r="W6" s="100"/>
      <c r="X6" s="188"/>
      <c r="Y6" s="30" t="s">
        <v>8379</v>
      </c>
      <c r="Z6" s="30">
        <v>0</v>
      </c>
    </row>
    <row r="7" spans="1:26" ht="15" customHeight="1" x14ac:dyDescent="0.15">
      <c r="A7" s="111"/>
      <c r="B7" s="105" t="s">
        <v>8267</v>
      </c>
      <c r="C7" s="111"/>
      <c r="D7" s="31" t="s">
        <v>8268</v>
      </c>
      <c r="E7" s="29">
        <v>62</v>
      </c>
      <c r="F7" s="29">
        <v>48</v>
      </c>
      <c r="G7" s="29">
        <v>59</v>
      </c>
      <c r="H7" s="29">
        <v>55</v>
      </c>
      <c r="I7" s="29">
        <v>69</v>
      </c>
      <c r="J7" s="29">
        <v>57</v>
      </c>
      <c r="K7" s="29">
        <v>63</v>
      </c>
      <c r="M7" s="101" t="s">
        <v>8380</v>
      </c>
      <c r="N7" s="112" t="s">
        <v>8381</v>
      </c>
      <c r="O7" s="103" t="s">
        <v>8382</v>
      </c>
      <c r="P7" s="31">
        <v>1</v>
      </c>
      <c r="Q7" s="100"/>
      <c r="R7" s="184"/>
      <c r="S7" s="185" t="s">
        <v>8269</v>
      </c>
      <c r="T7" s="185"/>
      <c r="U7" s="185"/>
      <c r="V7" s="90">
        <v>1</v>
      </c>
      <c r="W7" s="100"/>
      <c r="X7" s="176" t="s">
        <v>8383</v>
      </c>
      <c r="Y7" s="30" t="s">
        <v>8384</v>
      </c>
      <c r="Z7" s="30">
        <v>0</v>
      </c>
    </row>
    <row r="8" spans="1:26" ht="15" customHeight="1" x14ac:dyDescent="0.15">
      <c r="A8" s="111"/>
      <c r="B8" s="113"/>
      <c r="C8" s="111"/>
      <c r="D8" s="31" t="s">
        <v>8270</v>
      </c>
      <c r="E8" s="29">
        <v>70</v>
      </c>
      <c r="F8" s="29">
        <v>56</v>
      </c>
      <c r="G8" s="29">
        <v>51</v>
      </c>
      <c r="H8" s="29">
        <v>60</v>
      </c>
      <c r="I8" s="29">
        <v>59</v>
      </c>
      <c r="J8" s="29">
        <v>44</v>
      </c>
      <c r="K8" s="29">
        <v>71</v>
      </c>
      <c r="M8" s="101" t="s">
        <v>8385</v>
      </c>
      <c r="N8" s="112" t="s">
        <v>8386</v>
      </c>
      <c r="O8" s="103" t="s">
        <v>8387</v>
      </c>
      <c r="P8" s="31">
        <v>4</v>
      </c>
      <c r="Q8" s="100"/>
      <c r="R8" s="114"/>
      <c r="S8" s="92" t="s">
        <v>8388</v>
      </c>
      <c r="T8" s="189" t="s">
        <v>8271</v>
      </c>
      <c r="U8" s="190"/>
      <c r="V8" s="32"/>
      <c r="W8" s="100"/>
      <c r="X8" s="176"/>
      <c r="Y8" s="30" t="s">
        <v>8389</v>
      </c>
      <c r="Z8" s="30">
        <v>5</v>
      </c>
    </row>
    <row r="9" spans="1:26" ht="15" customHeight="1" x14ac:dyDescent="0.15">
      <c r="A9" s="104"/>
      <c r="B9" s="115"/>
      <c r="C9" s="116"/>
      <c r="D9" s="27" t="s">
        <v>8272</v>
      </c>
      <c r="E9" s="29">
        <v>30</v>
      </c>
      <c r="F9" s="29">
        <v>24</v>
      </c>
      <c r="G9" s="29">
        <v>25</v>
      </c>
      <c r="H9" s="29">
        <v>26</v>
      </c>
      <c r="I9" s="29">
        <v>29</v>
      </c>
      <c r="J9" s="29">
        <v>25</v>
      </c>
      <c r="K9" s="29">
        <v>31</v>
      </c>
      <c r="M9" s="117"/>
      <c r="N9" s="118"/>
      <c r="O9" s="103" t="s">
        <v>8390</v>
      </c>
      <c r="P9" s="31">
        <v>8</v>
      </c>
      <c r="Q9" s="100"/>
      <c r="R9" s="33" t="s">
        <v>8391</v>
      </c>
      <c r="S9" s="93" t="s">
        <v>8273</v>
      </c>
      <c r="T9" s="191" t="s">
        <v>8274</v>
      </c>
      <c r="U9" s="192"/>
      <c r="V9" s="34">
        <v>2</v>
      </c>
      <c r="W9" s="100"/>
      <c r="X9" s="176"/>
      <c r="Y9" s="30" t="s">
        <v>8392</v>
      </c>
      <c r="Z9" s="30">
        <v>20</v>
      </c>
    </row>
    <row r="10" spans="1:26" ht="15" customHeight="1" x14ac:dyDescent="0.15">
      <c r="A10" s="106">
        <v>2</v>
      </c>
      <c r="B10" s="105" t="s">
        <v>8275</v>
      </c>
      <c r="C10" s="119"/>
      <c r="D10" s="27" t="s">
        <v>8276</v>
      </c>
      <c r="E10" s="29">
        <v>22</v>
      </c>
      <c r="F10" s="29">
        <v>19</v>
      </c>
      <c r="G10" s="29">
        <v>10</v>
      </c>
      <c r="H10" s="29">
        <v>5</v>
      </c>
      <c r="I10" s="29">
        <v>16</v>
      </c>
      <c r="J10" s="29">
        <v>8</v>
      </c>
      <c r="K10" s="29">
        <v>8</v>
      </c>
      <c r="M10" s="101"/>
      <c r="N10" s="102"/>
      <c r="O10" s="103" t="s">
        <v>8393</v>
      </c>
      <c r="P10" s="31">
        <v>2</v>
      </c>
      <c r="Q10" s="100"/>
      <c r="R10" s="33" t="s">
        <v>8394</v>
      </c>
      <c r="S10" s="88"/>
      <c r="T10" s="180" t="s">
        <v>8395</v>
      </c>
      <c r="U10" s="181"/>
      <c r="V10" s="35"/>
      <c r="W10" s="100"/>
      <c r="X10" s="176"/>
      <c r="Y10" s="30" t="s">
        <v>8396</v>
      </c>
      <c r="Z10" s="30">
        <v>9</v>
      </c>
    </row>
    <row r="11" spans="1:26" ht="15" customHeight="1" x14ac:dyDescent="0.15">
      <c r="A11" s="111"/>
      <c r="B11" s="113"/>
      <c r="C11" s="119"/>
      <c r="D11" s="27" t="s">
        <v>8277</v>
      </c>
      <c r="E11" s="29">
        <v>8</v>
      </c>
      <c r="F11" s="29">
        <v>14</v>
      </c>
      <c r="G11" s="29">
        <v>0</v>
      </c>
      <c r="H11" s="29">
        <v>0</v>
      </c>
      <c r="I11" s="29">
        <v>0</v>
      </c>
      <c r="J11" s="29">
        <v>13</v>
      </c>
      <c r="K11" s="29">
        <v>4</v>
      </c>
      <c r="M11" s="101" t="s">
        <v>8397</v>
      </c>
      <c r="N11" s="102" t="s">
        <v>8398</v>
      </c>
      <c r="O11" s="103" t="s">
        <v>8399</v>
      </c>
      <c r="P11" s="31">
        <v>3</v>
      </c>
      <c r="Q11" s="100"/>
      <c r="R11" s="36"/>
      <c r="S11" s="37" t="s">
        <v>8278</v>
      </c>
      <c r="T11" s="182" t="s">
        <v>8278</v>
      </c>
      <c r="U11" s="182"/>
      <c r="V11" s="89">
        <v>1</v>
      </c>
      <c r="W11" s="100"/>
      <c r="X11" s="176" t="s">
        <v>8400</v>
      </c>
      <c r="Y11" s="30" t="s">
        <v>8401</v>
      </c>
      <c r="Z11" s="30">
        <v>0</v>
      </c>
    </row>
    <row r="12" spans="1:26" ht="15" customHeight="1" x14ac:dyDescent="0.15">
      <c r="A12" s="120"/>
      <c r="B12" s="121"/>
      <c r="C12" s="122"/>
      <c r="D12" s="27" t="s">
        <v>8279</v>
      </c>
      <c r="E12" s="29">
        <v>0</v>
      </c>
      <c r="F12" s="29">
        <v>0</v>
      </c>
      <c r="G12" s="29">
        <v>5</v>
      </c>
      <c r="H12" s="29">
        <v>5</v>
      </c>
      <c r="I12" s="29">
        <v>6</v>
      </c>
      <c r="J12" s="29">
        <v>0</v>
      </c>
      <c r="K12" s="29">
        <v>0</v>
      </c>
      <c r="M12" s="107"/>
      <c r="N12" s="108"/>
      <c r="O12" s="103" t="s">
        <v>8402</v>
      </c>
      <c r="P12" s="31">
        <v>0</v>
      </c>
      <c r="Q12" s="100"/>
      <c r="R12" s="183" t="s">
        <v>8403</v>
      </c>
      <c r="S12" s="176" t="s">
        <v>8280</v>
      </c>
      <c r="T12" s="176"/>
      <c r="U12" s="176"/>
      <c r="V12" s="91">
        <v>2</v>
      </c>
      <c r="W12" s="100"/>
      <c r="X12" s="176"/>
      <c r="Y12" s="30" t="s">
        <v>8404</v>
      </c>
      <c r="Z12" s="30">
        <v>5</v>
      </c>
    </row>
    <row r="13" spans="1:26" ht="15" customHeight="1" x14ac:dyDescent="0.15">
      <c r="A13" s="106"/>
      <c r="B13" s="105"/>
      <c r="C13" s="106"/>
      <c r="D13" s="27" t="s">
        <v>8281</v>
      </c>
      <c r="E13" s="29">
        <v>20</v>
      </c>
      <c r="F13" s="29">
        <v>19</v>
      </c>
      <c r="G13" s="29">
        <v>25</v>
      </c>
      <c r="H13" s="29">
        <v>26</v>
      </c>
      <c r="I13" s="29">
        <v>29</v>
      </c>
      <c r="J13" s="29">
        <v>25</v>
      </c>
      <c r="K13" s="29">
        <v>31</v>
      </c>
      <c r="M13" s="109"/>
      <c r="N13" s="123"/>
      <c r="O13" s="103" t="s">
        <v>8405</v>
      </c>
      <c r="P13" s="31">
        <v>5</v>
      </c>
      <c r="Q13" s="100"/>
      <c r="R13" s="184"/>
      <c r="S13" s="185" t="s">
        <v>8278</v>
      </c>
      <c r="T13" s="185"/>
      <c r="U13" s="186"/>
      <c r="V13" s="91">
        <v>1</v>
      </c>
      <c r="W13" s="100"/>
      <c r="X13" s="176"/>
      <c r="Y13" s="30" t="s">
        <v>8406</v>
      </c>
      <c r="Z13" s="30">
        <v>14</v>
      </c>
    </row>
    <row r="14" spans="1:26" ht="15" customHeight="1" x14ac:dyDescent="0.15">
      <c r="A14" s="106">
        <v>3</v>
      </c>
      <c r="B14" s="105" t="s">
        <v>8282</v>
      </c>
      <c r="C14" s="106" t="s">
        <v>8283</v>
      </c>
      <c r="D14" s="31" t="s">
        <v>8284</v>
      </c>
      <c r="E14" s="29">
        <v>30</v>
      </c>
      <c r="F14" s="29">
        <v>24</v>
      </c>
      <c r="G14" s="29">
        <v>20</v>
      </c>
      <c r="H14" s="29">
        <v>14</v>
      </c>
      <c r="I14" s="29">
        <v>25</v>
      </c>
      <c r="J14" s="29">
        <v>13</v>
      </c>
      <c r="K14" s="29">
        <v>16</v>
      </c>
      <c r="M14" s="101" t="s">
        <v>8407</v>
      </c>
      <c r="N14" s="112" t="s">
        <v>8408</v>
      </c>
      <c r="O14" s="103" t="s">
        <v>8409</v>
      </c>
      <c r="P14" s="31">
        <v>4</v>
      </c>
      <c r="Q14" s="100"/>
      <c r="R14" s="124"/>
      <c r="S14" s="124"/>
      <c r="T14" s="38"/>
      <c r="U14" s="39" t="s">
        <v>8285</v>
      </c>
      <c r="V14" s="91">
        <v>2</v>
      </c>
      <c r="W14" s="100"/>
      <c r="X14" s="176"/>
      <c r="Y14" s="30" t="s">
        <v>8410</v>
      </c>
      <c r="Z14" s="30">
        <v>27</v>
      </c>
    </row>
    <row r="15" spans="1:26" ht="15" customHeight="1" x14ac:dyDescent="0.15">
      <c r="A15" s="111"/>
      <c r="B15" s="113"/>
      <c r="C15" s="111"/>
      <c r="D15" s="31" t="s">
        <v>8286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0</v>
      </c>
      <c r="M15" s="107"/>
      <c r="N15" s="125"/>
      <c r="O15" s="103" t="s">
        <v>8411</v>
      </c>
      <c r="P15" s="31">
        <v>2</v>
      </c>
      <c r="Q15" s="100"/>
      <c r="R15" s="40" t="s">
        <v>8287</v>
      </c>
      <c r="S15" s="133" t="s">
        <v>8443</v>
      </c>
      <c r="T15" s="41"/>
      <c r="U15" s="42" t="s">
        <v>8412</v>
      </c>
      <c r="V15" s="90">
        <v>1</v>
      </c>
      <c r="W15" s="100"/>
      <c r="X15" s="176" t="s">
        <v>8413</v>
      </c>
      <c r="Y15" s="30" t="s">
        <v>8414</v>
      </c>
      <c r="Z15" s="30">
        <v>0</v>
      </c>
    </row>
    <row r="16" spans="1:26" ht="15" customHeight="1" x14ac:dyDescent="0.15">
      <c r="A16" s="104"/>
      <c r="B16" s="115"/>
      <c r="C16" s="104"/>
      <c r="D16" s="31" t="s">
        <v>8288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M16" s="117"/>
      <c r="N16" s="118"/>
      <c r="O16" s="103" t="s">
        <v>8415</v>
      </c>
      <c r="P16" s="31">
        <v>0</v>
      </c>
      <c r="Q16" s="100"/>
      <c r="R16" s="43"/>
      <c r="S16" s="134" t="s">
        <v>8444</v>
      </c>
      <c r="T16" s="44"/>
      <c r="U16" s="45" t="s">
        <v>8416</v>
      </c>
      <c r="V16" s="35"/>
      <c r="W16" s="100"/>
      <c r="X16" s="176"/>
      <c r="Y16" s="30" t="s">
        <v>8417</v>
      </c>
      <c r="Z16" s="30">
        <v>14</v>
      </c>
    </row>
    <row r="17" spans="1:26" ht="15" customHeight="1" x14ac:dyDescent="0.15">
      <c r="A17" s="106">
        <v>4</v>
      </c>
      <c r="B17" s="105" t="s">
        <v>8289</v>
      </c>
      <c r="C17" s="106" t="s">
        <v>8290</v>
      </c>
      <c r="D17" s="31" t="s">
        <v>8291</v>
      </c>
      <c r="E17" s="29">
        <v>6</v>
      </c>
      <c r="F17" s="29">
        <v>5</v>
      </c>
      <c r="G17" s="29">
        <v>3</v>
      </c>
      <c r="H17" s="29">
        <v>3</v>
      </c>
      <c r="I17" s="29">
        <v>4</v>
      </c>
      <c r="J17" s="29">
        <v>3</v>
      </c>
      <c r="K17" s="29">
        <v>6</v>
      </c>
      <c r="M17" s="101"/>
      <c r="N17" s="102"/>
      <c r="O17" s="103" t="s">
        <v>8418</v>
      </c>
      <c r="P17" s="31">
        <v>3</v>
      </c>
      <c r="Q17" s="100"/>
      <c r="R17" s="100"/>
      <c r="S17" s="100"/>
      <c r="T17" s="100"/>
      <c r="U17" s="100"/>
      <c r="V17" s="100"/>
      <c r="W17" s="100"/>
      <c r="X17" s="176"/>
      <c r="Y17" s="30" t="s">
        <v>8419</v>
      </c>
      <c r="Z17" s="30">
        <v>37</v>
      </c>
    </row>
    <row r="18" spans="1:26" ht="15" customHeight="1" x14ac:dyDescent="0.15">
      <c r="A18" s="111"/>
      <c r="B18" s="113"/>
      <c r="C18" s="111"/>
      <c r="D18" s="31" t="s">
        <v>8292</v>
      </c>
      <c r="E18" s="29">
        <v>10</v>
      </c>
      <c r="F18" s="29">
        <v>8</v>
      </c>
      <c r="G18" s="29">
        <v>8</v>
      </c>
      <c r="H18" s="29">
        <v>9</v>
      </c>
      <c r="I18" s="29">
        <v>10</v>
      </c>
      <c r="J18" s="29">
        <v>8</v>
      </c>
      <c r="K18" s="29">
        <v>10</v>
      </c>
      <c r="M18" s="101" t="s">
        <v>8420</v>
      </c>
      <c r="N18" s="102" t="s">
        <v>8381</v>
      </c>
      <c r="O18" s="103" t="s">
        <v>8421</v>
      </c>
      <c r="P18" s="31">
        <v>0</v>
      </c>
      <c r="Q18" s="100"/>
      <c r="R18" s="100"/>
      <c r="S18" s="100"/>
      <c r="T18" s="100"/>
      <c r="U18" s="100"/>
      <c r="V18" s="100"/>
      <c r="W18" s="100"/>
      <c r="X18" s="176" t="s">
        <v>8422</v>
      </c>
      <c r="Y18" s="30" t="s">
        <v>8423</v>
      </c>
      <c r="Z18" s="30">
        <v>0</v>
      </c>
    </row>
    <row r="19" spans="1:26" ht="15" customHeight="1" x14ac:dyDescent="0.15">
      <c r="A19" s="120"/>
      <c r="B19" s="121"/>
      <c r="C19" s="120"/>
      <c r="D19" s="31" t="s">
        <v>8293</v>
      </c>
      <c r="E19" s="29">
        <v>20</v>
      </c>
      <c r="F19" s="29">
        <v>16</v>
      </c>
      <c r="G19" s="29">
        <v>17</v>
      </c>
      <c r="H19" s="29">
        <v>17</v>
      </c>
      <c r="I19" s="29">
        <v>20</v>
      </c>
      <c r="J19" s="29">
        <v>16</v>
      </c>
      <c r="K19" s="29">
        <v>20</v>
      </c>
      <c r="M19" s="107"/>
      <c r="N19" s="108"/>
      <c r="O19" s="103" t="s">
        <v>8424</v>
      </c>
      <c r="P19" s="31">
        <v>3</v>
      </c>
      <c r="Q19" s="100"/>
      <c r="R19" s="100"/>
      <c r="S19" s="100"/>
      <c r="T19" s="100"/>
      <c r="U19" s="100"/>
      <c r="V19" s="100"/>
      <c r="W19" s="100"/>
      <c r="X19" s="176"/>
      <c r="Y19" s="30" t="s">
        <v>8425</v>
      </c>
      <c r="Z19" s="30">
        <v>8</v>
      </c>
    </row>
    <row r="20" spans="1:26" ht="15" customHeight="1" x14ac:dyDescent="0.15">
      <c r="A20" s="104"/>
      <c r="B20" s="115"/>
      <c r="C20" s="116"/>
      <c r="D20" s="31">
        <v>1</v>
      </c>
      <c r="E20" s="29">
        <v>34</v>
      </c>
      <c r="F20" s="29">
        <v>26</v>
      </c>
      <c r="G20" s="29">
        <v>27</v>
      </c>
      <c r="H20" s="29">
        <v>28</v>
      </c>
      <c r="I20" s="29">
        <v>33</v>
      </c>
      <c r="J20" s="29">
        <v>28</v>
      </c>
      <c r="K20" s="29">
        <v>33</v>
      </c>
      <c r="M20" s="109"/>
      <c r="N20" s="109"/>
      <c r="O20" s="126" t="s">
        <v>8426</v>
      </c>
      <c r="P20" s="127"/>
      <c r="Q20" s="100"/>
      <c r="R20" s="100"/>
      <c r="S20" s="100"/>
      <c r="T20" s="100"/>
      <c r="U20" s="100"/>
      <c r="V20" s="100"/>
      <c r="W20" s="100"/>
      <c r="X20" s="176"/>
      <c r="Y20" s="30" t="s">
        <v>8427</v>
      </c>
      <c r="Z20" s="30">
        <v>16</v>
      </c>
    </row>
    <row r="21" spans="1:26" ht="15" customHeight="1" x14ac:dyDescent="0.15">
      <c r="A21" s="106"/>
      <c r="B21" s="105"/>
      <c r="C21" s="119"/>
      <c r="D21" s="31" t="s">
        <v>8457</v>
      </c>
      <c r="E21" s="29">
        <v>50</v>
      </c>
      <c r="F21" s="29">
        <v>40</v>
      </c>
      <c r="G21" s="29">
        <v>42</v>
      </c>
      <c r="H21" s="29">
        <v>43</v>
      </c>
      <c r="I21" s="29">
        <v>49</v>
      </c>
      <c r="J21" s="29">
        <v>41</v>
      </c>
      <c r="K21" s="29">
        <v>51</v>
      </c>
      <c r="M21" s="101"/>
      <c r="N21" s="101"/>
      <c r="O21" s="109" t="s">
        <v>8428</v>
      </c>
      <c r="P21" s="128">
        <v>3</v>
      </c>
      <c r="Q21" s="100"/>
      <c r="R21" s="100"/>
      <c r="S21" s="100"/>
      <c r="T21" s="100"/>
      <c r="U21" s="100"/>
      <c r="V21" s="100"/>
      <c r="W21" s="100"/>
      <c r="X21" s="176"/>
      <c r="Y21" s="30" t="s">
        <v>8429</v>
      </c>
      <c r="Z21" s="30">
        <v>24</v>
      </c>
    </row>
    <row r="22" spans="1:26" ht="15" customHeight="1" x14ac:dyDescent="0.15">
      <c r="A22" s="106">
        <v>5</v>
      </c>
      <c r="B22" s="105" t="s">
        <v>8294</v>
      </c>
      <c r="C22" s="119"/>
      <c r="D22" s="31" t="s">
        <v>8458</v>
      </c>
      <c r="E22" s="29">
        <v>36</v>
      </c>
      <c r="F22" s="29">
        <v>31</v>
      </c>
      <c r="G22" s="29">
        <v>30</v>
      </c>
      <c r="H22" s="29">
        <v>31</v>
      </c>
      <c r="I22" s="29">
        <v>37</v>
      </c>
      <c r="J22" s="29">
        <v>30</v>
      </c>
      <c r="K22" s="29">
        <v>37</v>
      </c>
      <c r="M22" s="101"/>
      <c r="N22" s="101"/>
      <c r="O22" s="101" t="s">
        <v>8430</v>
      </c>
      <c r="P22" s="128"/>
      <c r="Q22" s="100"/>
      <c r="R22" s="100"/>
      <c r="S22" s="100"/>
      <c r="T22" s="100"/>
      <c r="U22" s="100"/>
      <c r="V22" s="100"/>
      <c r="W22" s="100"/>
      <c r="X22" s="176"/>
      <c r="Y22" s="30" t="s">
        <v>8431</v>
      </c>
      <c r="Z22" s="30">
        <v>30</v>
      </c>
    </row>
    <row r="23" spans="1:26" ht="15" customHeight="1" x14ac:dyDescent="0.15">
      <c r="A23" s="111"/>
      <c r="B23" s="142" t="s">
        <v>8295</v>
      </c>
      <c r="C23" s="119"/>
      <c r="D23" s="31" t="s">
        <v>8459</v>
      </c>
      <c r="E23" s="29">
        <v>34</v>
      </c>
      <c r="F23" s="29">
        <v>26</v>
      </c>
      <c r="G23" s="29">
        <v>27</v>
      </c>
      <c r="H23" s="29">
        <v>28</v>
      </c>
      <c r="I23" s="29">
        <v>33</v>
      </c>
      <c r="J23" s="29">
        <v>28</v>
      </c>
      <c r="K23" s="29">
        <v>33</v>
      </c>
      <c r="M23" s="101" t="s">
        <v>8432</v>
      </c>
      <c r="N23" s="101"/>
      <c r="O23" s="129" t="s">
        <v>8433</v>
      </c>
      <c r="P23" s="28"/>
      <c r="Q23" s="100"/>
      <c r="R23" s="100"/>
      <c r="S23" s="100"/>
      <c r="T23" s="100"/>
      <c r="U23" s="100"/>
      <c r="V23" s="100"/>
      <c r="W23" s="100"/>
      <c r="X23" s="100"/>
      <c r="Y23" s="100"/>
      <c r="Z23" s="100"/>
    </row>
    <row r="24" spans="1:26" ht="15" customHeight="1" x14ac:dyDescent="0.15">
      <c r="A24" s="120"/>
      <c r="B24" s="121"/>
      <c r="C24" s="122"/>
      <c r="D24" s="31" t="s">
        <v>8460</v>
      </c>
      <c r="E24" s="29">
        <v>30</v>
      </c>
      <c r="F24" s="29">
        <v>24</v>
      </c>
      <c r="G24" s="29">
        <v>25</v>
      </c>
      <c r="H24" s="29">
        <v>26</v>
      </c>
      <c r="I24" s="29">
        <v>29</v>
      </c>
      <c r="J24" s="29">
        <v>25</v>
      </c>
      <c r="K24" s="29">
        <v>31</v>
      </c>
      <c r="M24" s="107"/>
      <c r="N24" s="101"/>
      <c r="O24" s="126" t="s">
        <v>8434</v>
      </c>
      <c r="P24" s="127"/>
      <c r="Q24" s="100"/>
      <c r="R24" s="100"/>
      <c r="S24" s="100"/>
      <c r="T24" s="100"/>
      <c r="U24" s="100"/>
      <c r="V24" s="100"/>
      <c r="W24" s="100"/>
      <c r="X24" s="100"/>
      <c r="Y24" s="100"/>
      <c r="Z24" s="100"/>
    </row>
    <row r="25" spans="1:26" ht="15" customHeight="1" x14ac:dyDescent="0.15">
      <c r="M25" s="107"/>
      <c r="N25" s="101"/>
      <c r="O25" s="126" t="s">
        <v>8435</v>
      </c>
      <c r="P25" s="128">
        <v>2</v>
      </c>
      <c r="Q25" s="100"/>
      <c r="R25" s="100"/>
      <c r="S25" s="100"/>
      <c r="T25" s="100"/>
      <c r="U25" s="100"/>
      <c r="V25" s="100"/>
      <c r="W25" s="100"/>
      <c r="X25" s="100"/>
      <c r="Y25" s="100"/>
      <c r="Z25" s="100"/>
    </row>
    <row r="26" spans="1:26" ht="15" customHeight="1" x14ac:dyDescent="0.15">
      <c r="A26" t="s">
        <v>8240</v>
      </c>
      <c r="B26"/>
      <c r="C26" s="144" t="s">
        <v>8463</v>
      </c>
      <c r="D26"/>
      <c r="E26"/>
      <c r="F26"/>
      <c r="G26"/>
      <c r="H26"/>
      <c r="I26"/>
      <c r="J26"/>
      <c r="K26"/>
      <c r="M26" s="107"/>
      <c r="N26" s="101"/>
      <c r="O26" s="126" t="s">
        <v>8436</v>
      </c>
      <c r="P26" s="28"/>
      <c r="Q26" s="100"/>
      <c r="R26" s="100"/>
      <c r="S26" s="100"/>
      <c r="T26" s="100"/>
      <c r="U26" s="100"/>
      <c r="V26" s="100"/>
      <c r="W26" s="100"/>
      <c r="X26" s="100"/>
      <c r="Y26" s="100"/>
      <c r="Z26" s="100"/>
    </row>
    <row r="27" spans="1:26" ht="15" customHeight="1" x14ac:dyDescent="0.15">
      <c r="A27" s="193" t="s">
        <v>8243</v>
      </c>
      <c r="B27" s="193"/>
      <c r="C27" s="193" t="s">
        <v>8244</v>
      </c>
      <c r="D27" s="193" t="s">
        <v>8245</v>
      </c>
      <c r="E27" s="145"/>
      <c r="F27" s="146" t="s">
        <v>8246</v>
      </c>
      <c r="G27" s="147"/>
      <c r="H27" s="147"/>
      <c r="I27" s="146" t="s">
        <v>8247</v>
      </c>
      <c r="J27" s="147"/>
      <c r="K27" s="148"/>
      <c r="M27" s="107"/>
      <c r="N27" s="129"/>
      <c r="O27" s="130" t="s">
        <v>8437</v>
      </c>
      <c r="P27" s="31">
        <v>1</v>
      </c>
      <c r="Q27" s="100"/>
      <c r="R27" s="100"/>
      <c r="S27" s="100"/>
      <c r="T27" s="100"/>
      <c r="U27" s="100"/>
      <c r="V27" s="100"/>
      <c r="W27" s="100"/>
      <c r="X27" s="100"/>
      <c r="Y27" s="100"/>
      <c r="Z27" s="100"/>
    </row>
    <row r="28" spans="1:26" ht="15" customHeight="1" x14ac:dyDescent="0.15">
      <c r="A28" s="193"/>
      <c r="B28" s="193"/>
      <c r="C28" s="193"/>
      <c r="D28" s="193"/>
      <c r="E28" s="26" t="s">
        <v>8251</v>
      </c>
      <c r="F28" s="143" t="s">
        <v>8252</v>
      </c>
      <c r="G28" s="143" t="s">
        <v>8253</v>
      </c>
      <c r="H28" s="143" t="s">
        <v>8254</v>
      </c>
      <c r="I28" s="143" t="s">
        <v>8255</v>
      </c>
      <c r="J28" s="143" t="s">
        <v>8256</v>
      </c>
      <c r="K28" s="143" t="s">
        <v>8464</v>
      </c>
      <c r="M28" s="177" t="s">
        <v>8438</v>
      </c>
      <c r="N28" s="178" t="s">
        <v>8408</v>
      </c>
      <c r="O28" s="103" t="s">
        <v>8439</v>
      </c>
      <c r="P28" s="31">
        <v>4</v>
      </c>
    </row>
    <row r="29" spans="1:26" ht="15" customHeight="1" x14ac:dyDescent="0.15">
      <c r="A29" s="149"/>
      <c r="B29" s="150"/>
      <c r="C29" s="149"/>
      <c r="D29" s="28" t="s">
        <v>8258</v>
      </c>
      <c r="E29" s="29">
        <v>0</v>
      </c>
      <c r="F29" s="29">
        <v>0</v>
      </c>
      <c r="G29" s="29">
        <v>0</v>
      </c>
      <c r="H29" s="29">
        <v>0</v>
      </c>
      <c r="I29" s="29">
        <v>0</v>
      </c>
      <c r="J29" s="29">
        <v>0</v>
      </c>
      <c r="K29" s="29">
        <v>0</v>
      </c>
      <c r="M29" s="177"/>
      <c r="N29" s="179"/>
      <c r="O29" s="103" t="s">
        <v>8440</v>
      </c>
      <c r="P29" s="31">
        <v>1</v>
      </c>
    </row>
    <row r="30" spans="1:26" ht="15" customHeight="1" x14ac:dyDescent="0.15">
      <c r="A30" s="151"/>
      <c r="B30" s="150" t="s">
        <v>8260</v>
      </c>
      <c r="C30" s="151" t="s">
        <v>8227</v>
      </c>
      <c r="D30" s="31" t="s">
        <v>8261</v>
      </c>
      <c r="E30" s="29">
        <v>6</v>
      </c>
      <c r="F30" s="29">
        <v>22</v>
      </c>
      <c r="G30" s="29">
        <v>13</v>
      </c>
      <c r="H30" s="29">
        <v>12</v>
      </c>
      <c r="I30" s="29">
        <v>31</v>
      </c>
      <c r="J30" s="29">
        <v>23</v>
      </c>
      <c r="K30" s="29">
        <v>14</v>
      </c>
    </row>
    <row r="31" spans="1:26" ht="15" customHeight="1" x14ac:dyDescent="0.15">
      <c r="A31" s="151">
        <v>1</v>
      </c>
      <c r="B31" s="152" t="s">
        <v>8262</v>
      </c>
      <c r="C31" s="151" t="s">
        <v>8263</v>
      </c>
      <c r="D31" s="31" t="s">
        <v>8264</v>
      </c>
      <c r="E31" s="29">
        <v>32</v>
      </c>
      <c r="F31" s="29">
        <v>47</v>
      </c>
      <c r="G31" s="29">
        <v>46</v>
      </c>
      <c r="H31" s="29">
        <v>30</v>
      </c>
      <c r="I31" s="29">
        <v>61</v>
      </c>
      <c r="J31" s="29">
        <v>49</v>
      </c>
      <c r="K31" s="29">
        <v>36</v>
      </c>
    </row>
    <row r="32" spans="1:26" ht="15" customHeight="1" x14ac:dyDescent="0.15">
      <c r="A32" s="153"/>
      <c r="B32" s="152" t="s">
        <v>8267</v>
      </c>
      <c r="C32" s="153"/>
      <c r="D32" s="31" t="s">
        <v>8268</v>
      </c>
      <c r="E32" s="29">
        <v>49</v>
      </c>
      <c r="F32" s="29">
        <v>60</v>
      </c>
      <c r="G32" s="29">
        <v>51</v>
      </c>
      <c r="H32" s="29">
        <v>42</v>
      </c>
      <c r="I32" s="29">
        <v>71</v>
      </c>
      <c r="J32" s="29">
        <v>66</v>
      </c>
      <c r="K32" s="29">
        <v>60</v>
      </c>
    </row>
    <row r="33" spans="1:11" ht="15" customHeight="1" x14ac:dyDescent="0.15">
      <c r="A33" s="153"/>
      <c r="B33" s="154"/>
      <c r="C33" s="153"/>
      <c r="D33" s="31" t="s">
        <v>8270</v>
      </c>
      <c r="E33" s="29">
        <v>54</v>
      </c>
      <c r="F33" s="29">
        <v>64</v>
      </c>
      <c r="G33" s="29">
        <v>46</v>
      </c>
      <c r="H33" s="29">
        <v>52</v>
      </c>
      <c r="I33" s="29">
        <v>61</v>
      </c>
      <c r="J33" s="29">
        <v>57</v>
      </c>
      <c r="K33" s="29">
        <v>70</v>
      </c>
    </row>
    <row r="34" spans="1:11" ht="15" customHeight="1" x14ac:dyDescent="0.15">
      <c r="A34" s="149"/>
      <c r="B34" s="155"/>
      <c r="C34" s="156"/>
      <c r="D34" s="143" t="s">
        <v>8272</v>
      </c>
      <c r="E34" s="29">
        <v>23</v>
      </c>
      <c r="F34" s="29">
        <v>27</v>
      </c>
      <c r="G34" s="29">
        <v>22</v>
      </c>
      <c r="H34" s="29">
        <v>22</v>
      </c>
      <c r="I34" s="29">
        <v>31</v>
      </c>
      <c r="J34" s="29">
        <v>28</v>
      </c>
      <c r="K34" s="29">
        <v>30</v>
      </c>
    </row>
    <row r="35" spans="1:11" ht="15" customHeight="1" x14ac:dyDescent="0.15">
      <c r="A35" s="151">
        <v>2</v>
      </c>
      <c r="B35" s="150" t="s">
        <v>8275</v>
      </c>
      <c r="C35" s="157"/>
      <c r="D35" s="143" t="s">
        <v>8276</v>
      </c>
      <c r="E35" s="29">
        <v>8</v>
      </c>
      <c r="F35" s="29">
        <v>18</v>
      </c>
      <c r="G35" s="29">
        <v>16</v>
      </c>
      <c r="H35" s="29">
        <v>12</v>
      </c>
      <c r="I35" s="29">
        <v>18</v>
      </c>
      <c r="J35" s="29">
        <v>17</v>
      </c>
      <c r="K35" s="29">
        <v>8</v>
      </c>
    </row>
    <row r="36" spans="1:11" ht="15" customHeight="1" x14ac:dyDescent="0.15">
      <c r="A36" s="153"/>
      <c r="B36" s="154"/>
      <c r="C36" s="157"/>
      <c r="D36" s="143" t="s">
        <v>8277</v>
      </c>
      <c r="E36" s="29">
        <v>0</v>
      </c>
      <c r="F36" s="29">
        <v>15</v>
      </c>
      <c r="G36" s="29">
        <v>0</v>
      </c>
      <c r="H36" s="29">
        <v>0</v>
      </c>
      <c r="I36" s="29">
        <v>0</v>
      </c>
      <c r="J36" s="29">
        <v>21</v>
      </c>
      <c r="K36" s="29">
        <v>0</v>
      </c>
    </row>
    <row r="37" spans="1:11" ht="15" customHeight="1" x14ac:dyDescent="0.15">
      <c r="A37" s="158"/>
      <c r="B37" s="159"/>
      <c r="C37" s="160"/>
      <c r="D37" s="143" t="s">
        <v>8279</v>
      </c>
      <c r="E37" s="29">
        <v>0</v>
      </c>
      <c r="F37" s="29">
        <v>0</v>
      </c>
      <c r="G37" s="29">
        <v>4</v>
      </c>
      <c r="H37" s="29">
        <v>4</v>
      </c>
      <c r="I37" s="29">
        <v>16</v>
      </c>
      <c r="J37" s="29">
        <v>0</v>
      </c>
      <c r="K37" s="29">
        <v>4</v>
      </c>
    </row>
    <row r="38" spans="1:11" ht="15" customHeight="1" x14ac:dyDescent="0.15">
      <c r="A38" s="151"/>
      <c r="B38" s="150"/>
      <c r="C38" s="151"/>
      <c r="D38" s="143" t="s">
        <v>8281</v>
      </c>
      <c r="E38" s="29">
        <v>12</v>
      </c>
      <c r="F38" s="29">
        <v>4</v>
      </c>
      <c r="G38" s="29">
        <v>22</v>
      </c>
      <c r="H38" s="29">
        <v>22</v>
      </c>
      <c r="I38" s="29">
        <v>31</v>
      </c>
      <c r="J38" s="29">
        <v>28</v>
      </c>
      <c r="K38" s="29">
        <v>30</v>
      </c>
    </row>
    <row r="39" spans="1:11" ht="15" customHeight="1" x14ac:dyDescent="0.15">
      <c r="A39" s="151">
        <v>3</v>
      </c>
      <c r="B39" s="150" t="s">
        <v>8282</v>
      </c>
      <c r="C39" s="151" t="s">
        <v>8283</v>
      </c>
      <c r="D39" s="31" t="s">
        <v>8284</v>
      </c>
      <c r="E39" s="29">
        <v>23</v>
      </c>
      <c r="F39" s="29">
        <v>27</v>
      </c>
      <c r="G39" s="29">
        <v>19</v>
      </c>
      <c r="H39" s="29">
        <v>12</v>
      </c>
      <c r="I39" s="29">
        <v>12</v>
      </c>
      <c r="J39" s="29">
        <v>15</v>
      </c>
      <c r="K39" s="29">
        <v>20</v>
      </c>
    </row>
    <row r="40" spans="1:11" ht="15" customHeight="1" x14ac:dyDescent="0.15">
      <c r="A40" s="153"/>
      <c r="B40" s="154"/>
      <c r="C40" s="153"/>
      <c r="D40" s="31" t="s">
        <v>8286</v>
      </c>
      <c r="E40" s="29">
        <v>0</v>
      </c>
      <c r="F40" s="29">
        <v>0</v>
      </c>
      <c r="G40" s="29">
        <v>0</v>
      </c>
      <c r="H40" s="29">
        <v>0</v>
      </c>
      <c r="I40" s="29">
        <v>0</v>
      </c>
      <c r="J40" s="29">
        <v>0</v>
      </c>
      <c r="K40" s="29">
        <v>0</v>
      </c>
    </row>
    <row r="41" spans="1:11" ht="15" customHeight="1" x14ac:dyDescent="0.15">
      <c r="A41" s="149"/>
      <c r="B41" s="155"/>
      <c r="C41" s="149"/>
      <c r="D41" s="31" t="s">
        <v>8288</v>
      </c>
      <c r="E41" s="29">
        <v>0</v>
      </c>
      <c r="F41" s="29">
        <v>0</v>
      </c>
      <c r="G41" s="29">
        <v>0</v>
      </c>
      <c r="H41" s="29">
        <v>0</v>
      </c>
      <c r="I41" s="29">
        <v>0</v>
      </c>
      <c r="J41" s="29">
        <v>0</v>
      </c>
      <c r="K41" s="29">
        <v>0</v>
      </c>
    </row>
    <row r="42" spans="1:11" ht="15" customHeight="1" x14ac:dyDescent="0.15">
      <c r="A42" s="151">
        <v>4</v>
      </c>
      <c r="B42" s="150" t="s">
        <v>8289</v>
      </c>
      <c r="C42" s="151" t="s">
        <v>8290</v>
      </c>
      <c r="D42" s="31" t="s">
        <v>8291</v>
      </c>
      <c r="E42" s="29">
        <v>5</v>
      </c>
      <c r="F42" s="29">
        <v>5</v>
      </c>
      <c r="G42" s="29">
        <v>3</v>
      </c>
      <c r="H42" s="29">
        <v>3</v>
      </c>
      <c r="I42" s="29">
        <v>4</v>
      </c>
      <c r="J42" s="29">
        <v>4</v>
      </c>
      <c r="K42" s="29">
        <v>6</v>
      </c>
    </row>
    <row r="43" spans="1:11" ht="15" customHeight="1" x14ac:dyDescent="0.15">
      <c r="A43" s="153"/>
      <c r="B43" s="154"/>
      <c r="C43" s="153"/>
      <c r="D43" s="31" t="s">
        <v>8292</v>
      </c>
      <c r="E43" s="29">
        <v>8</v>
      </c>
      <c r="F43" s="29">
        <v>9</v>
      </c>
      <c r="G43" s="29">
        <v>7</v>
      </c>
      <c r="H43" s="29">
        <v>7</v>
      </c>
      <c r="I43" s="29">
        <v>10</v>
      </c>
      <c r="J43" s="29">
        <v>9</v>
      </c>
      <c r="K43" s="29">
        <v>10</v>
      </c>
    </row>
    <row r="44" spans="1:11" ht="15" customHeight="1" x14ac:dyDescent="0.15">
      <c r="A44" s="158"/>
      <c r="B44" s="159"/>
      <c r="C44" s="158"/>
      <c r="D44" s="31" t="s">
        <v>8293</v>
      </c>
      <c r="E44" s="29">
        <v>15</v>
      </c>
      <c r="F44" s="29">
        <v>18</v>
      </c>
      <c r="G44" s="29">
        <v>15</v>
      </c>
      <c r="H44" s="29">
        <v>15</v>
      </c>
      <c r="I44" s="29">
        <v>20</v>
      </c>
      <c r="J44" s="29">
        <v>19</v>
      </c>
      <c r="K44" s="29">
        <v>20</v>
      </c>
    </row>
    <row r="45" spans="1:11" ht="15" customHeight="1" x14ac:dyDescent="0.15">
      <c r="A45" s="149"/>
      <c r="B45" s="155"/>
      <c r="C45" s="156"/>
      <c r="D45" s="31">
        <v>1</v>
      </c>
      <c r="E45" s="29">
        <v>26</v>
      </c>
      <c r="F45" s="29">
        <v>31</v>
      </c>
      <c r="G45" s="29">
        <v>25</v>
      </c>
      <c r="H45" s="29">
        <v>25</v>
      </c>
      <c r="I45" s="29">
        <v>35</v>
      </c>
      <c r="J45" s="29">
        <v>32</v>
      </c>
      <c r="K45" s="29">
        <v>34</v>
      </c>
    </row>
    <row r="46" spans="1:11" ht="15" customHeight="1" x14ac:dyDescent="0.15">
      <c r="A46" s="151"/>
      <c r="B46" s="150"/>
      <c r="C46" s="157"/>
      <c r="D46" s="31" t="s">
        <v>8465</v>
      </c>
      <c r="E46" s="29">
        <v>39</v>
      </c>
      <c r="F46" s="29">
        <v>46</v>
      </c>
      <c r="G46" s="29">
        <v>36</v>
      </c>
      <c r="H46" s="29">
        <v>37</v>
      </c>
      <c r="I46" s="29">
        <v>51</v>
      </c>
      <c r="J46" s="29">
        <v>47</v>
      </c>
      <c r="K46" s="29">
        <v>50</v>
      </c>
    </row>
    <row r="47" spans="1:11" ht="15" customHeight="1" x14ac:dyDescent="0.15">
      <c r="A47" s="151">
        <v>5</v>
      </c>
      <c r="B47" s="150" t="s">
        <v>8294</v>
      </c>
      <c r="C47" s="157"/>
      <c r="D47" s="31" t="s">
        <v>8466</v>
      </c>
      <c r="E47" s="29">
        <v>28</v>
      </c>
      <c r="F47" s="29">
        <v>33</v>
      </c>
      <c r="G47" s="29">
        <v>28</v>
      </c>
      <c r="H47" s="29">
        <v>28</v>
      </c>
      <c r="I47" s="29">
        <v>37</v>
      </c>
      <c r="J47" s="29">
        <v>34</v>
      </c>
      <c r="K47" s="29">
        <v>36</v>
      </c>
    </row>
    <row r="48" spans="1:11" ht="15" customHeight="1" x14ac:dyDescent="0.15">
      <c r="A48" s="153"/>
      <c r="B48" s="161" t="s">
        <v>8295</v>
      </c>
      <c r="C48" s="157"/>
      <c r="D48" s="31" t="s">
        <v>8467</v>
      </c>
      <c r="E48" s="29">
        <v>26</v>
      </c>
      <c r="F48" s="29">
        <v>31</v>
      </c>
      <c r="G48" s="29">
        <v>25</v>
      </c>
      <c r="H48" s="29">
        <v>25</v>
      </c>
      <c r="I48" s="29">
        <v>35</v>
      </c>
      <c r="J48" s="29">
        <v>32</v>
      </c>
      <c r="K48" s="29">
        <v>34</v>
      </c>
    </row>
    <row r="49" spans="1:11" ht="15" customHeight="1" x14ac:dyDescent="0.15">
      <c r="A49" s="158"/>
      <c r="B49" s="159"/>
      <c r="C49" s="160"/>
      <c r="D49" s="31" t="s">
        <v>8460</v>
      </c>
      <c r="E49" s="29">
        <v>23</v>
      </c>
      <c r="F49" s="29">
        <v>27</v>
      </c>
      <c r="G49" s="29">
        <v>22</v>
      </c>
      <c r="H49" s="29">
        <v>22</v>
      </c>
      <c r="I49" s="29">
        <v>31</v>
      </c>
      <c r="J49" s="29">
        <v>28</v>
      </c>
      <c r="K49" s="29">
        <v>30</v>
      </c>
    </row>
    <row r="52" spans="1:11" ht="15" customHeight="1" x14ac:dyDescent="0.15">
      <c r="A52" s="94" t="s">
        <v>8314</v>
      </c>
    </row>
    <row r="53" spans="1:11" ht="15" customHeight="1" x14ac:dyDescent="0.15">
      <c r="B53" s="94" t="s">
        <v>8320</v>
      </c>
      <c r="C53" s="94" t="s">
        <v>8315</v>
      </c>
    </row>
    <row r="54" spans="1:11" ht="15" customHeight="1" x14ac:dyDescent="0.15">
      <c r="C54" s="94" t="s">
        <v>8316</v>
      </c>
    </row>
    <row r="55" spans="1:11" ht="15" customHeight="1" x14ac:dyDescent="0.15">
      <c r="C55" s="94" t="s">
        <v>8317</v>
      </c>
    </row>
    <row r="56" spans="1:11" ht="15" customHeight="1" x14ac:dyDescent="0.15">
      <c r="C56" s="94" t="s">
        <v>8318</v>
      </c>
    </row>
    <row r="57" spans="1:11" ht="15" customHeight="1" x14ac:dyDescent="0.15">
      <c r="B57" s="94" t="s">
        <v>8319</v>
      </c>
      <c r="C57" s="94" t="s">
        <v>8312</v>
      </c>
    </row>
    <row r="58" spans="1:11" ht="15" customHeight="1" x14ac:dyDescent="0.15">
      <c r="C58" s="94" t="s">
        <v>8461</v>
      </c>
    </row>
    <row r="59" spans="1:11" ht="15" customHeight="1" x14ac:dyDescent="0.15">
      <c r="C59" s="94" t="s">
        <v>8462</v>
      </c>
    </row>
    <row r="60" spans="1:11" ht="15" customHeight="1" x14ac:dyDescent="0.15">
      <c r="C60" s="94" t="s">
        <v>8321</v>
      </c>
    </row>
    <row r="61" spans="1:11" ht="15" customHeight="1" x14ac:dyDescent="0.15">
      <c r="B61" s="94" t="s">
        <v>8322</v>
      </c>
      <c r="C61" s="94" t="s">
        <v>8305</v>
      </c>
    </row>
    <row r="62" spans="1:11" ht="15" customHeight="1" x14ac:dyDescent="0.15">
      <c r="C62" s="94" t="s">
        <v>8302</v>
      </c>
    </row>
    <row r="63" spans="1:11" ht="15" customHeight="1" x14ac:dyDescent="0.15">
      <c r="C63" s="94" t="s">
        <v>8306</v>
      </c>
    </row>
    <row r="64" spans="1:11" ht="15" customHeight="1" x14ac:dyDescent="0.15">
      <c r="C64" s="94" t="s">
        <v>8307</v>
      </c>
    </row>
    <row r="65" spans="2:3" ht="15" customHeight="1" x14ac:dyDescent="0.15">
      <c r="C65" s="94" t="s">
        <v>8301</v>
      </c>
    </row>
    <row r="66" spans="2:3" ht="15" customHeight="1" x14ac:dyDescent="0.15">
      <c r="C66" s="94" t="s">
        <v>8308</v>
      </c>
    </row>
    <row r="67" spans="2:3" ht="15" customHeight="1" x14ac:dyDescent="0.15">
      <c r="C67" s="94" t="s">
        <v>8304</v>
      </c>
    </row>
    <row r="68" spans="2:3" ht="15" customHeight="1" x14ac:dyDescent="0.15">
      <c r="C68" s="94" t="s">
        <v>8303</v>
      </c>
    </row>
    <row r="69" spans="2:3" ht="15" customHeight="1" x14ac:dyDescent="0.15">
      <c r="C69" s="94" t="s">
        <v>8309</v>
      </c>
    </row>
    <row r="70" spans="2:3" ht="15" customHeight="1" x14ac:dyDescent="0.15">
      <c r="C70" s="94" t="s">
        <v>8310</v>
      </c>
    </row>
    <row r="71" spans="2:3" ht="15" customHeight="1" x14ac:dyDescent="0.15">
      <c r="C71" s="94" t="s">
        <v>8311</v>
      </c>
    </row>
    <row r="72" spans="2:3" ht="15" customHeight="1" x14ac:dyDescent="0.15">
      <c r="C72" s="94" t="s">
        <v>8313</v>
      </c>
    </row>
    <row r="73" spans="2:3" ht="15" customHeight="1" x14ac:dyDescent="0.15">
      <c r="B73" s="94" t="s">
        <v>8452</v>
      </c>
      <c r="C73" s="94" t="s">
        <v>8454</v>
      </c>
    </row>
    <row r="74" spans="2:3" ht="15" customHeight="1" x14ac:dyDescent="0.15">
      <c r="C74" s="94" t="s">
        <v>8453</v>
      </c>
    </row>
  </sheetData>
  <mergeCells count="30">
    <mergeCell ref="A27:B28"/>
    <mergeCell ref="C27:C28"/>
    <mergeCell ref="D27:D28"/>
    <mergeCell ref="A2:B3"/>
    <mergeCell ref="C2:C3"/>
    <mergeCell ref="D2:D3"/>
    <mergeCell ref="R2:R3"/>
    <mergeCell ref="S2:U2"/>
    <mergeCell ref="T3:U3"/>
    <mergeCell ref="X3:X6"/>
    <mergeCell ref="R4:R5"/>
    <mergeCell ref="T4:U4"/>
    <mergeCell ref="T5:U5"/>
    <mergeCell ref="R6:R7"/>
    <mergeCell ref="S6:U6"/>
    <mergeCell ref="S7:U7"/>
    <mergeCell ref="X7:X10"/>
    <mergeCell ref="T8:U8"/>
    <mergeCell ref="T9:U9"/>
    <mergeCell ref="V2:V3"/>
    <mergeCell ref="X15:X17"/>
    <mergeCell ref="X18:X22"/>
    <mergeCell ref="M28:M29"/>
    <mergeCell ref="N28:N29"/>
    <mergeCell ref="T10:U10"/>
    <mergeCell ref="T11:U11"/>
    <mergeCell ref="X11:X14"/>
    <mergeCell ref="R12:R13"/>
    <mergeCell ref="S12:U12"/>
    <mergeCell ref="S13:U13"/>
  </mergeCells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D42" sqref="D42"/>
    </sheetView>
  </sheetViews>
  <sheetFormatPr defaultRowHeight="13.5" x14ac:dyDescent="0.15"/>
  <sheetData>
    <row r="1" spans="1:1" x14ac:dyDescent="0.15">
      <c r="A1" t="s">
        <v>8504</v>
      </c>
    </row>
    <row r="2" spans="1:1" x14ac:dyDescent="0.15">
      <c r="A2" s="54">
        <v>24</v>
      </c>
    </row>
  </sheetData>
  <sheetProtection sheet="1" objects="1" scenarios="1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</vt:i4>
      </vt:variant>
    </vt:vector>
  </HeadingPairs>
  <TitlesOfParts>
    <vt:vector size="16" baseType="lpstr">
      <vt:lpstr>調査表データ</vt:lpstr>
      <vt:lpstr>メッシュデータ入力</vt:lpstr>
      <vt:lpstr>地すべりデータ</vt:lpstr>
      <vt:lpstr>表形式危険度ランク</vt:lpstr>
      <vt:lpstr>市町村コード</vt:lpstr>
      <vt:lpstr>点数表</vt:lpstr>
      <vt:lpstr>メモリ</vt:lpstr>
      <vt:lpstr>table1</vt:lpstr>
      <vt:lpstr>山崩加算点考慮</vt:lpstr>
      <vt:lpstr>山崩表１</vt:lpstr>
      <vt:lpstr>山崩表１非</vt:lpstr>
      <vt:lpstr>山崩表２</vt:lpstr>
      <vt:lpstr>山崩表３</vt:lpstr>
      <vt:lpstr>市町村リスト</vt:lpstr>
      <vt:lpstr>都道府県リスト</vt:lpstr>
      <vt:lpstr>崩流表１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soumu</dc:creator>
  <cp:lastModifiedBy>k-fuzita</cp:lastModifiedBy>
  <cp:lastPrinted>2016-12-05T04:28:20Z</cp:lastPrinted>
  <dcterms:created xsi:type="dcterms:W3CDTF">2015-07-27T06:59:38Z</dcterms:created>
  <dcterms:modified xsi:type="dcterms:W3CDTF">2017-04-10T06:54:57Z</dcterms:modified>
</cp:coreProperties>
</file>