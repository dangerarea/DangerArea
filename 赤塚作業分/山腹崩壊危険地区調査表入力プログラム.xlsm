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72" windowWidth="20616" windowHeight="11640" activeTab="1"/>
  </bookViews>
  <sheets>
    <sheet name="調査表データ" sheetId="1" r:id="rId1"/>
    <sheet name="メッシュデータ入力" sheetId="8" r:id="rId2"/>
    <sheet name="市町村コード" sheetId="4" state="hidden" r:id="rId3"/>
    <sheet name="点数表" sheetId="7" state="hidden" r:id="rId4"/>
    <sheet name="点数表２" sheetId="12" state="hidden" r:id="rId5"/>
    <sheet name="メモリ" sheetId="11" state="hidden" r:id="rId6"/>
    <sheet name="Sheet1" sheetId="13" state="hidden" r:id="rId7"/>
  </sheets>
  <functionGroups builtInGroupCount="17"/>
  <definedNames>
    <definedName name="山崩表１">点数表!$E$4:$K$27</definedName>
    <definedName name="山崩表１非">点数表!$E$32:$K$55</definedName>
    <definedName name="山崩表２">点数表２!$D$3:$D$29</definedName>
    <definedName name="山崩表３">点数表２!$J$4:$J$16</definedName>
    <definedName name="市町村リスト">市町村コード!$A$49:$B$1965</definedName>
    <definedName name="都道府県リスト">市町村コード!$A$2:$C$48</definedName>
    <definedName name="崩土表１">点数表２!$N$3:$N$22</definedName>
  </definedNames>
  <calcPr calcId="145621"/>
</workbook>
</file>

<file path=xl/calcChain.xml><?xml version="1.0" encoding="utf-8"?>
<calcChain xmlns="http://schemas.openxmlformats.org/spreadsheetml/2006/main">
  <c r="AN7" i="8" l="1"/>
  <c r="AP7" i="8" s="1"/>
  <c r="S7" i="8" s="1"/>
  <c r="AL7" i="8"/>
  <c r="AD7" i="8"/>
  <c r="AB7" i="8"/>
  <c r="T7" i="8"/>
  <c r="Q7" i="8"/>
  <c r="AN6" i="8"/>
  <c r="AP6" i="8" s="1"/>
  <c r="S6" i="8" s="1"/>
  <c r="AL6" i="8"/>
  <c r="AD6" i="8"/>
  <c r="AB6" i="8"/>
  <c r="T6" i="8"/>
  <c r="Q6" i="8"/>
  <c r="R7" i="8" l="1"/>
  <c r="U7" i="8" s="1"/>
  <c r="W7" i="8" s="1"/>
  <c r="R6" i="8"/>
  <c r="U6" i="8" s="1"/>
  <c r="W6" i="8" s="1"/>
  <c r="BR10" i="8"/>
  <c r="BR11" i="8"/>
  <c r="BR12" i="8"/>
  <c r="BR13" i="8"/>
  <c r="BR14" i="8"/>
  <c r="BR15" i="8"/>
  <c r="BR16" i="8"/>
  <c r="BR17" i="8"/>
  <c r="BR18" i="8"/>
  <c r="BR19" i="8"/>
  <c r="BR20" i="8"/>
  <c r="BR21" i="8"/>
  <c r="BR22" i="8"/>
  <c r="BR23" i="8"/>
  <c r="BR24" i="8"/>
  <c r="BR25" i="8"/>
  <c r="BR26" i="8"/>
  <c r="BR27" i="8"/>
  <c r="BR28" i="8"/>
  <c r="BR29" i="8"/>
  <c r="BR30" i="8"/>
  <c r="BR31" i="8"/>
  <c r="BR32" i="8"/>
  <c r="BR33" i="8"/>
  <c r="BR34" i="8"/>
  <c r="BR35" i="8"/>
  <c r="BR36" i="8"/>
  <c r="BR37" i="8"/>
  <c r="BR38" i="8"/>
  <c r="BR39" i="8"/>
  <c r="BR40" i="8"/>
  <c r="BR41" i="8"/>
  <c r="BR42" i="8"/>
  <c r="BR43" i="8"/>
  <c r="BR44" i="8"/>
  <c r="BR45" i="8"/>
  <c r="BR46" i="8"/>
  <c r="BR47" i="8"/>
  <c r="BR48" i="8"/>
  <c r="BR49" i="8"/>
  <c r="BR50" i="8"/>
  <c r="BR51" i="8"/>
  <c r="BR52" i="8"/>
  <c r="BR53" i="8"/>
  <c r="BR54" i="8"/>
  <c r="BR55" i="8"/>
  <c r="BR56" i="8"/>
  <c r="BR57" i="8"/>
  <c r="BR58" i="8"/>
  <c r="BR59" i="8"/>
  <c r="BR60" i="8"/>
  <c r="BR61" i="8"/>
  <c r="BR62" i="8"/>
  <c r="BR63" i="8"/>
  <c r="BR64" i="8"/>
  <c r="BR65" i="8"/>
  <c r="BR66" i="8"/>
  <c r="BR67" i="8"/>
  <c r="BR68" i="8"/>
  <c r="BR69" i="8"/>
  <c r="BR70" i="8"/>
  <c r="BR71" i="8"/>
  <c r="BR72" i="8"/>
  <c r="BR73" i="8"/>
  <c r="BR74" i="8"/>
  <c r="BR75" i="8"/>
  <c r="BR76" i="8"/>
  <c r="BR77" i="8"/>
  <c r="BR78" i="8"/>
  <c r="BR79" i="8"/>
  <c r="BR80" i="8"/>
  <c r="BR81" i="8"/>
  <c r="BR82" i="8"/>
  <c r="BR83" i="8"/>
  <c r="BR84" i="8"/>
  <c r="BR85" i="8"/>
  <c r="BR86" i="8"/>
  <c r="BR87" i="8"/>
  <c r="BR88" i="8"/>
  <c r="BR89" i="8"/>
  <c r="BR90" i="8"/>
  <c r="BR91" i="8"/>
  <c r="BR92" i="8"/>
  <c r="BR93" i="8"/>
  <c r="BR94" i="8"/>
  <c r="BR95" i="8"/>
  <c r="BR96" i="8"/>
  <c r="BR97" i="8"/>
  <c r="BR98" i="8"/>
  <c r="BR99" i="8"/>
  <c r="BR100" i="8"/>
  <c r="BR101" i="8"/>
  <c r="BR102" i="8"/>
  <c r="BR103" i="8"/>
  <c r="BR104" i="8"/>
  <c r="BR105" i="8"/>
  <c r="BR106" i="8"/>
  <c r="BR107" i="8"/>
  <c r="BR108" i="8"/>
  <c r="BR109" i="8"/>
  <c r="BR110" i="8"/>
  <c r="BR111" i="8"/>
  <c r="BR112" i="8"/>
  <c r="BR113" i="8"/>
  <c r="BR114" i="8"/>
  <c r="BR115" i="8"/>
  <c r="BR116" i="8"/>
  <c r="BR117" i="8"/>
  <c r="BR118" i="8"/>
  <c r="BR119" i="8"/>
  <c r="BR120" i="8"/>
  <c r="BR121" i="8"/>
  <c r="BR122" i="8"/>
  <c r="BR123" i="8"/>
  <c r="BR124" i="8"/>
  <c r="BR125" i="8"/>
  <c r="BR126" i="8"/>
  <c r="BR127" i="8"/>
  <c r="BR128" i="8"/>
  <c r="BR129" i="8"/>
  <c r="BR130" i="8"/>
  <c r="BR131" i="8"/>
  <c r="BR132" i="8"/>
  <c r="BR133" i="8"/>
  <c r="BR134" i="8"/>
  <c r="BR135" i="8"/>
  <c r="BR136" i="8"/>
  <c r="BR137" i="8"/>
  <c r="BR138" i="8"/>
  <c r="BR139" i="8"/>
  <c r="BR140" i="8"/>
  <c r="BR141" i="8"/>
  <c r="BR142" i="8"/>
  <c r="BR143" i="8"/>
  <c r="BR144" i="8"/>
  <c r="BR145" i="8"/>
  <c r="BR146" i="8"/>
  <c r="BR147" i="8"/>
  <c r="BR148" i="8"/>
  <c r="BR149" i="8"/>
  <c r="BR150" i="8"/>
  <c r="BR151" i="8"/>
  <c r="BR152" i="8"/>
  <c r="BR153" i="8"/>
  <c r="BR154" i="8"/>
  <c r="BR155" i="8"/>
  <c r="BR156" i="8"/>
  <c r="BR157" i="8"/>
  <c r="BR158" i="8"/>
  <c r="BR159" i="8"/>
  <c r="BR160" i="8"/>
  <c r="BR161" i="8"/>
  <c r="BR162" i="8"/>
  <c r="BR163" i="8"/>
  <c r="BR164" i="8"/>
  <c r="BR165" i="8"/>
  <c r="BR166" i="8"/>
  <c r="BR167" i="8"/>
  <c r="BR168" i="8"/>
  <c r="BR169" i="8"/>
  <c r="BR170" i="8"/>
  <c r="BR171" i="8"/>
  <c r="BR172" i="8"/>
  <c r="BR173" i="8"/>
  <c r="BR174" i="8"/>
  <c r="BR175" i="8"/>
  <c r="BR176" i="8"/>
  <c r="BR177" i="8"/>
  <c r="BR178" i="8"/>
  <c r="BR179" i="8"/>
  <c r="BR180" i="8"/>
  <c r="BR181" i="8"/>
  <c r="BR182" i="8"/>
  <c r="BR183" i="8"/>
  <c r="BR184" i="8"/>
  <c r="BR185" i="8"/>
  <c r="BR186" i="8"/>
  <c r="BR187" i="8"/>
  <c r="BR188" i="8"/>
  <c r="BR189" i="8"/>
  <c r="BR190" i="8"/>
  <c r="BR191" i="8"/>
  <c r="BR192" i="8"/>
  <c r="BR193" i="8"/>
  <c r="BR194" i="8"/>
  <c r="BR195" i="8"/>
  <c r="BR196" i="8"/>
  <c r="BR197" i="8"/>
  <c r="BR198" i="8"/>
  <c r="BR199" i="8"/>
  <c r="BR200" i="8"/>
  <c r="BR201" i="8"/>
  <c r="BR202" i="8"/>
  <c r="BR203" i="8"/>
  <c r="BR204" i="8"/>
  <c r="BR205" i="8"/>
  <c r="BR206" i="8"/>
  <c r="BR207" i="8"/>
  <c r="BR208" i="8"/>
  <c r="BR209" i="8"/>
  <c r="BR210" i="8"/>
  <c r="BR211" i="8"/>
  <c r="BR212" i="8"/>
  <c r="BR213" i="8"/>
  <c r="BR214" i="8"/>
  <c r="BR215" i="8"/>
  <c r="BR216" i="8"/>
  <c r="BR217" i="8"/>
  <c r="BR218" i="8"/>
  <c r="BR219" i="8"/>
  <c r="BR220" i="8"/>
  <c r="BR221" i="8"/>
  <c r="BR222" i="8"/>
  <c r="BR223" i="8"/>
  <c r="BR224" i="8"/>
  <c r="BR225" i="8"/>
  <c r="BR226" i="8"/>
  <c r="BR227" i="8"/>
  <c r="BR228" i="8"/>
  <c r="BR229" i="8"/>
  <c r="BR230" i="8"/>
  <c r="BR231" i="8"/>
  <c r="BR232" i="8"/>
  <c r="BR233" i="8"/>
  <c r="BR234" i="8"/>
  <c r="BR235" i="8"/>
  <c r="BR236" i="8"/>
  <c r="BR237" i="8"/>
  <c r="BR238" i="8"/>
  <c r="BR239" i="8"/>
  <c r="BR240" i="8"/>
  <c r="BR241" i="8"/>
  <c r="BR242" i="8"/>
  <c r="BR243" i="8"/>
  <c r="BR244" i="8"/>
  <c r="BR245" i="8"/>
  <c r="BR246" i="8"/>
  <c r="BR247" i="8"/>
  <c r="BR248" i="8"/>
  <c r="BR249" i="8"/>
  <c r="BR250" i="8"/>
  <c r="BR251" i="8"/>
  <c r="BR252" i="8"/>
  <c r="BR253" i="8"/>
  <c r="BR254" i="8"/>
  <c r="BR255" i="8"/>
  <c r="BR256" i="8"/>
  <c r="BR257" i="8"/>
  <c r="BR258" i="8"/>
  <c r="BR259" i="8"/>
  <c r="BR260" i="8"/>
  <c r="BR261" i="8"/>
  <c r="BR262" i="8"/>
  <c r="BR263" i="8"/>
  <c r="BR264" i="8"/>
  <c r="BR265" i="8"/>
  <c r="BR266" i="8"/>
  <c r="BR267" i="8"/>
  <c r="BR268" i="8"/>
  <c r="BR269" i="8"/>
  <c r="BR270" i="8"/>
  <c r="BR271" i="8"/>
  <c r="BR272" i="8"/>
  <c r="BR273" i="8"/>
  <c r="BR274" i="8"/>
  <c r="BR275" i="8"/>
  <c r="BR276" i="8"/>
  <c r="BR277" i="8"/>
  <c r="BR278" i="8"/>
  <c r="BR279" i="8"/>
  <c r="BR280" i="8"/>
  <c r="BR281" i="8"/>
  <c r="BR282" i="8"/>
  <c r="BR283" i="8"/>
  <c r="BR284" i="8"/>
  <c r="BR285" i="8"/>
  <c r="BR286" i="8"/>
  <c r="BR287" i="8"/>
  <c r="BR288" i="8"/>
  <c r="BR289" i="8"/>
  <c r="BR290" i="8"/>
  <c r="BR291" i="8"/>
  <c r="BR292" i="8"/>
  <c r="BR293" i="8"/>
  <c r="BR294" i="8"/>
  <c r="BR295" i="8"/>
  <c r="BR296" i="8"/>
  <c r="BR297" i="8"/>
  <c r="BR298" i="8"/>
  <c r="BR299" i="8"/>
  <c r="BR300" i="8"/>
  <c r="BR301" i="8"/>
  <c r="BR302" i="8"/>
  <c r="BR303" i="8"/>
  <c r="BR304" i="8"/>
  <c r="BR305" i="8"/>
  <c r="BR306" i="8"/>
  <c r="BR307" i="8"/>
  <c r="BR308" i="8"/>
  <c r="BR309" i="8"/>
  <c r="BR310" i="8"/>
  <c r="BR311" i="8"/>
  <c r="BR312" i="8"/>
  <c r="BR313" i="8"/>
  <c r="BR314" i="8"/>
  <c r="BR315" i="8"/>
  <c r="BR316" i="8"/>
  <c r="BR317" i="8"/>
  <c r="BR318" i="8"/>
  <c r="BR319" i="8"/>
  <c r="BR320" i="8"/>
  <c r="BR321" i="8"/>
  <c r="BR322" i="8"/>
  <c r="BR323" i="8"/>
  <c r="BR324" i="8"/>
  <c r="BR325" i="8"/>
  <c r="BR326" i="8"/>
  <c r="BR327" i="8"/>
  <c r="BR328" i="8"/>
  <c r="BR329" i="8"/>
  <c r="BR330" i="8"/>
  <c r="BR331" i="8"/>
  <c r="BR332" i="8"/>
  <c r="BR333" i="8"/>
  <c r="BR334" i="8"/>
  <c r="BR335" i="8"/>
  <c r="BR336" i="8"/>
  <c r="BR337" i="8"/>
  <c r="BR338" i="8"/>
  <c r="BR339" i="8"/>
  <c r="BR340" i="8"/>
  <c r="BR341" i="8"/>
  <c r="BR342" i="8"/>
  <c r="BR343" i="8"/>
  <c r="BR344" i="8"/>
  <c r="BR345" i="8"/>
  <c r="BR346" i="8"/>
  <c r="BR347" i="8"/>
  <c r="BR348" i="8"/>
  <c r="BR349" i="8"/>
  <c r="BR350" i="8"/>
  <c r="BR351" i="8"/>
  <c r="BR352" i="8"/>
  <c r="BR353" i="8"/>
  <c r="BR354" i="8"/>
  <c r="BR355" i="8"/>
  <c r="BR356" i="8"/>
  <c r="BR357" i="8"/>
  <c r="BR358" i="8"/>
  <c r="BR359" i="8"/>
  <c r="BR360" i="8"/>
  <c r="BR361" i="8"/>
  <c r="BR362" i="8"/>
  <c r="BR363" i="8"/>
  <c r="BR364" i="8"/>
  <c r="BR365" i="8"/>
  <c r="BR366" i="8"/>
  <c r="BR367" i="8"/>
  <c r="BR368" i="8"/>
  <c r="BR369" i="8"/>
  <c r="BR370" i="8"/>
  <c r="BR371" i="8"/>
  <c r="BR372" i="8"/>
  <c r="BR373" i="8"/>
  <c r="BR374" i="8"/>
  <c r="BR375" i="8"/>
  <c r="BR376" i="8"/>
  <c r="BR377" i="8"/>
  <c r="BR378" i="8"/>
  <c r="BR379" i="8"/>
  <c r="BR380" i="8"/>
  <c r="BR381" i="8"/>
  <c r="BR382" i="8"/>
  <c r="BR383" i="8"/>
  <c r="BR384" i="8"/>
  <c r="BR385" i="8"/>
  <c r="BR386" i="8"/>
  <c r="BR387" i="8"/>
  <c r="BR388" i="8"/>
  <c r="BR389" i="8"/>
  <c r="BR390" i="8"/>
  <c r="BR391" i="8"/>
  <c r="BR392" i="8"/>
  <c r="BR393" i="8"/>
  <c r="BR394" i="8"/>
  <c r="BR395" i="8"/>
  <c r="BR396" i="8"/>
  <c r="BR397" i="8"/>
  <c r="BR398" i="8"/>
  <c r="BR399" i="8"/>
  <c r="BR400" i="8"/>
  <c r="BR401" i="8"/>
  <c r="BR402" i="8"/>
  <c r="BR403" i="8"/>
  <c r="BR404" i="8"/>
  <c r="BR405" i="8"/>
  <c r="BR406" i="8"/>
  <c r="BR407" i="8"/>
  <c r="BR408" i="8"/>
  <c r="BR409" i="8"/>
  <c r="BR410" i="8"/>
  <c r="BR411" i="8"/>
  <c r="BR412" i="8"/>
  <c r="BR413" i="8"/>
  <c r="BR414" i="8"/>
  <c r="BR415" i="8"/>
  <c r="BR416" i="8"/>
  <c r="BR417" i="8"/>
  <c r="BR418" i="8"/>
  <c r="BR419" i="8"/>
  <c r="BR420" i="8"/>
  <c r="BR421" i="8"/>
  <c r="BR422" i="8"/>
  <c r="BR423" i="8"/>
  <c r="BR424" i="8"/>
  <c r="BR425" i="8"/>
  <c r="BR426" i="8"/>
  <c r="BR427" i="8"/>
  <c r="BR428" i="8"/>
  <c r="BR429" i="8"/>
  <c r="BR430" i="8"/>
  <c r="BR431" i="8"/>
  <c r="BR432" i="8"/>
  <c r="BR433" i="8"/>
  <c r="BR434" i="8"/>
  <c r="BR435" i="8"/>
  <c r="BR436" i="8"/>
  <c r="BR437" i="8"/>
  <c r="BR438" i="8"/>
  <c r="BR439" i="8"/>
  <c r="BR440" i="8"/>
  <c r="BR441" i="8"/>
  <c r="BR442" i="8"/>
  <c r="BR443" i="8"/>
  <c r="BR444" i="8"/>
  <c r="BR445" i="8"/>
  <c r="BR446" i="8"/>
  <c r="BR447" i="8"/>
  <c r="BR448" i="8"/>
  <c r="BR449" i="8"/>
  <c r="BR450" i="8"/>
  <c r="BR451" i="8"/>
  <c r="BR452" i="8"/>
  <c r="BR453" i="8"/>
  <c r="BR454" i="8"/>
  <c r="BR455" i="8"/>
  <c r="BR456" i="8"/>
  <c r="BR457" i="8"/>
  <c r="BR458" i="8"/>
  <c r="BR459" i="8"/>
  <c r="BR460" i="8"/>
  <c r="BR461" i="8"/>
  <c r="BR462" i="8"/>
  <c r="BR463" i="8"/>
  <c r="BR464" i="8"/>
  <c r="BR465" i="8"/>
  <c r="BR466" i="8"/>
  <c r="BR467" i="8"/>
  <c r="BR468" i="8"/>
  <c r="BR469" i="8"/>
  <c r="BR470" i="8"/>
  <c r="BR471" i="8"/>
  <c r="BR472" i="8"/>
  <c r="BR473" i="8"/>
  <c r="BR474" i="8"/>
  <c r="BR475" i="8"/>
  <c r="BR476" i="8"/>
  <c r="BR477" i="8"/>
  <c r="BR478" i="8"/>
  <c r="BR479" i="8"/>
  <c r="BR480" i="8"/>
  <c r="BR481" i="8"/>
  <c r="BR482" i="8"/>
  <c r="BR483" i="8"/>
  <c r="BR484" i="8"/>
  <c r="BR485" i="8"/>
  <c r="BR486" i="8"/>
  <c r="BR487" i="8"/>
  <c r="BR488" i="8"/>
  <c r="BR489" i="8"/>
  <c r="BR490" i="8"/>
  <c r="BR491" i="8"/>
  <c r="BR492" i="8"/>
  <c r="BR493" i="8"/>
  <c r="BR494" i="8"/>
  <c r="BR495" i="8"/>
  <c r="BR496" i="8"/>
  <c r="BR497" i="8"/>
  <c r="BR498" i="8"/>
  <c r="BR499" i="8"/>
  <c r="BR500" i="8"/>
  <c r="BR501" i="8"/>
  <c r="BR502" i="8"/>
  <c r="BR503" i="8"/>
  <c r="BR504" i="8"/>
  <c r="BR505" i="8"/>
  <c r="BR506" i="8"/>
  <c r="BP10" i="8"/>
  <c r="BP11" i="8"/>
  <c r="BP12" i="8"/>
  <c r="BP13" i="8"/>
  <c r="BP14" i="8"/>
  <c r="BP15" i="8"/>
  <c r="BP16" i="8"/>
  <c r="BP17" i="8"/>
  <c r="BP18" i="8"/>
  <c r="BP19" i="8"/>
  <c r="BP20" i="8"/>
  <c r="BP21" i="8"/>
  <c r="BP22" i="8"/>
  <c r="BP23" i="8"/>
  <c r="BP24" i="8"/>
  <c r="BP25" i="8"/>
  <c r="BP26" i="8"/>
  <c r="BP27" i="8"/>
  <c r="BP28" i="8"/>
  <c r="BP29" i="8"/>
  <c r="BP30" i="8"/>
  <c r="BP31" i="8"/>
  <c r="BP32" i="8"/>
  <c r="BP33" i="8"/>
  <c r="BP34" i="8"/>
  <c r="BP35" i="8"/>
  <c r="BP36" i="8"/>
  <c r="BP37" i="8"/>
  <c r="BP38" i="8"/>
  <c r="BP39" i="8"/>
  <c r="BP40" i="8"/>
  <c r="BP41" i="8"/>
  <c r="BP42" i="8"/>
  <c r="BP43" i="8"/>
  <c r="BP44" i="8"/>
  <c r="BP45" i="8"/>
  <c r="BP46" i="8"/>
  <c r="BP47" i="8"/>
  <c r="BP48" i="8"/>
  <c r="BP49" i="8"/>
  <c r="BP50" i="8"/>
  <c r="BP51" i="8"/>
  <c r="BP52" i="8"/>
  <c r="BP53" i="8"/>
  <c r="BP54" i="8"/>
  <c r="BP55" i="8"/>
  <c r="BP56" i="8"/>
  <c r="BP57" i="8"/>
  <c r="BP58" i="8"/>
  <c r="BP59" i="8"/>
  <c r="BP60" i="8"/>
  <c r="BP61" i="8"/>
  <c r="BP62" i="8"/>
  <c r="BP63" i="8"/>
  <c r="BP64" i="8"/>
  <c r="BP65" i="8"/>
  <c r="BP66" i="8"/>
  <c r="BP67" i="8"/>
  <c r="BP68" i="8"/>
  <c r="BP69" i="8"/>
  <c r="BP70" i="8"/>
  <c r="BP71" i="8"/>
  <c r="BP72" i="8"/>
  <c r="BP73" i="8"/>
  <c r="BP74" i="8"/>
  <c r="BP75" i="8"/>
  <c r="BP76" i="8"/>
  <c r="BP77" i="8"/>
  <c r="BP78" i="8"/>
  <c r="BP79" i="8"/>
  <c r="BP80" i="8"/>
  <c r="BP81" i="8"/>
  <c r="BP82" i="8"/>
  <c r="BP83" i="8"/>
  <c r="BP84" i="8"/>
  <c r="BP85" i="8"/>
  <c r="BP86" i="8"/>
  <c r="BP87" i="8"/>
  <c r="BP88" i="8"/>
  <c r="BP89" i="8"/>
  <c r="BP90" i="8"/>
  <c r="BP91" i="8"/>
  <c r="BP92" i="8"/>
  <c r="BP93" i="8"/>
  <c r="BP94" i="8"/>
  <c r="BP95" i="8"/>
  <c r="BP96" i="8"/>
  <c r="BP97" i="8"/>
  <c r="BP98" i="8"/>
  <c r="BP99" i="8"/>
  <c r="BP100" i="8"/>
  <c r="BP101" i="8"/>
  <c r="BP102" i="8"/>
  <c r="BP103" i="8"/>
  <c r="BP104" i="8"/>
  <c r="BP105" i="8"/>
  <c r="BP106" i="8"/>
  <c r="BP107" i="8"/>
  <c r="BP108" i="8"/>
  <c r="BP109" i="8"/>
  <c r="BP110" i="8"/>
  <c r="BP111" i="8"/>
  <c r="BP112" i="8"/>
  <c r="BP113" i="8"/>
  <c r="BP114" i="8"/>
  <c r="BP115" i="8"/>
  <c r="BP116" i="8"/>
  <c r="BP117" i="8"/>
  <c r="BP118" i="8"/>
  <c r="BP119" i="8"/>
  <c r="BP120" i="8"/>
  <c r="BP121" i="8"/>
  <c r="BP122" i="8"/>
  <c r="BP123" i="8"/>
  <c r="BP124" i="8"/>
  <c r="BP125" i="8"/>
  <c r="BP126" i="8"/>
  <c r="BP127" i="8"/>
  <c r="BP128" i="8"/>
  <c r="BP129" i="8"/>
  <c r="BP130" i="8"/>
  <c r="BP131" i="8"/>
  <c r="BP132" i="8"/>
  <c r="BP133" i="8"/>
  <c r="BP134" i="8"/>
  <c r="BP135" i="8"/>
  <c r="BP136" i="8"/>
  <c r="BP137" i="8"/>
  <c r="BP138" i="8"/>
  <c r="BP139" i="8"/>
  <c r="BP140" i="8"/>
  <c r="BP141" i="8"/>
  <c r="BP142" i="8"/>
  <c r="BP143" i="8"/>
  <c r="BP144" i="8"/>
  <c r="BP145" i="8"/>
  <c r="BP146" i="8"/>
  <c r="BP147" i="8"/>
  <c r="BP148" i="8"/>
  <c r="BP149" i="8"/>
  <c r="BP150" i="8"/>
  <c r="BP151" i="8"/>
  <c r="BP152" i="8"/>
  <c r="BP153" i="8"/>
  <c r="BP154" i="8"/>
  <c r="BP155" i="8"/>
  <c r="BP156" i="8"/>
  <c r="BP157" i="8"/>
  <c r="BP158" i="8"/>
  <c r="BP159" i="8"/>
  <c r="BP160" i="8"/>
  <c r="BP161" i="8"/>
  <c r="BP162" i="8"/>
  <c r="BP163" i="8"/>
  <c r="BP164" i="8"/>
  <c r="BP165" i="8"/>
  <c r="BP166" i="8"/>
  <c r="BP167" i="8"/>
  <c r="BP168" i="8"/>
  <c r="BP169" i="8"/>
  <c r="BP170" i="8"/>
  <c r="BP171" i="8"/>
  <c r="BP172" i="8"/>
  <c r="BP173" i="8"/>
  <c r="BP174" i="8"/>
  <c r="BP175" i="8"/>
  <c r="BP176" i="8"/>
  <c r="BP177" i="8"/>
  <c r="BP178" i="8"/>
  <c r="BP179" i="8"/>
  <c r="BP180" i="8"/>
  <c r="BP181" i="8"/>
  <c r="BP182" i="8"/>
  <c r="BP183" i="8"/>
  <c r="BP184" i="8"/>
  <c r="BP185" i="8"/>
  <c r="BP186" i="8"/>
  <c r="BP187" i="8"/>
  <c r="BP188" i="8"/>
  <c r="BP189" i="8"/>
  <c r="BP190" i="8"/>
  <c r="BP191" i="8"/>
  <c r="BP192" i="8"/>
  <c r="BP193" i="8"/>
  <c r="BP194" i="8"/>
  <c r="BP195" i="8"/>
  <c r="BP196" i="8"/>
  <c r="BP197" i="8"/>
  <c r="BP198" i="8"/>
  <c r="BP199" i="8"/>
  <c r="BP200" i="8"/>
  <c r="BP201" i="8"/>
  <c r="BP202" i="8"/>
  <c r="BP203" i="8"/>
  <c r="BP204" i="8"/>
  <c r="BP205" i="8"/>
  <c r="BP206" i="8"/>
  <c r="BP207" i="8"/>
  <c r="BP208" i="8"/>
  <c r="BP209" i="8"/>
  <c r="BP210" i="8"/>
  <c r="BP211" i="8"/>
  <c r="BP212" i="8"/>
  <c r="BP213" i="8"/>
  <c r="BP214" i="8"/>
  <c r="BP215" i="8"/>
  <c r="BP216" i="8"/>
  <c r="BP217" i="8"/>
  <c r="BP218" i="8"/>
  <c r="BP219" i="8"/>
  <c r="BP220" i="8"/>
  <c r="BP221" i="8"/>
  <c r="BP222" i="8"/>
  <c r="BP223" i="8"/>
  <c r="BP224" i="8"/>
  <c r="BP225" i="8"/>
  <c r="BP226" i="8"/>
  <c r="BP227" i="8"/>
  <c r="BP228" i="8"/>
  <c r="BP229" i="8"/>
  <c r="BP230" i="8"/>
  <c r="BP231" i="8"/>
  <c r="BP232" i="8"/>
  <c r="BP233" i="8"/>
  <c r="BP234" i="8"/>
  <c r="BP235" i="8"/>
  <c r="BP236" i="8"/>
  <c r="BP237" i="8"/>
  <c r="BP238" i="8"/>
  <c r="BP239" i="8"/>
  <c r="BP240" i="8"/>
  <c r="BP241" i="8"/>
  <c r="BP242" i="8"/>
  <c r="BP243" i="8"/>
  <c r="BP244" i="8"/>
  <c r="BP245" i="8"/>
  <c r="BP246" i="8"/>
  <c r="BP247" i="8"/>
  <c r="BP248" i="8"/>
  <c r="BP249" i="8"/>
  <c r="BP250" i="8"/>
  <c r="BP251" i="8"/>
  <c r="BP252" i="8"/>
  <c r="BP253" i="8"/>
  <c r="BP254" i="8"/>
  <c r="BP255" i="8"/>
  <c r="BP256" i="8"/>
  <c r="BP257" i="8"/>
  <c r="BP258" i="8"/>
  <c r="BP259" i="8"/>
  <c r="BP260" i="8"/>
  <c r="BP261" i="8"/>
  <c r="BP262" i="8"/>
  <c r="BP263" i="8"/>
  <c r="BP264" i="8"/>
  <c r="BP265" i="8"/>
  <c r="BP266" i="8"/>
  <c r="BP267" i="8"/>
  <c r="BP268" i="8"/>
  <c r="BP269" i="8"/>
  <c r="BP270" i="8"/>
  <c r="BP271" i="8"/>
  <c r="BP272" i="8"/>
  <c r="BP273" i="8"/>
  <c r="BP274" i="8"/>
  <c r="BP275" i="8"/>
  <c r="BP276" i="8"/>
  <c r="BP277" i="8"/>
  <c r="BP278" i="8"/>
  <c r="BP279" i="8"/>
  <c r="BP280" i="8"/>
  <c r="BP281" i="8"/>
  <c r="BP282" i="8"/>
  <c r="BP283" i="8"/>
  <c r="BP284" i="8"/>
  <c r="BP285" i="8"/>
  <c r="BP286" i="8"/>
  <c r="BP287" i="8"/>
  <c r="BP288" i="8"/>
  <c r="BP289" i="8"/>
  <c r="BP290" i="8"/>
  <c r="BP291" i="8"/>
  <c r="BP292" i="8"/>
  <c r="BP293" i="8"/>
  <c r="BP294" i="8"/>
  <c r="BP295" i="8"/>
  <c r="BP296" i="8"/>
  <c r="BP297" i="8"/>
  <c r="BP298" i="8"/>
  <c r="BP299" i="8"/>
  <c r="BP300" i="8"/>
  <c r="BP301" i="8"/>
  <c r="BP302" i="8"/>
  <c r="BP303" i="8"/>
  <c r="BP304" i="8"/>
  <c r="BP305" i="8"/>
  <c r="BP306" i="8"/>
  <c r="BP307" i="8"/>
  <c r="BP308" i="8"/>
  <c r="BP309" i="8"/>
  <c r="BP310" i="8"/>
  <c r="BP311" i="8"/>
  <c r="BP312" i="8"/>
  <c r="BP313" i="8"/>
  <c r="BP314" i="8"/>
  <c r="BP315" i="8"/>
  <c r="BP316" i="8"/>
  <c r="BP317" i="8"/>
  <c r="BP318" i="8"/>
  <c r="BP319" i="8"/>
  <c r="BP320" i="8"/>
  <c r="BP321" i="8"/>
  <c r="BP322" i="8"/>
  <c r="BP323" i="8"/>
  <c r="BP324" i="8"/>
  <c r="BP325" i="8"/>
  <c r="BP326" i="8"/>
  <c r="BP327" i="8"/>
  <c r="BP328" i="8"/>
  <c r="BP329" i="8"/>
  <c r="BP330" i="8"/>
  <c r="BP331" i="8"/>
  <c r="BP332" i="8"/>
  <c r="BP333" i="8"/>
  <c r="BP334" i="8"/>
  <c r="BP335" i="8"/>
  <c r="BP336" i="8"/>
  <c r="BP337" i="8"/>
  <c r="BP338" i="8"/>
  <c r="BP339" i="8"/>
  <c r="BP340" i="8"/>
  <c r="BP341" i="8"/>
  <c r="BP342" i="8"/>
  <c r="BP343" i="8"/>
  <c r="BP344" i="8"/>
  <c r="BP345" i="8"/>
  <c r="BP346" i="8"/>
  <c r="BP347" i="8"/>
  <c r="BP348" i="8"/>
  <c r="BP349" i="8"/>
  <c r="BP350" i="8"/>
  <c r="BP351" i="8"/>
  <c r="BP352" i="8"/>
  <c r="BP353" i="8"/>
  <c r="BP354" i="8"/>
  <c r="BP355" i="8"/>
  <c r="BP356" i="8"/>
  <c r="BP357" i="8"/>
  <c r="BP358" i="8"/>
  <c r="BP359" i="8"/>
  <c r="BP360" i="8"/>
  <c r="BP361" i="8"/>
  <c r="BP362" i="8"/>
  <c r="BP363" i="8"/>
  <c r="BP364" i="8"/>
  <c r="BP365" i="8"/>
  <c r="BP366" i="8"/>
  <c r="BP367" i="8"/>
  <c r="BP368" i="8"/>
  <c r="BP369" i="8"/>
  <c r="BP370" i="8"/>
  <c r="BP371" i="8"/>
  <c r="BP372" i="8"/>
  <c r="BP373" i="8"/>
  <c r="BP374" i="8"/>
  <c r="BP375" i="8"/>
  <c r="BP376" i="8"/>
  <c r="BP377" i="8"/>
  <c r="BP378" i="8"/>
  <c r="BP379" i="8"/>
  <c r="BP380" i="8"/>
  <c r="BP381" i="8"/>
  <c r="BP382" i="8"/>
  <c r="BP383" i="8"/>
  <c r="BP384" i="8"/>
  <c r="BP385" i="8"/>
  <c r="BP386" i="8"/>
  <c r="BP387" i="8"/>
  <c r="BP388" i="8"/>
  <c r="BP389" i="8"/>
  <c r="BP390" i="8"/>
  <c r="BP391" i="8"/>
  <c r="BP392" i="8"/>
  <c r="BP393" i="8"/>
  <c r="BP394" i="8"/>
  <c r="BP395" i="8"/>
  <c r="BP396" i="8"/>
  <c r="BP397" i="8"/>
  <c r="BP398" i="8"/>
  <c r="BP399" i="8"/>
  <c r="BP400" i="8"/>
  <c r="BP401" i="8"/>
  <c r="BP402" i="8"/>
  <c r="BP403" i="8"/>
  <c r="BP404" i="8"/>
  <c r="BP405" i="8"/>
  <c r="BP406" i="8"/>
  <c r="BP407" i="8"/>
  <c r="BP408" i="8"/>
  <c r="BP409" i="8"/>
  <c r="BP410" i="8"/>
  <c r="BP411" i="8"/>
  <c r="BP412" i="8"/>
  <c r="BP413" i="8"/>
  <c r="BP414" i="8"/>
  <c r="BP415" i="8"/>
  <c r="BP416" i="8"/>
  <c r="BP417" i="8"/>
  <c r="BP418" i="8"/>
  <c r="BP419" i="8"/>
  <c r="BP420" i="8"/>
  <c r="BP421" i="8"/>
  <c r="BP422" i="8"/>
  <c r="BP423" i="8"/>
  <c r="BP424" i="8"/>
  <c r="BP425" i="8"/>
  <c r="BP426" i="8"/>
  <c r="BP427" i="8"/>
  <c r="BP428" i="8"/>
  <c r="BP429" i="8"/>
  <c r="BP430" i="8"/>
  <c r="BP431" i="8"/>
  <c r="BP432" i="8"/>
  <c r="BP433" i="8"/>
  <c r="BP434" i="8"/>
  <c r="BP435" i="8"/>
  <c r="BP436" i="8"/>
  <c r="BP437" i="8"/>
  <c r="BP438" i="8"/>
  <c r="BP439" i="8"/>
  <c r="BP440" i="8"/>
  <c r="BP441" i="8"/>
  <c r="BP442" i="8"/>
  <c r="BP443" i="8"/>
  <c r="BP444" i="8"/>
  <c r="BP445" i="8"/>
  <c r="BP446" i="8"/>
  <c r="BP447" i="8"/>
  <c r="BP448" i="8"/>
  <c r="BP449" i="8"/>
  <c r="BP450" i="8"/>
  <c r="BP451" i="8"/>
  <c r="BP452" i="8"/>
  <c r="BP453" i="8"/>
  <c r="BP454" i="8"/>
  <c r="BP455" i="8"/>
  <c r="BP456" i="8"/>
  <c r="BP457" i="8"/>
  <c r="BP458" i="8"/>
  <c r="BP459" i="8"/>
  <c r="BP460" i="8"/>
  <c r="BP461" i="8"/>
  <c r="BP462" i="8"/>
  <c r="BP463" i="8"/>
  <c r="BP464" i="8"/>
  <c r="BP465" i="8"/>
  <c r="BP466" i="8"/>
  <c r="BP467" i="8"/>
  <c r="BP468" i="8"/>
  <c r="BP469" i="8"/>
  <c r="BP470" i="8"/>
  <c r="BP471" i="8"/>
  <c r="BP472" i="8"/>
  <c r="BP473" i="8"/>
  <c r="BP474" i="8"/>
  <c r="BP475" i="8"/>
  <c r="BP476" i="8"/>
  <c r="BP477" i="8"/>
  <c r="BP478" i="8"/>
  <c r="BP479" i="8"/>
  <c r="BP480" i="8"/>
  <c r="BP481" i="8"/>
  <c r="BP482" i="8"/>
  <c r="BP483" i="8"/>
  <c r="BP484" i="8"/>
  <c r="BP485" i="8"/>
  <c r="BP486" i="8"/>
  <c r="BP487" i="8"/>
  <c r="BP488" i="8"/>
  <c r="BP489" i="8"/>
  <c r="BP490" i="8"/>
  <c r="BP491" i="8"/>
  <c r="BP492" i="8"/>
  <c r="BP493" i="8"/>
  <c r="BP494" i="8"/>
  <c r="BP495" i="8"/>
  <c r="BP496" i="8"/>
  <c r="BP497" i="8"/>
  <c r="BP498" i="8"/>
  <c r="BP499" i="8"/>
  <c r="BP500" i="8"/>
  <c r="BP501" i="8"/>
  <c r="BP502" i="8"/>
  <c r="BP503" i="8"/>
  <c r="BP504" i="8"/>
  <c r="BP505" i="8"/>
  <c r="BP506" i="8"/>
  <c r="BQ12" i="8" l="1"/>
  <c r="BQ13" i="8"/>
  <c r="BQ14" i="8"/>
  <c r="BQ15" i="8"/>
  <c r="BQ16" i="8"/>
  <c r="BQ17" i="8"/>
  <c r="BQ18" i="8"/>
  <c r="BQ19" i="8"/>
  <c r="BQ20" i="8"/>
  <c r="BQ21" i="8"/>
  <c r="BQ22" i="8"/>
  <c r="BQ23" i="8"/>
  <c r="BQ24" i="8"/>
  <c r="BQ25" i="8"/>
  <c r="BQ26" i="8"/>
  <c r="BQ27" i="8"/>
  <c r="BQ28" i="8"/>
  <c r="BQ29" i="8"/>
  <c r="BQ30" i="8"/>
  <c r="BQ31" i="8"/>
  <c r="BQ32" i="8"/>
  <c r="BQ33" i="8"/>
  <c r="BQ34" i="8"/>
  <c r="BQ35" i="8"/>
  <c r="BQ36" i="8"/>
  <c r="BQ37" i="8"/>
  <c r="BQ38" i="8"/>
  <c r="BQ39" i="8"/>
  <c r="BQ40" i="8"/>
  <c r="BQ41" i="8"/>
  <c r="BQ42" i="8"/>
  <c r="BQ43" i="8"/>
  <c r="BQ44" i="8"/>
  <c r="BQ45" i="8"/>
  <c r="BQ46" i="8"/>
  <c r="BQ47" i="8"/>
  <c r="BQ48" i="8"/>
  <c r="BQ49" i="8"/>
  <c r="BQ50" i="8"/>
  <c r="BQ51" i="8"/>
  <c r="BQ52" i="8"/>
  <c r="BQ53" i="8"/>
  <c r="BQ54" i="8"/>
  <c r="BQ55" i="8"/>
  <c r="BQ56" i="8"/>
  <c r="BQ57" i="8"/>
  <c r="BQ58" i="8"/>
  <c r="BQ59" i="8"/>
  <c r="BQ60" i="8"/>
  <c r="BQ61" i="8"/>
  <c r="BQ62" i="8"/>
  <c r="BQ63" i="8"/>
  <c r="BQ64" i="8"/>
  <c r="BQ65" i="8"/>
  <c r="BQ66" i="8"/>
  <c r="BQ67" i="8"/>
  <c r="BQ68" i="8"/>
  <c r="BQ69" i="8"/>
  <c r="BQ70" i="8"/>
  <c r="BQ71" i="8"/>
  <c r="BQ72" i="8"/>
  <c r="BQ73" i="8"/>
  <c r="BQ74" i="8"/>
  <c r="BQ75" i="8"/>
  <c r="BQ76" i="8"/>
  <c r="BQ77" i="8"/>
  <c r="BQ78" i="8"/>
  <c r="BQ79" i="8"/>
  <c r="BQ80" i="8"/>
  <c r="BQ81" i="8"/>
  <c r="BQ82" i="8"/>
  <c r="BQ83" i="8"/>
  <c r="BQ84" i="8"/>
  <c r="BQ85" i="8"/>
  <c r="BQ86" i="8"/>
  <c r="BQ87" i="8"/>
  <c r="BQ88" i="8"/>
  <c r="BQ89" i="8"/>
  <c r="BQ90" i="8"/>
  <c r="BQ91" i="8"/>
  <c r="BQ92" i="8"/>
  <c r="BQ93" i="8"/>
  <c r="BQ94" i="8"/>
  <c r="BQ95" i="8"/>
  <c r="BQ96" i="8"/>
  <c r="BQ97" i="8"/>
  <c r="BQ98" i="8"/>
  <c r="BQ99" i="8"/>
  <c r="BQ100" i="8"/>
  <c r="BQ101" i="8"/>
  <c r="BQ102" i="8"/>
  <c r="BQ103" i="8"/>
  <c r="BQ104" i="8"/>
  <c r="BQ105" i="8"/>
  <c r="BQ106" i="8"/>
  <c r="BQ107" i="8"/>
  <c r="BQ108" i="8"/>
  <c r="BQ109" i="8"/>
  <c r="BQ110" i="8"/>
  <c r="BQ111" i="8"/>
  <c r="BQ112" i="8"/>
  <c r="BQ113" i="8"/>
  <c r="BQ114" i="8"/>
  <c r="BQ115" i="8"/>
  <c r="BQ116" i="8"/>
  <c r="BQ117" i="8"/>
  <c r="BQ118" i="8"/>
  <c r="BQ119" i="8"/>
  <c r="BQ120" i="8"/>
  <c r="BQ121" i="8"/>
  <c r="BQ122" i="8"/>
  <c r="BQ123" i="8"/>
  <c r="BQ124" i="8"/>
  <c r="BQ125" i="8"/>
  <c r="BQ126" i="8"/>
  <c r="BQ127" i="8"/>
  <c r="BQ128" i="8"/>
  <c r="BQ129" i="8"/>
  <c r="BQ130" i="8"/>
  <c r="BQ131" i="8"/>
  <c r="BQ132" i="8"/>
  <c r="BQ133" i="8"/>
  <c r="BQ134" i="8"/>
  <c r="BQ135" i="8"/>
  <c r="BQ136" i="8"/>
  <c r="BQ137" i="8"/>
  <c r="BQ138" i="8"/>
  <c r="BQ139" i="8"/>
  <c r="BQ140" i="8"/>
  <c r="BQ141" i="8"/>
  <c r="BQ142" i="8"/>
  <c r="BQ143" i="8"/>
  <c r="BQ144" i="8"/>
  <c r="BQ145" i="8"/>
  <c r="BQ146" i="8"/>
  <c r="BQ147" i="8"/>
  <c r="BQ148" i="8"/>
  <c r="BQ149" i="8"/>
  <c r="BQ150" i="8"/>
  <c r="BQ151" i="8"/>
  <c r="BQ152" i="8"/>
  <c r="BQ153" i="8"/>
  <c r="BQ154" i="8"/>
  <c r="BQ155" i="8"/>
  <c r="BQ156" i="8"/>
  <c r="BQ157" i="8"/>
  <c r="BQ158" i="8"/>
  <c r="BQ159" i="8"/>
  <c r="BQ160" i="8"/>
  <c r="BQ161" i="8"/>
  <c r="BQ162" i="8"/>
  <c r="BQ163" i="8"/>
  <c r="BQ164" i="8"/>
  <c r="BQ165" i="8"/>
  <c r="BQ166" i="8"/>
  <c r="BQ167" i="8"/>
  <c r="BQ168" i="8"/>
  <c r="BQ169" i="8"/>
  <c r="BQ170" i="8"/>
  <c r="BQ171" i="8"/>
  <c r="BQ172" i="8"/>
  <c r="BQ173" i="8"/>
  <c r="BQ174" i="8"/>
  <c r="BQ175" i="8"/>
  <c r="BQ176" i="8"/>
  <c r="BQ177" i="8"/>
  <c r="BQ178" i="8"/>
  <c r="BQ179" i="8"/>
  <c r="BQ180" i="8"/>
  <c r="BQ181" i="8"/>
  <c r="BQ182" i="8"/>
  <c r="BQ183" i="8"/>
  <c r="BQ184" i="8"/>
  <c r="BQ185" i="8"/>
  <c r="BQ186" i="8"/>
  <c r="BQ187" i="8"/>
  <c r="BQ188" i="8"/>
  <c r="BQ189" i="8"/>
  <c r="BQ190" i="8"/>
  <c r="BQ191" i="8"/>
  <c r="BQ192" i="8"/>
  <c r="BQ193" i="8"/>
  <c r="BQ194" i="8"/>
  <c r="BQ195" i="8"/>
  <c r="BQ196" i="8"/>
  <c r="BQ197" i="8"/>
  <c r="BQ198" i="8"/>
  <c r="BQ199" i="8"/>
  <c r="BQ200" i="8"/>
  <c r="BQ201" i="8"/>
  <c r="BQ202" i="8"/>
  <c r="BQ203" i="8"/>
  <c r="BQ204" i="8"/>
  <c r="BQ205" i="8"/>
  <c r="BQ206" i="8"/>
  <c r="BQ207" i="8"/>
  <c r="BQ208" i="8"/>
  <c r="BQ209" i="8"/>
  <c r="BQ210" i="8"/>
  <c r="BQ211" i="8"/>
  <c r="BQ212" i="8"/>
  <c r="BQ213" i="8"/>
  <c r="BQ214" i="8"/>
  <c r="BQ215" i="8"/>
  <c r="BQ216" i="8"/>
  <c r="BQ217" i="8"/>
  <c r="BQ218" i="8"/>
  <c r="BQ219" i="8"/>
  <c r="BQ220" i="8"/>
  <c r="BQ221" i="8"/>
  <c r="BQ222" i="8"/>
  <c r="BQ223" i="8"/>
  <c r="BQ224" i="8"/>
  <c r="BQ225" i="8"/>
  <c r="BQ226" i="8"/>
  <c r="BQ227" i="8"/>
  <c r="BQ228" i="8"/>
  <c r="BQ229" i="8"/>
  <c r="BQ230" i="8"/>
  <c r="BQ231" i="8"/>
  <c r="BQ232" i="8"/>
  <c r="BQ233" i="8"/>
  <c r="BQ234" i="8"/>
  <c r="BQ235" i="8"/>
  <c r="BQ236" i="8"/>
  <c r="BQ237" i="8"/>
  <c r="BQ238" i="8"/>
  <c r="BQ239" i="8"/>
  <c r="BQ240" i="8"/>
  <c r="BQ241" i="8"/>
  <c r="BQ242" i="8"/>
  <c r="BQ243" i="8"/>
  <c r="BQ244" i="8"/>
  <c r="BQ245" i="8"/>
  <c r="BQ246" i="8"/>
  <c r="BQ247" i="8"/>
  <c r="BQ248" i="8"/>
  <c r="BQ249" i="8"/>
  <c r="BQ250" i="8"/>
  <c r="BQ251" i="8"/>
  <c r="BQ252" i="8"/>
  <c r="BQ253" i="8"/>
  <c r="BQ254" i="8"/>
  <c r="BQ255" i="8"/>
  <c r="BQ256" i="8"/>
  <c r="BQ257" i="8"/>
  <c r="BQ258" i="8"/>
  <c r="BQ259" i="8"/>
  <c r="BQ260" i="8"/>
  <c r="BQ261" i="8"/>
  <c r="BQ262" i="8"/>
  <c r="BQ263" i="8"/>
  <c r="BQ264" i="8"/>
  <c r="BQ265" i="8"/>
  <c r="BQ266" i="8"/>
  <c r="BQ267" i="8"/>
  <c r="BQ268" i="8"/>
  <c r="BQ269" i="8"/>
  <c r="BQ270" i="8"/>
  <c r="BQ271" i="8"/>
  <c r="BQ272" i="8"/>
  <c r="BQ273" i="8"/>
  <c r="BQ274" i="8"/>
  <c r="BQ275" i="8"/>
  <c r="BQ276" i="8"/>
  <c r="BQ277" i="8"/>
  <c r="BQ278" i="8"/>
  <c r="BQ279" i="8"/>
  <c r="BQ280" i="8"/>
  <c r="BQ281" i="8"/>
  <c r="BQ282" i="8"/>
  <c r="BQ283" i="8"/>
  <c r="BQ284" i="8"/>
  <c r="BQ285" i="8"/>
  <c r="BQ286" i="8"/>
  <c r="BQ287" i="8"/>
  <c r="BQ288" i="8"/>
  <c r="BQ289" i="8"/>
  <c r="BQ290" i="8"/>
  <c r="BQ291" i="8"/>
  <c r="BQ292" i="8"/>
  <c r="BQ293" i="8"/>
  <c r="BQ294" i="8"/>
  <c r="BQ295" i="8"/>
  <c r="BQ296" i="8"/>
  <c r="BQ297" i="8"/>
  <c r="BQ298" i="8"/>
  <c r="BQ299" i="8"/>
  <c r="BQ300" i="8"/>
  <c r="BQ301" i="8"/>
  <c r="BQ302" i="8"/>
  <c r="BQ303" i="8"/>
  <c r="BQ304" i="8"/>
  <c r="BQ305" i="8"/>
  <c r="BQ306" i="8"/>
  <c r="BQ307" i="8"/>
  <c r="BQ308" i="8"/>
  <c r="BQ309" i="8"/>
  <c r="BQ310" i="8"/>
  <c r="BQ311" i="8"/>
  <c r="BQ312" i="8"/>
  <c r="BQ313" i="8"/>
  <c r="BQ314" i="8"/>
  <c r="BQ315" i="8"/>
  <c r="BQ316" i="8"/>
  <c r="BQ317" i="8"/>
  <c r="BQ318" i="8"/>
  <c r="BQ319" i="8"/>
  <c r="BQ320" i="8"/>
  <c r="BQ321" i="8"/>
  <c r="BQ322" i="8"/>
  <c r="BQ323" i="8"/>
  <c r="BQ324" i="8"/>
  <c r="BQ325" i="8"/>
  <c r="BQ326" i="8"/>
  <c r="BQ327" i="8"/>
  <c r="BQ328" i="8"/>
  <c r="BQ329" i="8"/>
  <c r="BQ330" i="8"/>
  <c r="BQ331" i="8"/>
  <c r="BQ332" i="8"/>
  <c r="BQ333" i="8"/>
  <c r="BQ334" i="8"/>
  <c r="BQ335" i="8"/>
  <c r="BQ336" i="8"/>
  <c r="BQ337" i="8"/>
  <c r="BQ338" i="8"/>
  <c r="BQ339" i="8"/>
  <c r="BQ340" i="8"/>
  <c r="BQ341" i="8"/>
  <c r="BQ342" i="8"/>
  <c r="BQ343" i="8"/>
  <c r="BQ344" i="8"/>
  <c r="BQ345" i="8"/>
  <c r="BQ346" i="8"/>
  <c r="BQ347" i="8"/>
  <c r="BQ348" i="8"/>
  <c r="BQ349" i="8"/>
  <c r="BQ350" i="8"/>
  <c r="BQ351" i="8"/>
  <c r="BQ352" i="8"/>
  <c r="BQ353" i="8"/>
  <c r="BQ354" i="8"/>
  <c r="BQ355" i="8"/>
  <c r="BQ356" i="8"/>
  <c r="BQ357" i="8"/>
  <c r="BQ358" i="8"/>
  <c r="BQ359" i="8"/>
  <c r="BQ360" i="8"/>
  <c r="BQ361" i="8"/>
  <c r="BQ362" i="8"/>
  <c r="BQ363" i="8"/>
  <c r="BQ364" i="8"/>
  <c r="BQ365" i="8"/>
  <c r="BQ366" i="8"/>
  <c r="BQ367" i="8"/>
  <c r="BQ368" i="8"/>
  <c r="BQ369" i="8"/>
  <c r="BQ370" i="8"/>
  <c r="BQ371" i="8"/>
  <c r="BQ372" i="8"/>
  <c r="BQ373" i="8"/>
  <c r="BQ374" i="8"/>
  <c r="BQ375" i="8"/>
  <c r="BQ376" i="8"/>
  <c r="BQ377" i="8"/>
  <c r="BQ378" i="8"/>
  <c r="BQ379" i="8"/>
  <c r="BQ380" i="8"/>
  <c r="BQ381" i="8"/>
  <c r="BQ382" i="8"/>
  <c r="BQ383" i="8"/>
  <c r="BQ384" i="8"/>
  <c r="BQ385" i="8"/>
  <c r="BQ386" i="8"/>
  <c r="BQ387" i="8"/>
  <c r="BQ388" i="8"/>
  <c r="BQ389" i="8"/>
  <c r="BQ390" i="8"/>
  <c r="BQ391" i="8"/>
  <c r="BQ392" i="8"/>
  <c r="BQ393" i="8"/>
  <c r="BQ394" i="8"/>
  <c r="BQ395" i="8"/>
  <c r="BQ396" i="8"/>
  <c r="BQ397" i="8"/>
  <c r="BQ398" i="8"/>
  <c r="BQ399" i="8"/>
  <c r="BQ400" i="8"/>
  <c r="BQ401" i="8"/>
  <c r="BQ402" i="8"/>
  <c r="BQ403" i="8"/>
  <c r="BQ404" i="8"/>
  <c r="BQ405" i="8"/>
  <c r="BQ406" i="8"/>
  <c r="BQ407" i="8"/>
  <c r="BQ408" i="8"/>
  <c r="BQ409" i="8"/>
  <c r="BQ410" i="8"/>
  <c r="BQ411" i="8"/>
  <c r="BQ412" i="8"/>
  <c r="BQ413" i="8"/>
  <c r="BQ414" i="8"/>
  <c r="BQ415" i="8"/>
  <c r="BQ416" i="8"/>
  <c r="BQ417" i="8"/>
  <c r="BQ418" i="8"/>
  <c r="BQ419" i="8"/>
  <c r="BQ420" i="8"/>
  <c r="BQ421" i="8"/>
  <c r="BQ422" i="8"/>
  <c r="BQ423" i="8"/>
  <c r="BQ424" i="8"/>
  <c r="BQ425" i="8"/>
  <c r="BQ426" i="8"/>
  <c r="BQ427" i="8"/>
  <c r="BQ428" i="8"/>
  <c r="BQ429" i="8"/>
  <c r="BQ430" i="8"/>
  <c r="BQ431" i="8"/>
  <c r="BQ432" i="8"/>
  <c r="BQ433" i="8"/>
  <c r="BQ434" i="8"/>
  <c r="BQ435" i="8"/>
  <c r="BQ436" i="8"/>
  <c r="BQ437" i="8"/>
  <c r="BQ438" i="8"/>
  <c r="BQ439" i="8"/>
  <c r="BQ440" i="8"/>
  <c r="BQ441" i="8"/>
  <c r="BQ442" i="8"/>
  <c r="BQ443" i="8"/>
  <c r="BQ444" i="8"/>
  <c r="BQ445" i="8"/>
  <c r="BQ446" i="8"/>
  <c r="BQ447" i="8"/>
  <c r="BQ448" i="8"/>
  <c r="BQ449" i="8"/>
  <c r="BQ450" i="8"/>
  <c r="BQ451" i="8"/>
  <c r="BQ452" i="8"/>
  <c r="BQ453" i="8"/>
  <c r="BQ454" i="8"/>
  <c r="BQ455" i="8"/>
  <c r="BQ456" i="8"/>
  <c r="BQ457" i="8"/>
  <c r="BQ458" i="8"/>
  <c r="BQ459" i="8"/>
  <c r="BQ460" i="8"/>
  <c r="BQ461" i="8"/>
  <c r="BQ462" i="8"/>
  <c r="BQ463" i="8"/>
  <c r="BQ464" i="8"/>
  <c r="BQ465" i="8"/>
  <c r="BQ466" i="8"/>
  <c r="BQ467" i="8"/>
  <c r="BQ468" i="8"/>
  <c r="BQ469" i="8"/>
  <c r="BQ470" i="8"/>
  <c r="BQ471" i="8"/>
  <c r="BQ472" i="8"/>
  <c r="BQ473" i="8"/>
  <c r="BQ474" i="8"/>
  <c r="BQ475" i="8"/>
  <c r="BQ476" i="8"/>
  <c r="BQ477" i="8"/>
  <c r="BQ478" i="8"/>
  <c r="BQ479" i="8"/>
  <c r="BQ480" i="8"/>
  <c r="BQ481" i="8"/>
  <c r="BQ482" i="8"/>
  <c r="BQ483" i="8"/>
  <c r="BQ484" i="8"/>
  <c r="BQ485" i="8"/>
  <c r="BQ486" i="8"/>
  <c r="BQ487" i="8"/>
  <c r="BQ488" i="8"/>
  <c r="BQ489" i="8"/>
  <c r="BQ490" i="8"/>
  <c r="BQ491" i="8"/>
  <c r="BQ492" i="8"/>
  <c r="BQ493" i="8"/>
  <c r="BQ494" i="8"/>
  <c r="BQ495" i="8"/>
  <c r="BQ496" i="8"/>
  <c r="BQ497" i="8"/>
  <c r="BQ498" i="8"/>
  <c r="BQ499" i="8"/>
  <c r="BQ500" i="8"/>
  <c r="BQ501" i="8"/>
  <c r="BQ502" i="8"/>
  <c r="BQ503" i="8"/>
  <c r="BQ504" i="8"/>
  <c r="BQ505" i="8"/>
  <c r="BQ506" i="8"/>
  <c r="BN12" i="8" l="1"/>
  <c r="BN13" i="8"/>
  <c r="BN14" i="8"/>
  <c r="BN15" i="8"/>
  <c r="BN16" i="8"/>
  <c r="BN17" i="8"/>
  <c r="BN18" i="8"/>
  <c r="BN19" i="8"/>
  <c r="BN20" i="8"/>
  <c r="BN21" i="8"/>
  <c r="BN22" i="8"/>
  <c r="BN23" i="8"/>
  <c r="BN24" i="8"/>
  <c r="BN25" i="8"/>
  <c r="BN26" i="8"/>
  <c r="BN27" i="8"/>
  <c r="BN28" i="8"/>
  <c r="BN29" i="8"/>
  <c r="BN30" i="8"/>
  <c r="BN31" i="8"/>
  <c r="BN32" i="8"/>
  <c r="BN33" i="8"/>
  <c r="BN34" i="8"/>
  <c r="BN35" i="8"/>
  <c r="BN36" i="8"/>
  <c r="BN37" i="8"/>
  <c r="BN38" i="8"/>
  <c r="BN39" i="8"/>
  <c r="BN40" i="8"/>
  <c r="BN41" i="8"/>
  <c r="BN42" i="8"/>
  <c r="BN43" i="8"/>
  <c r="BN44" i="8"/>
  <c r="BN45" i="8"/>
  <c r="BN46" i="8"/>
  <c r="BN47" i="8"/>
  <c r="BN48" i="8"/>
  <c r="BN49" i="8"/>
  <c r="BN50" i="8"/>
  <c r="BN51" i="8"/>
  <c r="BN52" i="8"/>
  <c r="BN53" i="8"/>
  <c r="BN54" i="8"/>
  <c r="BN55" i="8"/>
  <c r="BN56" i="8"/>
  <c r="BN57" i="8"/>
  <c r="BN58" i="8"/>
  <c r="BN59" i="8"/>
  <c r="BN60" i="8"/>
  <c r="BN61" i="8"/>
  <c r="BN62" i="8"/>
  <c r="BN63" i="8"/>
  <c r="BN64" i="8"/>
  <c r="BN65" i="8"/>
  <c r="BN66" i="8"/>
  <c r="BN67" i="8"/>
  <c r="BN68" i="8"/>
  <c r="BN69" i="8"/>
  <c r="BN70" i="8"/>
  <c r="BN71" i="8"/>
  <c r="BN72" i="8"/>
  <c r="BN73" i="8"/>
  <c r="BN74" i="8"/>
  <c r="BN75" i="8"/>
  <c r="BN76" i="8"/>
  <c r="BN77" i="8"/>
  <c r="BN78" i="8"/>
  <c r="BN79" i="8"/>
  <c r="BN80" i="8"/>
  <c r="BN81" i="8"/>
  <c r="BN82" i="8"/>
  <c r="BN83" i="8"/>
  <c r="BN84" i="8"/>
  <c r="BN85" i="8"/>
  <c r="BN86" i="8"/>
  <c r="BN87" i="8"/>
  <c r="BN88" i="8"/>
  <c r="BN89" i="8"/>
  <c r="BN90" i="8"/>
  <c r="BN91" i="8"/>
  <c r="BN92" i="8"/>
  <c r="BN93" i="8"/>
  <c r="BN94" i="8"/>
  <c r="BN95" i="8"/>
  <c r="BN96" i="8"/>
  <c r="BN97" i="8"/>
  <c r="BN98" i="8"/>
  <c r="BN99" i="8"/>
  <c r="BN100" i="8"/>
  <c r="BN101" i="8"/>
  <c r="BN102" i="8"/>
  <c r="BN103" i="8"/>
  <c r="BN104" i="8"/>
  <c r="BN105" i="8"/>
  <c r="BN106" i="8"/>
  <c r="BN107" i="8"/>
  <c r="BN108" i="8"/>
  <c r="BN109" i="8"/>
  <c r="BN110" i="8"/>
  <c r="BN111" i="8"/>
  <c r="BN112" i="8"/>
  <c r="BN113" i="8"/>
  <c r="BN114" i="8"/>
  <c r="BN115" i="8"/>
  <c r="BN116" i="8"/>
  <c r="BN117" i="8"/>
  <c r="BN118" i="8"/>
  <c r="BN119" i="8"/>
  <c r="BN120" i="8"/>
  <c r="BN121" i="8"/>
  <c r="BN122" i="8"/>
  <c r="BN123" i="8"/>
  <c r="BN124" i="8"/>
  <c r="BN125" i="8"/>
  <c r="BN126" i="8"/>
  <c r="BN127" i="8"/>
  <c r="BN128" i="8"/>
  <c r="BN129" i="8"/>
  <c r="BN130" i="8"/>
  <c r="BN131" i="8"/>
  <c r="BN132" i="8"/>
  <c r="BN133" i="8"/>
  <c r="BN134" i="8"/>
  <c r="BN135" i="8"/>
  <c r="BN136" i="8"/>
  <c r="BN137" i="8"/>
  <c r="BN138" i="8"/>
  <c r="BN139" i="8"/>
  <c r="BN140" i="8"/>
  <c r="BN141" i="8"/>
  <c r="BN142" i="8"/>
  <c r="BN143" i="8"/>
  <c r="BN144" i="8"/>
  <c r="BN145" i="8"/>
  <c r="BN146" i="8"/>
  <c r="BN147" i="8"/>
  <c r="BN148" i="8"/>
  <c r="BN149" i="8"/>
  <c r="BN150" i="8"/>
  <c r="BN151" i="8"/>
  <c r="BN152" i="8"/>
  <c r="BN153" i="8"/>
  <c r="BN154" i="8"/>
  <c r="BN155" i="8"/>
  <c r="BN156" i="8"/>
  <c r="BN157" i="8"/>
  <c r="BN158" i="8"/>
  <c r="BN159" i="8"/>
  <c r="BN160" i="8"/>
  <c r="BN161" i="8"/>
  <c r="BN162" i="8"/>
  <c r="BN163" i="8"/>
  <c r="BN164" i="8"/>
  <c r="BN165" i="8"/>
  <c r="BN166" i="8"/>
  <c r="BN167" i="8"/>
  <c r="BN168" i="8"/>
  <c r="BN169" i="8"/>
  <c r="BN170" i="8"/>
  <c r="BN171" i="8"/>
  <c r="BN172" i="8"/>
  <c r="BN173" i="8"/>
  <c r="BN174" i="8"/>
  <c r="BN175" i="8"/>
  <c r="BN176" i="8"/>
  <c r="BN177" i="8"/>
  <c r="BN178" i="8"/>
  <c r="BN179" i="8"/>
  <c r="BN180" i="8"/>
  <c r="BN181" i="8"/>
  <c r="BN182" i="8"/>
  <c r="BN183" i="8"/>
  <c r="BN184" i="8"/>
  <c r="BN185" i="8"/>
  <c r="BN186" i="8"/>
  <c r="BN187" i="8"/>
  <c r="BN188" i="8"/>
  <c r="BN189" i="8"/>
  <c r="BN190" i="8"/>
  <c r="BN191" i="8"/>
  <c r="BN192" i="8"/>
  <c r="BN193" i="8"/>
  <c r="BN194" i="8"/>
  <c r="BN195" i="8"/>
  <c r="BN196" i="8"/>
  <c r="BN197" i="8"/>
  <c r="BN198" i="8"/>
  <c r="BN199" i="8"/>
  <c r="BN200" i="8"/>
  <c r="BN201" i="8"/>
  <c r="BN202" i="8"/>
  <c r="BN203" i="8"/>
  <c r="BN204" i="8"/>
  <c r="BN205" i="8"/>
  <c r="BN206" i="8"/>
  <c r="BN207" i="8"/>
  <c r="BN208" i="8"/>
  <c r="BN209" i="8"/>
  <c r="BN210" i="8"/>
  <c r="BN211" i="8"/>
  <c r="BN212" i="8"/>
  <c r="BN213" i="8"/>
  <c r="BN214" i="8"/>
  <c r="BN215" i="8"/>
  <c r="BN216" i="8"/>
  <c r="BN217" i="8"/>
  <c r="BN218" i="8"/>
  <c r="BN219" i="8"/>
  <c r="BN220" i="8"/>
  <c r="BN221" i="8"/>
  <c r="BN222" i="8"/>
  <c r="BN223" i="8"/>
  <c r="BN224" i="8"/>
  <c r="BN225" i="8"/>
  <c r="BN226" i="8"/>
  <c r="BN227" i="8"/>
  <c r="BN228" i="8"/>
  <c r="BN229" i="8"/>
  <c r="BN230" i="8"/>
  <c r="BN231" i="8"/>
  <c r="BN232" i="8"/>
  <c r="BN233" i="8"/>
  <c r="BN234" i="8"/>
  <c r="BN235" i="8"/>
  <c r="BN236" i="8"/>
  <c r="BN237" i="8"/>
  <c r="BN238" i="8"/>
  <c r="BN239" i="8"/>
  <c r="BN240" i="8"/>
  <c r="BN241" i="8"/>
  <c r="BN242" i="8"/>
  <c r="BN243" i="8"/>
  <c r="BN244" i="8"/>
  <c r="BN245" i="8"/>
  <c r="BN246" i="8"/>
  <c r="BN247" i="8"/>
  <c r="BN248" i="8"/>
  <c r="BN249" i="8"/>
  <c r="BN250" i="8"/>
  <c r="BN251" i="8"/>
  <c r="BN252" i="8"/>
  <c r="BN253" i="8"/>
  <c r="BN254" i="8"/>
  <c r="BN255" i="8"/>
  <c r="BN256" i="8"/>
  <c r="BN257" i="8"/>
  <c r="BN258" i="8"/>
  <c r="BN259" i="8"/>
  <c r="BN260" i="8"/>
  <c r="BN261" i="8"/>
  <c r="BN262" i="8"/>
  <c r="BN263" i="8"/>
  <c r="BN264" i="8"/>
  <c r="BN265" i="8"/>
  <c r="BN266" i="8"/>
  <c r="BN267" i="8"/>
  <c r="BN268" i="8"/>
  <c r="BN269" i="8"/>
  <c r="BN270" i="8"/>
  <c r="BN271" i="8"/>
  <c r="BN272" i="8"/>
  <c r="BN273" i="8"/>
  <c r="BN274" i="8"/>
  <c r="BN275" i="8"/>
  <c r="BN276" i="8"/>
  <c r="BN277" i="8"/>
  <c r="BN278" i="8"/>
  <c r="BN279" i="8"/>
  <c r="BN280" i="8"/>
  <c r="BN281" i="8"/>
  <c r="BN282" i="8"/>
  <c r="BN283" i="8"/>
  <c r="BN284" i="8"/>
  <c r="BN285" i="8"/>
  <c r="BN286" i="8"/>
  <c r="BN287" i="8"/>
  <c r="BN288" i="8"/>
  <c r="BN289" i="8"/>
  <c r="BN290" i="8"/>
  <c r="BN291" i="8"/>
  <c r="BN292" i="8"/>
  <c r="BN293" i="8"/>
  <c r="BN294" i="8"/>
  <c r="BN295" i="8"/>
  <c r="BN296" i="8"/>
  <c r="BN297" i="8"/>
  <c r="BN298" i="8"/>
  <c r="BN299" i="8"/>
  <c r="BN300" i="8"/>
  <c r="BN301" i="8"/>
  <c r="BN302" i="8"/>
  <c r="BN303" i="8"/>
  <c r="BN304" i="8"/>
  <c r="BN305" i="8"/>
  <c r="BN306" i="8"/>
  <c r="BN307" i="8"/>
  <c r="BN308" i="8"/>
  <c r="BN309" i="8"/>
  <c r="BN310" i="8"/>
  <c r="BN311" i="8"/>
  <c r="BN312" i="8"/>
  <c r="BN313" i="8"/>
  <c r="BN314" i="8"/>
  <c r="BN315" i="8"/>
  <c r="BN316" i="8"/>
  <c r="BN317" i="8"/>
  <c r="BN318" i="8"/>
  <c r="BN319" i="8"/>
  <c r="BN320" i="8"/>
  <c r="BN321" i="8"/>
  <c r="BN322" i="8"/>
  <c r="BN323" i="8"/>
  <c r="BN324" i="8"/>
  <c r="BN325" i="8"/>
  <c r="BN326" i="8"/>
  <c r="BN327" i="8"/>
  <c r="BN328" i="8"/>
  <c r="BN329" i="8"/>
  <c r="BN330" i="8"/>
  <c r="BN331" i="8"/>
  <c r="BN332" i="8"/>
  <c r="BN333" i="8"/>
  <c r="BN334" i="8"/>
  <c r="BN335" i="8"/>
  <c r="BN336" i="8"/>
  <c r="BN337" i="8"/>
  <c r="BN338" i="8"/>
  <c r="BN339" i="8"/>
  <c r="BN340" i="8"/>
  <c r="BN341" i="8"/>
  <c r="BN342" i="8"/>
  <c r="BN343" i="8"/>
  <c r="BN344" i="8"/>
  <c r="BN345" i="8"/>
  <c r="BN346" i="8"/>
  <c r="BN347" i="8"/>
  <c r="BN348" i="8"/>
  <c r="BN349" i="8"/>
  <c r="BN350" i="8"/>
  <c r="BN351" i="8"/>
  <c r="BN352" i="8"/>
  <c r="BN353" i="8"/>
  <c r="BN354" i="8"/>
  <c r="BN355" i="8"/>
  <c r="BN356" i="8"/>
  <c r="BN357" i="8"/>
  <c r="BN358" i="8"/>
  <c r="BN359" i="8"/>
  <c r="BN360" i="8"/>
  <c r="BN361" i="8"/>
  <c r="BN362" i="8"/>
  <c r="BN363" i="8"/>
  <c r="BN364" i="8"/>
  <c r="BN365" i="8"/>
  <c r="BN366" i="8"/>
  <c r="BN367" i="8"/>
  <c r="BN368" i="8"/>
  <c r="BN369" i="8"/>
  <c r="BN370" i="8"/>
  <c r="BN371" i="8"/>
  <c r="BN372" i="8"/>
  <c r="BN373" i="8"/>
  <c r="BN374" i="8"/>
  <c r="BN375" i="8"/>
  <c r="BN376" i="8"/>
  <c r="BN377" i="8"/>
  <c r="BN378" i="8"/>
  <c r="BN379" i="8"/>
  <c r="BN380" i="8"/>
  <c r="BN381" i="8"/>
  <c r="BN382" i="8"/>
  <c r="BN383" i="8"/>
  <c r="BN384" i="8"/>
  <c r="BN385" i="8"/>
  <c r="BN386" i="8"/>
  <c r="BN387" i="8"/>
  <c r="BN388" i="8"/>
  <c r="BN389" i="8"/>
  <c r="BN390" i="8"/>
  <c r="BN391" i="8"/>
  <c r="BN392" i="8"/>
  <c r="BN393" i="8"/>
  <c r="BN394" i="8"/>
  <c r="BN395" i="8"/>
  <c r="BN396" i="8"/>
  <c r="BN397" i="8"/>
  <c r="BN398" i="8"/>
  <c r="BN399" i="8"/>
  <c r="BN400" i="8"/>
  <c r="BN401" i="8"/>
  <c r="BN402" i="8"/>
  <c r="BN403" i="8"/>
  <c r="BN404" i="8"/>
  <c r="BN405" i="8"/>
  <c r="BN406" i="8"/>
  <c r="BN407" i="8"/>
  <c r="BN408" i="8"/>
  <c r="BN409" i="8"/>
  <c r="BN410" i="8"/>
  <c r="BN411" i="8"/>
  <c r="BN412" i="8"/>
  <c r="BN413" i="8"/>
  <c r="BN414" i="8"/>
  <c r="BN415" i="8"/>
  <c r="BN416" i="8"/>
  <c r="BN417" i="8"/>
  <c r="BN418" i="8"/>
  <c r="BN419" i="8"/>
  <c r="BN420" i="8"/>
  <c r="BN421" i="8"/>
  <c r="BN422" i="8"/>
  <c r="BN423" i="8"/>
  <c r="BN424" i="8"/>
  <c r="BN425" i="8"/>
  <c r="BN426" i="8"/>
  <c r="BN427" i="8"/>
  <c r="BN428" i="8"/>
  <c r="BN429" i="8"/>
  <c r="BN430" i="8"/>
  <c r="BN431" i="8"/>
  <c r="BN432" i="8"/>
  <c r="BN433" i="8"/>
  <c r="BN434" i="8"/>
  <c r="BN435" i="8"/>
  <c r="BN436" i="8"/>
  <c r="BN437" i="8"/>
  <c r="BN438" i="8"/>
  <c r="BN439" i="8"/>
  <c r="BN440" i="8"/>
  <c r="BN441" i="8"/>
  <c r="BN442" i="8"/>
  <c r="BN443" i="8"/>
  <c r="BN444" i="8"/>
  <c r="BN445" i="8"/>
  <c r="BN446" i="8"/>
  <c r="BN447" i="8"/>
  <c r="BN448" i="8"/>
  <c r="BN449" i="8"/>
  <c r="BN450" i="8"/>
  <c r="BN451" i="8"/>
  <c r="BN452" i="8"/>
  <c r="BN453" i="8"/>
  <c r="BN454" i="8"/>
  <c r="BN455" i="8"/>
  <c r="BN456" i="8"/>
  <c r="BN457" i="8"/>
  <c r="BN458" i="8"/>
  <c r="BN459" i="8"/>
  <c r="BN460" i="8"/>
  <c r="BN461" i="8"/>
  <c r="BN462" i="8"/>
  <c r="BN463" i="8"/>
  <c r="BN464" i="8"/>
  <c r="BN465" i="8"/>
  <c r="BN466" i="8"/>
  <c r="BN467" i="8"/>
  <c r="BN468" i="8"/>
  <c r="BN469" i="8"/>
  <c r="BN470" i="8"/>
  <c r="BN471" i="8"/>
  <c r="BN472" i="8"/>
  <c r="BN473" i="8"/>
  <c r="BN474" i="8"/>
  <c r="BN475" i="8"/>
  <c r="BN476" i="8"/>
  <c r="BN477" i="8"/>
  <c r="BN478" i="8"/>
  <c r="BN479" i="8"/>
  <c r="BN480" i="8"/>
  <c r="BN481" i="8"/>
  <c r="BN482" i="8"/>
  <c r="BN483" i="8"/>
  <c r="BN484" i="8"/>
  <c r="BN485" i="8"/>
  <c r="BN486" i="8"/>
  <c r="BN487" i="8"/>
  <c r="BN488" i="8"/>
  <c r="BN489" i="8"/>
  <c r="BN490" i="8"/>
  <c r="BN491" i="8"/>
  <c r="BN492" i="8"/>
  <c r="BN493" i="8"/>
  <c r="BN494" i="8"/>
  <c r="BN495" i="8"/>
  <c r="BN496" i="8"/>
  <c r="BN497" i="8"/>
  <c r="BN498" i="8"/>
  <c r="BN499" i="8"/>
  <c r="BN500" i="8"/>
  <c r="BN501" i="8"/>
  <c r="BN502" i="8"/>
  <c r="BN503" i="8"/>
  <c r="BN504" i="8"/>
  <c r="BN505" i="8"/>
  <c r="BN506" i="8"/>
  <c r="BO7" i="8"/>
  <c r="BO21" i="8"/>
  <c r="BO30" i="8" l="1"/>
  <c r="BO20" i="8" l="1"/>
  <c r="BO22" i="8"/>
  <c r="BO23" i="8"/>
  <c r="BO24" i="8"/>
  <c r="BO25" i="8"/>
  <c r="BO26" i="8"/>
  <c r="BO27" i="8"/>
  <c r="BO28" i="8"/>
  <c r="BO29" i="8"/>
  <c r="BO31" i="8"/>
  <c r="BO32" i="8"/>
  <c r="BO33" i="8"/>
  <c r="BO34" i="8"/>
  <c r="BO35" i="8"/>
  <c r="BO36" i="8"/>
  <c r="BO37" i="8"/>
  <c r="BO38" i="8"/>
  <c r="BO39" i="8"/>
  <c r="BO40" i="8"/>
  <c r="BO41" i="8"/>
  <c r="BO42" i="8"/>
  <c r="BO43" i="8"/>
  <c r="BO44" i="8"/>
  <c r="BO45" i="8"/>
  <c r="BO46" i="8"/>
  <c r="BO47" i="8"/>
  <c r="BO48" i="8"/>
  <c r="BO49" i="8"/>
  <c r="BO50" i="8"/>
  <c r="BO51" i="8"/>
  <c r="BO52" i="8"/>
  <c r="BO53" i="8"/>
  <c r="BO54" i="8"/>
  <c r="BO55" i="8"/>
  <c r="BO56" i="8"/>
  <c r="BO57" i="8"/>
  <c r="BO58" i="8"/>
  <c r="BO59" i="8"/>
  <c r="BO60" i="8"/>
  <c r="BO61" i="8"/>
  <c r="BO62" i="8"/>
  <c r="BO63" i="8"/>
  <c r="BO64" i="8"/>
  <c r="BO65" i="8"/>
  <c r="BO66" i="8"/>
  <c r="BO67" i="8"/>
  <c r="BO68" i="8"/>
  <c r="BO69" i="8"/>
  <c r="BO70" i="8"/>
  <c r="BO71" i="8"/>
  <c r="BO72" i="8"/>
  <c r="BO73" i="8"/>
  <c r="BO74" i="8"/>
  <c r="BO75" i="8"/>
  <c r="BO76" i="8"/>
  <c r="BO77" i="8"/>
  <c r="BO78" i="8"/>
  <c r="BO79" i="8"/>
  <c r="BO80" i="8"/>
  <c r="BO81" i="8"/>
  <c r="BO82" i="8"/>
  <c r="BO83" i="8"/>
  <c r="BO84" i="8"/>
  <c r="BO85" i="8"/>
  <c r="BO86" i="8"/>
  <c r="BO87" i="8"/>
  <c r="BO88" i="8"/>
  <c r="BO89" i="8"/>
  <c r="BO90" i="8"/>
  <c r="BO91" i="8"/>
  <c r="BO92" i="8"/>
  <c r="BO93" i="8"/>
  <c r="BO94" i="8"/>
  <c r="BO95" i="8"/>
  <c r="BO96" i="8"/>
  <c r="BO97" i="8"/>
  <c r="BO98" i="8"/>
  <c r="BO99" i="8"/>
  <c r="BO100" i="8"/>
  <c r="BO101" i="8"/>
  <c r="BO102" i="8"/>
  <c r="BO103" i="8"/>
  <c r="BO104" i="8"/>
  <c r="BO105" i="8"/>
  <c r="BO106" i="8"/>
  <c r="BO107" i="8"/>
  <c r="BO108" i="8"/>
  <c r="BO109" i="8"/>
  <c r="BO110" i="8"/>
  <c r="BO111" i="8"/>
  <c r="BO112" i="8"/>
  <c r="BO113" i="8"/>
  <c r="BO114" i="8"/>
  <c r="BO115" i="8"/>
  <c r="BO116" i="8"/>
  <c r="BO117" i="8"/>
  <c r="BO118" i="8"/>
  <c r="BO119" i="8"/>
  <c r="BO120" i="8"/>
  <c r="BO121" i="8"/>
  <c r="BO122" i="8"/>
  <c r="BO123" i="8"/>
  <c r="BO124" i="8"/>
  <c r="BO125" i="8"/>
  <c r="BO126" i="8"/>
  <c r="BO127" i="8"/>
  <c r="BO128" i="8"/>
  <c r="BO129" i="8"/>
  <c r="BO130" i="8"/>
  <c r="BO131" i="8"/>
  <c r="BO132" i="8"/>
  <c r="BO133" i="8"/>
  <c r="BO134" i="8"/>
  <c r="BO135" i="8"/>
  <c r="BO136" i="8"/>
  <c r="BO137" i="8"/>
  <c r="BO138" i="8"/>
  <c r="BO139" i="8"/>
  <c r="BO140" i="8"/>
  <c r="BO141" i="8"/>
  <c r="BO142" i="8"/>
  <c r="BO143" i="8"/>
  <c r="BO144" i="8"/>
  <c r="BO145" i="8"/>
  <c r="BO146" i="8"/>
  <c r="BO147" i="8"/>
  <c r="BO148" i="8"/>
  <c r="BO149" i="8"/>
  <c r="BO150" i="8"/>
  <c r="BO151" i="8"/>
  <c r="BO152" i="8"/>
  <c r="BO153" i="8"/>
  <c r="BO154" i="8"/>
  <c r="BO155" i="8"/>
  <c r="BO156" i="8"/>
  <c r="BO157" i="8"/>
  <c r="BO158" i="8"/>
  <c r="BO159" i="8"/>
  <c r="BO160" i="8"/>
  <c r="BO161" i="8"/>
  <c r="BO162" i="8"/>
  <c r="BO163" i="8"/>
  <c r="BO164" i="8"/>
  <c r="BO165" i="8"/>
  <c r="BO166" i="8"/>
  <c r="BO167" i="8"/>
  <c r="BO168" i="8"/>
  <c r="BO169" i="8"/>
  <c r="BO170" i="8"/>
  <c r="BO171" i="8"/>
  <c r="BO172" i="8"/>
  <c r="BO173" i="8"/>
  <c r="BO174" i="8"/>
  <c r="BO175" i="8"/>
  <c r="BO176" i="8"/>
  <c r="BO177" i="8"/>
  <c r="BO178" i="8"/>
  <c r="BO179" i="8"/>
  <c r="BO180" i="8"/>
  <c r="BO181" i="8"/>
  <c r="BO182" i="8"/>
  <c r="BO183" i="8"/>
  <c r="BO184" i="8"/>
  <c r="BO185" i="8"/>
  <c r="BO186" i="8"/>
  <c r="BO187" i="8"/>
  <c r="BO188" i="8"/>
  <c r="BO189" i="8"/>
  <c r="BO190" i="8"/>
  <c r="BO191" i="8"/>
  <c r="BO192" i="8"/>
  <c r="BO193" i="8"/>
  <c r="BO194" i="8"/>
  <c r="BO195" i="8"/>
  <c r="BO196" i="8"/>
  <c r="BO197" i="8"/>
  <c r="BO198" i="8"/>
  <c r="BO199" i="8"/>
  <c r="BO200" i="8"/>
  <c r="BO201" i="8"/>
  <c r="BO202" i="8"/>
  <c r="BO203" i="8"/>
  <c r="BO204" i="8"/>
  <c r="BO205" i="8"/>
  <c r="BO206" i="8"/>
  <c r="BO207" i="8"/>
  <c r="BO208" i="8"/>
  <c r="BO209" i="8"/>
  <c r="BO210" i="8"/>
  <c r="BO211" i="8"/>
  <c r="BO212" i="8"/>
  <c r="BO213" i="8"/>
  <c r="BO214" i="8"/>
  <c r="BO215" i="8"/>
  <c r="BO216" i="8"/>
  <c r="BO217" i="8"/>
  <c r="BO218" i="8"/>
  <c r="BO219" i="8"/>
  <c r="BO220" i="8"/>
  <c r="BO221" i="8"/>
  <c r="BO222" i="8"/>
  <c r="BO223" i="8"/>
  <c r="BO224" i="8"/>
  <c r="BO225" i="8"/>
  <c r="BO226" i="8"/>
  <c r="BO227" i="8"/>
  <c r="BO228" i="8"/>
  <c r="BO229" i="8"/>
  <c r="BO230" i="8"/>
  <c r="BO231" i="8"/>
  <c r="BO232" i="8"/>
  <c r="BO233" i="8"/>
  <c r="BO234" i="8"/>
  <c r="BO235" i="8"/>
  <c r="BO236" i="8"/>
  <c r="BO237" i="8"/>
  <c r="BO238" i="8"/>
  <c r="BO239" i="8"/>
  <c r="BO240" i="8"/>
  <c r="BO241" i="8"/>
  <c r="BO242" i="8"/>
  <c r="BO243" i="8"/>
  <c r="BO244" i="8"/>
  <c r="BO245" i="8"/>
  <c r="BO246" i="8"/>
  <c r="BO247" i="8"/>
  <c r="BO248" i="8"/>
  <c r="BO249" i="8"/>
  <c r="BO250" i="8"/>
  <c r="BO251" i="8"/>
  <c r="BO252" i="8"/>
  <c r="BO253" i="8"/>
  <c r="BO254" i="8"/>
  <c r="BO255" i="8"/>
  <c r="BO256" i="8"/>
  <c r="BO257" i="8"/>
  <c r="BO258" i="8"/>
  <c r="BO259" i="8"/>
  <c r="BO260" i="8"/>
  <c r="BO261" i="8"/>
  <c r="BO262" i="8"/>
  <c r="BO263" i="8"/>
  <c r="BO264" i="8"/>
  <c r="BO265" i="8"/>
  <c r="BO266" i="8"/>
  <c r="BO267" i="8"/>
  <c r="BO268" i="8"/>
  <c r="BO269" i="8"/>
  <c r="BO270" i="8"/>
  <c r="BO271" i="8"/>
  <c r="BO272" i="8"/>
  <c r="BO273" i="8"/>
  <c r="BO274" i="8"/>
  <c r="BO275" i="8"/>
  <c r="BO276" i="8"/>
  <c r="BO277" i="8"/>
  <c r="BO278" i="8"/>
  <c r="BO279" i="8"/>
  <c r="BO280" i="8"/>
  <c r="BO281" i="8"/>
  <c r="BO282" i="8"/>
  <c r="BO283" i="8"/>
  <c r="BO284" i="8"/>
  <c r="BO285" i="8"/>
  <c r="BO286" i="8"/>
  <c r="BO287" i="8"/>
  <c r="BO288" i="8"/>
  <c r="BO289" i="8"/>
  <c r="BO290" i="8"/>
  <c r="BO291" i="8"/>
  <c r="BO292" i="8"/>
  <c r="BO293" i="8"/>
  <c r="BO294" i="8"/>
  <c r="BO295" i="8"/>
  <c r="BO296" i="8"/>
  <c r="BO297" i="8"/>
  <c r="BO298" i="8"/>
  <c r="BO299" i="8"/>
  <c r="BO300" i="8"/>
  <c r="BO301" i="8"/>
  <c r="BO302" i="8"/>
  <c r="BO303" i="8"/>
  <c r="BO304" i="8"/>
  <c r="BO305" i="8"/>
  <c r="BO306" i="8"/>
  <c r="BO307" i="8"/>
  <c r="BO308" i="8"/>
  <c r="BO309" i="8"/>
  <c r="BO310" i="8"/>
  <c r="BO311" i="8"/>
  <c r="BO312" i="8"/>
  <c r="BO313" i="8"/>
  <c r="BO314" i="8"/>
  <c r="BO315" i="8"/>
  <c r="BO316" i="8"/>
  <c r="BO317" i="8"/>
  <c r="BO318" i="8"/>
  <c r="BO319" i="8"/>
  <c r="BO320" i="8"/>
  <c r="BO321" i="8"/>
  <c r="BO322" i="8"/>
  <c r="BO323" i="8"/>
  <c r="BO324" i="8"/>
  <c r="BO325" i="8"/>
  <c r="BO326" i="8"/>
  <c r="BO327" i="8"/>
  <c r="BO328" i="8"/>
  <c r="BO329" i="8"/>
  <c r="BO330" i="8"/>
  <c r="BO331" i="8"/>
  <c r="BO332" i="8"/>
  <c r="BO333" i="8"/>
  <c r="BO334" i="8"/>
  <c r="BO335" i="8"/>
  <c r="BO336" i="8"/>
  <c r="BO337" i="8"/>
  <c r="BO338" i="8"/>
  <c r="BO339" i="8"/>
  <c r="BO340" i="8"/>
  <c r="BO341" i="8"/>
  <c r="BO342" i="8"/>
  <c r="BO343" i="8"/>
  <c r="BO344" i="8"/>
  <c r="BO345" i="8"/>
  <c r="BO346" i="8"/>
  <c r="BO347" i="8"/>
  <c r="BO348" i="8"/>
  <c r="BO349" i="8"/>
  <c r="BO350" i="8"/>
  <c r="BO351" i="8"/>
  <c r="BO352" i="8"/>
  <c r="BO353" i="8"/>
  <c r="BO354" i="8"/>
  <c r="BO355" i="8"/>
  <c r="BO356" i="8"/>
  <c r="BO357" i="8"/>
  <c r="BO358" i="8"/>
  <c r="BO359" i="8"/>
  <c r="BO360" i="8"/>
  <c r="BO361" i="8"/>
  <c r="BO362" i="8"/>
  <c r="BO363" i="8"/>
  <c r="BO364" i="8"/>
  <c r="BO365" i="8"/>
  <c r="BO366" i="8"/>
  <c r="BO367" i="8"/>
  <c r="BO368" i="8"/>
  <c r="BO369" i="8"/>
  <c r="BO370" i="8"/>
  <c r="BO371" i="8"/>
  <c r="BO372" i="8"/>
  <c r="BO373" i="8"/>
  <c r="BO374" i="8"/>
  <c r="BO375" i="8"/>
  <c r="BO376" i="8"/>
  <c r="BO377" i="8"/>
  <c r="BO378" i="8"/>
  <c r="BO379" i="8"/>
  <c r="BO380" i="8"/>
  <c r="BO381" i="8"/>
  <c r="BO382" i="8"/>
  <c r="BO383" i="8"/>
  <c r="BO384" i="8"/>
  <c r="BO385" i="8"/>
  <c r="BO386" i="8"/>
  <c r="BO387" i="8"/>
  <c r="BO388" i="8"/>
  <c r="BO389" i="8"/>
  <c r="BO390" i="8"/>
  <c r="BO391" i="8"/>
  <c r="BO392" i="8"/>
  <c r="BO393" i="8"/>
  <c r="BO394" i="8"/>
  <c r="BO395" i="8"/>
  <c r="BO396" i="8"/>
  <c r="BO397" i="8"/>
  <c r="BO398" i="8"/>
  <c r="BO399" i="8"/>
  <c r="BO400" i="8"/>
  <c r="BO401" i="8"/>
  <c r="BO402" i="8"/>
  <c r="BO403" i="8"/>
  <c r="BO404" i="8"/>
  <c r="BO405" i="8"/>
  <c r="BO406" i="8"/>
  <c r="BO407" i="8"/>
  <c r="BO408" i="8"/>
  <c r="BO409" i="8"/>
  <c r="BO410" i="8"/>
  <c r="BO411" i="8"/>
  <c r="BO412" i="8"/>
  <c r="BO413" i="8"/>
  <c r="BO414" i="8"/>
  <c r="BO415" i="8"/>
  <c r="BO416" i="8"/>
  <c r="BO417" i="8"/>
  <c r="BO418" i="8"/>
  <c r="BO419" i="8"/>
  <c r="BO420" i="8"/>
  <c r="BO421" i="8"/>
  <c r="BO422" i="8"/>
  <c r="BO423" i="8"/>
  <c r="BO424" i="8"/>
  <c r="BO425" i="8"/>
  <c r="BO426" i="8"/>
  <c r="BO427" i="8"/>
  <c r="BO428" i="8"/>
  <c r="BO429" i="8"/>
  <c r="BO430" i="8"/>
  <c r="BO431" i="8"/>
  <c r="BO432" i="8"/>
  <c r="BO433" i="8"/>
  <c r="BO434" i="8"/>
  <c r="BO435" i="8"/>
  <c r="BO436" i="8"/>
  <c r="BO437" i="8"/>
  <c r="BO438" i="8"/>
  <c r="BO439" i="8"/>
  <c r="BO440" i="8"/>
  <c r="BO441" i="8"/>
  <c r="BO442" i="8"/>
  <c r="BO443" i="8"/>
  <c r="BO444" i="8"/>
  <c r="BO445" i="8"/>
  <c r="BO446" i="8"/>
  <c r="BO447" i="8"/>
  <c r="BO448" i="8"/>
  <c r="BO449" i="8"/>
  <c r="BO450" i="8"/>
  <c r="BO451" i="8"/>
  <c r="BO452" i="8"/>
  <c r="BO453" i="8"/>
  <c r="BO454" i="8"/>
  <c r="BO455" i="8"/>
  <c r="BO456" i="8"/>
  <c r="BO457" i="8"/>
  <c r="BO458" i="8"/>
  <c r="BO459" i="8"/>
  <c r="BO460" i="8"/>
  <c r="BO461" i="8"/>
  <c r="BO462" i="8"/>
  <c r="BO463" i="8"/>
  <c r="BO464" i="8"/>
  <c r="BO465" i="8"/>
  <c r="BO466" i="8"/>
  <c r="BO467" i="8"/>
  <c r="BO468" i="8"/>
  <c r="BO469" i="8"/>
  <c r="BO470" i="8"/>
  <c r="BO471" i="8"/>
  <c r="BO472" i="8"/>
  <c r="BO473" i="8"/>
  <c r="BO474" i="8"/>
  <c r="BO475" i="8"/>
  <c r="BO476" i="8"/>
  <c r="BO477" i="8"/>
  <c r="BO478" i="8"/>
  <c r="BO479" i="8"/>
  <c r="BO480" i="8"/>
  <c r="BO481" i="8"/>
  <c r="BO482" i="8"/>
  <c r="BO483" i="8"/>
  <c r="BO484" i="8"/>
  <c r="BO485" i="8"/>
  <c r="BO486" i="8"/>
  <c r="BO487" i="8"/>
  <c r="BO488" i="8"/>
  <c r="BO489" i="8"/>
  <c r="BO490" i="8"/>
  <c r="BO491" i="8"/>
  <c r="BO492" i="8"/>
  <c r="BO493" i="8"/>
  <c r="BO494" i="8"/>
  <c r="BO495" i="8"/>
  <c r="BO496" i="8"/>
  <c r="BO497" i="8"/>
  <c r="BO498" i="8"/>
  <c r="BO499" i="8"/>
  <c r="BO500" i="8"/>
  <c r="BO501" i="8"/>
  <c r="BO502" i="8"/>
  <c r="BO503" i="8"/>
  <c r="BO504" i="8"/>
  <c r="BO505" i="8"/>
  <c r="BO506" i="8"/>
  <c r="BO9" i="8" l="1"/>
  <c r="BO10" i="8"/>
  <c r="BO8" i="8"/>
  <c r="BO11" i="8"/>
  <c r="BO13" i="8"/>
  <c r="BO19" i="8"/>
  <c r="BO14" i="8"/>
  <c r="BO6" i="8"/>
  <c r="A1" i="13"/>
  <c r="BP9" i="8" l="1"/>
  <c r="BP8" i="8"/>
  <c r="BP6" i="8"/>
  <c r="BQ6" i="8" s="1"/>
  <c r="BR6" i="8" s="1"/>
  <c r="BP7" i="8"/>
  <c r="BO17" i="8"/>
  <c r="BO18" i="8"/>
  <c r="BO16" i="8"/>
  <c r="BO15" i="8"/>
  <c r="BO12" i="8"/>
  <c r="BQ7" i="8" l="1"/>
  <c r="BR7" i="8" s="1"/>
  <c r="BQ11" i="8"/>
  <c r="BQ10" i="8"/>
  <c r="BQ9" i="8"/>
  <c r="BR9" i="8" s="1"/>
  <c r="BQ8" i="8"/>
  <c r="BR8" i="8" s="1"/>
</calcChain>
</file>

<file path=xl/comments1.xml><?xml version="1.0" encoding="utf-8"?>
<comments xmlns="http://schemas.openxmlformats.org/spreadsheetml/2006/main">
  <authors>
    <author>soumu</author>
  </authors>
  <commentList>
    <comment ref="BC2" authorId="0">
      <text>
        <r>
          <rPr>
            <sz val="9"/>
            <color indexed="81"/>
            <rFont val="ＭＳ Ｐゴシック"/>
            <family val="3"/>
            <charset val="128"/>
          </rPr>
          <t>ワークシート「地震の強さ地域区分」を参照して選択してください。また、この表にかかわらず以下の地域はAとします。
次に掲げる地区において、地震により山腹崩壊が発生するおそれがある地区の市町村
a 　大規模地震対策特別措置法（昭和５３年法律第７３号）第３条第１項の規定に基づく地震防災対策強化地域
b　 東南海・南海地震に係る地震防災対策推進に関する特別措置法（平成１４年法律　第９２号）第３条第１項の東南海・東海地震対策推進地域の市町村 
c 　日本海溝・千島海溝周辺型地震に係る地震防災対策の推進に関する特別措置法（平成１６年法律第２７号）第３条第１項の地域の日本海溝・千島海溝周辺型地震防災対策推進地域の市町村
d 　地震防災対策特別措置法（平成７年法律第１１１号）に基づく地震調査推進本部の地震調査委員会で公表した「全国を概観した地震動予測地図」による今後30年以内に震度6弱の揺れに見舞われる可能性の確率が高い地域（3.0%以上）
e 　活断層から１５キロメートル以内の地域</t>
        </r>
      </text>
    </comment>
    <comment ref="M3" authorId="0">
      <text>
        <r>
          <rPr>
            <sz val="9"/>
            <color indexed="81"/>
            <rFont val="ＭＳ Ｐゴシック"/>
            <family val="3"/>
            <charset val="128"/>
          </rPr>
          <t>N　： 針葉樹の混交歩合75%以上
L･NL：針葉樹の混交歩合25%未満及び広葉樹
　　　　ただし竹林はL･NLに含めるものとする。</t>
        </r>
      </text>
    </comment>
    <comment ref="O3" authorId="0">
      <text>
        <r>
          <rPr>
            <sz val="9"/>
            <color indexed="81"/>
            <rFont val="ＭＳ Ｐゴシック"/>
            <family val="3"/>
            <charset val="128"/>
          </rPr>
          <t xml:space="preserve">齢級とは、林齢を５ヵ年をひとくくりにし、まとめたもの。林齢を５で割った級数を設定する。
</t>
        </r>
      </text>
    </comment>
    <comment ref="S5" authorId="0">
      <text>
        <r>
          <rPr>
            <sz val="9"/>
            <color indexed="81"/>
            <rFont val="ＭＳ Ｐゴシック"/>
            <family val="3"/>
            <charset val="128"/>
          </rPr>
          <t xml:space="preserve">地震調査による採点結果が20点以上のとき、または、地震による山腹崩壊が発生したと確認されたときの補正
</t>
        </r>
      </text>
    </comment>
    <comment ref="T5" authorId="0">
      <text>
        <r>
          <rPr>
            <sz val="9"/>
            <color indexed="81"/>
            <rFont val="ＭＳ Ｐゴシック"/>
            <family val="3"/>
            <charset val="128"/>
          </rPr>
          <t xml:space="preserve">落石調査による採点結果が8点以上のとき、または、落石による山腹崩壊が発生したと認められる場合20点を補正
</t>
        </r>
      </text>
    </comment>
    <comment ref="V5" authorId="0">
      <text>
        <r>
          <rPr>
            <sz val="9"/>
            <color indexed="81"/>
            <rFont val="ＭＳ Ｐゴシック"/>
            <family val="3"/>
            <charset val="128"/>
          </rPr>
          <t>前回山腹崩壊危険地区と判定され、
最高点が100点未満の時、
最高点メッシュが100点となるよう補正</t>
        </r>
      </text>
    </comment>
  </commentList>
</comments>
</file>

<file path=xl/comments2.xml><?xml version="1.0" encoding="utf-8"?>
<comments xmlns="http://schemas.openxmlformats.org/spreadsheetml/2006/main">
  <authors>
    <author>soumu</author>
  </authors>
  <commentList>
    <comment ref="A1" authorId="0">
      <text>
        <r>
          <rPr>
            <sz val="9"/>
            <color indexed="81"/>
            <rFont val="ＭＳ Ｐゴシック"/>
            <family val="3"/>
            <charset val="128"/>
          </rPr>
          <t>H25.06.02現在</t>
        </r>
      </text>
    </comment>
  </commentList>
</comments>
</file>

<file path=xl/sharedStrings.xml><?xml version="1.0" encoding="utf-8"?>
<sst xmlns="http://schemas.openxmlformats.org/spreadsheetml/2006/main" count="10987" uniqueCount="8690">
  <si>
    <t>コード</t>
  </si>
  <si>
    <t>市区町村名</t>
  </si>
  <si>
    <t>市外局番</t>
  </si>
  <si>
    <t>主要郵便番号上５桁</t>
  </si>
  <si>
    <t>01100</t>
  </si>
  <si>
    <t>札幌市</t>
  </si>
  <si>
    <t>さっぽろし</t>
  </si>
  <si>
    <t>01101</t>
  </si>
  <si>
    <t>札幌市中央区</t>
  </si>
  <si>
    <t>さっぽろしちゅうおうく</t>
  </si>
  <si>
    <t>011</t>
  </si>
  <si>
    <t>060-00 064-08 064-09</t>
  </si>
  <si>
    <t>01102</t>
  </si>
  <si>
    <t>札幌市北区</t>
  </si>
  <si>
    <t>さっぽろしきたく</t>
  </si>
  <si>
    <t>001-00 001-09 002-08 002-80 060-08</t>
  </si>
  <si>
    <t>01103</t>
  </si>
  <si>
    <t>札幌市東区</t>
  </si>
  <si>
    <t>さっぽろしひがしく</t>
  </si>
  <si>
    <t>007-00 007-08 060-09 065-00</t>
  </si>
  <si>
    <t>01104</t>
  </si>
  <si>
    <t>札幌市白石区</t>
  </si>
  <si>
    <t>さっぽろししろいしく</t>
  </si>
  <si>
    <t>003-00 003-08</t>
  </si>
  <si>
    <t>01105</t>
  </si>
  <si>
    <t>札幌市豊平区</t>
  </si>
  <si>
    <t>さっぽろしとよひらく</t>
  </si>
  <si>
    <t>062-00 062-09</t>
  </si>
  <si>
    <t>01106</t>
  </si>
  <si>
    <t>札幌市南区</t>
  </si>
  <si>
    <t>さっぽろしみなみく</t>
  </si>
  <si>
    <t>005-00 005-08 061-22 061-23</t>
  </si>
  <si>
    <t>01107</t>
  </si>
  <si>
    <t>札幌市西区</t>
  </si>
  <si>
    <t>さっぽろしにしく</t>
  </si>
  <si>
    <t>063-00 063-08</t>
  </si>
  <si>
    <t>01108</t>
  </si>
  <si>
    <t>札幌市厚別区</t>
  </si>
  <si>
    <t>さっぽろしあつべつく</t>
  </si>
  <si>
    <t>004-00</t>
  </si>
  <si>
    <t>01109</t>
  </si>
  <si>
    <t>札幌市手稲区</t>
  </si>
  <si>
    <t>さっぽろしていねく</t>
  </si>
  <si>
    <t>006-00 006-08</t>
  </si>
  <si>
    <t>01110</t>
  </si>
  <si>
    <t>札幌市清田区</t>
  </si>
  <si>
    <t>さっぽろしきよたく</t>
  </si>
  <si>
    <t>004-00 004-08</t>
  </si>
  <si>
    <t>01202</t>
  </si>
  <si>
    <t>函館市</t>
  </si>
  <si>
    <t>はこだてし</t>
  </si>
  <si>
    <t>0138</t>
  </si>
  <si>
    <t>040-00 041-02 041-03 041-04 041-05 041-06 041-08 041-16 042-09</t>
  </si>
  <si>
    <t>01203</t>
  </si>
  <si>
    <t>小樽市</t>
  </si>
  <si>
    <t>おたるし</t>
  </si>
  <si>
    <t>0134</t>
  </si>
  <si>
    <t>047-00 047-01 047-02 048-25 048-26 061-32</t>
  </si>
  <si>
    <t>01204</t>
  </si>
  <si>
    <t>旭川市</t>
  </si>
  <si>
    <t>あさひかわし</t>
  </si>
  <si>
    <t>0166</t>
  </si>
  <si>
    <t>070-00 070-08 070-09 070-80 071-01 071-03 071-11 071-81 074-11 078-01 078-12 078-82 078-83 078-88 079-84</t>
  </si>
  <si>
    <t>01205</t>
  </si>
  <si>
    <t>室蘭市</t>
  </si>
  <si>
    <t>むろらんし</t>
  </si>
  <si>
    <t>0143</t>
  </si>
  <si>
    <t>050-00 051-00</t>
  </si>
  <si>
    <t>01206</t>
  </si>
  <si>
    <t>釧路市</t>
  </si>
  <si>
    <t>くしろし</t>
  </si>
  <si>
    <t>0154 01547</t>
  </si>
  <si>
    <t>084-09 085-00 085-02 085-04 085-08 088-01</t>
  </si>
  <si>
    <t>01207</t>
  </si>
  <si>
    <t>帯広市</t>
  </si>
  <si>
    <t>おびひろし</t>
  </si>
  <si>
    <t>0155</t>
  </si>
  <si>
    <t>080-00 080-08 080-21 080-23 080-24 089-11 089-12</t>
  </si>
  <si>
    <t>01208</t>
  </si>
  <si>
    <t>北見市</t>
  </si>
  <si>
    <t>きたみし</t>
  </si>
  <si>
    <t>0157 0152</t>
  </si>
  <si>
    <t>090-00 090-08 091-00 091-01 093-02 093-03 099-08 099-15 099-21 099-22</t>
  </si>
  <si>
    <t>01209</t>
  </si>
  <si>
    <t>夕張市</t>
  </si>
  <si>
    <t>ゆうばりし</t>
  </si>
  <si>
    <t>0123</t>
  </si>
  <si>
    <t>068-04 068-05 068-06 068-07</t>
  </si>
  <si>
    <t>01210</t>
  </si>
  <si>
    <t>岩見沢市</t>
  </si>
  <si>
    <t>いわみざわし</t>
  </si>
  <si>
    <t>0126 01267</t>
  </si>
  <si>
    <t>068-00 068-01 068-08 068-11 068-12 068-31 069-03 079-01</t>
  </si>
  <si>
    <t>01211</t>
  </si>
  <si>
    <t>網走市</t>
  </si>
  <si>
    <t>あばしりし</t>
  </si>
  <si>
    <t>0152</t>
  </si>
  <si>
    <t>093-00 093-01 093-02 099-24 099-31 099-35</t>
  </si>
  <si>
    <t>01212</t>
  </si>
  <si>
    <t>留萌市</t>
  </si>
  <si>
    <t>るもいし</t>
  </si>
  <si>
    <t>0164</t>
  </si>
  <si>
    <t>077-00 078-31</t>
  </si>
  <si>
    <t>01213</t>
  </si>
  <si>
    <t>苫小牧市</t>
  </si>
  <si>
    <t>とまこまいし</t>
  </si>
  <si>
    <t>0144</t>
  </si>
  <si>
    <t>053-00 053-08 059-12 059-13 066-02</t>
  </si>
  <si>
    <t>01214</t>
  </si>
  <si>
    <t>稚内市</t>
  </si>
  <si>
    <t>わっかないし</t>
  </si>
  <si>
    <t>0162</t>
  </si>
  <si>
    <t>097-00 098-45 098-63 098-65 098-66 098-67</t>
  </si>
  <si>
    <t>01215</t>
  </si>
  <si>
    <t>美唄市</t>
  </si>
  <si>
    <t>びばいし</t>
  </si>
  <si>
    <t>0126</t>
  </si>
  <si>
    <t>068-21 072-00 072-08 079-01 079-02</t>
  </si>
  <si>
    <t>01216</t>
  </si>
  <si>
    <t>芦別市</t>
  </si>
  <si>
    <t>あしべつし</t>
  </si>
  <si>
    <t>0124</t>
  </si>
  <si>
    <t>075-00 075-01 075-02 076-00 079-13</t>
  </si>
  <si>
    <t>01217</t>
  </si>
  <si>
    <t>江別市</t>
  </si>
  <si>
    <t>えべつし</t>
  </si>
  <si>
    <t>067-00 069-08</t>
  </si>
  <si>
    <t>01218</t>
  </si>
  <si>
    <t>赤平市</t>
  </si>
  <si>
    <t>あかびらし</t>
  </si>
  <si>
    <t>0125</t>
  </si>
  <si>
    <t>079-11 079-12</t>
  </si>
  <si>
    <t>01219</t>
  </si>
  <si>
    <t>紋別市</t>
  </si>
  <si>
    <t>もんべつし</t>
  </si>
  <si>
    <t>0158</t>
  </si>
  <si>
    <t>094-00 099-51 099-53 099-61 099-62</t>
  </si>
  <si>
    <t>01220</t>
  </si>
  <si>
    <t>士別市</t>
  </si>
  <si>
    <t>しべつし</t>
  </si>
  <si>
    <t>0165</t>
  </si>
  <si>
    <t>095-00 095-01 095-03 095-04 098-04</t>
  </si>
  <si>
    <t>01221</t>
  </si>
  <si>
    <t>名寄市</t>
  </si>
  <si>
    <t>なよろし</t>
  </si>
  <si>
    <t>01654 01655</t>
  </si>
  <si>
    <t>096-00 098-05 098-06 098-21</t>
  </si>
  <si>
    <t>01222</t>
  </si>
  <si>
    <t>三笠市</t>
  </si>
  <si>
    <t>みかさし</t>
  </si>
  <si>
    <t>01267</t>
  </si>
  <si>
    <t>068-21</t>
  </si>
  <si>
    <t>01223</t>
  </si>
  <si>
    <t>根室市</t>
  </si>
  <si>
    <t>ねむろし</t>
  </si>
  <si>
    <t>0153</t>
  </si>
  <si>
    <t>086-00 087-00 087-01 088-17</t>
  </si>
  <si>
    <t>01224</t>
  </si>
  <si>
    <t>千歳市</t>
  </si>
  <si>
    <t>ちとせし</t>
  </si>
  <si>
    <t>066-00 066-02 069-11</t>
  </si>
  <si>
    <t>01225</t>
  </si>
  <si>
    <t>滝川市</t>
  </si>
  <si>
    <t>たきかわし</t>
  </si>
  <si>
    <t>073-00 079-04</t>
  </si>
  <si>
    <t>01226</t>
  </si>
  <si>
    <t>砂川市</t>
  </si>
  <si>
    <t>すながわし</t>
  </si>
  <si>
    <t>073-00 073-01 079-11</t>
  </si>
  <si>
    <t>01227</t>
  </si>
  <si>
    <t>歌志内市</t>
  </si>
  <si>
    <t>うたしないし</t>
  </si>
  <si>
    <t>073-04</t>
  </si>
  <si>
    <t>01228</t>
  </si>
  <si>
    <t>深川市</t>
  </si>
  <si>
    <t>ふかがわし</t>
  </si>
  <si>
    <t>074-00 074-01 074-11 074-12 078-01</t>
  </si>
  <si>
    <t>01229</t>
  </si>
  <si>
    <t>富良野市</t>
  </si>
  <si>
    <t>ふらのし</t>
  </si>
  <si>
    <t>0167</t>
  </si>
  <si>
    <t>076-00 076-01 076-02 079-15 079-21</t>
  </si>
  <si>
    <t>01230</t>
  </si>
  <si>
    <t>登別市</t>
  </si>
  <si>
    <t>のぼりべつし</t>
  </si>
  <si>
    <t>059-00 059-04 059-05</t>
  </si>
  <si>
    <t>01231</t>
  </si>
  <si>
    <t>恵庭市</t>
  </si>
  <si>
    <t>えにわし</t>
  </si>
  <si>
    <t>061-13 061-14</t>
  </si>
  <si>
    <t>01233</t>
  </si>
  <si>
    <t>伊達市</t>
  </si>
  <si>
    <t>だてし</t>
  </si>
  <si>
    <t>0142</t>
  </si>
  <si>
    <t>044-04 052-00 052-03 059-01 059-02</t>
  </si>
  <si>
    <t>01234</t>
  </si>
  <si>
    <t>北広島市</t>
  </si>
  <si>
    <t>きたひろしまし</t>
  </si>
  <si>
    <t>061-11 061-12</t>
  </si>
  <si>
    <t>01235</t>
  </si>
  <si>
    <t>石狩市</t>
  </si>
  <si>
    <t>いしかりし</t>
  </si>
  <si>
    <t>0133</t>
  </si>
  <si>
    <t>061-31 061-32 061-33 061-34 061-35 061-36 077-03</t>
  </si>
  <si>
    <t>01236</t>
  </si>
  <si>
    <t>北斗市</t>
  </si>
  <si>
    <t>ほくとし</t>
  </si>
  <si>
    <t>041-12 049-01 049-02</t>
  </si>
  <si>
    <t>01303</t>
  </si>
  <si>
    <t>石狩郡当別町</t>
  </si>
  <si>
    <t>いしかりぐんとうべつちょう</t>
  </si>
  <si>
    <t>002-80 061-02 061-37</t>
  </si>
  <si>
    <t>01304</t>
  </si>
  <si>
    <t>石狩郡新篠津村</t>
  </si>
  <si>
    <t>いしかりぐんしんしのつむら</t>
  </si>
  <si>
    <t>068-11</t>
  </si>
  <si>
    <t>01331</t>
  </si>
  <si>
    <t>松前郡松前町</t>
  </si>
  <si>
    <t>まつまえぐんまつまえちょう</t>
  </si>
  <si>
    <t>0139</t>
  </si>
  <si>
    <t>049-15 049-16 049-17</t>
  </si>
  <si>
    <t>01332</t>
  </si>
  <si>
    <t>松前郡福島町</t>
  </si>
  <si>
    <t>まつまえぐんふくしまちょう</t>
  </si>
  <si>
    <t>049-13 049-14</t>
  </si>
  <si>
    <t>01333</t>
  </si>
  <si>
    <t>上磯郡知内町</t>
  </si>
  <si>
    <t>かみいそぐんしりうちちょう</t>
  </si>
  <si>
    <t>01392</t>
  </si>
  <si>
    <t>049-11 049-12</t>
  </si>
  <si>
    <t>01334</t>
  </si>
  <si>
    <t>上磯郡木古内町</t>
  </si>
  <si>
    <t>かみいそぐんきこないちょう</t>
  </si>
  <si>
    <t>049-04</t>
  </si>
  <si>
    <t>01337</t>
  </si>
  <si>
    <t>亀田郡七飯町</t>
  </si>
  <si>
    <t>かめだぐんななえちょう</t>
  </si>
  <si>
    <t>041-11 041-13</t>
  </si>
  <si>
    <t>01343</t>
  </si>
  <si>
    <t>茅部郡鹿部町</t>
  </si>
  <si>
    <t>かやべぐんしかべちょう</t>
  </si>
  <si>
    <t>01372</t>
  </si>
  <si>
    <t>041-14 049-22</t>
  </si>
  <si>
    <t>01345</t>
  </si>
  <si>
    <t>茅部郡森町</t>
  </si>
  <si>
    <t>かやべぐんもりまち</t>
  </si>
  <si>
    <t>01374</t>
  </si>
  <si>
    <t>049-21 049-22 049-23 049-24</t>
  </si>
  <si>
    <t>01346</t>
  </si>
  <si>
    <t>二海郡八雲町</t>
  </si>
  <si>
    <t>ふたみぐんやくもちょう</t>
  </si>
  <si>
    <t>0137 01398</t>
  </si>
  <si>
    <t>043-03 043-04 049-25 049-26 049-31 049-33</t>
  </si>
  <si>
    <t>01347</t>
  </si>
  <si>
    <t>山越郡長万部町</t>
  </si>
  <si>
    <t>やまこしぐんおしゃまんべちょう</t>
  </si>
  <si>
    <t>01377</t>
  </si>
  <si>
    <t>049-34 049-35 049-51</t>
  </si>
  <si>
    <t>01361</t>
  </si>
  <si>
    <t>檜山郡江差町</t>
  </si>
  <si>
    <t>ひやまぐんえさしちょう</t>
  </si>
  <si>
    <t>043-00</t>
  </si>
  <si>
    <t>01362</t>
  </si>
  <si>
    <t>檜山郡上ノ国町</t>
  </si>
  <si>
    <t>ひやまぐんかみのくにちょう</t>
  </si>
  <si>
    <t>049-05 049-06 049-07</t>
  </si>
  <si>
    <t>01363</t>
  </si>
  <si>
    <t>檜山郡厚沢部町</t>
  </si>
  <si>
    <t>ひやまぐんあっさぶちょう</t>
  </si>
  <si>
    <t>043-11 043-12 043-13</t>
  </si>
  <si>
    <t>01364</t>
  </si>
  <si>
    <t>爾志郡乙部町</t>
  </si>
  <si>
    <t>にしぐんおとべちょう</t>
  </si>
  <si>
    <t>043-01 043-02</t>
  </si>
  <si>
    <t>01367</t>
  </si>
  <si>
    <t>奥尻郡奥尻町</t>
  </si>
  <si>
    <t>おくしりぐんおくしりちょう</t>
  </si>
  <si>
    <t>01397</t>
  </si>
  <si>
    <t>043-14 043-15</t>
  </si>
  <si>
    <t>01370</t>
  </si>
  <si>
    <t>瀬棚郡今金町</t>
  </si>
  <si>
    <t>せたなぐんいまかねちょう</t>
  </si>
  <si>
    <t>0137</t>
  </si>
  <si>
    <t>049-41 049-43</t>
  </si>
  <si>
    <t>01371</t>
  </si>
  <si>
    <t>久遠郡せたな町</t>
  </si>
  <si>
    <t>くどうぐんせたなちょう</t>
  </si>
  <si>
    <t>01398 0137</t>
  </si>
  <si>
    <t>043-04 043-05 049-44 049-45 049-47 049-48</t>
  </si>
  <si>
    <t>01391</t>
  </si>
  <si>
    <t>島牧郡島牧村</t>
  </si>
  <si>
    <t>しままきぐんしままきむら</t>
  </si>
  <si>
    <t>0136</t>
  </si>
  <si>
    <t>048-06</t>
  </si>
  <si>
    <t>寿都郡寿都町</t>
  </si>
  <si>
    <t>すっつぐんすっつちょう</t>
  </si>
  <si>
    <t>048-03 048-04</t>
  </si>
  <si>
    <t>01393</t>
  </si>
  <si>
    <t>寿都郡黒松内町</t>
  </si>
  <si>
    <t>すっつぐんくろまつないちょう</t>
  </si>
  <si>
    <t>048-01</t>
  </si>
  <si>
    <t>01394</t>
  </si>
  <si>
    <t>磯谷郡蘭越町</t>
  </si>
  <si>
    <t>いそやぐんらんこしちょう</t>
  </si>
  <si>
    <t>048-03 048-12 048-13</t>
  </si>
  <si>
    <t>01395</t>
  </si>
  <si>
    <t>虻田郡ニセコ町</t>
  </si>
  <si>
    <t>あぶたぐんにせこちょう</t>
  </si>
  <si>
    <t>048-15</t>
  </si>
  <si>
    <t>01396</t>
  </si>
  <si>
    <t>虻田郡真狩村</t>
  </si>
  <si>
    <t>あぶたぐんまっかりむら</t>
  </si>
  <si>
    <t>048-16</t>
  </si>
  <si>
    <t>虻田郡留寿都村</t>
  </si>
  <si>
    <t>あぶたぐんるすつむら</t>
  </si>
  <si>
    <t>048-17</t>
  </si>
  <si>
    <t>01398</t>
  </si>
  <si>
    <t>虻田郡喜茂別町</t>
  </si>
  <si>
    <t>あぶたぐんきもべつちょう</t>
  </si>
  <si>
    <t>044-02 044-04</t>
  </si>
  <si>
    <t>01399</t>
  </si>
  <si>
    <t>虻田郡京極町</t>
  </si>
  <si>
    <t>あぶたぐんきょうごくちょう</t>
  </si>
  <si>
    <t>044-01</t>
  </si>
  <si>
    <t>01400</t>
  </si>
  <si>
    <t>虻田郡倶知安町</t>
  </si>
  <si>
    <t>あぶたぐんくっちゃんちょう</t>
  </si>
  <si>
    <t>044-00</t>
  </si>
  <si>
    <t>01401</t>
  </si>
  <si>
    <t>岩内郡共和町</t>
  </si>
  <si>
    <t>いわないぐんきょうわちょう</t>
  </si>
  <si>
    <t>0135</t>
  </si>
  <si>
    <t>045-00 045-01 048-21 048-22</t>
  </si>
  <si>
    <t>01402</t>
  </si>
  <si>
    <t>岩内郡岩内町</t>
  </si>
  <si>
    <t>いわないぐんいわないちょう</t>
  </si>
  <si>
    <t>045-00</t>
  </si>
  <si>
    <t>01403</t>
  </si>
  <si>
    <t>古宇郡泊村</t>
  </si>
  <si>
    <t>ふるうぐんとまりむら</t>
  </si>
  <si>
    <t>045-02</t>
  </si>
  <si>
    <t>01404</t>
  </si>
  <si>
    <t>古宇郡神恵内村</t>
  </si>
  <si>
    <t>ふるうぐんかもえないむら</t>
  </si>
  <si>
    <t>045-03</t>
  </si>
  <si>
    <t>01405</t>
  </si>
  <si>
    <t>積丹郡積丹町</t>
  </si>
  <si>
    <t>しゃこたんぐんしゃこたんちょう</t>
  </si>
  <si>
    <t>046-02 046-03</t>
  </si>
  <si>
    <t>01406</t>
  </si>
  <si>
    <t>古平郡古平町</t>
  </si>
  <si>
    <t>ふるびらぐんふるびらちょう</t>
  </si>
  <si>
    <t>046-01</t>
  </si>
  <si>
    <t>01407</t>
  </si>
  <si>
    <t>余市郡仁木町</t>
  </si>
  <si>
    <t>よいちぐんにきちょう</t>
  </si>
  <si>
    <t>048-23 048-24</t>
  </si>
  <si>
    <t>01408</t>
  </si>
  <si>
    <t>余市郡余市町</t>
  </si>
  <si>
    <t>よいちぐんよいちちょう</t>
  </si>
  <si>
    <t>046-00</t>
  </si>
  <si>
    <t>01409</t>
  </si>
  <si>
    <t>余市郡赤井川村</t>
  </si>
  <si>
    <t>よいちぐんあかいがわむら</t>
  </si>
  <si>
    <t>046-05</t>
  </si>
  <si>
    <t>01423</t>
  </si>
  <si>
    <t>空知郡南幌町</t>
  </si>
  <si>
    <t>そらちぐんなんぽろちょう</t>
  </si>
  <si>
    <t>069-02</t>
  </si>
  <si>
    <t>01424</t>
  </si>
  <si>
    <t>空知郡奈井江町</t>
  </si>
  <si>
    <t>そらちぐんないえちょう</t>
  </si>
  <si>
    <t>079-03</t>
  </si>
  <si>
    <t>01425</t>
  </si>
  <si>
    <t>空知郡上砂川町</t>
  </si>
  <si>
    <t>そらちぐんかみすながわちょう</t>
  </si>
  <si>
    <t>073-02</t>
  </si>
  <si>
    <t>01427</t>
  </si>
  <si>
    <t>夕張郡由仁町</t>
  </si>
  <si>
    <t>ゆうばりぐんゆにちょう</t>
  </si>
  <si>
    <t>069-11 069-12</t>
  </si>
  <si>
    <t>01428</t>
  </si>
  <si>
    <t>夕張郡長沼町</t>
  </si>
  <si>
    <t>ゆうばりぐんながぬまちょう</t>
  </si>
  <si>
    <t>069-13 069-14</t>
  </si>
  <si>
    <t>01429</t>
  </si>
  <si>
    <t>夕張郡栗山町</t>
  </si>
  <si>
    <t>ゆうばりぐんくりやまちょう</t>
  </si>
  <si>
    <t>068-03 069-15</t>
  </si>
  <si>
    <t>01430</t>
  </si>
  <si>
    <t>樺戸郡月形町</t>
  </si>
  <si>
    <t>かばとぐんつきがたちょう</t>
  </si>
  <si>
    <t>061-05 068-12</t>
  </si>
  <si>
    <t>01431</t>
  </si>
  <si>
    <t>樺戸郡浦臼町</t>
  </si>
  <si>
    <t>かばとぐんうらうすちょう</t>
  </si>
  <si>
    <t>061-06</t>
  </si>
  <si>
    <t>01432</t>
  </si>
  <si>
    <t>樺戸郡新十津川町</t>
  </si>
  <si>
    <t>かばとぐんしんとつかわちょう</t>
  </si>
  <si>
    <t>073-01 073-11 073-13 078-26</t>
  </si>
  <si>
    <t>01433</t>
  </si>
  <si>
    <t>雨竜郡妹背牛町</t>
  </si>
  <si>
    <t>うりゅうぐんもせうしちょう</t>
  </si>
  <si>
    <t>079-05</t>
  </si>
  <si>
    <t>01434</t>
  </si>
  <si>
    <t>雨竜郡秩父別町</t>
  </si>
  <si>
    <t>うりゅうぐんちっぷべつちょう</t>
  </si>
  <si>
    <t>078-21</t>
  </si>
  <si>
    <t>01436</t>
  </si>
  <si>
    <t>雨竜郡雨竜町</t>
  </si>
  <si>
    <t>うりゅうぐんうりゅうちょう</t>
  </si>
  <si>
    <t>078-25 078-26</t>
  </si>
  <si>
    <t>01437</t>
  </si>
  <si>
    <t>雨竜郡北竜町</t>
  </si>
  <si>
    <t>うりゅうぐんほくりゅうちょう</t>
  </si>
  <si>
    <t>078-25</t>
  </si>
  <si>
    <t>01438</t>
  </si>
  <si>
    <t>雨竜郡沼田町</t>
  </si>
  <si>
    <t>うりゅうぐんぬまたちょう</t>
  </si>
  <si>
    <t>078-22</t>
  </si>
  <si>
    <t>01452</t>
  </si>
  <si>
    <t>上川郡鷹栖町</t>
  </si>
  <si>
    <t>かみかわぐんたかすちょう</t>
  </si>
  <si>
    <t>071-12</t>
  </si>
  <si>
    <t>01453</t>
  </si>
  <si>
    <t>上川郡東神楽町</t>
  </si>
  <si>
    <t>かみかわぐんひがしかぐらちょう</t>
  </si>
  <si>
    <t>071-03 071-15</t>
  </si>
  <si>
    <t>01454</t>
  </si>
  <si>
    <t>上川郡当麻町</t>
  </si>
  <si>
    <t>かみかわぐんとうまちょう</t>
  </si>
  <si>
    <t>078-13</t>
  </si>
  <si>
    <t>01455</t>
  </si>
  <si>
    <t>上川郡比布町</t>
  </si>
  <si>
    <t>かみかわぐんぴっぷちょう</t>
  </si>
  <si>
    <t>078-03</t>
  </si>
  <si>
    <t>01456</t>
  </si>
  <si>
    <t>上川郡愛別町</t>
  </si>
  <si>
    <t>かみかわぐんあいべつちょう</t>
  </si>
  <si>
    <t>01658</t>
  </si>
  <si>
    <t>078-14 078-16</t>
  </si>
  <si>
    <t>01457</t>
  </si>
  <si>
    <t>上川郡上川町</t>
  </si>
  <si>
    <t>かみかわぐんかみかわちょう</t>
  </si>
  <si>
    <t>078-17</t>
  </si>
  <si>
    <t>01458</t>
  </si>
  <si>
    <t>上川郡東川町</t>
  </si>
  <si>
    <t>かみかわぐんひがしかわちょう</t>
  </si>
  <si>
    <t>071-03 071-14</t>
  </si>
  <si>
    <t>01459</t>
  </si>
  <si>
    <t>上川郡美瑛町</t>
  </si>
  <si>
    <t>かみかわぐんびえいちょう</t>
  </si>
  <si>
    <t>071-01 071-02 071-03 071-04</t>
  </si>
  <si>
    <t>01460</t>
  </si>
  <si>
    <t>空知郡上富良野町</t>
  </si>
  <si>
    <t>そらちぐんかみふらのちょう</t>
  </si>
  <si>
    <t>071-04 071-05</t>
  </si>
  <si>
    <t>01461</t>
  </si>
  <si>
    <t>空知郡中富良野町</t>
  </si>
  <si>
    <t>そらちぐんなかふらのちょう</t>
  </si>
  <si>
    <t>071-07</t>
  </si>
  <si>
    <t>01462</t>
  </si>
  <si>
    <t>空知郡南富良野町</t>
  </si>
  <si>
    <t>そらちぐんみなみふらのちょう</t>
  </si>
  <si>
    <t>079-21 079-24 079-25</t>
  </si>
  <si>
    <t>01463</t>
  </si>
  <si>
    <t>勇払郡占冠村</t>
  </si>
  <si>
    <t>ゆうふつぐんしむかっぷむら</t>
  </si>
  <si>
    <t>079-22</t>
  </si>
  <si>
    <t>01464</t>
  </si>
  <si>
    <t>上川郡和寒町</t>
  </si>
  <si>
    <t>かみかわぐんわっさむちょう</t>
  </si>
  <si>
    <t>098-01</t>
  </si>
  <si>
    <t>01465</t>
  </si>
  <si>
    <t>上川郡剣淵町</t>
  </si>
  <si>
    <t>かみかわぐんけんぶちちょう</t>
  </si>
  <si>
    <t>098-03</t>
  </si>
  <si>
    <t>01468</t>
  </si>
  <si>
    <t>上川郡下川町</t>
  </si>
  <si>
    <t>かみかわぐんしもかわちょう</t>
  </si>
  <si>
    <t>01655</t>
  </si>
  <si>
    <t>098-12 098-13</t>
  </si>
  <si>
    <t>01469</t>
  </si>
  <si>
    <t>中川郡美深町</t>
  </si>
  <si>
    <t>なかがわぐんびふかちょう</t>
  </si>
  <si>
    <t>01656</t>
  </si>
  <si>
    <t>098-22 098-23</t>
  </si>
  <si>
    <t>01470</t>
  </si>
  <si>
    <t>中川郡音威子府村</t>
  </si>
  <si>
    <t>なかがわぐんおといねっぷむら</t>
  </si>
  <si>
    <t>098-25</t>
  </si>
  <si>
    <t>01471</t>
  </si>
  <si>
    <t>中川郡中川町</t>
  </si>
  <si>
    <t>なかがわぐんなかがわちょう</t>
  </si>
  <si>
    <t>098-26 098-28</t>
  </si>
  <si>
    <t>01472</t>
  </si>
  <si>
    <t>うりゅうぐんほろかないちょう</t>
  </si>
  <si>
    <t>074-04 074-07</t>
  </si>
  <si>
    <t>01481</t>
  </si>
  <si>
    <t>増毛郡増毛町</t>
  </si>
  <si>
    <t>ましけぐんましけちょう</t>
  </si>
  <si>
    <t>077-01 077-02 077-03</t>
  </si>
  <si>
    <t>01482</t>
  </si>
  <si>
    <t>留萌郡小平町</t>
  </si>
  <si>
    <t>るもいぐんおびらちょう</t>
  </si>
  <si>
    <t>077-04 078-33 078-34</t>
  </si>
  <si>
    <t>01483</t>
  </si>
  <si>
    <t>苫前郡苫前町</t>
  </si>
  <si>
    <t>とままえぐんとままえちょう</t>
  </si>
  <si>
    <t>078-35 078-36 078-37</t>
  </si>
  <si>
    <t>01484</t>
  </si>
  <si>
    <t>苫前郡羽幌町</t>
  </si>
  <si>
    <t>とままえぐんはぼろちょう</t>
  </si>
  <si>
    <t>0164 01648</t>
  </si>
  <si>
    <t>078-38 078-39 078-41</t>
  </si>
  <si>
    <t>01485</t>
  </si>
  <si>
    <t>苫前郡初山別村</t>
  </si>
  <si>
    <t>とままえぐんしょさんべつむら</t>
  </si>
  <si>
    <t>078-44</t>
  </si>
  <si>
    <t>01486</t>
  </si>
  <si>
    <t>天塩郡遠別町</t>
  </si>
  <si>
    <t>てしおぐんえんべつちょう</t>
  </si>
  <si>
    <t>01632</t>
  </si>
  <si>
    <t>098-33 098-35</t>
  </si>
  <si>
    <t>01487</t>
  </si>
  <si>
    <t>天塩郡天塩町</t>
  </si>
  <si>
    <t>てしおぐんてしおちょう</t>
  </si>
  <si>
    <t>098-29 098-31 098-33</t>
  </si>
  <si>
    <t>01511</t>
  </si>
  <si>
    <t>宗谷郡猿払村</t>
  </si>
  <si>
    <t>そうやぐんさるふつむら</t>
  </si>
  <si>
    <t>01635</t>
  </si>
  <si>
    <t>098-61 098-62 098-63</t>
  </si>
  <si>
    <t>01512</t>
  </si>
  <si>
    <t>枝幸郡浜頓別町</t>
  </si>
  <si>
    <t>えさしぐんはまとんべつちょう</t>
  </si>
  <si>
    <t>01634</t>
  </si>
  <si>
    <t>098-57</t>
  </si>
  <si>
    <t>01513</t>
  </si>
  <si>
    <t>枝幸郡中頓別町</t>
  </si>
  <si>
    <t>えさしぐんなかとんべつちょう</t>
  </si>
  <si>
    <t>098-51 098-55</t>
  </si>
  <si>
    <t>01514</t>
  </si>
  <si>
    <t>枝幸郡枝幸町</t>
  </si>
  <si>
    <t>えさしぐんえさしちょう</t>
  </si>
  <si>
    <t>0163</t>
  </si>
  <si>
    <t>098-51 098-52 098-54 098-58 098-59</t>
  </si>
  <si>
    <t>01516</t>
  </si>
  <si>
    <t>天塩郡豊富町</t>
  </si>
  <si>
    <t>てしおぐんとよとみちょう</t>
  </si>
  <si>
    <t>098-41 098-44</t>
  </si>
  <si>
    <t>01517</t>
  </si>
  <si>
    <t>礼文郡礼文町</t>
  </si>
  <si>
    <t>れぶんぐんれぶんちょう</t>
  </si>
  <si>
    <t>097-11 097-12</t>
  </si>
  <si>
    <t>01518</t>
  </si>
  <si>
    <t>利尻郡利尻町</t>
  </si>
  <si>
    <t>りしりぐんりしりちょう</t>
  </si>
  <si>
    <t>097-03 097-04</t>
  </si>
  <si>
    <t>01519</t>
  </si>
  <si>
    <t>利尻郡利尻富士町</t>
  </si>
  <si>
    <t>りしりぐんりしりふじちょう</t>
  </si>
  <si>
    <t>097-01 097-02</t>
  </si>
  <si>
    <t>01520</t>
  </si>
  <si>
    <t>てしおぐんほろのべちょう</t>
  </si>
  <si>
    <t>098-29 098-31 098-32</t>
  </si>
  <si>
    <t>01543</t>
  </si>
  <si>
    <t>網走郡美幌町</t>
  </si>
  <si>
    <t>あばしりぐんびほろちょう</t>
  </si>
  <si>
    <t>092-00 092-01</t>
  </si>
  <si>
    <t>01544</t>
  </si>
  <si>
    <t>網走郡津別町</t>
  </si>
  <si>
    <t>あばしりぐんつべつちょう</t>
  </si>
  <si>
    <t>092-02 092-03</t>
  </si>
  <si>
    <t>01545</t>
  </si>
  <si>
    <t>斜里郡斜里町</t>
  </si>
  <si>
    <t>しゃりぐんしゃりちょう</t>
  </si>
  <si>
    <t>099-41 099-43</t>
  </si>
  <si>
    <t>01546</t>
  </si>
  <si>
    <t>斜里郡清里町</t>
  </si>
  <si>
    <t>しゃりぐんきよさとちょう</t>
  </si>
  <si>
    <t>099-44 099-45</t>
  </si>
  <si>
    <t>01547</t>
  </si>
  <si>
    <t>斜里郡小清水町</t>
  </si>
  <si>
    <t>しゃりぐんこしみずちょう</t>
  </si>
  <si>
    <t>099-34 099-36</t>
  </si>
  <si>
    <t>01549</t>
  </si>
  <si>
    <t>常呂郡訓子府町</t>
  </si>
  <si>
    <t>ところぐんくんねっぷちょう</t>
  </si>
  <si>
    <t>0157</t>
  </si>
  <si>
    <t>099-14</t>
  </si>
  <si>
    <t>01550</t>
  </si>
  <si>
    <t>常呂郡置戸町</t>
  </si>
  <si>
    <t>ところぐんおけとちょう</t>
  </si>
  <si>
    <t>099-11 099-12 099-13</t>
  </si>
  <si>
    <t>01552</t>
  </si>
  <si>
    <t>常呂郡佐呂間町</t>
  </si>
  <si>
    <t>ところぐんさろまちょう</t>
  </si>
  <si>
    <t>01587</t>
  </si>
  <si>
    <t>091-04 091-05 093-04 093-05 093-06</t>
  </si>
  <si>
    <t>01555</t>
  </si>
  <si>
    <t>紋別郡遠軽町</t>
  </si>
  <si>
    <t>もんべつぐんえんがるちょう</t>
  </si>
  <si>
    <t>099-01 099-02 099-03 099-04 099-06 099-07</t>
  </si>
  <si>
    <t>01559</t>
  </si>
  <si>
    <t>紋別郡湧別町</t>
  </si>
  <si>
    <t>もんべつぐんゆうべつちょう</t>
  </si>
  <si>
    <t>01586</t>
  </si>
  <si>
    <t>093-06 093-07 099-62 099-63 099-64 099-65</t>
  </si>
  <si>
    <t>01560</t>
  </si>
  <si>
    <t>紋別郡滝上町</t>
  </si>
  <si>
    <t>もんべつぐんたきのうえちょう</t>
  </si>
  <si>
    <t>099-55 099-56</t>
  </si>
  <si>
    <t>01561</t>
  </si>
  <si>
    <t>紋別郡興部町</t>
  </si>
  <si>
    <t>もんべつぐんおこっぺちょう</t>
  </si>
  <si>
    <t>098-16 098-19</t>
  </si>
  <si>
    <t>01562</t>
  </si>
  <si>
    <t>紋別郡西興部村</t>
  </si>
  <si>
    <t>もんべつぐんにしおこっぺむら</t>
  </si>
  <si>
    <t>098-14 098-15</t>
  </si>
  <si>
    <t>01563</t>
  </si>
  <si>
    <t>紋別郡雄武町</t>
  </si>
  <si>
    <t>もんべつぐんおうむちょう</t>
  </si>
  <si>
    <t>098-17 098-18</t>
  </si>
  <si>
    <t>01564</t>
  </si>
  <si>
    <t>網走郡大空町</t>
  </si>
  <si>
    <t>あばしりぐんおおぞらちょう</t>
  </si>
  <si>
    <t>099-23 099-32</t>
  </si>
  <si>
    <t>01571</t>
  </si>
  <si>
    <t>虻田郡豊浦町</t>
  </si>
  <si>
    <t>あぶたぐんとようらちょう</t>
  </si>
  <si>
    <t>049-53 049-54</t>
  </si>
  <si>
    <t>01575</t>
  </si>
  <si>
    <t>有珠郡壮瞥町</t>
  </si>
  <si>
    <t>うすぐんそうべつちょう</t>
  </si>
  <si>
    <t>049-57 052-01</t>
  </si>
  <si>
    <t>01578</t>
  </si>
  <si>
    <t>白老郡白老町</t>
  </si>
  <si>
    <t>しらおいぐんしらおいちょう</t>
  </si>
  <si>
    <t>059-06 059-09</t>
  </si>
  <si>
    <t>01581</t>
  </si>
  <si>
    <t>勇払郡厚真町</t>
  </si>
  <si>
    <t>ゆうふつぐんあつまちょう</t>
  </si>
  <si>
    <t>0145</t>
  </si>
  <si>
    <t>059-16 059-17</t>
  </si>
  <si>
    <t>01584</t>
  </si>
  <si>
    <t>虻田郡洞爺湖町</t>
  </si>
  <si>
    <t>あぶたぐんとうやこちょう</t>
  </si>
  <si>
    <t>049-56 049-57 049-58</t>
  </si>
  <si>
    <t>01585</t>
  </si>
  <si>
    <t>勇払郡安平町</t>
  </si>
  <si>
    <t>ゆうふつぐんあびらちょう</t>
  </si>
  <si>
    <t>059-14 059-15 059-19</t>
  </si>
  <si>
    <t>勇払郡むかわ町</t>
  </si>
  <si>
    <t>ゆうふつぐんむかわちょう</t>
  </si>
  <si>
    <t>054-00 054-01 054-02 054-03</t>
  </si>
  <si>
    <t>01601</t>
  </si>
  <si>
    <t>沙流郡日高町</t>
  </si>
  <si>
    <t>さるぐんひだかちょう</t>
  </si>
  <si>
    <t>01457 01456</t>
  </si>
  <si>
    <t>055-00 059-21 059-22 059-23 079-23</t>
  </si>
  <si>
    <t>01602</t>
  </si>
  <si>
    <t>沙流郡平取町</t>
  </si>
  <si>
    <t>さるぐんびらとりちょう</t>
  </si>
  <si>
    <t>055-01 055-03 055-04</t>
  </si>
  <si>
    <t>01604</t>
  </si>
  <si>
    <t>新冠郡新冠町</t>
  </si>
  <si>
    <t>にいかっぷぐんにいかっぷちょう</t>
  </si>
  <si>
    <t>0146 01456</t>
  </si>
  <si>
    <t>059-22 059-23 059-24</t>
  </si>
  <si>
    <t>01607</t>
  </si>
  <si>
    <t>浦河郡浦河町</t>
  </si>
  <si>
    <t>うらかわぐんうらかわちょう</t>
  </si>
  <si>
    <t>0146</t>
  </si>
  <si>
    <t>057-00 057-01 058-00 059-34</t>
  </si>
  <si>
    <t>01608</t>
  </si>
  <si>
    <t>様似郡様似町</t>
  </si>
  <si>
    <t>さまにぐんさまにちょう</t>
  </si>
  <si>
    <t>058-00</t>
  </si>
  <si>
    <t>01609</t>
  </si>
  <si>
    <t>幌泉郡えりも町</t>
  </si>
  <si>
    <t>ほろいずみぐんえりもちょう</t>
  </si>
  <si>
    <t>01466</t>
  </si>
  <si>
    <t>058-02 058-03 058-04</t>
  </si>
  <si>
    <t>01610</t>
  </si>
  <si>
    <t>日高郡新ひだか町</t>
  </si>
  <si>
    <t>ひだかぐんしんひだかちょう</t>
  </si>
  <si>
    <t>056-00 056-01 059-25 059-31 059-32 059-33</t>
  </si>
  <si>
    <t>01631</t>
  </si>
  <si>
    <t>河東郡音更町</t>
  </si>
  <si>
    <t>かとうぐんおとふけちょう</t>
  </si>
  <si>
    <t>080-01 080-02 080-03 080-05</t>
  </si>
  <si>
    <t>河東郡士幌町</t>
  </si>
  <si>
    <t>かとうぐんしほろちょう</t>
  </si>
  <si>
    <t>080-11 080-12</t>
  </si>
  <si>
    <t>01633</t>
  </si>
  <si>
    <t>河東郡上士幌町</t>
  </si>
  <si>
    <t>かとうぐんかみしほろちょう</t>
  </si>
  <si>
    <t>080-14</t>
  </si>
  <si>
    <t>河東郡鹿追町</t>
  </si>
  <si>
    <t>かとうぐんしかおいちょう</t>
  </si>
  <si>
    <t>0156</t>
  </si>
  <si>
    <t>081-02 081-03</t>
  </si>
  <si>
    <t>上川郡新得町</t>
  </si>
  <si>
    <t>かみかわぐんしんとくちょう</t>
  </si>
  <si>
    <t>081-00 081-01</t>
  </si>
  <si>
    <t>01636</t>
  </si>
  <si>
    <t>上川郡清水町</t>
  </si>
  <si>
    <t>かみかわぐんしみずちょう</t>
  </si>
  <si>
    <t>089-01 089-02 089-03</t>
  </si>
  <si>
    <t>01637</t>
  </si>
  <si>
    <t>河西郡芽室町</t>
  </si>
  <si>
    <t>かさいぐんめむろちょう</t>
  </si>
  <si>
    <t>082-00 082-03</t>
  </si>
  <si>
    <t>01638</t>
  </si>
  <si>
    <t>河西郡中札内村</t>
  </si>
  <si>
    <t>かさいぐんなかさつないむら</t>
  </si>
  <si>
    <t>089-13</t>
  </si>
  <si>
    <t>01639</t>
  </si>
  <si>
    <t>河西郡更別村</t>
  </si>
  <si>
    <t>かさいぐんさらべつむら</t>
  </si>
  <si>
    <t>089-15</t>
  </si>
  <si>
    <t>01641</t>
  </si>
  <si>
    <t>広尾郡大樹町</t>
  </si>
  <si>
    <t>ひろおぐんたいきちょう</t>
  </si>
  <si>
    <t>01558</t>
  </si>
  <si>
    <t>089-18 089-21 089-22</t>
  </si>
  <si>
    <t>01642</t>
  </si>
  <si>
    <t>広尾郡広尾町</t>
  </si>
  <si>
    <t>ひろおぐんひろおちょう</t>
  </si>
  <si>
    <t>089-24 089-25 089-26 089-27</t>
  </si>
  <si>
    <t>01643</t>
  </si>
  <si>
    <t>中川郡幕別町</t>
  </si>
  <si>
    <t>なかがわぐんまくべつちょう</t>
  </si>
  <si>
    <t>0155 01558</t>
  </si>
  <si>
    <t>089-05 089-06 089-07 089-17 089-18</t>
  </si>
  <si>
    <t>01644</t>
  </si>
  <si>
    <t>中川郡池田町</t>
  </si>
  <si>
    <t>なかがわぐんいけだちょう</t>
  </si>
  <si>
    <t>015</t>
  </si>
  <si>
    <t>083-00 089-31</t>
  </si>
  <si>
    <t>01645</t>
  </si>
  <si>
    <t>中川郡豊頃町</t>
  </si>
  <si>
    <t>なかがわぐんとよころちょう</t>
  </si>
  <si>
    <t>089-52 089-53 089-54</t>
  </si>
  <si>
    <t>01646</t>
  </si>
  <si>
    <t>中川郡本別町</t>
  </si>
  <si>
    <t>なかがわぐんほんべつちょう</t>
  </si>
  <si>
    <t>089-32 089-33 089-34 089-36 089-37</t>
  </si>
  <si>
    <t>01647</t>
  </si>
  <si>
    <t>足寄郡足寄町</t>
  </si>
  <si>
    <t>あしょろぐんあしょろちょう</t>
  </si>
  <si>
    <t>089-37 089-38 089-39 089-41 089-42</t>
  </si>
  <si>
    <t>01648</t>
  </si>
  <si>
    <t>足寄郡陸別町</t>
  </si>
  <si>
    <t>あしょろぐんりくべつちょう</t>
  </si>
  <si>
    <t>089-42 089-43</t>
  </si>
  <si>
    <t>01649</t>
  </si>
  <si>
    <t>十勝郡浦幌町</t>
  </si>
  <si>
    <t>とかちぐんうらほろちょう</t>
  </si>
  <si>
    <t>088-01 089-35 089-55 089-56 089-58</t>
  </si>
  <si>
    <t>01661</t>
  </si>
  <si>
    <t>釧路郡釧路町</t>
  </si>
  <si>
    <t>くしろぐんくしろちょう</t>
  </si>
  <si>
    <t>0154</t>
  </si>
  <si>
    <t>085-22 088-06 088-08 088-21</t>
  </si>
  <si>
    <t>01662</t>
  </si>
  <si>
    <t>厚岸郡厚岸町</t>
  </si>
  <si>
    <t>あっけしぐんあっけしちょう</t>
  </si>
  <si>
    <t>088-07 088-08 088-11 088-13</t>
  </si>
  <si>
    <t>01663</t>
  </si>
  <si>
    <t>厚岸郡浜中町</t>
  </si>
  <si>
    <t>あっけしぐんはまなかちょう</t>
  </si>
  <si>
    <t>086-00 088-13 088-14 088-15 088-16</t>
  </si>
  <si>
    <t>01664</t>
  </si>
  <si>
    <t>川上郡標茶町</t>
  </si>
  <si>
    <t>かわかみぐんしべちゃちょう</t>
  </si>
  <si>
    <t>085-13 088-22 088-23 088-24 088-31</t>
  </si>
  <si>
    <t>01665</t>
  </si>
  <si>
    <t>川上郡弟子屈町</t>
  </si>
  <si>
    <t>かわかみぐんてしかがちょう</t>
  </si>
  <si>
    <t>088-31 088-32 088-33 088-34</t>
  </si>
  <si>
    <t>01667</t>
  </si>
  <si>
    <t>阿寒郡鶴居村</t>
  </si>
  <si>
    <t>あかんぐんつるいむら</t>
  </si>
  <si>
    <t>085-11 085-12 085-13</t>
  </si>
  <si>
    <t>01668</t>
  </si>
  <si>
    <t>白糠郡白糠町</t>
  </si>
  <si>
    <t>しらぬかぐんしらぬかちょう</t>
  </si>
  <si>
    <t>088-03 088-05</t>
  </si>
  <si>
    <t>01691</t>
  </si>
  <si>
    <t>野付郡別海町</t>
  </si>
  <si>
    <t>のつけぐんべつかいちょう</t>
  </si>
  <si>
    <t>086-01 086-02 086-03 086-05 086-06 086-16 088-25 088-26 088-27</t>
  </si>
  <si>
    <t>01692</t>
  </si>
  <si>
    <t>標津郡中標津町</t>
  </si>
  <si>
    <t>しべつぐんなかしべつちょう</t>
  </si>
  <si>
    <t>086-10 086-11 086-12 088-26</t>
  </si>
  <si>
    <t>01693</t>
  </si>
  <si>
    <t>標津郡標津町</t>
  </si>
  <si>
    <t>しべつぐんしべつちょう</t>
  </si>
  <si>
    <t>086-14 086-16 086-17</t>
  </si>
  <si>
    <t>01694</t>
  </si>
  <si>
    <t>目梨郡羅臼町</t>
  </si>
  <si>
    <t>めなしぐんらうすちょう</t>
  </si>
  <si>
    <t>086-17 086-18</t>
  </si>
  <si>
    <t>02201</t>
  </si>
  <si>
    <t>青森市</t>
  </si>
  <si>
    <t>あおもりし</t>
  </si>
  <si>
    <t>017 0172</t>
  </si>
  <si>
    <t>030-01 030-08 030-09 030-12 038-00 038-13 039-35</t>
  </si>
  <si>
    <t>02202</t>
  </si>
  <si>
    <t>弘前市</t>
  </si>
  <si>
    <t>ひろさきし</t>
  </si>
  <si>
    <t>0172</t>
  </si>
  <si>
    <t>036-00 036-12 036-13 036-14 036-15 036-80 036-81 036-82 036-83 038-36 038-38</t>
  </si>
  <si>
    <t>02203</t>
  </si>
  <si>
    <t>八戸市</t>
  </si>
  <si>
    <t>はちのへし</t>
  </si>
  <si>
    <t>0178</t>
  </si>
  <si>
    <t>031-00 031-01 031-02 031-08 039-11 039-22</t>
  </si>
  <si>
    <t>02204</t>
  </si>
  <si>
    <t>黒石市</t>
  </si>
  <si>
    <t>くろいしし</t>
  </si>
  <si>
    <t>036-03 036-04 036-05</t>
  </si>
  <si>
    <t>02205</t>
  </si>
  <si>
    <t>五所川原市</t>
  </si>
  <si>
    <t>ごしょがわらし</t>
  </si>
  <si>
    <t>0173</t>
  </si>
  <si>
    <t>037-00 037-02 037-04 037-06</t>
  </si>
  <si>
    <t>02206</t>
  </si>
  <si>
    <t>十和田市</t>
  </si>
  <si>
    <t>とわだし</t>
  </si>
  <si>
    <t>0176</t>
  </si>
  <si>
    <t>018-55 034-00 034-01 034-02 034-03</t>
  </si>
  <si>
    <t>02207</t>
  </si>
  <si>
    <t>三沢市</t>
  </si>
  <si>
    <t>みさわし</t>
  </si>
  <si>
    <t>033-00 033-01</t>
  </si>
  <si>
    <t>02208</t>
  </si>
  <si>
    <t>むつ市</t>
  </si>
  <si>
    <t>むつし</t>
  </si>
  <si>
    <t>0175</t>
  </si>
  <si>
    <t>035-00 039-44 039-47 039-52 039-53</t>
  </si>
  <si>
    <t>02209</t>
  </si>
  <si>
    <t>つがる市</t>
  </si>
  <si>
    <t>つがるし</t>
  </si>
  <si>
    <t>037-01 038-28 038-31 038-32 038-33</t>
  </si>
  <si>
    <t>02210</t>
  </si>
  <si>
    <t>平川市</t>
  </si>
  <si>
    <t>ひらかわし</t>
  </si>
  <si>
    <t>036-01 036-02 038-01</t>
  </si>
  <si>
    <t>02301</t>
  </si>
  <si>
    <t>東津軽郡平内町</t>
  </si>
  <si>
    <t>ひがしつがるぐんひらないまち</t>
  </si>
  <si>
    <t>017</t>
  </si>
  <si>
    <t>039-33</t>
  </si>
  <si>
    <t>02303</t>
  </si>
  <si>
    <t>東津軽郡今別町</t>
  </si>
  <si>
    <t>ひがしつがるぐんいまべつまち</t>
  </si>
  <si>
    <t>0174</t>
  </si>
  <si>
    <t>030-15</t>
  </si>
  <si>
    <t>02304</t>
  </si>
  <si>
    <t>東津軽郡蓬田村</t>
  </si>
  <si>
    <t>ひがしつがるぐんよもぎたむら</t>
  </si>
  <si>
    <t>030-12</t>
  </si>
  <si>
    <t>02307</t>
  </si>
  <si>
    <t>東津軽郡外ヶ浜町</t>
  </si>
  <si>
    <t>ひがしつがるぐんそとがはままち</t>
  </si>
  <si>
    <t>030-13 030-14 030-17</t>
  </si>
  <si>
    <t>02321</t>
  </si>
  <si>
    <t>西津軽郡鰺ヶ沢町</t>
  </si>
  <si>
    <t>にしつがるぐんあじがさわまち</t>
  </si>
  <si>
    <t>038-27</t>
  </si>
  <si>
    <t>02323</t>
  </si>
  <si>
    <t>西津軽郡深浦町</t>
  </si>
  <si>
    <t>にしつがるぐんふかうらまち</t>
  </si>
  <si>
    <t>038-22 038-23 038-24 038-25</t>
  </si>
  <si>
    <t>02343</t>
  </si>
  <si>
    <t>中津軽郡西目屋村</t>
  </si>
  <si>
    <t>なかつがるぐんにしめやむら</t>
  </si>
  <si>
    <t>036-14</t>
  </si>
  <si>
    <t>02361</t>
  </si>
  <si>
    <t>南津軽郡藤崎町</t>
  </si>
  <si>
    <t>みなみつがるぐんふじさきまち</t>
  </si>
  <si>
    <t>038-12 038-38</t>
  </si>
  <si>
    <t>02362</t>
  </si>
  <si>
    <t>南津軽郡大鰐町</t>
  </si>
  <si>
    <t>みなみつがるぐんおおわにまち</t>
  </si>
  <si>
    <t>038-02</t>
  </si>
  <si>
    <t>02367</t>
  </si>
  <si>
    <t>南津軽郡田舎館村</t>
  </si>
  <si>
    <t>みなみつがるぐんいなかだてむら</t>
  </si>
  <si>
    <t>038-11</t>
  </si>
  <si>
    <t>02381</t>
  </si>
  <si>
    <t>北津軽郡板柳町</t>
  </si>
  <si>
    <t>きたつがるぐんいたやなぎまち</t>
  </si>
  <si>
    <t>038-36</t>
  </si>
  <si>
    <t>02384</t>
  </si>
  <si>
    <t>北津軽郡鶴田町</t>
  </si>
  <si>
    <t>きたつがるぐんつるたまち</t>
  </si>
  <si>
    <t>038-35</t>
  </si>
  <si>
    <t>02387</t>
  </si>
  <si>
    <t>北津軽郡中泊町</t>
  </si>
  <si>
    <t>きたつがるぐんなかどまりまち</t>
  </si>
  <si>
    <t>030-17 037-03 037-05</t>
  </si>
  <si>
    <t>02401</t>
  </si>
  <si>
    <t>上北郡野辺地町</t>
  </si>
  <si>
    <t>かみきたぐんのへじまち</t>
  </si>
  <si>
    <t>039-31</t>
  </si>
  <si>
    <t>02402</t>
  </si>
  <si>
    <t>上北郡七戸町</t>
  </si>
  <si>
    <t>かみきたぐんしちのへまち</t>
  </si>
  <si>
    <t>039-25 039-27 039-28</t>
  </si>
  <si>
    <t>02405</t>
  </si>
  <si>
    <t>上北郡六戸町</t>
  </si>
  <si>
    <t>かみきたぐんろくのへまち</t>
  </si>
  <si>
    <t>033-00 039-23</t>
  </si>
  <si>
    <t>02406</t>
  </si>
  <si>
    <t>上北郡横浜町</t>
  </si>
  <si>
    <t>かみきたぐんよこはままち</t>
  </si>
  <si>
    <t>039-41</t>
  </si>
  <si>
    <t>02408</t>
  </si>
  <si>
    <t>上北郡東北町</t>
  </si>
  <si>
    <t>かみきたぐんとうほくまち</t>
  </si>
  <si>
    <t>0175 0176</t>
  </si>
  <si>
    <t>039-24 039-26</t>
  </si>
  <si>
    <t>02411</t>
  </si>
  <si>
    <t>上北郡六ヶ所村</t>
  </si>
  <si>
    <t>かみきたぐんろっかしょむら</t>
  </si>
  <si>
    <t>039-32 039-43</t>
  </si>
  <si>
    <t>02412</t>
  </si>
  <si>
    <t>上北郡おいらせ町</t>
  </si>
  <si>
    <t>かみきたぐんおいらせちょう</t>
  </si>
  <si>
    <t>039-21 039-22</t>
  </si>
  <si>
    <t>02423</t>
  </si>
  <si>
    <t>下北郡大間町</t>
  </si>
  <si>
    <t>しもきたぐんおおままち</t>
  </si>
  <si>
    <t>039-46</t>
  </si>
  <si>
    <t>02424</t>
  </si>
  <si>
    <t>下北郡東通村</t>
  </si>
  <si>
    <t>しもきたぐんひがしどおりむら</t>
  </si>
  <si>
    <t>035-00 035-01 039-42</t>
  </si>
  <si>
    <t>02425</t>
  </si>
  <si>
    <t>下北郡風間浦村</t>
  </si>
  <si>
    <t>しもきたぐんかざまうらむら</t>
  </si>
  <si>
    <t>039-45</t>
  </si>
  <si>
    <t>02426</t>
  </si>
  <si>
    <t>下北郡佐井村</t>
  </si>
  <si>
    <t>しもきたぐんさいむら</t>
  </si>
  <si>
    <t>039-47</t>
  </si>
  <si>
    <t>02441</t>
  </si>
  <si>
    <t>三戸郡三戸町</t>
  </si>
  <si>
    <t>さんのへぐんさんのへまち</t>
  </si>
  <si>
    <t>0179</t>
  </si>
  <si>
    <t>039-01 039-04</t>
  </si>
  <si>
    <t>02442</t>
  </si>
  <si>
    <t>三戸郡五戸町</t>
  </si>
  <si>
    <t>さんのへぐんごのへまち</t>
  </si>
  <si>
    <t>039-15 039-17 039-23</t>
  </si>
  <si>
    <t>02443</t>
  </si>
  <si>
    <t>三戸郡田子町</t>
  </si>
  <si>
    <t>さんのへぐんたっこまち</t>
  </si>
  <si>
    <t>039-02 039-03</t>
  </si>
  <si>
    <t>02445</t>
  </si>
  <si>
    <t>三戸郡南部町</t>
  </si>
  <si>
    <t>さんのへぐんなんぶちょう</t>
  </si>
  <si>
    <t>0178 0179</t>
  </si>
  <si>
    <t>039-01 039-05 039-06 039-08</t>
  </si>
  <si>
    <t>02446</t>
  </si>
  <si>
    <t>三戸郡階上町</t>
  </si>
  <si>
    <t>さんのへぐんはしかみちょう</t>
  </si>
  <si>
    <t>039-12</t>
  </si>
  <si>
    <t>02450</t>
  </si>
  <si>
    <t>三戸郡新郷村</t>
  </si>
  <si>
    <t>さんのへぐんしんごうむら</t>
  </si>
  <si>
    <t>039-18</t>
  </si>
  <si>
    <t>03201</t>
  </si>
  <si>
    <t>盛岡市</t>
  </si>
  <si>
    <t>もりおかし</t>
  </si>
  <si>
    <t>019</t>
  </si>
  <si>
    <t>020-00 020-01 020-02 020-03 020-04 020-08 028-27 028-41</t>
  </si>
  <si>
    <t>03202</t>
  </si>
  <si>
    <t>宮古市</t>
  </si>
  <si>
    <t>みやこし</t>
  </si>
  <si>
    <t>0193</t>
  </si>
  <si>
    <t>027-00 027-01 027-02 027-03 028-21 028-23 028-24 025-25 028-26</t>
  </si>
  <si>
    <t>03203</t>
  </si>
  <si>
    <t>大船渡市</t>
  </si>
  <si>
    <t>おおふなとし</t>
  </si>
  <si>
    <t>0192</t>
  </si>
  <si>
    <t>022-00 022-01 022-02</t>
  </si>
  <si>
    <t>03205</t>
  </si>
  <si>
    <t>花巻市</t>
  </si>
  <si>
    <t>はなまきし</t>
  </si>
  <si>
    <t>0198</t>
  </si>
  <si>
    <t>025-00 025-01 025-02 025-03 028-01 028-31 028-32</t>
  </si>
  <si>
    <t>03206</t>
  </si>
  <si>
    <t>北上市</t>
  </si>
  <si>
    <t>きたかみし</t>
  </si>
  <si>
    <t>0197</t>
  </si>
  <si>
    <t>024-00 024-01 024-02 024-03</t>
  </si>
  <si>
    <t>03207</t>
  </si>
  <si>
    <t>久慈市</t>
  </si>
  <si>
    <t>くじし</t>
  </si>
  <si>
    <t>0194</t>
  </si>
  <si>
    <t>028-00 028-78 028-81 028-85 028-86 028-87</t>
  </si>
  <si>
    <t>03208</t>
  </si>
  <si>
    <t>遠野市</t>
  </si>
  <si>
    <t>とおのし</t>
  </si>
  <si>
    <t>028-03 028-04 028-05 028-06 028-07</t>
  </si>
  <si>
    <t>03209</t>
  </si>
  <si>
    <t>一関市</t>
  </si>
  <si>
    <t>いちのせきし</t>
  </si>
  <si>
    <t>0191</t>
  </si>
  <si>
    <t>021-00 021-01 021-02 021-08 021-09 029-01 029-02 029-03 029-04 029-05 029-06 029-07 029-08 029-11 029-12 029-31 029-32</t>
  </si>
  <si>
    <t>03210</t>
  </si>
  <si>
    <t>陸前高田市</t>
  </si>
  <si>
    <t>りくぜんたかたし</t>
  </si>
  <si>
    <t>029-22</t>
  </si>
  <si>
    <t>03211</t>
  </si>
  <si>
    <t>釜石市</t>
  </si>
  <si>
    <t>かまいしし</t>
  </si>
  <si>
    <t>026-00 026-01 026-03 026-04</t>
  </si>
  <si>
    <t>03213</t>
  </si>
  <si>
    <t>二戸市</t>
  </si>
  <si>
    <t>にのへし</t>
  </si>
  <si>
    <t>0195</t>
  </si>
  <si>
    <t>028-57 028-61 028-67 028-68 028-69</t>
  </si>
  <si>
    <t>03214</t>
  </si>
  <si>
    <t>八幡平市</t>
  </si>
  <si>
    <t>はちまんたいし</t>
  </si>
  <si>
    <t>028-71 028-73 028-74 028-75 028-76</t>
  </si>
  <si>
    <t>03215</t>
  </si>
  <si>
    <t>奥州市</t>
  </si>
  <si>
    <t>おうしゅうし</t>
  </si>
  <si>
    <t>023-00 023-01 023-04 023-08 023-11 023-13 023-15 023-17 029-42 029-43 029-44</t>
  </si>
  <si>
    <t>03301</t>
  </si>
  <si>
    <t>岩手郡雫石町</t>
  </si>
  <si>
    <t>いわてぐんしずくいしちょう</t>
  </si>
  <si>
    <t>020-05</t>
  </si>
  <si>
    <t>03302</t>
  </si>
  <si>
    <t>岩手郡葛巻町</t>
  </si>
  <si>
    <t>いわてぐんくずまきまち</t>
  </si>
  <si>
    <t>028-51 028-54</t>
  </si>
  <si>
    <t>03303</t>
  </si>
  <si>
    <t>岩手郡岩手町</t>
  </si>
  <si>
    <t>いわてぐんいわてまち</t>
  </si>
  <si>
    <t>028-42 028-43 028-44</t>
  </si>
  <si>
    <t>03305</t>
  </si>
  <si>
    <t>岩手郡滝沢村</t>
  </si>
  <si>
    <t>いわてぐんたきざわむら</t>
  </si>
  <si>
    <t>020-01</t>
  </si>
  <si>
    <t>03321</t>
  </si>
  <si>
    <t>紫波郡紫波町</t>
  </si>
  <si>
    <t>しわぐんしわちょう</t>
  </si>
  <si>
    <t>028-33 028-34 028-35</t>
  </si>
  <si>
    <t>03322</t>
  </si>
  <si>
    <t>紫波郡矢巾町</t>
  </si>
  <si>
    <t>しわぐんやはばちょう</t>
  </si>
  <si>
    <t>020-08 028-36</t>
  </si>
  <si>
    <t>03366</t>
  </si>
  <si>
    <t>和賀郡西和賀町</t>
  </si>
  <si>
    <t>わがぐんにしわがまち</t>
  </si>
  <si>
    <t>024-03 029-55 029-56 029-57</t>
  </si>
  <si>
    <t>03381</t>
  </si>
  <si>
    <t>胆沢郡金ケ崎町</t>
  </si>
  <si>
    <t>いさわぐんかねがさきちょう</t>
  </si>
  <si>
    <t>029-45</t>
  </si>
  <si>
    <t>03402</t>
  </si>
  <si>
    <t>西磐井郡平泉町</t>
  </si>
  <si>
    <t>にしいわいぐんひらいずみちょう</t>
  </si>
  <si>
    <t>029-41</t>
  </si>
  <si>
    <t>03441</t>
  </si>
  <si>
    <t>気仙郡住田町</t>
  </si>
  <si>
    <t>けせんぐんすみたちょう</t>
  </si>
  <si>
    <t>029-23 029-25</t>
  </si>
  <si>
    <t>03461</t>
  </si>
  <si>
    <t>上閉伊郡大槌町</t>
  </si>
  <si>
    <t>かみへいぐんおおつちちょう</t>
  </si>
  <si>
    <t>028-11</t>
  </si>
  <si>
    <t>03482</t>
  </si>
  <si>
    <t>下閉伊郡山田町</t>
  </si>
  <si>
    <t>しもへいぐんやまだまち</t>
  </si>
  <si>
    <t>028-13</t>
  </si>
  <si>
    <t>03483</t>
  </si>
  <si>
    <t>下閉伊郡岩泉町</t>
  </si>
  <si>
    <t>しもへいぐんいわいずみちょう</t>
  </si>
  <si>
    <t>027-04 027-05 027-06 028-22 028-56</t>
  </si>
  <si>
    <t>03484</t>
  </si>
  <si>
    <t>下閉伊郡田野畑村</t>
  </si>
  <si>
    <t>しもへいぐんたのはたむら</t>
  </si>
  <si>
    <t>028-84</t>
  </si>
  <si>
    <t>03485</t>
  </si>
  <si>
    <t>下閉伊郡普代村</t>
  </si>
  <si>
    <t>しもへいぐんふだいむら</t>
  </si>
  <si>
    <t>028-83</t>
  </si>
  <si>
    <t>03501</t>
  </si>
  <si>
    <t>九戸郡軽米町</t>
  </si>
  <si>
    <t>くのへぐんかるまいまち</t>
  </si>
  <si>
    <t>028-62 028-63 028-64</t>
  </si>
  <si>
    <t>03503</t>
  </si>
  <si>
    <t>九戸郡野田村</t>
  </si>
  <si>
    <t>くのへぐんのだむら</t>
  </si>
  <si>
    <t>028-82</t>
  </si>
  <si>
    <t>03506</t>
  </si>
  <si>
    <t>九戸郡九戸村</t>
  </si>
  <si>
    <t>くのへぐんくのへむら</t>
  </si>
  <si>
    <t>028-65 028-66</t>
  </si>
  <si>
    <t>03507</t>
  </si>
  <si>
    <t>九戸郡洋野町</t>
  </si>
  <si>
    <t>くのへぐんひろのちょう</t>
  </si>
  <si>
    <t>028-79 028-88</t>
  </si>
  <si>
    <t>03524</t>
  </si>
  <si>
    <t>二戸郡一戸町</t>
  </si>
  <si>
    <t>にのへぐんいちのへまち</t>
  </si>
  <si>
    <t>028-51 028-52 028-53</t>
  </si>
  <si>
    <t>04100</t>
  </si>
  <si>
    <t>仙台市</t>
  </si>
  <si>
    <t>せんだいし</t>
  </si>
  <si>
    <t>04101</t>
  </si>
  <si>
    <t>仙台市青葉区</t>
  </si>
  <si>
    <t>せんだいしあおばく</t>
  </si>
  <si>
    <t>022</t>
  </si>
  <si>
    <t>980-00 980-08 980-60 980-61 981-09 982-02 989-31 989-32 989-34</t>
  </si>
  <si>
    <t>04102</t>
  </si>
  <si>
    <t>仙台市宮城野区</t>
  </si>
  <si>
    <t>せんだいしみやぎのく</t>
  </si>
  <si>
    <t>983-00 983-08 985-09</t>
  </si>
  <si>
    <t>04103</t>
  </si>
  <si>
    <t>仙台市若林区</t>
  </si>
  <si>
    <t>せんだいしわかばやしく</t>
  </si>
  <si>
    <t>984-00 984-08</t>
  </si>
  <si>
    <t>04104</t>
  </si>
  <si>
    <t>仙台市太白区</t>
  </si>
  <si>
    <t>せんだいしたいはくく</t>
  </si>
  <si>
    <t>981-11 982-00 982-02 982-08</t>
  </si>
  <si>
    <t>04105</t>
  </si>
  <si>
    <t>仙台市泉区</t>
  </si>
  <si>
    <t>せんだいしいずみく</t>
  </si>
  <si>
    <t>981-31 981-32 981-80</t>
  </si>
  <si>
    <t>04202</t>
  </si>
  <si>
    <t>石巻市</t>
  </si>
  <si>
    <t>いしのまきし</t>
  </si>
  <si>
    <t>0225</t>
  </si>
  <si>
    <t>986-00 986-01 986-02 986-03 986-08 986-11 986-13 986-21 986-23 986-24 986-25 987-11 987-12</t>
  </si>
  <si>
    <t>04203</t>
  </si>
  <si>
    <t>塩竈市</t>
  </si>
  <si>
    <t>しおがまし</t>
  </si>
  <si>
    <t>985-00 985-01</t>
  </si>
  <si>
    <t>04205</t>
  </si>
  <si>
    <t>気仙沼市</t>
  </si>
  <si>
    <t>けせんぬまし</t>
  </si>
  <si>
    <t>0226</t>
  </si>
  <si>
    <t>988-00 988-01 988-02 988-03 988-05 988-06 988-08 988-09</t>
  </si>
  <si>
    <t>04206</t>
  </si>
  <si>
    <t>白石市</t>
  </si>
  <si>
    <t>しろいしし</t>
  </si>
  <si>
    <t>0224</t>
  </si>
  <si>
    <t>989-01 989-02 989-07 989-11</t>
  </si>
  <si>
    <t>04207</t>
  </si>
  <si>
    <t>名取市</t>
  </si>
  <si>
    <t>なとりし</t>
  </si>
  <si>
    <t>022 0223</t>
  </si>
  <si>
    <t>981-12 989-24</t>
  </si>
  <si>
    <t>04208</t>
  </si>
  <si>
    <t>角田市</t>
  </si>
  <si>
    <t>かくだし</t>
  </si>
  <si>
    <t>981-15</t>
  </si>
  <si>
    <t>04209</t>
  </si>
  <si>
    <t>多賀城市</t>
  </si>
  <si>
    <t>たがじょうし</t>
  </si>
  <si>
    <t>985-00 985-08</t>
  </si>
  <si>
    <t>04211</t>
  </si>
  <si>
    <t>岩沼市</t>
  </si>
  <si>
    <t>いわぬまし</t>
  </si>
  <si>
    <t>0223</t>
  </si>
  <si>
    <t>989-24</t>
  </si>
  <si>
    <t>04212</t>
  </si>
  <si>
    <t>登米市</t>
  </si>
  <si>
    <t>とめし</t>
  </si>
  <si>
    <t>0220 0225 0228</t>
  </si>
  <si>
    <t>986-04 987-03 987-04 987-05 987-06 987-07 987-09 989-46 989-47</t>
  </si>
  <si>
    <t>04213</t>
  </si>
  <si>
    <t>栗原市</t>
  </si>
  <si>
    <t>くりはらし</t>
  </si>
  <si>
    <t>0228</t>
  </si>
  <si>
    <t>987-20 987-21 987-22 987-23 987-25 989-45 989-48 989-51 989-53 989-54 989-55 989-56 989-67</t>
  </si>
  <si>
    <t>04214</t>
  </si>
  <si>
    <t>東松島市</t>
  </si>
  <si>
    <t>ひがしまつしまし</t>
  </si>
  <si>
    <t>981-03 981-04 981-05</t>
  </si>
  <si>
    <t>04215</t>
  </si>
  <si>
    <t>大崎市</t>
  </si>
  <si>
    <t>おおさきし</t>
  </si>
  <si>
    <t>0229</t>
  </si>
  <si>
    <t>987-13 989-41 989-43 989-44 989-61 989-62 989-63 989-64 989-67 989-68 989-69</t>
  </si>
  <si>
    <t>04301</t>
  </si>
  <si>
    <t>刈田郡蔵王町</t>
  </si>
  <si>
    <t>かったぐんざおうまち</t>
  </si>
  <si>
    <t>989-07 989-08 989-09</t>
  </si>
  <si>
    <t>04302</t>
  </si>
  <si>
    <t>刈田郡七ケ宿町</t>
  </si>
  <si>
    <t>かったぐんしちかしゅくまち</t>
  </si>
  <si>
    <t>989-05 989-06</t>
  </si>
  <si>
    <t>04321</t>
  </si>
  <si>
    <t>柴田郡大河原町</t>
  </si>
  <si>
    <t>しばたぐんおおがわらまち</t>
  </si>
  <si>
    <t>989-12</t>
  </si>
  <si>
    <t>04322</t>
  </si>
  <si>
    <t>柴田郡村田町</t>
  </si>
  <si>
    <t>しばたぐんむらたまち</t>
  </si>
  <si>
    <t>989-13 989-15</t>
  </si>
  <si>
    <t>04323</t>
  </si>
  <si>
    <t>柴田郡柴田町</t>
  </si>
  <si>
    <t>しばたぐんしばたまち</t>
  </si>
  <si>
    <t>989-16 989-17</t>
  </si>
  <si>
    <t>04324</t>
  </si>
  <si>
    <t>柴田郡川崎町</t>
  </si>
  <si>
    <t>しばたぐんかわさきまち</t>
  </si>
  <si>
    <t>989-09 989-15</t>
  </si>
  <si>
    <t>04341</t>
  </si>
  <si>
    <t>伊具郡丸森町</t>
  </si>
  <si>
    <t>いぐぐんまるもりまち</t>
  </si>
  <si>
    <t>981-21 981-22 981-23 981-24 981-25</t>
  </si>
  <si>
    <t>04361</t>
  </si>
  <si>
    <t>亘理郡亘理町</t>
  </si>
  <si>
    <t>わたりぐんわたりちょう</t>
  </si>
  <si>
    <t>989-23</t>
  </si>
  <si>
    <t>04362</t>
  </si>
  <si>
    <t>亘理郡山元町</t>
  </si>
  <si>
    <t>わたりぐんやまもとちょう</t>
  </si>
  <si>
    <t>989-21 989-22</t>
  </si>
  <si>
    <t>04401</t>
  </si>
  <si>
    <t>宮城郡松島町</t>
  </si>
  <si>
    <t>みやぎぐんまつしままち</t>
  </si>
  <si>
    <t>981-02</t>
  </si>
  <si>
    <t>04404</t>
  </si>
  <si>
    <t>宮城郡七ヶ浜町</t>
  </si>
  <si>
    <t>みやぎぐんしちがはままち</t>
  </si>
  <si>
    <t>04406</t>
  </si>
  <si>
    <t>宮城郡利府町</t>
  </si>
  <si>
    <t>みやぎぐんりふちょう</t>
  </si>
  <si>
    <t>981-01</t>
  </si>
  <si>
    <t>04421</t>
  </si>
  <si>
    <t>黒川郡大和町</t>
  </si>
  <si>
    <t>くろかわぐんたいわちょう</t>
  </si>
  <si>
    <t>981-32 981-34 981-36</t>
  </si>
  <si>
    <t>04422</t>
  </si>
  <si>
    <t>黒川郡大郷町</t>
  </si>
  <si>
    <t>くろかわぐんおおさとちょう</t>
  </si>
  <si>
    <t>981-35</t>
  </si>
  <si>
    <t>04423</t>
  </si>
  <si>
    <t>黒川郡富谷町</t>
  </si>
  <si>
    <t>くろかわぐんとみやまち</t>
  </si>
  <si>
    <t>981-33</t>
  </si>
  <si>
    <t>04424</t>
  </si>
  <si>
    <t>黒川郡大衡村</t>
  </si>
  <si>
    <t>くろかわぐんおおひらむら</t>
  </si>
  <si>
    <t>981-36</t>
  </si>
  <si>
    <t>04444</t>
  </si>
  <si>
    <t>加美郡色麻町</t>
  </si>
  <si>
    <t>かみぐんしかまちょう</t>
  </si>
  <si>
    <t>981-41</t>
  </si>
  <si>
    <t>04445</t>
  </si>
  <si>
    <t>加美郡加美町</t>
  </si>
  <si>
    <t>かみぐんかみまち</t>
  </si>
  <si>
    <t>981-42 981-43 981-44</t>
  </si>
  <si>
    <t>04501</t>
  </si>
  <si>
    <t>遠田郡涌谷町</t>
  </si>
  <si>
    <t>とおだぐんわくやちょう</t>
  </si>
  <si>
    <t>987-01 987-02</t>
  </si>
  <si>
    <t>04505</t>
  </si>
  <si>
    <t>遠田郡美里町</t>
  </si>
  <si>
    <t>とおだぐんみさとまち</t>
  </si>
  <si>
    <t>987-00 989-42</t>
  </si>
  <si>
    <t>04581</t>
  </si>
  <si>
    <t>牡鹿郡女川町</t>
  </si>
  <si>
    <t>おしかぐんおながわちょう</t>
  </si>
  <si>
    <t>986-22</t>
  </si>
  <si>
    <t>04606</t>
  </si>
  <si>
    <t>本吉郡南三陸町</t>
  </si>
  <si>
    <t>もとよしぐんみなみさんりくちょう</t>
  </si>
  <si>
    <t>986-07 988-04</t>
  </si>
  <si>
    <t>05201</t>
  </si>
  <si>
    <t>秋田市</t>
  </si>
  <si>
    <t>あきたし</t>
  </si>
  <si>
    <t>018</t>
  </si>
  <si>
    <t>010-00 010-01 010-08 010-09 010-11 010-12 010-13 010-14 010-15 010-16 011-09 019-26 019-27</t>
  </si>
  <si>
    <t>05202</t>
  </si>
  <si>
    <t>能代市</t>
  </si>
  <si>
    <t>のしろし</t>
  </si>
  <si>
    <t>0185</t>
  </si>
  <si>
    <t>016-00 016-01 016-08 018-28 018-31</t>
  </si>
  <si>
    <t>05203</t>
  </si>
  <si>
    <t>横手市</t>
  </si>
  <si>
    <t>よこてし</t>
  </si>
  <si>
    <t>0182</t>
  </si>
  <si>
    <t>013-00 013-01 013-02 013-03 013-04 013-05 013-08 019-05 019-07 019-11</t>
  </si>
  <si>
    <t>05204</t>
  </si>
  <si>
    <t>大館市</t>
  </si>
  <si>
    <t>おおだてし</t>
  </si>
  <si>
    <t>0186</t>
  </si>
  <si>
    <t>017-00 017-08 018-35 018-56 018-57 018-58</t>
  </si>
  <si>
    <t>05206</t>
  </si>
  <si>
    <t>男鹿市</t>
  </si>
  <si>
    <t>おがし</t>
  </si>
  <si>
    <t>010-03 010-04 010-05 010-06</t>
  </si>
  <si>
    <t>05207</t>
  </si>
  <si>
    <t>湯沢市</t>
  </si>
  <si>
    <t>ゆざわし</t>
  </si>
  <si>
    <t>0183</t>
  </si>
  <si>
    <t>012-00 012-01 012-08 019-01 019-02 019-03 019-04</t>
  </si>
  <si>
    <t>05209</t>
  </si>
  <si>
    <t>鹿角市</t>
  </si>
  <si>
    <t>かづのし</t>
  </si>
  <si>
    <t>018-51 018-52 018-53 018-54</t>
  </si>
  <si>
    <t>05210</t>
  </si>
  <si>
    <t>由利本荘市</t>
  </si>
  <si>
    <t>ゆりほんじょうし</t>
  </si>
  <si>
    <t>0184</t>
  </si>
  <si>
    <t>015-00 015-02 015-03 015-04 015-05 015-07 015-08 018-06 018-07 018-08 018-09 018-12 018-13</t>
  </si>
  <si>
    <t>05211</t>
  </si>
  <si>
    <t>潟上市</t>
  </si>
  <si>
    <t>かたがみし</t>
  </si>
  <si>
    <t>010-01 010-02 018-14 018-15</t>
  </si>
  <si>
    <t>05212</t>
  </si>
  <si>
    <t>大仙市</t>
  </si>
  <si>
    <t>だいせんし</t>
  </si>
  <si>
    <t>0187 018</t>
  </si>
  <si>
    <t>014-00 014-01 014-02 014-07 014-08 014-14 019-16 019-17 019-18 019-19 019-21 019-22 019-23 019-24 019-25</t>
  </si>
  <si>
    <t>05213</t>
  </si>
  <si>
    <t>北秋田市</t>
  </si>
  <si>
    <t>きたあきたし</t>
  </si>
  <si>
    <t>018-33 018-34 018-42 018-43 018-45 018-46 018-47</t>
  </si>
  <si>
    <t>05214</t>
  </si>
  <si>
    <t>にかほ市</t>
  </si>
  <si>
    <t>にかほし</t>
  </si>
  <si>
    <t>018-01 018-03 018-04</t>
  </si>
  <si>
    <t>05215</t>
  </si>
  <si>
    <t>仙北市</t>
  </si>
  <si>
    <t>せんぼくし</t>
  </si>
  <si>
    <t>0187</t>
  </si>
  <si>
    <t>014-03 014-05 014-06 014-11 014-12</t>
  </si>
  <si>
    <t>05303</t>
  </si>
  <si>
    <t>鹿角郡小坂町</t>
  </si>
  <si>
    <t>かづのぐんこさかまち</t>
  </si>
  <si>
    <t>0186 0176</t>
  </si>
  <si>
    <t>017-02 018-55</t>
  </si>
  <si>
    <t>05327</t>
  </si>
  <si>
    <t>北秋田郡上小阿仁村</t>
  </si>
  <si>
    <t>きたあきたぐんかみこあにむら</t>
  </si>
  <si>
    <t>018-44</t>
  </si>
  <si>
    <t>05346</t>
  </si>
  <si>
    <t>山本郡藤里町</t>
  </si>
  <si>
    <t>やまもとぐんふじさとまち</t>
  </si>
  <si>
    <t>018-32</t>
  </si>
  <si>
    <t>05348</t>
  </si>
  <si>
    <t>山本郡三種町</t>
  </si>
  <si>
    <t>やまもとぐんみたねちょう</t>
  </si>
  <si>
    <t>018-21 018-23 018-24</t>
  </si>
  <si>
    <t>05349</t>
  </si>
  <si>
    <t>山本郡八峰町</t>
  </si>
  <si>
    <t>やまもとぐんはっぽうちょう</t>
  </si>
  <si>
    <t>018-25 018-26</t>
  </si>
  <si>
    <t>05361</t>
  </si>
  <si>
    <t>南秋田郡五城目町</t>
  </si>
  <si>
    <t>みなみあきたぐんごじょうめまち</t>
  </si>
  <si>
    <t>018-17 018-18</t>
  </si>
  <si>
    <t>05363</t>
  </si>
  <si>
    <t>南秋田郡八郎潟町</t>
  </si>
  <si>
    <t>みなみあきたぐんはちろうがたまち</t>
  </si>
  <si>
    <t>018-16</t>
  </si>
  <si>
    <t>05366</t>
  </si>
  <si>
    <t>南秋田郡井川町</t>
  </si>
  <si>
    <t>みなみあきたぐんいかわまち</t>
  </si>
  <si>
    <t>018-15</t>
  </si>
  <si>
    <t>05368</t>
  </si>
  <si>
    <t>南秋田郡大潟村</t>
  </si>
  <si>
    <t>みなみあきたぐんおおがたむら</t>
  </si>
  <si>
    <t>010-04</t>
  </si>
  <si>
    <t>05434</t>
  </si>
  <si>
    <t>仙北郡美郷町</t>
  </si>
  <si>
    <t>せんぼくぐんみさとちょう</t>
  </si>
  <si>
    <t>0187 0182</t>
  </si>
  <si>
    <t>019-12 019-13 019-14 019-15</t>
  </si>
  <si>
    <t>05463</t>
  </si>
  <si>
    <t>雄勝郡羽後町</t>
  </si>
  <si>
    <t>おがちぐんうごまち</t>
  </si>
  <si>
    <t>012-11 012-12 012-13</t>
  </si>
  <si>
    <t>05464</t>
  </si>
  <si>
    <t>雄勝郡東成瀬村</t>
  </si>
  <si>
    <t>おがちぐんひがしなるせむら</t>
  </si>
  <si>
    <t>019-08</t>
  </si>
  <si>
    <t>06201</t>
  </si>
  <si>
    <t>山形市</t>
  </si>
  <si>
    <t>やまがたし</t>
  </si>
  <si>
    <t>023</t>
  </si>
  <si>
    <t>990-00 990-08 990-21 990-22 990-23 990-24 999-33</t>
  </si>
  <si>
    <t>06202</t>
  </si>
  <si>
    <t>米沢市</t>
  </si>
  <si>
    <t>よねざわし</t>
  </si>
  <si>
    <t>0238</t>
  </si>
  <si>
    <t>992-00 992-01 992-11 992-12 992-13 992-14 992-15</t>
  </si>
  <si>
    <t>06203</t>
  </si>
  <si>
    <t>鶴岡市</t>
  </si>
  <si>
    <t>つるおかし</t>
  </si>
  <si>
    <t>0235</t>
  </si>
  <si>
    <t>997-00 997-01 997-02 997-03 997-04 997-05 997-06 997-07 997-08 997-11 997-12 999-66 999-71 999-72 999-73 999-74 999-75 999-76</t>
  </si>
  <si>
    <t>06204</t>
  </si>
  <si>
    <t>酒田市</t>
  </si>
  <si>
    <t>さかたし</t>
  </si>
  <si>
    <t>0234</t>
  </si>
  <si>
    <t>998-00 998-01 998-02 998-08 999-67 999-68 999-77 999-81 999-82 999-84</t>
  </si>
  <si>
    <t>06205</t>
  </si>
  <si>
    <t>新庄市</t>
  </si>
  <si>
    <t>しんじょうし</t>
  </si>
  <si>
    <t>0233</t>
  </si>
  <si>
    <t>996-00 996-01 999-51</t>
  </si>
  <si>
    <t>06206</t>
  </si>
  <si>
    <t>寒河江市</t>
  </si>
  <si>
    <t>さがえし</t>
  </si>
  <si>
    <t>0237</t>
  </si>
  <si>
    <t>990-05 991-00</t>
  </si>
  <si>
    <t>06207</t>
  </si>
  <si>
    <t>上山市</t>
  </si>
  <si>
    <t>かみのやまし</t>
  </si>
  <si>
    <t>999-31 999-32</t>
  </si>
  <si>
    <t>06208</t>
  </si>
  <si>
    <t>村山市</t>
  </si>
  <si>
    <t>むらやまし</t>
  </si>
  <si>
    <t>995-00 995-01 995-02</t>
  </si>
  <si>
    <t>06209</t>
  </si>
  <si>
    <t>長井市</t>
  </si>
  <si>
    <t>ながいし</t>
  </si>
  <si>
    <t>993-00</t>
  </si>
  <si>
    <t>06210</t>
  </si>
  <si>
    <t>天童市</t>
  </si>
  <si>
    <t>てんどうし</t>
  </si>
  <si>
    <t>994-00 994-01</t>
  </si>
  <si>
    <t>06211</t>
  </si>
  <si>
    <t>東根市</t>
  </si>
  <si>
    <t>ひがしねし</t>
  </si>
  <si>
    <t>999-37</t>
  </si>
  <si>
    <t>06212</t>
  </si>
  <si>
    <t>尾花沢市</t>
  </si>
  <si>
    <t>おばなざわし</t>
  </si>
  <si>
    <t>999-42 999-43 999-44 999-45</t>
  </si>
  <si>
    <t>06213</t>
  </si>
  <si>
    <t>南陽市</t>
  </si>
  <si>
    <t>なんようし</t>
  </si>
  <si>
    <t>992-04 992-05 999-22</t>
  </si>
  <si>
    <t>06301</t>
  </si>
  <si>
    <t>東村山郡山辺町</t>
  </si>
  <si>
    <t>ひがしむらやまぐんやまのべまち</t>
  </si>
  <si>
    <t>990-03</t>
  </si>
  <si>
    <t>06302</t>
  </si>
  <si>
    <t>東村山郡中山町</t>
  </si>
  <si>
    <t>ひがしむらやまぐんなかやままち</t>
  </si>
  <si>
    <t>990-04</t>
  </si>
  <si>
    <t>06321</t>
  </si>
  <si>
    <t>西村山郡河北町</t>
  </si>
  <si>
    <t>にしむらやまぐんかほくちょう</t>
  </si>
  <si>
    <t>999-35</t>
  </si>
  <si>
    <t>06322</t>
  </si>
  <si>
    <t>西村山郡西川町</t>
  </si>
  <si>
    <t>にしむらやまぐんにしかわまち</t>
  </si>
  <si>
    <t>990-07</t>
  </si>
  <si>
    <t>06323</t>
  </si>
  <si>
    <t>西村山郡朝日町</t>
  </si>
  <si>
    <t>にしむらやまぐんあさひまち</t>
  </si>
  <si>
    <t>990-13 990-14 990-15</t>
  </si>
  <si>
    <t>06324</t>
  </si>
  <si>
    <t>西村山郡大江町</t>
  </si>
  <si>
    <t>にしむらやまぐんおおえまち</t>
  </si>
  <si>
    <t>990-11 990-12 991-08</t>
  </si>
  <si>
    <t>06341</t>
  </si>
  <si>
    <t>北村山郡大石田町</t>
  </si>
  <si>
    <t>きたむらやまぐんおおいしだまち</t>
  </si>
  <si>
    <t>999-41 999-45</t>
  </si>
  <si>
    <t>06361</t>
  </si>
  <si>
    <t>最上郡金山町</t>
  </si>
  <si>
    <t>もがみぐんかねやままち</t>
  </si>
  <si>
    <t>999-54</t>
  </si>
  <si>
    <t>06362</t>
  </si>
  <si>
    <t>最上郡最上町</t>
  </si>
  <si>
    <t>もがみぐんもがみまち</t>
  </si>
  <si>
    <t>999-61 999-62</t>
  </si>
  <si>
    <t>06363</t>
  </si>
  <si>
    <t>最上郡舟形町</t>
  </si>
  <si>
    <t>もがみぐんふながたまち</t>
  </si>
  <si>
    <t>999-46</t>
  </si>
  <si>
    <t>06364</t>
  </si>
  <si>
    <t>最上郡真室川町</t>
  </si>
  <si>
    <t>もがみぐんまむろがわまち</t>
  </si>
  <si>
    <t>999-53 999-55 999-56</t>
  </si>
  <si>
    <t>06365</t>
  </si>
  <si>
    <t>最上郡大蔵村</t>
  </si>
  <si>
    <t>もがみぐんおおくらむら</t>
  </si>
  <si>
    <t>996-02 996-03</t>
  </si>
  <si>
    <t>06366</t>
  </si>
  <si>
    <t>最上郡鮭川村</t>
  </si>
  <si>
    <t>もがみぐんさけがわむら</t>
  </si>
  <si>
    <t>999-52</t>
  </si>
  <si>
    <t>06367</t>
  </si>
  <si>
    <t>最上郡戸沢村</t>
  </si>
  <si>
    <t>もがみぐんとざわむら</t>
  </si>
  <si>
    <t>999-63 999-64 999-68</t>
  </si>
  <si>
    <t>06381</t>
  </si>
  <si>
    <t>東置賜郡高畠町</t>
  </si>
  <si>
    <t>ひがしおきたまぐんたかはたまち</t>
  </si>
  <si>
    <t>992-02 992-03 999-21</t>
  </si>
  <si>
    <t>06382</t>
  </si>
  <si>
    <t>東置賜郡川西町</t>
  </si>
  <si>
    <t>ひがしおきたまぐんかわにしまち</t>
  </si>
  <si>
    <t>992-06 999-01 999-02 999-03</t>
  </si>
  <si>
    <t>06401</t>
  </si>
  <si>
    <t>西置賜郡小国町</t>
  </si>
  <si>
    <t>にしおきたまぐんおぐにまち</t>
  </si>
  <si>
    <t>999-12 999-13 999-14 999-15</t>
  </si>
  <si>
    <t>06402</t>
  </si>
  <si>
    <t>西置賜郡白鷹町</t>
  </si>
  <si>
    <t>にしおきたまぐんしらたかまち</t>
  </si>
  <si>
    <t>992-07 992-08</t>
  </si>
  <si>
    <t>06403</t>
  </si>
  <si>
    <t>西置賜郡飯豊町</t>
  </si>
  <si>
    <t>にしおきたまぐんいいでまち</t>
  </si>
  <si>
    <t>999-04 999-06 999-11</t>
  </si>
  <si>
    <t>06426</t>
  </si>
  <si>
    <t>東田川郡三川町</t>
  </si>
  <si>
    <t>ひがしたがわぐんみかわまち</t>
  </si>
  <si>
    <t>997-13</t>
  </si>
  <si>
    <t>06428</t>
  </si>
  <si>
    <t>東田川郡庄内町</t>
  </si>
  <si>
    <t>ひがしたがわぐんしょうないまち</t>
  </si>
  <si>
    <t>999-66 999-77</t>
  </si>
  <si>
    <t>06461</t>
  </si>
  <si>
    <t>飽海郡遊佐町</t>
  </si>
  <si>
    <t>あくみぐんゆざまち</t>
  </si>
  <si>
    <t>999-83 999-84 999-85</t>
  </si>
  <si>
    <t>07201</t>
  </si>
  <si>
    <t>福島市</t>
  </si>
  <si>
    <t>ふくしまし</t>
  </si>
  <si>
    <t>024 0243</t>
  </si>
  <si>
    <t>960-00 960-01 960-02 960-08 960-11 960-12 960-13 960-21 960-22 960-80 960-81 960-82</t>
  </si>
  <si>
    <t>07202</t>
  </si>
  <si>
    <t>会津若松市</t>
  </si>
  <si>
    <t>あいづわかまつし</t>
  </si>
  <si>
    <t>0242</t>
  </si>
  <si>
    <t>965-00 965-01 965-02 965-08 969-34 969-51 969-60 969-61</t>
  </si>
  <si>
    <t>07203</t>
  </si>
  <si>
    <t>郡山市</t>
  </si>
  <si>
    <t>こおりやまし</t>
  </si>
  <si>
    <t>024</t>
  </si>
  <si>
    <t>963-00 963-01 963-02 963-05 963-06 963-07 963-08 963-09 963-11 963-12 963-13 963-14 963-15 963-16 963-80 963-88</t>
  </si>
  <si>
    <t>07204</t>
  </si>
  <si>
    <t>いわき市</t>
  </si>
  <si>
    <t>いわきし</t>
  </si>
  <si>
    <t>0246</t>
  </si>
  <si>
    <t>970-00 970-01 970-02 970-03 970-11 970-12 970-13 970-80 971-81 972-01 972-02 972-83 973-84 974-01 974-02 974-82 979-01 979-02 979-03 979-31 979-32</t>
  </si>
  <si>
    <t>07205</t>
  </si>
  <si>
    <t>白河市</t>
  </si>
  <si>
    <t>しらかわし</t>
  </si>
  <si>
    <t>0248</t>
  </si>
  <si>
    <t>961-00 961-03 961-04 961-08 961-09 961-80 969-03</t>
  </si>
  <si>
    <t>07207</t>
  </si>
  <si>
    <t>須賀川市</t>
  </si>
  <si>
    <t>すかがわし</t>
  </si>
  <si>
    <t>962-00 962-01 962-02 962-03 962-04 962-07 962-08</t>
  </si>
  <si>
    <t>07208</t>
  </si>
  <si>
    <t>喜多方市</t>
  </si>
  <si>
    <t>きたかたし</t>
  </si>
  <si>
    <t>0241 0242</t>
  </si>
  <si>
    <t>966-00 966-01 966-08 966-09 969-35 969-41 969-43</t>
  </si>
  <si>
    <t>07209</t>
  </si>
  <si>
    <t>相馬市</t>
  </si>
  <si>
    <t>そうまし</t>
  </si>
  <si>
    <t>0244</t>
  </si>
  <si>
    <t>976-00 976-01 979-25</t>
  </si>
  <si>
    <t>07210</t>
  </si>
  <si>
    <t>二本松市</t>
  </si>
  <si>
    <t>にほんまつし</t>
  </si>
  <si>
    <t>0243</t>
  </si>
  <si>
    <t>964-00 964-01 964-02 964-03 964-04 964-08 964-09 969-14 969-15</t>
  </si>
  <si>
    <t>07211</t>
  </si>
  <si>
    <t>田村市</t>
  </si>
  <si>
    <t>たむらし</t>
  </si>
  <si>
    <t>0247</t>
  </si>
  <si>
    <t>963-36 963-41 963-42 963-43 963-44 963-45 963-46 963-47</t>
  </si>
  <si>
    <t>07212</t>
  </si>
  <si>
    <t>南相馬市</t>
  </si>
  <si>
    <t>みなみそうまし</t>
  </si>
  <si>
    <t>975-00 979-21 979-23 979-24</t>
  </si>
  <si>
    <t>07213</t>
  </si>
  <si>
    <t>960-04 960-05 960-06 960-07 960-08 960-09</t>
  </si>
  <si>
    <t>07214</t>
  </si>
  <si>
    <t>本宮市</t>
  </si>
  <si>
    <t>もとみやし</t>
  </si>
  <si>
    <t>969-11 969-12</t>
  </si>
  <si>
    <t>07301</t>
  </si>
  <si>
    <t>伊達郡桑折町</t>
  </si>
  <si>
    <t>だてぐんこおりまち</t>
  </si>
  <si>
    <t>969-16</t>
  </si>
  <si>
    <t>07303</t>
  </si>
  <si>
    <t>伊達郡国見町</t>
  </si>
  <si>
    <t>だてぐんくにみまち</t>
  </si>
  <si>
    <t>969-17</t>
  </si>
  <si>
    <t>07308</t>
  </si>
  <si>
    <t>伊達郡川俣町</t>
  </si>
  <si>
    <t>だてぐんかわまたまち</t>
  </si>
  <si>
    <t>960-14 960-15</t>
  </si>
  <si>
    <t>07322</t>
  </si>
  <si>
    <t>安達郡大玉村</t>
  </si>
  <si>
    <t>あだちぐんおおたまむら</t>
  </si>
  <si>
    <t>964-00 969-13</t>
  </si>
  <si>
    <t>07342</t>
  </si>
  <si>
    <t>岩瀬郡鏡石町</t>
  </si>
  <si>
    <t>いわせぐんかがみいしまち</t>
  </si>
  <si>
    <t>969-04</t>
  </si>
  <si>
    <t>07344</t>
  </si>
  <si>
    <t>岩瀬郡天栄村</t>
  </si>
  <si>
    <t>いわせぐんてんえいむら</t>
  </si>
  <si>
    <t>962-05 962-06</t>
  </si>
  <si>
    <t>07362</t>
  </si>
  <si>
    <t>南会津郡下郷町</t>
  </si>
  <si>
    <t>みなみあいづぐんしもごうまち</t>
  </si>
  <si>
    <t>0241</t>
  </si>
  <si>
    <t>969-52 969-53</t>
  </si>
  <si>
    <t>07364</t>
  </si>
  <si>
    <t>南会津郡檜枝岐村</t>
  </si>
  <si>
    <t>みなみあいづぐんひのえまたむら</t>
  </si>
  <si>
    <t>967-05</t>
  </si>
  <si>
    <t>07367</t>
  </si>
  <si>
    <t>南会津郡只見町</t>
  </si>
  <si>
    <t>みなみあいづぐんただみまち</t>
  </si>
  <si>
    <t>968-04 968-06</t>
  </si>
  <si>
    <t>07368</t>
  </si>
  <si>
    <t>南会津郡南会津町</t>
  </si>
  <si>
    <t>みなみあいづぐんみなみあいづまち</t>
  </si>
  <si>
    <t>967-00 967-03 967-05 967-06</t>
  </si>
  <si>
    <t>07402</t>
  </si>
  <si>
    <t>耶麻郡北塩原村</t>
  </si>
  <si>
    <t>やまぐんきたしおばらむら</t>
  </si>
  <si>
    <t>966-04 966-05 969-27</t>
  </si>
  <si>
    <t>07405</t>
  </si>
  <si>
    <t>耶麻郡西会津町</t>
  </si>
  <si>
    <t>やまぐんにしあいづまち</t>
  </si>
  <si>
    <t>969-44 969-45 969-46 969-47</t>
  </si>
  <si>
    <t>07407</t>
  </si>
  <si>
    <t>耶麻郡磐梯町</t>
  </si>
  <si>
    <t>やまぐんばんだいまち</t>
  </si>
  <si>
    <t>969-33</t>
  </si>
  <si>
    <t>07408</t>
  </si>
  <si>
    <t>耶麻郡猪苗代町</t>
  </si>
  <si>
    <t>やまぐんいなわしろまち</t>
  </si>
  <si>
    <t>969-22 969-26 969-27 969-31 969-32</t>
  </si>
  <si>
    <t>07421</t>
  </si>
  <si>
    <t>河沼郡会津坂下町</t>
  </si>
  <si>
    <t>かわぬまぐんあいづばんげまち</t>
  </si>
  <si>
    <t>969-65</t>
  </si>
  <si>
    <t>07422</t>
  </si>
  <si>
    <t>河沼郡湯川村</t>
  </si>
  <si>
    <t>かわぬまぐんゆがわむら</t>
  </si>
  <si>
    <t>969-35</t>
  </si>
  <si>
    <t>07423</t>
  </si>
  <si>
    <t>河沼郡柳津町</t>
  </si>
  <si>
    <t>かわぬまぐんやないづまち</t>
  </si>
  <si>
    <t>969-72 969-73</t>
  </si>
  <si>
    <t>07444</t>
  </si>
  <si>
    <t>大沼郡三島町</t>
  </si>
  <si>
    <t>おおぬまぐんみしままち</t>
  </si>
  <si>
    <t>969-74 969-75</t>
  </si>
  <si>
    <t>07445</t>
  </si>
  <si>
    <t>大沼郡金山町</t>
  </si>
  <si>
    <t>おおぬまぐんかねやままち</t>
  </si>
  <si>
    <t>968-00 968-03</t>
  </si>
  <si>
    <t>07446</t>
  </si>
  <si>
    <t>大沼郡昭和村</t>
  </si>
  <si>
    <t>おおぬまぐんしょうわむら</t>
  </si>
  <si>
    <t>968-01 968-02</t>
  </si>
  <si>
    <t>07447</t>
  </si>
  <si>
    <t>大沼郡会津美里町</t>
  </si>
  <si>
    <t>おおぬまぐんあいづみさとまち</t>
  </si>
  <si>
    <t>969-60 969-61 969-62 969-63 969-64</t>
  </si>
  <si>
    <t>07461</t>
  </si>
  <si>
    <t>西白河郡西郷村</t>
  </si>
  <si>
    <t>にししらかわぐんにしごうむら</t>
  </si>
  <si>
    <t>961-00 961-80</t>
  </si>
  <si>
    <t>07464</t>
  </si>
  <si>
    <t>西白河郡泉崎村</t>
  </si>
  <si>
    <t>にししらかわぐんいずみざきむら</t>
  </si>
  <si>
    <t>969-01</t>
  </si>
  <si>
    <t>07465</t>
  </si>
  <si>
    <t>西白河郡中島村</t>
  </si>
  <si>
    <t>にししらかわぐんなかじまむら</t>
  </si>
  <si>
    <t>961-01</t>
  </si>
  <si>
    <t>07466</t>
  </si>
  <si>
    <t>西白河郡矢吹町</t>
  </si>
  <si>
    <t>にししらかわぐんやぶきまち</t>
  </si>
  <si>
    <t>969-02</t>
  </si>
  <si>
    <t>07481</t>
  </si>
  <si>
    <t>東白川郡棚倉町</t>
  </si>
  <si>
    <t>ひがししらかわぐんたなぐらまち</t>
  </si>
  <si>
    <t>963-56 963-61</t>
  </si>
  <si>
    <t>07482</t>
  </si>
  <si>
    <t>東白川郡矢祭町</t>
  </si>
  <si>
    <t>ひがししらかわぐんやまつりまち</t>
  </si>
  <si>
    <t>963-51 963-52 963-53</t>
  </si>
  <si>
    <t>07483</t>
  </si>
  <si>
    <t>東白川郡塙町</t>
  </si>
  <si>
    <t>ひがししらかわぐんはなわまち</t>
  </si>
  <si>
    <t>963-53 963-54 963-55</t>
  </si>
  <si>
    <t>07484</t>
  </si>
  <si>
    <t>東白川郡鮫川村</t>
  </si>
  <si>
    <t>ひがししらかわぐんさめがわむら</t>
  </si>
  <si>
    <t>963-55 963-84</t>
  </si>
  <si>
    <t>07501</t>
  </si>
  <si>
    <t>石川郡石川町</t>
  </si>
  <si>
    <t>いしかわぐんいしかわまち</t>
  </si>
  <si>
    <t>963-78</t>
  </si>
  <si>
    <t>07502</t>
  </si>
  <si>
    <t>石川郡玉川村</t>
  </si>
  <si>
    <t>いしかわぐんたまかわむら</t>
  </si>
  <si>
    <t>963-63</t>
  </si>
  <si>
    <t>07503</t>
  </si>
  <si>
    <t>石川郡平田村</t>
  </si>
  <si>
    <t>いしかわぐんひらたむら</t>
  </si>
  <si>
    <t>963-81 963-82</t>
  </si>
  <si>
    <t>07504</t>
  </si>
  <si>
    <t>石川郡浅川町</t>
  </si>
  <si>
    <t>いしかわぐんあさかわまち</t>
  </si>
  <si>
    <t>963-62</t>
  </si>
  <si>
    <t>07505</t>
  </si>
  <si>
    <t>石川郡古殿町</t>
  </si>
  <si>
    <t>いしかわぐんふるどのまち</t>
  </si>
  <si>
    <t>963-83</t>
  </si>
  <si>
    <t>07521</t>
  </si>
  <si>
    <t>田村郡三春町</t>
  </si>
  <si>
    <t>たむらぐんみはるまち</t>
  </si>
  <si>
    <t>0247 024</t>
  </si>
  <si>
    <t>963-77</t>
  </si>
  <si>
    <t>07522</t>
  </si>
  <si>
    <t>田村郡小野町</t>
  </si>
  <si>
    <t>たむらぐんおのまち</t>
  </si>
  <si>
    <t>963-33 963-34 963-35</t>
  </si>
  <si>
    <t>07541</t>
  </si>
  <si>
    <t>双葉郡広野町</t>
  </si>
  <si>
    <t>ふたばぐんひろのまち</t>
  </si>
  <si>
    <t>0240</t>
  </si>
  <si>
    <t>979-04</t>
  </si>
  <si>
    <t>07542</t>
  </si>
  <si>
    <t>双葉郡楢葉町</t>
  </si>
  <si>
    <t>ふたばぐんならはまち</t>
  </si>
  <si>
    <t>979-05 979-06</t>
  </si>
  <si>
    <t>07543</t>
  </si>
  <si>
    <t>双葉郡富岡町</t>
  </si>
  <si>
    <t>ふたばぐんとみおかまち</t>
  </si>
  <si>
    <t>979-06 979-11</t>
  </si>
  <si>
    <t>07544</t>
  </si>
  <si>
    <t>双葉郡川内村</t>
  </si>
  <si>
    <t>ふたばぐんかわうちむら</t>
  </si>
  <si>
    <t>979-12</t>
  </si>
  <si>
    <t>07545</t>
  </si>
  <si>
    <t>双葉郡大熊町</t>
  </si>
  <si>
    <t>ふたばぐんおおくままち</t>
  </si>
  <si>
    <t>979-13</t>
  </si>
  <si>
    <t>07546</t>
  </si>
  <si>
    <t>双葉郡双葉町</t>
  </si>
  <si>
    <t>ふたばぐんふたばまち</t>
  </si>
  <si>
    <t>979-14</t>
  </si>
  <si>
    <t>07547</t>
  </si>
  <si>
    <t>双葉郡浪江町</t>
  </si>
  <si>
    <t>ふたばぐんなみえまち</t>
  </si>
  <si>
    <t>979-15 979-17</t>
  </si>
  <si>
    <t>07548</t>
  </si>
  <si>
    <t>双葉郡葛尾村</t>
  </si>
  <si>
    <t>ふたばぐんかつらおむら</t>
  </si>
  <si>
    <t>979-16</t>
  </si>
  <si>
    <t>07561</t>
  </si>
  <si>
    <t>相馬郡新地町</t>
  </si>
  <si>
    <t>そうまぐんしんちまち</t>
  </si>
  <si>
    <t>979-26 979-27</t>
  </si>
  <si>
    <t>07564</t>
  </si>
  <si>
    <t>相馬郡飯舘村</t>
  </si>
  <si>
    <t>そうまぐんいいたてむら</t>
  </si>
  <si>
    <t>960-16 960-17 960-18</t>
  </si>
  <si>
    <t>08201</t>
  </si>
  <si>
    <t>水戸市</t>
  </si>
  <si>
    <t>みとし</t>
  </si>
  <si>
    <t>029</t>
  </si>
  <si>
    <t>310-00 310-08 310-09 311-11 311-41 311-42 319-03</t>
  </si>
  <si>
    <t>08202</t>
  </si>
  <si>
    <t>日立市</t>
  </si>
  <si>
    <t>ひたちし</t>
  </si>
  <si>
    <t>0294</t>
  </si>
  <si>
    <t>311-04 316-00 317-00 319-12 319-13 319-14</t>
  </si>
  <si>
    <t>08203</t>
  </si>
  <si>
    <t>土浦市</t>
  </si>
  <si>
    <t>つちうらし</t>
  </si>
  <si>
    <t>300-00 300-08 300-41</t>
  </si>
  <si>
    <t>08204</t>
  </si>
  <si>
    <t>古河市</t>
  </si>
  <si>
    <t>こがし</t>
  </si>
  <si>
    <t>0280</t>
  </si>
  <si>
    <t>306-00 306-01 306-02</t>
  </si>
  <si>
    <t>08205</t>
  </si>
  <si>
    <t>石岡市</t>
  </si>
  <si>
    <t>いしおかし</t>
  </si>
  <si>
    <t>0299</t>
  </si>
  <si>
    <t>315-00 315-01</t>
  </si>
  <si>
    <t>08207</t>
  </si>
  <si>
    <t>結城市</t>
  </si>
  <si>
    <t>ゆうきし</t>
  </si>
  <si>
    <t>0296</t>
  </si>
  <si>
    <t>307-00</t>
  </si>
  <si>
    <t>08208</t>
  </si>
  <si>
    <t>龍ケ崎市</t>
  </si>
  <si>
    <t>りゅうがさきし</t>
  </si>
  <si>
    <t>0297</t>
  </si>
  <si>
    <t>301-00 301-08</t>
  </si>
  <si>
    <t>08210</t>
  </si>
  <si>
    <t>下妻市</t>
  </si>
  <si>
    <t>しもつまし</t>
  </si>
  <si>
    <t>304-00 304-08</t>
  </si>
  <si>
    <t>08211</t>
  </si>
  <si>
    <t>常総市</t>
  </si>
  <si>
    <t>じょうそうし</t>
  </si>
  <si>
    <t>300-25 300-27 303-00</t>
  </si>
  <si>
    <t>08212</t>
  </si>
  <si>
    <t>常陸太田市</t>
  </si>
  <si>
    <t>ひたちおおたし</t>
  </si>
  <si>
    <t>311-03 311-05 313-00 313-01 313-02 313-03</t>
  </si>
  <si>
    <t>08214</t>
  </si>
  <si>
    <t>高萩市</t>
  </si>
  <si>
    <t>たかはぎし</t>
  </si>
  <si>
    <t>0293</t>
  </si>
  <si>
    <t>318-00 318-01</t>
  </si>
  <si>
    <t>08215</t>
  </si>
  <si>
    <t>北茨城市</t>
  </si>
  <si>
    <t>きたいばらきし</t>
  </si>
  <si>
    <t>319-15 319-17</t>
  </si>
  <si>
    <t>08216</t>
  </si>
  <si>
    <t>笠間市</t>
  </si>
  <si>
    <t>かさまし</t>
  </si>
  <si>
    <t>0296 0299</t>
  </si>
  <si>
    <t>309-16 309-17 319-02</t>
  </si>
  <si>
    <t>08217</t>
  </si>
  <si>
    <t>取手市</t>
  </si>
  <si>
    <t>とりでし</t>
  </si>
  <si>
    <t>300-15 302-00</t>
  </si>
  <si>
    <t>08219</t>
  </si>
  <si>
    <t>牛久市</t>
  </si>
  <si>
    <t>うしくし</t>
  </si>
  <si>
    <t>300-12</t>
  </si>
  <si>
    <t>08220</t>
  </si>
  <si>
    <t>つくば市</t>
  </si>
  <si>
    <t>つくばし</t>
  </si>
  <si>
    <t>300-12 300-26 300-32 300-42 300-43 305-00 305-08 305-09</t>
  </si>
  <si>
    <t>08221</t>
  </si>
  <si>
    <t>ひたちなか市</t>
  </si>
  <si>
    <t>ひたちなかし</t>
  </si>
  <si>
    <t>311-12 312-00</t>
  </si>
  <si>
    <t>08222</t>
  </si>
  <si>
    <t>鹿嶋市</t>
  </si>
  <si>
    <t>かしまし</t>
  </si>
  <si>
    <t>311-22 314-00</t>
  </si>
  <si>
    <t>08223</t>
  </si>
  <si>
    <t>潮来市</t>
  </si>
  <si>
    <t>いたこし</t>
  </si>
  <si>
    <t>311-24</t>
  </si>
  <si>
    <t>08224</t>
  </si>
  <si>
    <t>守谷市</t>
  </si>
  <si>
    <t>もりやし</t>
  </si>
  <si>
    <t>302-01</t>
  </si>
  <si>
    <t>08225</t>
  </si>
  <si>
    <t>常陸大宮市</t>
  </si>
  <si>
    <t>ひたちおおみやし</t>
  </si>
  <si>
    <t>0295</t>
  </si>
  <si>
    <t>311-45 311-46 319-21 319-22 319-24 319-25 319-26 319-31</t>
  </si>
  <si>
    <t>08226</t>
  </si>
  <si>
    <t>那珂市</t>
  </si>
  <si>
    <t>なかし</t>
  </si>
  <si>
    <t>311-01 319-21</t>
  </si>
  <si>
    <t>08227</t>
  </si>
  <si>
    <t>筑西市</t>
  </si>
  <si>
    <t>ちくせいし</t>
  </si>
  <si>
    <t>300-45 308-00 308-01 308-08 309-11</t>
  </si>
  <si>
    <t>08228</t>
  </si>
  <si>
    <t>坂東市</t>
  </si>
  <si>
    <t>ばんどうし</t>
  </si>
  <si>
    <t>0297 0280</t>
  </si>
  <si>
    <t>306-05 306-06</t>
  </si>
  <si>
    <t>08229</t>
  </si>
  <si>
    <t>稲敷市</t>
  </si>
  <si>
    <t>いなしきし</t>
  </si>
  <si>
    <t>029 0297 0299</t>
  </si>
  <si>
    <t>300-05 300-06 300-07 300-14 301-09</t>
  </si>
  <si>
    <t>08230</t>
  </si>
  <si>
    <t>かすみがうら市</t>
  </si>
  <si>
    <t>かすみがうらし</t>
  </si>
  <si>
    <t>029 0299</t>
  </si>
  <si>
    <t>300-01 300-02 315-00</t>
  </si>
  <si>
    <t>08231</t>
  </si>
  <si>
    <t>桜川市</t>
  </si>
  <si>
    <t>さくらがわし</t>
  </si>
  <si>
    <t>300-44 309-12 309-13 309-14</t>
  </si>
  <si>
    <t>08232</t>
  </si>
  <si>
    <t>神栖市</t>
  </si>
  <si>
    <t>かみすし</t>
  </si>
  <si>
    <t>0299 0479</t>
  </si>
  <si>
    <t>314-00 314-01 314-02 314-03 314-04</t>
  </si>
  <si>
    <t>08233</t>
  </si>
  <si>
    <t>行方市</t>
  </si>
  <si>
    <t>なめがたし</t>
  </si>
  <si>
    <t>0299 0291</t>
  </si>
  <si>
    <t>311-17 311-35 311-38</t>
  </si>
  <si>
    <t>08234</t>
  </si>
  <si>
    <t>鉾田市</t>
  </si>
  <si>
    <t>ほこたし</t>
  </si>
  <si>
    <t>0291</t>
  </si>
  <si>
    <t>311-14 311-15 311-21</t>
  </si>
  <si>
    <t>08235</t>
  </si>
  <si>
    <t>つくばみらい市</t>
  </si>
  <si>
    <t>つくばみらいし</t>
  </si>
  <si>
    <t>300-23 300-24</t>
  </si>
  <si>
    <t>08236</t>
  </si>
  <si>
    <t>小美玉市</t>
  </si>
  <si>
    <t>おみたまし</t>
  </si>
  <si>
    <t>311-34 319-01</t>
  </si>
  <si>
    <t>08302</t>
  </si>
  <si>
    <t>東茨城郡茨城町</t>
  </si>
  <si>
    <t>ひがしいばらきぐんいばらきまち</t>
  </si>
  <si>
    <t>311-31</t>
  </si>
  <si>
    <t>08309</t>
  </si>
  <si>
    <t>東茨城郡大洗町</t>
  </si>
  <si>
    <t>ひがしいばらきぐんおおあらいまち</t>
  </si>
  <si>
    <t>311-13</t>
  </si>
  <si>
    <t>08310</t>
  </si>
  <si>
    <t>東茨城郡城里町</t>
  </si>
  <si>
    <t>ひがしいばらきぐんしろさとまち</t>
  </si>
  <si>
    <t>029 0296</t>
  </si>
  <si>
    <t>311-43 311-44</t>
  </si>
  <si>
    <t>08341</t>
  </si>
  <si>
    <t>那珂郡東海村</t>
  </si>
  <si>
    <t>なかぐんとうかいむら</t>
  </si>
  <si>
    <t>319-11</t>
  </si>
  <si>
    <t>08364</t>
  </si>
  <si>
    <t>久慈郡大子町</t>
  </si>
  <si>
    <t>くじぐんだいごまち</t>
  </si>
  <si>
    <t>319-33 319-35 319-37</t>
  </si>
  <si>
    <t>08442</t>
  </si>
  <si>
    <t>稲敷郡美浦村</t>
  </si>
  <si>
    <t>いなしきぐんみほむら</t>
  </si>
  <si>
    <t>300-04</t>
  </si>
  <si>
    <t>08443</t>
  </si>
  <si>
    <t>稲敷郡阿見町</t>
  </si>
  <si>
    <t>いなしきぐんあみまち</t>
  </si>
  <si>
    <t>300-03 300-11</t>
  </si>
  <si>
    <t>08447</t>
  </si>
  <si>
    <t>稲敷郡河内町</t>
  </si>
  <si>
    <t>いなしきぐんかわちまち</t>
  </si>
  <si>
    <t>300-13 300-14</t>
  </si>
  <si>
    <t>08521</t>
  </si>
  <si>
    <t>結城郡八千代町</t>
  </si>
  <si>
    <t>ゆうきぐんやちよまち</t>
  </si>
  <si>
    <t>300-35</t>
  </si>
  <si>
    <t>08542</t>
  </si>
  <si>
    <t>猿島郡五霞町</t>
  </si>
  <si>
    <t>さしまぐんごかまち</t>
  </si>
  <si>
    <t>306-03</t>
  </si>
  <si>
    <t>08546</t>
  </si>
  <si>
    <t>猿島郡境町</t>
  </si>
  <si>
    <t>さしまぐんさかいまち</t>
  </si>
  <si>
    <t>306-04</t>
  </si>
  <si>
    <t>08564</t>
  </si>
  <si>
    <t>北相馬郡利根町</t>
  </si>
  <si>
    <t>きたそうまぐんとねまち</t>
  </si>
  <si>
    <t>300-16</t>
  </si>
  <si>
    <t>09201</t>
  </si>
  <si>
    <t>宇都宮市</t>
  </si>
  <si>
    <t>うつのみやし</t>
  </si>
  <si>
    <t>028</t>
  </si>
  <si>
    <t>320-00 320-08 321-00 321-01 321-03 321-04 321-09 321-21 321-32 329-11</t>
  </si>
  <si>
    <t>09202</t>
  </si>
  <si>
    <t>足利市</t>
  </si>
  <si>
    <t>あしかがし</t>
  </si>
  <si>
    <t>0284</t>
  </si>
  <si>
    <t>326-00 326-01 326-03 326-08 329-42</t>
  </si>
  <si>
    <t>09203</t>
  </si>
  <si>
    <t>栃木市</t>
  </si>
  <si>
    <t>とちぎし</t>
  </si>
  <si>
    <t>0282</t>
  </si>
  <si>
    <t>323-11 328-00 328-01 328-02 329-03 329-44 349-12</t>
  </si>
  <si>
    <t>09204</t>
  </si>
  <si>
    <t>佐野市</t>
  </si>
  <si>
    <t>さのし</t>
  </si>
  <si>
    <t>0283</t>
  </si>
  <si>
    <t>327-00 327-01 327-02 327-03 327-05 327-08 328-02</t>
  </si>
  <si>
    <t>09205</t>
  </si>
  <si>
    <t>鹿沼市</t>
  </si>
  <si>
    <t>かぬまし</t>
  </si>
  <si>
    <t>0289</t>
  </si>
  <si>
    <t>321-11 322-00 322-01 322-02 322-03 322-04 322-05 328-02</t>
  </si>
  <si>
    <t>09206</t>
  </si>
  <si>
    <t>日光市</t>
  </si>
  <si>
    <t>にっこうし</t>
  </si>
  <si>
    <t>0288</t>
  </si>
  <si>
    <t>321-11 321-12 321-13 321-14 321-15 321-16 321-23 321-24 321-25 321-26 321-27 321-28</t>
  </si>
  <si>
    <t>09208</t>
  </si>
  <si>
    <t>小山市</t>
  </si>
  <si>
    <t>おやまし</t>
  </si>
  <si>
    <t>0285 0280 0282 0296</t>
  </si>
  <si>
    <t>323-00 323-01 323-08 329-02</t>
  </si>
  <si>
    <t>09209</t>
  </si>
  <si>
    <t>真岡市</t>
  </si>
  <si>
    <t>もおかし</t>
  </si>
  <si>
    <t>0285</t>
  </si>
  <si>
    <t>321-43 321-44 321-45</t>
  </si>
  <si>
    <t>09210</t>
  </si>
  <si>
    <t>大田原市</t>
  </si>
  <si>
    <t>おおたわらし</t>
  </si>
  <si>
    <t>0287</t>
  </si>
  <si>
    <t>324-00 324-02 324-04</t>
  </si>
  <si>
    <t>09211</t>
  </si>
  <si>
    <t>矢板市</t>
  </si>
  <si>
    <t>やいたし</t>
  </si>
  <si>
    <t>329-15 329-21 329-25</t>
  </si>
  <si>
    <t>09213</t>
  </si>
  <si>
    <t>那須塩原市</t>
  </si>
  <si>
    <t>なすしおばらし</t>
  </si>
  <si>
    <t>325-00 325-01 329-27 329-28 329-29 329-31</t>
  </si>
  <si>
    <t>09214</t>
  </si>
  <si>
    <t>さくら市</t>
  </si>
  <si>
    <t>さくらし</t>
  </si>
  <si>
    <t>329-13 329-14</t>
  </si>
  <si>
    <t>09215</t>
  </si>
  <si>
    <t>那須烏山市</t>
  </si>
  <si>
    <t>なすからすやまし</t>
  </si>
  <si>
    <t>321-05 321-06</t>
  </si>
  <si>
    <t>09216</t>
  </si>
  <si>
    <t>下野市</t>
  </si>
  <si>
    <t>しもつけし</t>
  </si>
  <si>
    <t>323-01 329-04 329-05</t>
  </si>
  <si>
    <t>09301</t>
  </si>
  <si>
    <t>河内郡上三川町</t>
  </si>
  <si>
    <t>かわちぐんかみのかわまち</t>
  </si>
  <si>
    <t>329-05 329-06</t>
  </si>
  <si>
    <t>09342</t>
  </si>
  <si>
    <t>芳賀郡益子町</t>
  </si>
  <si>
    <t>はがぐんましこまち</t>
  </si>
  <si>
    <t>321-41 321-42</t>
  </si>
  <si>
    <t>09343</t>
  </si>
  <si>
    <t>芳賀郡茂木町</t>
  </si>
  <si>
    <t>はがぐんもてぎまち</t>
  </si>
  <si>
    <t>311-44 321-35 321-36 321-37</t>
  </si>
  <si>
    <t>09344</t>
  </si>
  <si>
    <t>芳賀郡市貝町</t>
  </si>
  <si>
    <t>はがぐんいちかいまち</t>
  </si>
  <si>
    <t>321-34</t>
  </si>
  <si>
    <t>09345</t>
  </si>
  <si>
    <t>芳賀郡芳賀町</t>
  </si>
  <si>
    <t>はがぐんはがまち</t>
  </si>
  <si>
    <t>321-33</t>
  </si>
  <si>
    <t>09361</t>
  </si>
  <si>
    <t>下都賀郡壬生町</t>
  </si>
  <si>
    <t>しもつがぐんみぶまち</t>
  </si>
  <si>
    <t>321-02</t>
  </si>
  <si>
    <t>09364</t>
  </si>
  <si>
    <t>下都賀郡野木町</t>
  </si>
  <si>
    <t>しもつがぐんのぎまち</t>
  </si>
  <si>
    <t>329-01</t>
  </si>
  <si>
    <t>09367</t>
  </si>
  <si>
    <t>下都賀郡岩舟町</t>
  </si>
  <si>
    <t>しもつがぐんいわふねまち</t>
  </si>
  <si>
    <t>329-43</t>
  </si>
  <si>
    <t>09384</t>
  </si>
  <si>
    <t>塩谷郡塩谷町</t>
  </si>
  <si>
    <t>しおやぐんしおやまち</t>
  </si>
  <si>
    <t>321-25 329-22 329-23 329-24</t>
  </si>
  <si>
    <t>09386</t>
  </si>
  <si>
    <t>塩谷郡高根沢町</t>
  </si>
  <si>
    <t>しおやぐんたかねざわまち</t>
  </si>
  <si>
    <t>329-12</t>
  </si>
  <si>
    <t>09407</t>
  </si>
  <si>
    <t>那須郡那須町</t>
  </si>
  <si>
    <t>なすぐんなすまち</t>
  </si>
  <si>
    <t>325-00 325-03 329-32 329-34</t>
  </si>
  <si>
    <t>09411</t>
  </si>
  <si>
    <t>那須郡那珂川町</t>
  </si>
  <si>
    <t>なすぐんなかがわまち</t>
  </si>
  <si>
    <t>324-05 324-06</t>
  </si>
  <si>
    <t>10201</t>
  </si>
  <si>
    <t>前橋市</t>
  </si>
  <si>
    <t>まえばしし</t>
  </si>
  <si>
    <t>027</t>
  </si>
  <si>
    <t>370-35 371-00 371-01 371-02 371-08 379-21</t>
  </si>
  <si>
    <t>10202</t>
  </si>
  <si>
    <t>高崎市</t>
  </si>
  <si>
    <t>たかさきし</t>
  </si>
  <si>
    <t>027 0274</t>
  </si>
  <si>
    <t>370-00 370-08 370-12 370-13 370-21 370-31 370-33 370-34 370-35</t>
  </si>
  <si>
    <t>10203</t>
  </si>
  <si>
    <t>桐生市</t>
  </si>
  <si>
    <t>きりゅうし</t>
  </si>
  <si>
    <t>0277</t>
  </si>
  <si>
    <t>376-00 376-01 376-06</t>
  </si>
  <si>
    <t>10204</t>
  </si>
  <si>
    <t>伊勢崎市</t>
  </si>
  <si>
    <t>いせさきし</t>
  </si>
  <si>
    <t>0270</t>
  </si>
  <si>
    <t>370-01 372-00 372-08 379-22</t>
  </si>
  <si>
    <t>10205</t>
  </si>
  <si>
    <t>太田市</t>
  </si>
  <si>
    <t>おおたし</t>
  </si>
  <si>
    <t>0276 0284 0277</t>
  </si>
  <si>
    <t>370-03 370-04 373-00 373-08 379-23</t>
  </si>
  <si>
    <t>10206</t>
  </si>
  <si>
    <t>沼田市</t>
  </si>
  <si>
    <t>ぬまたし</t>
  </si>
  <si>
    <t>0278</t>
  </si>
  <si>
    <t>378-00 378-01 378-03</t>
  </si>
  <si>
    <t>10207</t>
  </si>
  <si>
    <t>館林市</t>
  </si>
  <si>
    <t>たてばやしし</t>
  </si>
  <si>
    <t>0276</t>
  </si>
  <si>
    <t>374-00</t>
  </si>
  <si>
    <t>10208</t>
  </si>
  <si>
    <t>渋川市</t>
  </si>
  <si>
    <t>しぶかわし</t>
  </si>
  <si>
    <t>0279</t>
  </si>
  <si>
    <t>377-00 377-01 377-02 377-03 379-11</t>
  </si>
  <si>
    <t>10209</t>
  </si>
  <si>
    <t>藤岡市</t>
  </si>
  <si>
    <t>ふじおかし</t>
  </si>
  <si>
    <t>0274</t>
  </si>
  <si>
    <t>370-14 375-00</t>
  </si>
  <si>
    <t>10210</t>
  </si>
  <si>
    <t>富岡市</t>
  </si>
  <si>
    <t>とみおかし</t>
  </si>
  <si>
    <t>370-23 370-24 379-02</t>
  </si>
  <si>
    <t>10211</t>
  </si>
  <si>
    <t>安中市</t>
  </si>
  <si>
    <t>あんなかし</t>
  </si>
  <si>
    <t>379-01 379-02 379-03 389-01</t>
  </si>
  <si>
    <t>10212</t>
  </si>
  <si>
    <t>みどり市</t>
  </si>
  <si>
    <t>みどりし</t>
  </si>
  <si>
    <t>376-01 376-03 379-23</t>
  </si>
  <si>
    <t>10344</t>
  </si>
  <si>
    <t>北群馬郡榛東村</t>
  </si>
  <si>
    <t>きたぐんまぐんしんとうむら</t>
  </si>
  <si>
    <t>370-35</t>
  </si>
  <si>
    <t>10345</t>
  </si>
  <si>
    <t>北群馬郡吉岡町</t>
  </si>
  <si>
    <t>きたぐんまぐんよしおかまち</t>
  </si>
  <si>
    <t>370-36</t>
  </si>
  <si>
    <t>10366</t>
  </si>
  <si>
    <t>多野郡上野村</t>
  </si>
  <si>
    <t>たのぐんうえのむら</t>
  </si>
  <si>
    <t>370-16</t>
  </si>
  <si>
    <t>10367</t>
  </si>
  <si>
    <t>多野郡神流町</t>
  </si>
  <si>
    <t>たのぐんかんなまち</t>
  </si>
  <si>
    <t>370-15 370-16</t>
  </si>
  <si>
    <t>10382</t>
  </si>
  <si>
    <t>甘楽郡下仁田町</t>
  </si>
  <si>
    <t>かんらぐんしもにたまち</t>
  </si>
  <si>
    <t>370-26</t>
  </si>
  <si>
    <t>10383</t>
  </si>
  <si>
    <t>甘楽郡南牧村</t>
  </si>
  <si>
    <t>かんらぐんなんもくむら</t>
  </si>
  <si>
    <t>370-28</t>
  </si>
  <si>
    <t>10384</t>
  </si>
  <si>
    <t>甘楽郡甘楽町</t>
  </si>
  <si>
    <t>かんらぐんかんらまち</t>
  </si>
  <si>
    <t>370-22</t>
  </si>
  <si>
    <t>10421</t>
  </si>
  <si>
    <t>吾妻郡中之条町</t>
  </si>
  <si>
    <t>あがつまぐんなかのじょうまち</t>
  </si>
  <si>
    <t>377-04 377-05 377-06 377-13 377-17</t>
  </si>
  <si>
    <t>10424</t>
  </si>
  <si>
    <t>吾妻郡長野原町</t>
  </si>
  <si>
    <t>あがつまぐんながのはらまち</t>
  </si>
  <si>
    <t>377-13 377-14</t>
  </si>
  <si>
    <t>10425</t>
  </si>
  <si>
    <t>吾妻郡嬬恋村</t>
  </si>
  <si>
    <t>あがつまぐんつまごいむら</t>
  </si>
  <si>
    <t>377-14 377-15 377-16 384-00</t>
  </si>
  <si>
    <t>10426</t>
  </si>
  <si>
    <t>吾妻郡草津町</t>
  </si>
  <si>
    <t>あがつまぐんくさつまち</t>
  </si>
  <si>
    <t>377-17</t>
  </si>
  <si>
    <t>10428</t>
  </si>
  <si>
    <t>吾妻郡高山村</t>
  </si>
  <si>
    <t>あがつまぐんたかやまむら</t>
  </si>
  <si>
    <t>377-07</t>
  </si>
  <si>
    <t>10429</t>
  </si>
  <si>
    <t>吾妻郡東吾妻町</t>
  </si>
  <si>
    <t>あがつまぐんひがしあがつままち</t>
  </si>
  <si>
    <t>370-33 377-03 377-08 377-09</t>
  </si>
  <si>
    <t>10443</t>
  </si>
  <si>
    <t>利根郡片品村</t>
  </si>
  <si>
    <t>とねぐんかたしなむら</t>
  </si>
  <si>
    <t>378-04</t>
  </si>
  <si>
    <t>10444</t>
  </si>
  <si>
    <t>利根郡川場村</t>
  </si>
  <si>
    <t>とねぐんかわばむら</t>
  </si>
  <si>
    <t>378-01</t>
  </si>
  <si>
    <t>10448</t>
  </si>
  <si>
    <t>利根郡昭和村</t>
  </si>
  <si>
    <t>とねぐんしょうわむら</t>
  </si>
  <si>
    <t>379-12</t>
  </si>
  <si>
    <t>10449</t>
  </si>
  <si>
    <t>利根郡みなかみ町</t>
  </si>
  <si>
    <t>とねぐんみなかみまち</t>
  </si>
  <si>
    <t>379-13 379-14 379-16 379-17</t>
  </si>
  <si>
    <t>10464</t>
  </si>
  <si>
    <t>佐波郡玉村町</t>
  </si>
  <si>
    <t>さわぐんたまむらまち</t>
  </si>
  <si>
    <t>370-11</t>
  </si>
  <si>
    <t>10521</t>
  </si>
  <si>
    <t>邑楽郡板倉町</t>
  </si>
  <si>
    <t>おうらぐんいたくらまち</t>
  </si>
  <si>
    <t>374-01</t>
  </si>
  <si>
    <t>10522</t>
  </si>
  <si>
    <t>邑楽郡明和町</t>
  </si>
  <si>
    <t>おうらぐんめいわまち</t>
  </si>
  <si>
    <t>370-07</t>
  </si>
  <si>
    <t>10523</t>
  </si>
  <si>
    <t>邑楽郡千代田町</t>
  </si>
  <si>
    <t>おうらぐんちよだまち</t>
  </si>
  <si>
    <t>370-05 370-07</t>
  </si>
  <si>
    <t>10524</t>
  </si>
  <si>
    <t>邑楽郡大泉町</t>
  </si>
  <si>
    <t>おうらぐんおおいずみまち</t>
  </si>
  <si>
    <t>370-05</t>
  </si>
  <si>
    <t>10525</t>
  </si>
  <si>
    <t>邑楽郡邑楽町</t>
  </si>
  <si>
    <t>おうらぐんおうらまち</t>
  </si>
  <si>
    <t>370-06</t>
  </si>
  <si>
    <t>11100</t>
  </si>
  <si>
    <t>さいたま市</t>
  </si>
  <si>
    <t>さいたまし</t>
  </si>
  <si>
    <t>11101</t>
  </si>
  <si>
    <t>さいたま市西区</t>
  </si>
  <si>
    <t>さいたましにしく</t>
  </si>
  <si>
    <t>048</t>
  </si>
  <si>
    <t>331-00</t>
  </si>
  <si>
    <t>11102</t>
  </si>
  <si>
    <t>さいたま市北区</t>
  </si>
  <si>
    <t>さいたましきたく</t>
  </si>
  <si>
    <t>331-08</t>
  </si>
  <si>
    <t>11103</t>
  </si>
  <si>
    <t>さいたま市大宮区</t>
  </si>
  <si>
    <t>さいたましおおみやく</t>
  </si>
  <si>
    <t>330-08</t>
  </si>
  <si>
    <t>11104</t>
  </si>
  <si>
    <t>さいたま市見沼区</t>
  </si>
  <si>
    <t>さいたましみぬまく</t>
  </si>
  <si>
    <t>337-00</t>
  </si>
  <si>
    <t>11105</t>
  </si>
  <si>
    <t>さいたま市中央区</t>
  </si>
  <si>
    <t>さいたましちゅうおうく</t>
  </si>
  <si>
    <t>330-00 330-60 338-00</t>
  </si>
  <si>
    <t>11106</t>
  </si>
  <si>
    <t>さいたま市桜区</t>
  </si>
  <si>
    <t>さいたましさくらく</t>
  </si>
  <si>
    <t>338-08</t>
  </si>
  <si>
    <t>11107</t>
  </si>
  <si>
    <t>さいたま市浦和区</t>
  </si>
  <si>
    <t>さいたましうらわく</t>
  </si>
  <si>
    <t>330-00</t>
  </si>
  <si>
    <t>11108</t>
  </si>
  <si>
    <t>さいたま市南区</t>
  </si>
  <si>
    <t>さいたましみなみく</t>
  </si>
  <si>
    <t>336-00</t>
  </si>
  <si>
    <t>11109</t>
  </si>
  <si>
    <t>さいたま市緑区</t>
  </si>
  <si>
    <t>さいたましみどりく</t>
  </si>
  <si>
    <t>336-09</t>
  </si>
  <si>
    <t>11110</t>
  </si>
  <si>
    <t>さいたま市岩槻区</t>
  </si>
  <si>
    <t>さいたましいわつきく</t>
  </si>
  <si>
    <t>339-00</t>
  </si>
  <si>
    <t>11201</t>
  </si>
  <si>
    <t>川越市</t>
  </si>
  <si>
    <t>かわごえし</t>
  </si>
  <si>
    <t>049</t>
  </si>
  <si>
    <t>350-00 350-08 350-11</t>
  </si>
  <si>
    <t>11202</t>
  </si>
  <si>
    <t>熊谷市</t>
  </si>
  <si>
    <t>くまがやし</t>
  </si>
  <si>
    <t>048 0493 0276</t>
  </si>
  <si>
    <t>360-00 360-01 360-02 360-08 369-01</t>
  </si>
  <si>
    <t>11203</t>
  </si>
  <si>
    <t>川口市</t>
  </si>
  <si>
    <t>かわぐちし</t>
  </si>
  <si>
    <t>332-00 333-08 334-00</t>
  </si>
  <si>
    <t>11206</t>
  </si>
  <si>
    <t>行田市</t>
  </si>
  <si>
    <t>ぎょうだし</t>
  </si>
  <si>
    <t>361-00</t>
  </si>
  <si>
    <t>11207</t>
  </si>
  <si>
    <t>秩父市</t>
  </si>
  <si>
    <t>ちちぶし</t>
  </si>
  <si>
    <t>0494</t>
  </si>
  <si>
    <t>368-00 369-15 369-18 369-19</t>
  </si>
  <si>
    <t>11208</t>
  </si>
  <si>
    <t>所沢市</t>
  </si>
  <si>
    <t>ところざわし</t>
  </si>
  <si>
    <t>04</t>
  </si>
  <si>
    <t>359-00 359-11</t>
  </si>
  <si>
    <t>11209</t>
  </si>
  <si>
    <t>飯能市</t>
  </si>
  <si>
    <t>はんのうし</t>
  </si>
  <si>
    <t>042</t>
  </si>
  <si>
    <t>357-00 357-01 357-02</t>
  </si>
  <si>
    <t>11210</t>
  </si>
  <si>
    <t>加須市</t>
  </si>
  <si>
    <t>かぞし</t>
  </si>
  <si>
    <t>0480 0280</t>
  </si>
  <si>
    <t>347-00 347-01 349-11 349-12</t>
  </si>
  <si>
    <t>11211</t>
  </si>
  <si>
    <t>本庄市</t>
  </si>
  <si>
    <t>ほんじょうし</t>
  </si>
  <si>
    <t>0495</t>
  </si>
  <si>
    <t>367-00 367-02</t>
  </si>
  <si>
    <t>11212</t>
  </si>
  <si>
    <t>東松山市</t>
  </si>
  <si>
    <t>ひがしまつやまし</t>
  </si>
  <si>
    <t>0493</t>
  </si>
  <si>
    <t>355-00</t>
  </si>
  <si>
    <t>11214</t>
  </si>
  <si>
    <t>春日部市</t>
  </si>
  <si>
    <t>かすかべし</t>
  </si>
  <si>
    <t>344-00 344-01</t>
  </si>
  <si>
    <t>11215</t>
  </si>
  <si>
    <t>狭山市</t>
  </si>
  <si>
    <t>さやまし</t>
  </si>
  <si>
    <t>350-13</t>
  </si>
  <si>
    <t>11216</t>
  </si>
  <si>
    <t>羽生市</t>
  </si>
  <si>
    <t>はにゅうし</t>
  </si>
  <si>
    <t>348-00</t>
  </si>
  <si>
    <t>11217</t>
  </si>
  <si>
    <t>鴻巣市</t>
  </si>
  <si>
    <t>こうのすし</t>
  </si>
  <si>
    <t>365-00 369-01</t>
  </si>
  <si>
    <t>11218</t>
  </si>
  <si>
    <t>深谷市</t>
  </si>
  <si>
    <t>ふかやし</t>
  </si>
  <si>
    <t>366-00 366-08 369-02 369-11 369-12</t>
  </si>
  <si>
    <t>11219</t>
  </si>
  <si>
    <t>上尾市</t>
  </si>
  <si>
    <t>あげおし</t>
  </si>
  <si>
    <t>362-00</t>
  </si>
  <si>
    <t>11221</t>
  </si>
  <si>
    <t>草加市</t>
  </si>
  <si>
    <t>そうかし</t>
  </si>
  <si>
    <t>340-00</t>
  </si>
  <si>
    <t>11222</t>
  </si>
  <si>
    <t>越谷市</t>
  </si>
  <si>
    <t>こしがやし</t>
  </si>
  <si>
    <t>343-00 343-08</t>
  </si>
  <si>
    <t>11223</t>
  </si>
  <si>
    <t>蕨市</t>
  </si>
  <si>
    <t>わらびし</t>
  </si>
  <si>
    <t>335-00</t>
  </si>
  <si>
    <t>11224</t>
  </si>
  <si>
    <t>戸田市</t>
  </si>
  <si>
    <t>とだし</t>
  </si>
  <si>
    <t>11225</t>
  </si>
  <si>
    <t>入間市</t>
  </si>
  <si>
    <t>いるまし</t>
  </si>
  <si>
    <t>358-00</t>
  </si>
  <si>
    <t>11227</t>
  </si>
  <si>
    <t>朝霞市</t>
  </si>
  <si>
    <t>あさかし</t>
  </si>
  <si>
    <t>351-00</t>
  </si>
  <si>
    <t>11228</t>
  </si>
  <si>
    <t>志木市</t>
  </si>
  <si>
    <t>しきし</t>
  </si>
  <si>
    <t>353-00</t>
  </si>
  <si>
    <t>11229</t>
  </si>
  <si>
    <t>和光市</t>
  </si>
  <si>
    <t>わこうし</t>
  </si>
  <si>
    <t>351-01</t>
  </si>
  <si>
    <t>11230</t>
  </si>
  <si>
    <t>新座市</t>
  </si>
  <si>
    <t>にいざし</t>
  </si>
  <si>
    <t>048 042</t>
  </si>
  <si>
    <t>352-00</t>
  </si>
  <si>
    <t>11231</t>
  </si>
  <si>
    <t>桶川市</t>
  </si>
  <si>
    <t>おけがわし</t>
  </si>
  <si>
    <t>363-00</t>
  </si>
  <si>
    <t>11232</t>
  </si>
  <si>
    <t>久喜市</t>
  </si>
  <si>
    <t>くきし</t>
  </si>
  <si>
    <t>0480</t>
  </si>
  <si>
    <t>346-00</t>
  </si>
  <si>
    <t>11233</t>
  </si>
  <si>
    <t>北本市</t>
  </si>
  <si>
    <t>きたもとし</t>
  </si>
  <si>
    <t>364-00</t>
  </si>
  <si>
    <t>11234</t>
  </si>
  <si>
    <t>八潮市</t>
  </si>
  <si>
    <t>やしおし</t>
  </si>
  <si>
    <t>340-08</t>
  </si>
  <si>
    <t>11235</t>
  </si>
  <si>
    <t>富士見市</t>
  </si>
  <si>
    <t>ふじみし</t>
  </si>
  <si>
    <t>049 048</t>
  </si>
  <si>
    <t>354-00</t>
  </si>
  <si>
    <t>11237</t>
  </si>
  <si>
    <t>三郷市</t>
  </si>
  <si>
    <t>みさとし</t>
  </si>
  <si>
    <t>341-00</t>
  </si>
  <si>
    <t>11238</t>
  </si>
  <si>
    <t>蓮田市</t>
  </si>
  <si>
    <t>はすだし</t>
  </si>
  <si>
    <t>349-01</t>
  </si>
  <si>
    <t>11239</t>
  </si>
  <si>
    <t>坂戸市</t>
  </si>
  <si>
    <t>さかどし</t>
  </si>
  <si>
    <t>350-02</t>
  </si>
  <si>
    <t>11240</t>
  </si>
  <si>
    <t>幸手市</t>
  </si>
  <si>
    <t>さってし</t>
  </si>
  <si>
    <t>340-01</t>
  </si>
  <si>
    <t>11241</t>
  </si>
  <si>
    <t>鶴ヶ島市</t>
  </si>
  <si>
    <t>つるがしまし</t>
  </si>
  <si>
    <t>350-22</t>
  </si>
  <si>
    <t>11242</t>
  </si>
  <si>
    <t>日高市</t>
  </si>
  <si>
    <t>ひだかし</t>
  </si>
  <si>
    <t>350-12</t>
  </si>
  <si>
    <t>11243</t>
  </si>
  <si>
    <t>吉川市</t>
  </si>
  <si>
    <t>よしかわし</t>
  </si>
  <si>
    <t>342-00</t>
  </si>
  <si>
    <t>11245</t>
  </si>
  <si>
    <t>ふじみ野市</t>
  </si>
  <si>
    <t>ふじみのし</t>
  </si>
  <si>
    <t>356-00</t>
  </si>
  <si>
    <t>11246</t>
  </si>
  <si>
    <t>白岡市</t>
  </si>
  <si>
    <t>しらおかし</t>
  </si>
  <si>
    <t>349-02</t>
  </si>
  <si>
    <t>11301</t>
  </si>
  <si>
    <t>北足立郡伊奈町</t>
  </si>
  <si>
    <t>きたあだちぐんいなまち</t>
  </si>
  <si>
    <t>362-08</t>
  </si>
  <si>
    <t>11324</t>
  </si>
  <si>
    <t>入間郡三芳町</t>
  </si>
  <si>
    <t>いるまぐんみよしまち</t>
  </si>
  <si>
    <t>11326</t>
  </si>
  <si>
    <t>入間郡毛呂山町</t>
  </si>
  <si>
    <t>いるまぐんもろやままち</t>
  </si>
  <si>
    <t>350-04</t>
  </si>
  <si>
    <t>11327</t>
  </si>
  <si>
    <t>入間郡越生町</t>
  </si>
  <si>
    <t>いるまぐんおごせまち</t>
  </si>
  <si>
    <t>11341</t>
  </si>
  <si>
    <t>比企郡滑川町</t>
  </si>
  <si>
    <t>ひきぐんなめがわまち</t>
  </si>
  <si>
    <t>355-08</t>
  </si>
  <si>
    <t>11342</t>
  </si>
  <si>
    <t>比企郡嵐山町</t>
  </si>
  <si>
    <t>ひきぐんらんざんまち</t>
  </si>
  <si>
    <t>355-02</t>
  </si>
  <si>
    <t>11343</t>
  </si>
  <si>
    <t>比企郡小川町</t>
  </si>
  <si>
    <t>ひきぐんおがわまち</t>
  </si>
  <si>
    <t>355-03</t>
  </si>
  <si>
    <t>11346</t>
  </si>
  <si>
    <t>比企郡川島町</t>
  </si>
  <si>
    <t>ひきぐんかわじままち</t>
  </si>
  <si>
    <t>350-01</t>
  </si>
  <si>
    <t>11347</t>
  </si>
  <si>
    <t>比企郡吉見町</t>
  </si>
  <si>
    <t>ひきぐんよしみまち</t>
  </si>
  <si>
    <t>355-01</t>
  </si>
  <si>
    <t>11348</t>
  </si>
  <si>
    <t>比企郡鳩山町</t>
  </si>
  <si>
    <t>ひきぐんはとやままち</t>
  </si>
  <si>
    <t>350-03</t>
  </si>
  <si>
    <t>11349</t>
  </si>
  <si>
    <t>比企郡ときがわ町</t>
  </si>
  <si>
    <t>ひきぐんときがわまち</t>
  </si>
  <si>
    <t>11361</t>
  </si>
  <si>
    <t>秩父郡横瀬町</t>
  </si>
  <si>
    <t>ちちぶぐんよこぜまち</t>
  </si>
  <si>
    <t>368-00</t>
  </si>
  <si>
    <t>11362</t>
  </si>
  <si>
    <t>秩父郡皆野町</t>
  </si>
  <si>
    <t>ちちぶぐんみなのまち</t>
  </si>
  <si>
    <t>369-14 369-16</t>
  </si>
  <si>
    <t>11363</t>
  </si>
  <si>
    <t>秩父郡長瀞町</t>
  </si>
  <si>
    <t>ちちぶぐんながとろまち</t>
  </si>
  <si>
    <t>369-13</t>
  </si>
  <si>
    <t>11365</t>
  </si>
  <si>
    <t>秩父郡小鹿野町</t>
  </si>
  <si>
    <t>ちちぶぐんおがのまち</t>
  </si>
  <si>
    <t>368-01 368-02</t>
  </si>
  <si>
    <t>11369</t>
  </si>
  <si>
    <t>秩父郡東秩父村</t>
  </si>
  <si>
    <t>ちちぶぐんひがしちちぶむら</t>
  </si>
  <si>
    <t>11381</t>
  </si>
  <si>
    <t>児玉郡美里町</t>
  </si>
  <si>
    <t>こだまぐんみさとまち</t>
  </si>
  <si>
    <t>367-01</t>
  </si>
  <si>
    <t>11383</t>
  </si>
  <si>
    <t>児玉郡神川町</t>
  </si>
  <si>
    <t>こだまぐんかみかわまち</t>
  </si>
  <si>
    <t>0495 0274</t>
  </si>
  <si>
    <t>367-02 367-03</t>
  </si>
  <si>
    <t>11385</t>
  </si>
  <si>
    <t>児玉郡上里町</t>
  </si>
  <si>
    <t>こだまぐんかみさとまち</t>
  </si>
  <si>
    <t>369-03</t>
  </si>
  <si>
    <t>11408</t>
  </si>
  <si>
    <t>大里郡寄居町</t>
  </si>
  <si>
    <t>おおさとぐんよりいまち</t>
  </si>
  <si>
    <t>369-12</t>
  </si>
  <si>
    <t>11442</t>
  </si>
  <si>
    <t>南埼玉郡宮代町</t>
  </si>
  <si>
    <t>みなみさいたまぐんみやしろまち</t>
  </si>
  <si>
    <t>345-00 345-08</t>
  </si>
  <si>
    <t>11464</t>
  </si>
  <si>
    <t>北葛飾郡杉戸町</t>
  </si>
  <si>
    <t>きたかつしかぐんすぎとまち</t>
  </si>
  <si>
    <t>345-00</t>
  </si>
  <si>
    <t>11465</t>
  </si>
  <si>
    <t>北葛飾郡松伏町</t>
  </si>
  <si>
    <t>きたかつしかぐんまつぶしまち</t>
  </si>
  <si>
    <t>343-01</t>
  </si>
  <si>
    <t>12100</t>
  </si>
  <si>
    <t>千葉市</t>
  </si>
  <si>
    <t>ちばし</t>
  </si>
  <si>
    <t>12101</t>
  </si>
  <si>
    <t>千葉市中央区</t>
  </si>
  <si>
    <t>ちばしちゅうおうく</t>
  </si>
  <si>
    <t>043</t>
  </si>
  <si>
    <t>260-00 260-08</t>
  </si>
  <si>
    <t>12102</t>
  </si>
  <si>
    <t>千葉市花見川区</t>
  </si>
  <si>
    <t>ちばしはなみがわく</t>
  </si>
  <si>
    <t>043 047</t>
  </si>
  <si>
    <t>262-00</t>
  </si>
  <si>
    <t>12103</t>
  </si>
  <si>
    <t>千葉市稲毛区</t>
  </si>
  <si>
    <t>ちばしいなげく</t>
  </si>
  <si>
    <t>263-00</t>
  </si>
  <si>
    <t>12104</t>
  </si>
  <si>
    <t>千葉市若葉区</t>
  </si>
  <si>
    <t>ちばしわかばく</t>
  </si>
  <si>
    <t>264-00 265-00</t>
  </si>
  <si>
    <t>12105</t>
  </si>
  <si>
    <t>千葉市緑区</t>
  </si>
  <si>
    <t>ちばしみどりく</t>
  </si>
  <si>
    <t>266-00 267-00</t>
  </si>
  <si>
    <t>12106</t>
  </si>
  <si>
    <t>千葉市美浜区</t>
  </si>
  <si>
    <t>ちばしみはまく</t>
  </si>
  <si>
    <t>261-00 261-71</t>
  </si>
  <si>
    <t>12202</t>
  </si>
  <si>
    <t>銚子市</t>
  </si>
  <si>
    <t>ちょうしし</t>
  </si>
  <si>
    <t>0479</t>
  </si>
  <si>
    <t>288-00 288-08</t>
  </si>
  <si>
    <t>12203</t>
  </si>
  <si>
    <t>市川市</t>
  </si>
  <si>
    <t>いちかわし</t>
  </si>
  <si>
    <t>047</t>
  </si>
  <si>
    <t>272-00 272-01 272-08</t>
  </si>
  <si>
    <t>12204</t>
  </si>
  <si>
    <t>船橋市</t>
  </si>
  <si>
    <t>ふなばしし</t>
  </si>
  <si>
    <t>270-14 273-00 273-08 274-00 274-08</t>
  </si>
  <si>
    <t>12205</t>
  </si>
  <si>
    <t>館山市</t>
  </si>
  <si>
    <t>たてやまし</t>
  </si>
  <si>
    <t>0470</t>
  </si>
  <si>
    <t>294-00 294-02 294-03</t>
  </si>
  <si>
    <t>12206</t>
  </si>
  <si>
    <t>木更津市</t>
  </si>
  <si>
    <t>きさらづし</t>
  </si>
  <si>
    <t>0438</t>
  </si>
  <si>
    <t>292-00 292-02 292-08 299-02</t>
  </si>
  <si>
    <t>12207</t>
  </si>
  <si>
    <t>松戸市</t>
  </si>
  <si>
    <t>まつどし</t>
  </si>
  <si>
    <t>270-00 270-22 271-00</t>
  </si>
  <si>
    <t>12208</t>
  </si>
  <si>
    <t>野田市</t>
  </si>
  <si>
    <t>のだし</t>
  </si>
  <si>
    <t>270-02 278-00</t>
  </si>
  <si>
    <t>12210</t>
  </si>
  <si>
    <t>茂原市</t>
  </si>
  <si>
    <t>もばらし</t>
  </si>
  <si>
    <t>0475</t>
  </si>
  <si>
    <t>297-00 299-41</t>
  </si>
  <si>
    <t>12211</t>
  </si>
  <si>
    <t>成田市</t>
  </si>
  <si>
    <t>なりたし</t>
  </si>
  <si>
    <t>0476</t>
  </si>
  <si>
    <t>282-00 286-00 286-01 286-08 287-02 289-01</t>
  </si>
  <si>
    <t>12212</t>
  </si>
  <si>
    <t>佐倉市</t>
  </si>
  <si>
    <t>285-00 285-08</t>
  </si>
  <si>
    <t>12213</t>
  </si>
  <si>
    <t>東金市</t>
  </si>
  <si>
    <t>とうがねし</t>
  </si>
  <si>
    <t>283-00 283-08</t>
  </si>
  <si>
    <t>12215</t>
  </si>
  <si>
    <t>旭市</t>
  </si>
  <si>
    <t>あさひし</t>
  </si>
  <si>
    <t>289-05 289-25 289-26 289-27</t>
  </si>
  <si>
    <t>12216</t>
  </si>
  <si>
    <t>習志野市</t>
  </si>
  <si>
    <t>ならしのし</t>
  </si>
  <si>
    <t>275-00</t>
  </si>
  <si>
    <t>12217</t>
  </si>
  <si>
    <t>柏市</t>
  </si>
  <si>
    <t>かしわし</t>
  </si>
  <si>
    <t>270-14 277-00 277-08 277-09</t>
  </si>
  <si>
    <t>12218</t>
  </si>
  <si>
    <t>勝浦市</t>
  </si>
  <si>
    <t>かつうらし</t>
  </si>
  <si>
    <t>299-52</t>
  </si>
  <si>
    <t>12219</t>
  </si>
  <si>
    <t>市原市</t>
  </si>
  <si>
    <t>いちはらし</t>
  </si>
  <si>
    <t>0436</t>
  </si>
  <si>
    <t>290-00 290-01 290-02 290-05 299-01</t>
  </si>
  <si>
    <t>12220</t>
  </si>
  <si>
    <t>流山市</t>
  </si>
  <si>
    <t>ながれやまし</t>
  </si>
  <si>
    <t>270-01</t>
  </si>
  <si>
    <t>12221</t>
  </si>
  <si>
    <t>八千代市</t>
  </si>
  <si>
    <t>やちよし</t>
  </si>
  <si>
    <t>276-00</t>
  </si>
  <si>
    <t>12222</t>
  </si>
  <si>
    <t>我孫子市</t>
  </si>
  <si>
    <t>あびこし</t>
  </si>
  <si>
    <t>270-11</t>
  </si>
  <si>
    <t>12223</t>
  </si>
  <si>
    <t>鴨川市</t>
  </si>
  <si>
    <t>かもがわし</t>
  </si>
  <si>
    <t>296-00 296-01 296-02 299-28 299-55</t>
  </si>
  <si>
    <t>12224</t>
  </si>
  <si>
    <t>鎌ケ谷市</t>
  </si>
  <si>
    <t>かまがやし</t>
  </si>
  <si>
    <t>273-01</t>
  </si>
  <si>
    <t>12225</t>
  </si>
  <si>
    <t>君津市</t>
  </si>
  <si>
    <t>きみつし</t>
  </si>
  <si>
    <t>0439</t>
  </si>
  <si>
    <t>292-04 292-05 292-11 299-11</t>
  </si>
  <si>
    <t>12226</t>
  </si>
  <si>
    <t>富津市</t>
  </si>
  <si>
    <t>ふっつし</t>
  </si>
  <si>
    <t>293-00 299-16 299-17 299-18</t>
  </si>
  <si>
    <t>12227</t>
  </si>
  <si>
    <t>浦安市</t>
  </si>
  <si>
    <t>うらやすし</t>
  </si>
  <si>
    <t>279-00</t>
  </si>
  <si>
    <t>12228</t>
  </si>
  <si>
    <t>四街道市</t>
  </si>
  <si>
    <t>よつかいどうし</t>
  </si>
  <si>
    <t>284-00</t>
  </si>
  <si>
    <t>12229</t>
  </si>
  <si>
    <t>袖ケ浦市</t>
  </si>
  <si>
    <t>そでがうらし</t>
  </si>
  <si>
    <t>299-02</t>
  </si>
  <si>
    <t>12230</t>
  </si>
  <si>
    <t>八街市</t>
  </si>
  <si>
    <t>やちまたし</t>
  </si>
  <si>
    <t>289-11</t>
  </si>
  <si>
    <t>12231</t>
  </si>
  <si>
    <t>印西市</t>
  </si>
  <si>
    <t>いんざいし</t>
  </si>
  <si>
    <t>270-13 270-16 270-23</t>
  </si>
  <si>
    <t>12232</t>
  </si>
  <si>
    <t>白井市</t>
  </si>
  <si>
    <t>しろいし</t>
  </si>
  <si>
    <t>270-14</t>
  </si>
  <si>
    <t>12233</t>
  </si>
  <si>
    <t>富里市</t>
  </si>
  <si>
    <t>とみさとし</t>
  </si>
  <si>
    <t>286-02</t>
  </si>
  <si>
    <t>12234</t>
  </si>
  <si>
    <t>南房総市</t>
  </si>
  <si>
    <t>みなみぼうそうし</t>
  </si>
  <si>
    <t>294-08 295-00 295-01 299-22 299-24 299-25 299-27</t>
  </si>
  <si>
    <t>12235</t>
  </si>
  <si>
    <t>匝瑳市</t>
  </si>
  <si>
    <t>そうさし</t>
  </si>
  <si>
    <t>289-21 289-31</t>
  </si>
  <si>
    <t>12236</t>
  </si>
  <si>
    <t>香取市</t>
  </si>
  <si>
    <t>かとりし</t>
  </si>
  <si>
    <t>0478</t>
  </si>
  <si>
    <t>287-00 287-01 287-08 289-03 289-04</t>
  </si>
  <si>
    <t>12237</t>
  </si>
  <si>
    <t>山武市</t>
  </si>
  <si>
    <t>さんむし</t>
  </si>
  <si>
    <t>0475 0479</t>
  </si>
  <si>
    <t>289-12 289-13 289-15 289-18</t>
  </si>
  <si>
    <t>12238</t>
  </si>
  <si>
    <t>いすみ市</t>
  </si>
  <si>
    <t>いすみし</t>
  </si>
  <si>
    <t>298-00 298-01 299-45 299-46</t>
  </si>
  <si>
    <t>12239</t>
  </si>
  <si>
    <t>大網白里市</t>
  </si>
  <si>
    <t>おおあみしらさとし</t>
  </si>
  <si>
    <t>299-32</t>
  </si>
  <si>
    <t>12322</t>
  </si>
  <si>
    <t>印旛郡酒々井町</t>
  </si>
  <si>
    <t>いんばぐんしすいまち</t>
  </si>
  <si>
    <t>285-09</t>
  </si>
  <si>
    <t>12329</t>
  </si>
  <si>
    <t>印旛郡栄町</t>
  </si>
  <si>
    <t>いんばぐんさかえまち</t>
  </si>
  <si>
    <t>270-15</t>
  </si>
  <si>
    <t>12342</t>
  </si>
  <si>
    <t>香取郡神崎町</t>
  </si>
  <si>
    <t>かとりぐんこうざきまち</t>
  </si>
  <si>
    <t>289-01 289-02</t>
  </si>
  <si>
    <t>12347</t>
  </si>
  <si>
    <t>香取郡多古町</t>
  </si>
  <si>
    <t>かとりぐんたこまち</t>
  </si>
  <si>
    <t>289-22 289-23</t>
  </si>
  <si>
    <t>12349</t>
  </si>
  <si>
    <t>香取郡東庄町</t>
  </si>
  <si>
    <t>かとりぐんとうのしょうまち</t>
  </si>
  <si>
    <t>289-06</t>
  </si>
  <si>
    <t>12403</t>
  </si>
  <si>
    <t>山武郡九十九里町</t>
  </si>
  <si>
    <t>さんぶぐんくじゅうくりまち</t>
  </si>
  <si>
    <t>283-01</t>
  </si>
  <si>
    <t>12409</t>
  </si>
  <si>
    <t>山武郡芝山町</t>
  </si>
  <si>
    <t>さんぶぐんしばやままち</t>
  </si>
  <si>
    <t>289-16</t>
  </si>
  <si>
    <t>12410</t>
  </si>
  <si>
    <t>山武郡横芝光町</t>
  </si>
  <si>
    <t>さんぶぐんよこしばひかりまち</t>
  </si>
  <si>
    <t>289-17</t>
  </si>
  <si>
    <t>12421</t>
  </si>
  <si>
    <t>長生郡一宮町</t>
  </si>
  <si>
    <t>ちょうせいぐんいちのみやまち</t>
  </si>
  <si>
    <t>299-43</t>
  </si>
  <si>
    <t>12422</t>
  </si>
  <si>
    <t>長生郡睦沢町</t>
  </si>
  <si>
    <t>ちょうせいぐんむつざわまち</t>
  </si>
  <si>
    <t>299-44</t>
  </si>
  <si>
    <t>12423</t>
  </si>
  <si>
    <t>長生郡長生村</t>
  </si>
  <si>
    <t>ちょうせいぐんちょうせいむら</t>
  </si>
  <si>
    <t>12424</t>
  </si>
  <si>
    <t>長生郡白子町</t>
  </si>
  <si>
    <t>ちょうせいぐんしらこまち</t>
  </si>
  <si>
    <t>299-42</t>
  </si>
  <si>
    <t>12426</t>
  </si>
  <si>
    <t>長生郡長柄町</t>
  </si>
  <si>
    <t>ちょうせいぐんながらまち</t>
  </si>
  <si>
    <t>297-02</t>
  </si>
  <si>
    <t>12427</t>
  </si>
  <si>
    <t>長生郡長南町</t>
  </si>
  <si>
    <t>ちょうせいぐんちょうなんまち</t>
  </si>
  <si>
    <t>297-01</t>
  </si>
  <si>
    <t>12441</t>
  </si>
  <si>
    <t>夷隅郡大多喜町</t>
  </si>
  <si>
    <t>いすみぐんおおたきまち</t>
  </si>
  <si>
    <t>298-02</t>
  </si>
  <si>
    <t>12443</t>
  </si>
  <si>
    <t>夷隅郡御宿町</t>
  </si>
  <si>
    <t>いすみぐんおんじゅくまち</t>
  </si>
  <si>
    <t>299-51</t>
  </si>
  <si>
    <t>12463</t>
  </si>
  <si>
    <t>安房郡鋸南町</t>
  </si>
  <si>
    <t>あわぐんきょなんまち</t>
  </si>
  <si>
    <t>299-19 299-21</t>
  </si>
  <si>
    <t>13101</t>
  </si>
  <si>
    <t>千代田区</t>
  </si>
  <si>
    <t>ちよだく</t>
  </si>
  <si>
    <t>03</t>
  </si>
  <si>
    <t>100-00 100-60 100-62 100-63 100-64 101-00 102-00</t>
  </si>
  <si>
    <t>13102</t>
  </si>
  <si>
    <t>中央区</t>
  </si>
  <si>
    <t>ちゅうおうく</t>
  </si>
  <si>
    <t>103-00 104-00 104-60 104-61 104-62</t>
  </si>
  <si>
    <t>13103</t>
  </si>
  <si>
    <t>港区</t>
  </si>
  <si>
    <t>みなとく</t>
  </si>
  <si>
    <t>105-00 105-60 105-61 105-62 105-70 105-71 105-72 105-73 105-74 106-00 106-60 106-61 107-00 107-60 107-61 108-00 108-60 108-61 108-62 108-63 135-00</t>
  </si>
  <si>
    <t>13104</t>
  </si>
  <si>
    <t>新宿区</t>
  </si>
  <si>
    <t>しんじゅくく</t>
  </si>
  <si>
    <t>160-00 161-00 162-00 162-08 163-02 163-04 163-05 163-06 163-07 163-08 163-09 163-10 163-11 163-13 163-14 163-15 163-60 169-00</t>
  </si>
  <si>
    <t>13105</t>
  </si>
  <si>
    <t>文京区</t>
  </si>
  <si>
    <t>ぶんきょうく</t>
  </si>
  <si>
    <t>112-00 113-00</t>
  </si>
  <si>
    <t>13106</t>
  </si>
  <si>
    <t>台東区</t>
  </si>
  <si>
    <t>たいとうく</t>
  </si>
  <si>
    <t>110-00 111-00</t>
  </si>
  <si>
    <t>13107</t>
  </si>
  <si>
    <t>墨田区</t>
  </si>
  <si>
    <t>すみだく</t>
  </si>
  <si>
    <t>130-00 131-00</t>
  </si>
  <si>
    <t>13108</t>
  </si>
  <si>
    <t>江東区</t>
  </si>
  <si>
    <t>こうとうく</t>
  </si>
  <si>
    <t>135-00 135-60 136-00</t>
  </si>
  <si>
    <t>13109</t>
  </si>
  <si>
    <t>品川区</t>
  </si>
  <si>
    <t>しながわく</t>
  </si>
  <si>
    <t>135-00 140-00 141-00 142-00</t>
  </si>
  <si>
    <t>13110</t>
  </si>
  <si>
    <t>目黒区</t>
  </si>
  <si>
    <t>めぐろく</t>
  </si>
  <si>
    <t>152-00 153-00</t>
  </si>
  <si>
    <t>13111</t>
  </si>
  <si>
    <t>大田区</t>
  </si>
  <si>
    <t>おおたく</t>
  </si>
  <si>
    <t>143-00 144-00 145-00 146-00</t>
  </si>
  <si>
    <t>13112</t>
  </si>
  <si>
    <t>世田谷区</t>
  </si>
  <si>
    <t>せたがやく</t>
  </si>
  <si>
    <t>154-00 155-00 156-00 157-00 158-00</t>
  </si>
  <si>
    <t>13113</t>
  </si>
  <si>
    <t>渋谷区</t>
  </si>
  <si>
    <t>しぶやく</t>
  </si>
  <si>
    <t>150-00 150-60 151-00</t>
  </si>
  <si>
    <t>13114</t>
  </si>
  <si>
    <t>中野区</t>
  </si>
  <si>
    <t>なかのく</t>
  </si>
  <si>
    <t>164-00 165-00</t>
  </si>
  <si>
    <t>13115</t>
  </si>
  <si>
    <t>杉並区</t>
  </si>
  <si>
    <t>すぎなみく</t>
  </si>
  <si>
    <t>166-00 167-00 168-00</t>
  </si>
  <si>
    <t>13116</t>
  </si>
  <si>
    <t>豊島区</t>
  </si>
  <si>
    <t>としまく</t>
  </si>
  <si>
    <t>170-00 170-60 171-00</t>
  </si>
  <si>
    <t>13117</t>
  </si>
  <si>
    <t>北区</t>
  </si>
  <si>
    <t>きたく</t>
  </si>
  <si>
    <t>114-00 115-00</t>
  </si>
  <si>
    <t>13118</t>
  </si>
  <si>
    <t>荒川区</t>
  </si>
  <si>
    <t>あらかわく</t>
  </si>
  <si>
    <t>116-00</t>
  </si>
  <si>
    <t>13119</t>
  </si>
  <si>
    <t>板橋区</t>
  </si>
  <si>
    <t>いたばしく</t>
  </si>
  <si>
    <t>173-00 174-00 175-00</t>
  </si>
  <si>
    <t>13120</t>
  </si>
  <si>
    <t>練馬区</t>
  </si>
  <si>
    <t>ねりまく</t>
  </si>
  <si>
    <t>176-00 177-00 178-00 179-00</t>
  </si>
  <si>
    <t>13121</t>
  </si>
  <si>
    <t>足立区</t>
  </si>
  <si>
    <t>あだちく</t>
  </si>
  <si>
    <t>120-00 121-00 121-08 123-08</t>
  </si>
  <si>
    <t>13122</t>
  </si>
  <si>
    <t>葛飾区</t>
  </si>
  <si>
    <t>かつしかく</t>
  </si>
  <si>
    <t>124-00 125-00</t>
  </si>
  <si>
    <t>13123</t>
  </si>
  <si>
    <t>江戸川区</t>
  </si>
  <si>
    <t>えどがわく</t>
  </si>
  <si>
    <t>132-00 133-00 134-00</t>
  </si>
  <si>
    <t>13201</t>
  </si>
  <si>
    <t>八王子市</t>
  </si>
  <si>
    <t>はちおうじし</t>
  </si>
  <si>
    <t>192-00 192-01 192-03 192-09 193-08 193-09</t>
  </si>
  <si>
    <t>13202</t>
  </si>
  <si>
    <t>立川市</t>
  </si>
  <si>
    <t>たちかわし</t>
  </si>
  <si>
    <t>190-00</t>
  </si>
  <si>
    <t>13203</t>
  </si>
  <si>
    <t>武蔵野市</t>
  </si>
  <si>
    <t>むさしのし</t>
  </si>
  <si>
    <t>0422</t>
  </si>
  <si>
    <t>180-00</t>
  </si>
  <si>
    <t>13204</t>
  </si>
  <si>
    <t>三鷹市</t>
  </si>
  <si>
    <t>みたかし</t>
  </si>
  <si>
    <t>0422 03</t>
  </si>
  <si>
    <t>181-00</t>
  </si>
  <si>
    <t>13205</t>
  </si>
  <si>
    <t>青梅市</t>
  </si>
  <si>
    <t>おうめし</t>
  </si>
  <si>
    <t>0428</t>
  </si>
  <si>
    <t>198-00 198-01</t>
  </si>
  <si>
    <t>13206</t>
  </si>
  <si>
    <t>府中市</t>
  </si>
  <si>
    <t>ふちゅうし</t>
  </si>
  <si>
    <t>183-00</t>
  </si>
  <si>
    <t>13207</t>
  </si>
  <si>
    <t>昭島市</t>
  </si>
  <si>
    <t>あきしまし</t>
  </si>
  <si>
    <t>196-00</t>
  </si>
  <si>
    <t>13208</t>
  </si>
  <si>
    <t>調布市</t>
  </si>
  <si>
    <t>ちょうふし</t>
  </si>
  <si>
    <t>042 03 0422</t>
  </si>
  <si>
    <t>182-00</t>
  </si>
  <si>
    <t>13209</t>
  </si>
  <si>
    <t>町田市</t>
  </si>
  <si>
    <t>まちだし</t>
  </si>
  <si>
    <t>042 044</t>
  </si>
  <si>
    <t>194-00 194-02 195-00</t>
  </si>
  <si>
    <t>13210</t>
  </si>
  <si>
    <t>小金井市</t>
  </si>
  <si>
    <t>こがねいし</t>
  </si>
  <si>
    <t>042 0422</t>
  </si>
  <si>
    <t>184-00</t>
  </si>
  <si>
    <t>13211</t>
  </si>
  <si>
    <t>小平市</t>
  </si>
  <si>
    <t>こだいらし</t>
  </si>
  <si>
    <t>187-00</t>
  </si>
  <si>
    <t>13212</t>
  </si>
  <si>
    <t>日野市</t>
  </si>
  <si>
    <t>ひのし</t>
  </si>
  <si>
    <t>191-00</t>
  </si>
  <si>
    <t>13213</t>
  </si>
  <si>
    <t>東村山市</t>
  </si>
  <si>
    <t>ひがしむらやまし</t>
  </si>
  <si>
    <t>189-00</t>
  </si>
  <si>
    <t>13214</t>
  </si>
  <si>
    <t>国分寺市</t>
  </si>
  <si>
    <t>こくぶんじし</t>
  </si>
  <si>
    <t>185-00</t>
  </si>
  <si>
    <t>13215</t>
  </si>
  <si>
    <t>国立市</t>
  </si>
  <si>
    <t>くにたちし</t>
  </si>
  <si>
    <t>186-00</t>
  </si>
  <si>
    <t>13218</t>
  </si>
  <si>
    <t>福生市</t>
  </si>
  <si>
    <t>ふっさし</t>
  </si>
  <si>
    <t>197-00</t>
  </si>
  <si>
    <t>13219</t>
  </si>
  <si>
    <t>狛江市</t>
  </si>
  <si>
    <t>こまえし</t>
  </si>
  <si>
    <t>03 042</t>
  </si>
  <si>
    <t>201-00</t>
  </si>
  <si>
    <t>13220</t>
  </si>
  <si>
    <t>東大和市</t>
  </si>
  <si>
    <t>ひがしやまとし</t>
  </si>
  <si>
    <t>207-00</t>
  </si>
  <si>
    <t>13221</t>
  </si>
  <si>
    <t>清瀬市</t>
  </si>
  <si>
    <t>きよせし</t>
  </si>
  <si>
    <t>204-00</t>
  </si>
  <si>
    <t>13222</t>
  </si>
  <si>
    <t>東久留米市</t>
  </si>
  <si>
    <t>ひがしくるめし</t>
  </si>
  <si>
    <t>203-00</t>
  </si>
  <si>
    <t>13223</t>
  </si>
  <si>
    <t>武蔵村山市</t>
  </si>
  <si>
    <t>むさしむらやまし</t>
  </si>
  <si>
    <t>208-00</t>
  </si>
  <si>
    <t>13224</t>
  </si>
  <si>
    <t>多摩市</t>
  </si>
  <si>
    <t>たまし</t>
  </si>
  <si>
    <t>206-00</t>
  </si>
  <si>
    <t>13225</t>
  </si>
  <si>
    <t>稲城市</t>
  </si>
  <si>
    <t>いなぎし</t>
  </si>
  <si>
    <t>206-00 206-08</t>
  </si>
  <si>
    <t>13227</t>
  </si>
  <si>
    <t>羽村市</t>
  </si>
  <si>
    <t>はむらし</t>
  </si>
  <si>
    <t>205-00</t>
  </si>
  <si>
    <t>13228</t>
  </si>
  <si>
    <t>あきる野市</t>
  </si>
  <si>
    <t>あきるのし</t>
  </si>
  <si>
    <t>190-01 197-08</t>
  </si>
  <si>
    <t>13229</t>
  </si>
  <si>
    <t>西東京市</t>
  </si>
  <si>
    <t>にしとうきょうし</t>
  </si>
  <si>
    <t>188-00 202-00</t>
  </si>
  <si>
    <t>13303</t>
  </si>
  <si>
    <t>西多摩郡瑞穂町</t>
  </si>
  <si>
    <t>にしたまぐんみずほまち</t>
  </si>
  <si>
    <t>190-12</t>
  </si>
  <si>
    <t>13305</t>
  </si>
  <si>
    <t>西多摩郡日の出町</t>
  </si>
  <si>
    <t>にしたまぐんひのでまち</t>
  </si>
  <si>
    <t>190-01</t>
  </si>
  <si>
    <t>13307</t>
  </si>
  <si>
    <t>西多摩郡檜原村</t>
  </si>
  <si>
    <t>にしたまぐんひのはらむら</t>
  </si>
  <si>
    <t>190-02</t>
  </si>
  <si>
    <t>13308</t>
  </si>
  <si>
    <t>西多摩郡奥多摩町</t>
  </si>
  <si>
    <t>にしたまぐんおくたままち</t>
  </si>
  <si>
    <t>198-00 198-01 198-02</t>
  </si>
  <si>
    <t>13361</t>
  </si>
  <si>
    <t>大島町</t>
  </si>
  <si>
    <t>おおしままち</t>
  </si>
  <si>
    <t>04992</t>
  </si>
  <si>
    <t>100-01 100-02</t>
  </si>
  <si>
    <t>13362</t>
  </si>
  <si>
    <t>利島村</t>
  </si>
  <si>
    <t>としまむら</t>
  </si>
  <si>
    <t>100-03</t>
  </si>
  <si>
    <t>13363</t>
  </si>
  <si>
    <t>新島村</t>
  </si>
  <si>
    <t>にいじまむら</t>
  </si>
  <si>
    <t>100-04 100-05</t>
  </si>
  <si>
    <t>13364</t>
  </si>
  <si>
    <t>神津島村</t>
  </si>
  <si>
    <t>こうづしまむら</t>
  </si>
  <si>
    <t>100-06</t>
  </si>
  <si>
    <t>13381</t>
  </si>
  <si>
    <t>三宅村</t>
  </si>
  <si>
    <t>みやけむら</t>
  </si>
  <si>
    <t>04994</t>
  </si>
  <si>
    <t>100-11 100-12</t>
  </si>
  <si>
    <t>13382</t>
  </si>
  <si>
    <t>御蔵島村</t>
  </si>
  <si>
    <t>みくらじまむら</t>
  </si>
  <si>
    <t>100-13</t>
  </si>
  <si>
    <t>13401</t>
  </si>
  <si>
    <t>八丈町</t>
  </si>
  <si>
    <t>はちじょうまち</t>
  </si>
  <si>
    <t>04996</t>
  </si>
  <si>
    <t>100-14 100-15 100-16</t>
  </si>
  <si>
    <t>13402</t>
  </si>
  <si>
    <t>青ヶ島村</t>
  </si>
  <si>
    <t>あおがしまむら</t>
  </si>
  <si>
    <t>100-17</t>
  </si>
  <si>
    <t>13421</t>
  </si>
  <si>
    <t>小笠原村</t>
  </si>
  <si>
    <t>おがさわらむら</t>
  </si>
  <si>
    <t>04998</t>
  </si>
  <si>
    <t>100-21 100-22</t>
  </si>
  <si>
    <t>14100</t>
  </si>
  <si>
    <t>横浜市</t>
  </si>
  <si>
    <t>よこはまし</t>
  </si>
  <si>
    <t>14101</t>
  </si>
  <si>
    <t>横浜市鶴見区</t>
  </si>
  <si>
    <t>よこはましつるみく</t>
  </si>
  <si>
    <t>045</t>
  </si>
  <si>
    <t>230-00</t>
  </si>
  <si>
    <t>14102</t>
  </si>
  <si>
    <t>横浜市神奈川区</t>
  </si>
  <si>
    <t>よこはましかながわく</t>
  </si>
  <si>
    <t>221-00 221-08</t>
  </si>
  <si>
    <t>14103</t>
  </si>
  <si>
    <t>横浜市西区</t>
  </si>
  <si>
    <t>よこはましにしく</t>
  </si>
  <si>
    <t>220-00 220-60 220-61 220-62 220-81</t>
  </si>
  <si>
    <t>14104</t>
  </si>
  <si>
    <t>横浜市中区</t>
  </si>
  <si>
    <t>よこはましなかく</t>
  </si>
  <si>
    <t>231-00 231-08</t>
  </si>
  <si>
    <t>14105</t>
  </si>
  <si>
    <t>横浜市南区</t>
  </si>
  <si>
    <t>よこはましみなみく</t>
  </si>
  <si>
    <t>232-00</t>
  </si>
  <si>
    <t>14106</t>
  </si>
  <si>
    <t>横浜市保土ケ谷区</t>
  </si>
  <si>
    <t>よこはましほどがやく</t>
  </si>
  <si>
    <t>240-00</t>
  </si>
  <si>
    <t>14107</t>
  </si>
  <si>
    <t>横浜市磯子区</t>
  </si>
  <si>
    <t>よこはましいそごく</t>
  </si>
  <si>
    <t>235-00</t>
  </si>
  <si>
    <t>14108</t>
  </si>
  <si>
    <t>横浜市金沢区</t>
  </si>
  <si>
    <t>よこはましかなざわく</t>
  </si>
  <si>
    <t>236-00</t>
  </si>
  <si>
    <t>14109</t>
  </si>
  <si>
    <t>横浜市港北区</t>
  </si>
  <si>
    <t>よこはましこうほくく</t>
  </si>
  <si>
    <t>222-00 223-00</t>
  </si>
  <si>
    <t>14110</t>
  </si>
  <si>
    <t>横浜市戸塚区</t>
  </si>
  <si>
    <t>よこはましとつかく</t>
  </si>
  <si>
    <t>244-00 244-08 245-00</t>
  </si>
  <si>
    <t>14111</t>
  </si>
  <si>
    <t>横浜市港南区</t>
  </si>
  <si>
    <t>よこはましこうなんく</t>
  </si>
  <si>
    <t>233-00 234-00</t>
  </si>
  <si>
    <t>14112</t>
  </si>
  <si>
    <t>横浜市旭区</t>
  </si>
  <si>
    <t>よこはましあさひく</t>
  </si>
  <si>
    <t>241-00 241-08</t>
  </si>
  <si>
    <t>14113</t>
  </si>
  <si>
    <t>横浜市緑区</t>
  </si>
  <si>
    <t>よこはましみどりく</t>
  </si>
  <si>
    <t>226-00</t>
  </si>
  <si>
    <t>14114</t>
  </si>
  <si>
    <t>横浜市瀬谷区</t>
  </si>
  <si>
    <t>よこはましせやく</t>
  </si>
  <si>
    <t>246-00</t>
  </si>
  <si>
    <t>14115</t>
  </si>
  <si>
    <t>横浜市栄区</t>
  </si>
  <si>
    <t>よこはましさかえく</t>
  </si>
  <si>
    <t>244-08 247-00</t>
  </si>
  <si>
    <t>14116</t>
  </si>
  <si>
    <t>横浜市泉区</t>
  </si>
  <si>
    <t>よこはましいずみく</t>
  </si>
  <si>
    <t>245-00</t>
  </si>
  <si>
    <t>14117</t>
  </si>
  <si>
    <t>横浜市青葉区</t>
  </si>
  <si>
    <t>よこはましあおばく</t>
  </si>
  <si>
    <t>225-00 227-00</t>
  </si>
  <si>
    <t>14118</t>
  </si>
  <si>
    <t>横浜市都筑区</t>
  </si>
  <si>
    <t>よこはましつづきく</t>
  </si>
  <si>
    <t>224-00</t>
  </si>
  <si>
    <t>14130</t>
  </si>
  <si>
    <t>川崎市</t>
  </si>
  <si>
    <t>かわさきし</t>
  </si>
  <si>
    <t>14131</t>
  </si>
  <si>
    <t>川崎市川崎区</t>
  </si>
  <si>
    <t>かわさきしかわさきく</t>
  </si>
  <si>
    <t>044</t>
  </si>
  <si>
    <t>210-00 210-08</t>
  </si>
  <si>
    <t>14132</t>
  </si>
  <si>
    <t>川崎市幸区</t>
  </si>
  <si>
    <t>かわさきしさいわいく</t>
  </si>
  <si>
    <t>212-00</t>
  </si>
  <si>
    <t>14133</t>
  </si>
  <si>
    <t>川崎市中原区</t>
  </si>
  <si>
    <t>かわさきしなかはらく</t>
  </si>
  <si>
    <t>211-00</t>
  </si>
  <si>
    <t>14134</t>
  </si>
  <si>
    <t>川崎市高津区</t>
  </si>
  <si>
    <t>かわさきしたかつく</t>
  </si>
  <si>
    <t>213-00</t>
  </si>
  <si>
    <t>14135</t>
  </si>
  <si>
    <t>川崎市多摩区</t>
  </si>
  <si>
    <t>かわさきしたまく</t>
  </si>
  <si>
    <t>214-00</t>
  </si>
  <si>
    <t>14136</t>
  </si>
  <si>
    <t>川崎市宮前区</t>
  </si>
  <si>
    <t>かわさきしみやまえく</t>
  </si>
  <si>
    <t>216-00</t>
  </si>
  <si>
    <t>14137</t>
  </si>
  <si>
    <t>川崎市麻生区</t>
  </si>
  <si>
    <t>かわさきしあさおく</t>
  </si>
  <si>
    <t>215-00</t>
  </si>
  <si>
    <t>14150</t>
  </si>
  <si>
    <t>相模原市</t>
  </si>
  <si>
    <t>さがみはらし</t>
  </si>
  <si>
    <t>14151</t>
  </si>
  <si>
    <t>相模原市緑区</t>
  </si>
  <si>
    <t>さがみはらしみどりく</t>
  </si>
  <si>
    <t>252-01</t>
  </si>
  <si>
    <t>14152</t>
  </si>
  <si>
    <t>相模原市中央区</t>
  </si>
  <si>
    <t>さがみはらしちゅうおうく</t>
  </si>
  <si>
    <t>252-02</t>
  </si>
  <si>
    <t>14153</t>
  </si>
  <si>
    <t>相模原市南区</t>
  </si>
  <si>
    <t>さがみはらしみなみく</t>
  </si>
  <si>
    <t>042 046</t>
  </si>
  <si>
    <t>252-03</t>
  </si>
  <si>
    <t>14201</t>
  </si>
  <si>
    <t>横須賀市</t>
  </si>
  <si>
    <t>よこすかし</t>
  </si>
  <si>
    <t>046</t>
  </si>
  <si>
    <t>237-00 238-00 238-03 239-08 240-01</t>
  </si>
  <si>
    <t>14203</t>
  </si>
  <si>
    <t>平塚市</t>
  </si>
  <si>
    <t>ひらつかし</t>
  </si>
  <si>
    <t>0463</t>
  </si>
  <si>
    <t>254-00 254-08 254-09 259-12</t>
  </si>
  <si>
    <t>14204</t>
  </si>
  <si>
    <t>鎌倉市</t>
  </si>
  <si>
    <t>かまくらし</t>
  </si>
  <si>
    <t>0467</t>
  </si>
  <si>
    <t>247-00 248-00</t>
  </si>
  <si>
    <t>14205</t>
  </si>
  <si>
    <t>藤沢市</t>
  </si>
  <si>
    <t>ふじさわし</t>
  </si>
  <si>
    <t>0466</t>
  </si>
  <si>
    <t>251-00 251-08 252-08</t>
  </si>
  <si>
    <t>14206</t>
  </si>
  <si>
    <t>小田原市</t>
  </si>
  <si>
    <t>おだわらし</t>
  </si>
  <si>
    <t>0465</t>
  </si>
  <si>
    <t>250-00 250-02 250-08 256-08</t>
  </si>
  <si>
    <t>14207</t>
  </si>
  <si>
    <t>茅ヶ崎市</t>
  </si>
  <si>
    <t>ちがさきし</t>
  </si>
  <si>
    <t>253-00</t>
  </si>
  <si>
    <t>14208</t>
  </si>
  <si>
    <t>逗子市</t>
  </si>
  <si>
    <t>ずしし</t>
  </si>
  <si>
    <t>046 0467</t>
  </si>
  <si>
    <t>249-00</t>
  </si>
  <si>
    <t>14210</t>
  </si>
  <si>
    <t>三浦市</t>
  </si>
  <si>
    <t>みうらし</t>
  </si>
  <si>
    <t>238-01 238-02</t>
  </si>
  <si>
    <t>14211</t>
  </si>
  <si>
    <t>秦野市</t>
  </si>
  <si>
    <t>はだのし</t>
  </si>
  <si>
    <t>257-00 259-13</t>
  </si>
  <si>
    <t>14212</t>
  </si>
  <si>
    <t>厚木市</t>
  </si>
  <si>
    <t>あつぎし</t>
  </si>
  <si>
    <t>243-00 243-01 243-02 243-08</t>
  </si>
  <si>
    <t>14213</t>
  </si>
  <si>
    <t>大和市</t>
  </si>
  <si>
    <t>やまとし</t>
  </si>
  <si>
    <t>242-00</t>
  </si>
  <si>
    <t>14214</t>
  </si>
  <si>
    <t>伊勢原市</t>
  </si>
  <si>
    <t>いせはらし</t>
  </si>
  <si>
    <t>259-11</t>
  </si>
  <si>
    <t>14215</t>
  </si>
  <si>
    <t>海老名市</t>
  </si>
  <si>
    <t>えびなし</t>
  </si>
  <si>
    <t>243-04</t>
  </si>
  <si>
    <t>14216</t>
  </si>
  <si>
    <t>座間市</t>
  </si>
  <si>
    <t>ざまし</t>
  </si>
  <si>
    <t>046 042</t>
  </si>
  <si>
    <t>228-00</t>
  </si>
  <si>
    <t>14217</t>
  </si>
  <si>
    <t>南足柄市</t>
  </si>
  <si>
    <t>みなみあしがらし</t>
  </si>
  <si>
    <t>250-01</t>
  </si>
  <si>
    <t>14218</t>
  </si>
  <si>
    <t>綾瀬市</t>
  </si>
  <si>
    <t>あやせし</t>
  </si>
  <si>
    <t>252-11</t>
  </si>
  <si>
    <t>14301</t>
  </si>
  <si>
    <t>三浦郡葉山町</t>
  </si>
  <si>
    <t>みうらぐんはやままち</t>
  </si>
  <si>
    <t>240-01</t>
  </si>
  <si>
    <t>14321</t>
  </si>
  <si>
    <t>高座郡寒川町</t>
  </si>
  <si>
    <t>こうざぐんさむかわまち</t>
  </si>
  <si>
    <t>253-01</t>
  </si>
  <si>
    <t>14341</t>
  </si>
  <si>
    <t>中郡大磯町</t>
  </si>
  <si>
    <t>なかぐんおおいそまち</t>
  </si>
  <si>
    <t>255-00 259-01</t>
  </si>
  <si>
    <t>14342</t>
  </si>
  <si>
    <t>中郡二宮町</t>
  </si>
  <si>
    <t>なかぐんにのみやまち</t>
  </si>
  <si>
    <t>259-01</t>
  </si>
  <si>
    <t>14361</t>
  </si>
  <si>
    <t>足柄上郡中井町</t>
  </si>
  <si>
    <t>あしがらかみぐんなかいまち</t>
  </si>
  <si>
    <t>14362</t>
  </si>
  <si>
    <t>足柄上郡大井町</t>
  </si>
  <si>
    <t>あしがらかみぐんおおいまち</t>
  </si>
  <si>
    <t>258-00</t>
  </si>
  <si>
    <t>14363</t>
  </si>
  <si>
    <t>足柄上郡松田町</t>
  </si>
  <si>
    <t>あしがらかみぐんまつだまち</t>
  </si>
  <si>
    <t>14364</t>
  </si>
  <si>
    <t>足柄上郡山北町</t>
  </si>
  <si>
    <t>あしがらかみぐんやまきたまち</t>
  </si>
  <si>
    <t>258-01 258-02</t>
  </si>
  <si>
    <t>14366</t>
  </si>
  <si>
    <t>足柄上郡開成町</t>
  </si>
  <si>
    <t>あしがらかみぐんかいせいまち</t>
  </si>
  <si>
    <t>14382</t>
  </si>
  <si>
    <t>足柄下郡箱根町</t>
  </si>
  <si>
    <t>あしがらしもぐんはこねまち</t>
  </si>
  <si>
    <t>0460</t>
  </si>
  <si>
    <t>250-03 250-04 250-05 250-06</t>
  </si>
  <si>
    <t>14383</t>
  </si>
  <si>
    <t>足柄下郡真鶴町</t>
  </si>
  <si>
    <t>あしがらしもぐんまなつるまち</t>
  </si>
  <si>
    <t>259-02</t>
  </si>
  <si>
    <t>14384</t>
  </si>
  <si>
    <t>足柄下郡湯河原町</t>
  </si>
  <si>
    <t>あしがらしもぐんゆがわらまち</t>
  </si>
  <si>
    <t>259-03</t>
  </si>
  <si>
    <t>14401</t>
  </si>
  <si>
    <t>愛甲郡愛川町</t>
  </si>
  <si>
    <t>あいこうぐんあいかわまち</t>
  </si>
  <si>
    <t>243-03</t>
  </si>
  <si>
    <t>14402</t>
  </si>
  <si>
    <t>愛甲郡清川村</t>
  </si>
  <si>
    <t>あいこうぐんきよかわむら</t>
  </si>
  <si>
    <t>243-01 257-00</t>
  </si>
  <si>
    <t>15100</t>
  </si>
  <si>
    <t>新潟市</t>
  </si>
  <si>
    <t>にいがたし</t>
  </si>
  <si>
    <t>15101</t>
  </si>
  <si>
    <t>新潟市北区</t>
  </si>
  <si>
    <t>にいがたしきたく</t>
  </si>
  <si>
    <t>025</t>
  </si>
  <si>
    <t>950-00 950-01 950-02 950-31 950-33</t>
  </si>
  <si>
    <t>15102</t>
  </si>
  <si>
    <t>新潟市東区</t>
  </si>
  <si>
    <t>にいがたしひがしく</t>
  </si>
  <si>
    <t>950-00 950-01 950-08 950-09</t>
  </si>
  <si>
    <t>15103</t>
  </si>
  <si>
    <t>新潟市中央区</t>
  </si>
  <si>
    <t>にいがたしちゅうおうく</t>
  </si>
  <si>
    <t>950-00 950-01 950-08 950-09 950-11 951-80 951-81</t>
  </si>
  <si>
    <t>15104</t>
  </si>
  <si>
    <t>新潟市江南区</t>
  </si>
  <si>
    <t>にいがたしこうなんく</t>
  </si>
  <si>
    <t>950-00 950-01 950-02 950-03 950-08 950-09 950-11</t>
  </si>
  <si>
    <t>15105</t>
  </si>
  <si>
    <t>新潟市秋葉区</t>
  </si>
  <si>
    <t>にいがたしあきはく</t>
  </si>
  <si>
    <t>0250 025</t>
  </si>
  <si>
    <t>956-00 956-01 956-08</t>
  </si>
  <si>
    <t>15106</t>
  </si>
  <si>
    <t>新潟市南区</t>
  </si>
  <si>
    <t>にいがたしみなみく</t>
  </si>
  <si>
    <t>950-11 950-12 950-13 950-14</t>
  </si>
  <si>
    <t>15107</t>
  </si>
  <si>
    <t>新潟市西区</t>
  </si>
  <si>
    <t>にいがたしにしく</t>
  </si>
  <si>
    <t>950-00 950-11 950-20 950-21 950-22 951-81 959-04</t>
  </si>
  <si>
    <t>15108</t>
  </si>
  <si>
    <t>新潟市西蒲区</t>
  </si>
  <si>
    <t>にいがたしにしかんく</t>
  </si>
  <si>
    <t>0256 025</t>
  </si>
  <si>
    <t>950-00 950-12 950-13 953-00 953-01 959-04 959-05</t>
  </si>
  <si>
    <t>15202</t>
  </si>
  <si>
    <t>長岡市</t>
  </si>
  <si>
    <t>ながおかし</t>
  </si>
  <si>
    <t>0258 0256</t>
  </si>
  <si>
    <t>940-00 940-01 940-02 940-08 940-11 940-20 940-21 940-23 940-24 940-25 947-02 949-45 949-51 949-52 949-53 949-54　949-75 949-87 954-01 954-02 959-01</t>
  </si>
  <si>
    <t>15204</t>
  </si>
  <si>
    <t>三条市</t>
  </si>
  <si>
    <t>さんじょうし</t>
  </si>
  <si>
    <t>0256</t>
  </si>
  <si>
    <t>955-00 955-01 955-08 959-11</t>
  </si>
  <si>
    <t>15205</t>
  </si>
  <si>
    <t>柏崎市</t>
  </si>
  <si>
    <t>かしわざきし</t>
  </si>
  <si>
    <t>0257</t>
  </si>
  <si>
    <t>945-00 945-01 945-02 945-04 945-08 945-11 945-12 945-13 945-14 945-15 949-36 949-37 949-41 949-42</t>
  </si>
  <si>
    <t>15206</t>
  </si>
  <si>
    <t>新発田市</t>
  </si>
  <si>
    <t>しばたし</t>
  </si>
  <si>
    <t>0254</t>
  </si>
  <si>
    <t>957-00 957-02 957-03 957-04 959-23 959-24 959-25</t>
  </si>
  <si>
    <t>15208</t>
  </si>
  <si>
    <t>小千谷市</t>
  </si>
  <si>
    <t>おぢやし</t>
  </si>
  <si>
    <t>0258</t>
  </si>
  <si>
    <t>947-00 947-01 947-02 949-87</t>
  </si>
  <si>
    <t>15209</t>
  </si>
  <si>
    <t>加茂市</t>
  </si>
  <si>
    <t>かもし</t>
  </si>
  <si>
    <t>959-13</t>
  </si>
  <si>
    <t>15210</t>
  </si>
  <si>
    <t>十日町市</t>
  </si>
  <si>
    <t>とおかまちし</t>
  </si>
  <si>
    <t>942-13 942-14 942-15 948-00 948-01 948-02 948-03 949-84 949-85 949-86</t>
  </si>
  <si>
    <t>15211</t>
  </si>
  <si>
    <t>見附市</t>
  </si>
  <si>
    <t>みつけし</t>
  </si>
  <si>
    <t>954-00 954-01</t>
  </si>
  <si>
    <t>15212</t>
  </si>
  <si>
    <t>村上市</t>
  </si>
  <si>
    <t>むらかみし</t>
  </si>
  <si>
    <t>958-00 958-02 958-08 959-31 959-34 959-36 959-39</t>
  </si>
  <si>
    <t>15213</t>
  </si>
  <si>
    <t>燕市</t>
  </si>
  <si>
    <t>つばめし</t>
  </si>
  <si>
    <t>959-01 959-02 959-12</t>
  </si>
  <si>
    <t>15216</t>
  </si>
  <si>
    <t>糸魚川市</t>
  </si>
  <si>
    <t>いといがわし</t>
  </si>
  <si>
    <t>941-00 949-01 949-03 949-04 949-05 949-12 949-13</t>
  </si>
  <si>
    <t>15217</t>
  </si>
  <si>
    <t>妙高市</t>
  </si>
  <si>
    <t>みょうこうし</t>
  </si>
  <si>
    <t>0255</t>
  </si>
  <si>
    <t>389-22 944-00 944-02 944-03 949-21 949-22</t>
  </si>
  <si>
    <t>15218</t>
  </si>
  <si>
    <t>五泉市</t>
  </si>
  <si>
    <t>ごせんし</t>
  </si>
  <si>
    <t>0250</t>
  </si>
  <si>
    <t>959-16 959-17 959-18</t>
  </si>
  <si>
    <t>15222</t>
  </si>
  <si>
    <t>上越市</t>
  </si>
  <si>
    <t>じょうえつし</t>
  </si>
  <si>
    <t>025 0255</t>
  </si>
  <si>
    <t>942-00 942-01 942-02 942-03 942-04 942-05 942-11 942-12 943-00 943-01 943-02 943-03 943-04 943-05 943-06 943-08 944-01 949-16 949-17 949-23 949-31 949-32 949-33 949-34 949-35</t>
  </si>
  <si>
    <t>15223</t>
  </si>
  <si>
    <t>阿賀野市</t>
  </si>
  <si>
    <t>あがのし</t>
  </si>
  <si>
    <t>959-19 959-20 959-21 959-22</t>
  </si>
  <si>
    <t>15224</t>
  </si>
  <si>
    <t>佐渡市</t>
  </si>
  <si>
    <t>さどし</t>
  </si>
  <si>
    <t>0259</t>
  </si>
  <si>
    <t>952-00 952-01 952-02 952-03 952-04 952-05 952-06 952-07 952-08 952-12 952-13 952-14 952-15 952-16 952-21 952-22 952-31 952-32 952-34 952-35</t>
  </si>
  <si>
    <t>15225</t>
  </si>
  <si>
    <t>魚沼市</t>
  </si>
  <si>
    <t>うおぬまし</t>
  </si>
  <si>
    <t>946-00 946-01 946-02 946-03 949-74</t>
  </si>
  <si>
    <t>15226</t>
  </si>
  <si>
    <t>南魚沼市</t>
  </si>
  <si>
    <t>みなみうおぬまし</t>
  </si>
  <si>
    <t>949-63 949-64 949-65 949-66 949-67 949-71 949-72 949-73</t>
  </si>
  <si>
    <t>15227</t>
  </si>
  <si>
    <t>胎内市</t>
  </si>
  <si>
    <t>たいないし</t>
  </si>
  <si>
    <t>959-26 959-27 959-28</t>
  </si>
  <si>
    <t>15307</t>
  </si>
  <si>
    <t>北蒲原郡聖籠町</t>
  </si>
  <si>
    <t>きたかんばらぐんせいろうまち</t>
  </si>
  <si>
    <t>0254 025</t>
  </si>
  <si>
    <t>957-01</t>
  </si>
  <si>
    <t>15342</t>
  </si>
  <si>
    <t>西蒲原郡弥彦村</t>
  </si>
  <si>
    <t>にしかんばらぐんやひこむら</t>
  </si>
  <si>
    <t>959-03</t>
  </si>
  <si>
    <t>15361</t>
  </si>
  <si>
    <t>南蒲原郡田上町</t>
  </si>
  <si>
    <t>みなみかんばらぐんたがみまち</t>
  </si>
  <si>
    <t>959-15</t>
  </si>
  <si>
    <t>15385</t>
  </si>
  <si>
    <t>東蒲原郡阿賀町</t>
  </si>
  <si>
    <t>ひがしかんばらぐんあがまち</t>
  </si>
  <si>
    <t>959-43 959-44 959-45 959-46</t>
  </si>
  <si>
    <t>15405</t>
  </si>
  <si>
    <t>三島郡出雲崎町</t>
  </si>
  <si>
    <t>さんとうぐんいずもざきまち</t>
  </si>
  <si>
    <t>949-43</t>
  </si>
  <si>
    <t>15461</t>
  </si>
  <si>
    <t>南魚沼郡湯沢町</t>
  </si>
  <si>
    <t>みなみうおぬまぐんゆざわまち</t>
  </si>
  <si>
    <t>949-61 949-62</t>
  </si>
  <si>
    <t>15482</t>
  </si>
  <si>
    <t>中魚沼郡津南町</t>
  </si>
  <si>
    <t>なかうおぬまぐんつなんまち</t>
  </si>
  <si>
    <t>949-81 949-82 949-83</t>
  </si>
  <si>
    <t>15504</t>
  </si>
  <si>
    <t>刈羽郡刈羽村</t>
  </si>
  <si>
    <t>かりわぐんかりわむら</t>
  </si>
  <si>
    <t>945-03</t>
  </si>
  <si>
    <t>15581</t>
  </si>
  <si>
    <t>岩船郡関川村</t>
  </si>
  <si>
    <t>いわふねぐんせきかわむら</t>
  </si>
  <si>
    <t>959-32</t>
  </si>
  <si>
    <t>15586</t>
  </si>
  <si>
    <t>岩船郡粟島浦村</t>
  </si>
  <si>
    <t>いわふねぐんあわしまうらむら</t>
  </si>
  <si>
    <t>958-00</t>
  </si>
  <si>
    <t>16201</t>
  </si>
  <si>
    <t>富山市</t>
  </si>
  <si>
    <t>とやまし</t>
  </si>
  <si>
    <t>076</t>
  </si>
  <si>
    <t>930-00 930-01 930-08 930-09 930-12 930-13 930-14 930-21 930-22 931-83 931-84 939-00 939-05 939-21 939-22 939-23 939-24 939-26 939-27 939-35 939-80 939-81 939-82</t>
  </si>
  <si>
    <t>16202</t>
  </si>
  <si>
    <t>高岡市</t>
  </si>
  <si>
    <t>たかおかし</t>
  </si>
  <si>
    <t>0766</t>
  </si>
  <si>
    <t>933-00 933-01 933-03 933-08 933-09 934-00 939-01 939-11 939-12</t>
  </si>
  <si>
    <t>16204</t>
  </si>
  <si>
    <t>魚津市</t>
  </si>
  <si>
    <t>うおづし</t>
  </si>
  <si>
    <t>0765</t>
  </si>
  <si>
    <t>937-00 937-08</t>
  </si>
  <si>
    <t>16205</t>
  </si>
  <si>
    <t>氷見市</t>
  </si>
  <si>
    <t>ひみし</t>
  </si>
  <si>
    <t>935-00 935-01 935-02 935-03 935-04</t>
  </si>
  <si>
    <t>16206</t>
  </si>
  <si>
    <t>滑川市</t>
  </si>
  <si>
    <t>なめりかわし</t>
  </si>
  <si>
    <t>936-00 936-08</t>
  </si>
  <si>
    <t>16207</t>
  </si>
  <si>
    <t>黒部市</t>
  </si>
  <si>
    <t>くろべし</t>
  </si>
  <si>
    <t>938-00 938-01 938-02 938-08</t>
  </si>
  <si>
    <t>16208</t>
  </si>
  <si>
    <t>砺波市</t>
  </si>
  <si>
    <t>となみし</t>
  </si>
  <si>
    <t>0763</t>
  </si>
  <si>
    <t>932-03 939-13 939-14</t>
  </si>
  <si>
    <t>16209</t>
  </si>
  <si>
    <t>小矢部市</t>
  </si>
  <si>
    <t>おやべし</t>
  </si>
  <si>
    <t>932-00 932-01 932-08</t>
  </si>
  <si>
    <t>16210</t>
  </si>
  <si>
    <t>南砺市</t>
  </si>
  <si>
    <t>なんとし</t>
  </si>
  <si>
    <t>932-02 932-03 939-15 939-16 939-17 939-18 939-19 939-25</t>
  </si>
  <si>
    <t>16211</t>
  </si>
  <si>
    <t>射水市</t>
  </si>
  <si>
    <t>いみずし</t>
  </si>
  <si>
    <t>933-00 933-02 934-00 939-02 939-03 939-04</t>
  </si>
  <si>
    <t>16321</t>
  </si>
  <si>
    <t>中新川郡舟橋村</t>
  </si>
  <si>
    <t>なかにいかわぐんふなはしむら</t>
  </si>
  <si>
    <t>930-02</t>
  </si>
  <si>
    <t>16322</t>
  </si>
  <si>
    <t>中新川郡上市町</t>
  </si>
  <si>
    <t>なかにいかわぐんかみいちまち</t>
  </si>
  <si>
    <t>930-03 930-04 936-08</t>
  </si>
  <si>
    <t>16323</t>
  </si>
  <si>
    <t>中新川郡立山町</t>
  </si>
  <si>
    <t>なかにいかわぐんたてやままち</t>
  </si>
  <si>
    <t>930-02 930-13 930-14 930-32</t>
  </si>
  <si>
    <t>16342</t>
  </si>
  <si>
    <t>下新川郡入善町</t>
  </si>
  <si>
    <t>しもにいかわぐんにゅうぜんまち</t>
  </si>
  <si>
    <t>938-01 939-06</t>
  </si>
  <si>
    <t>16343</t>
  </si>
  <si>
    <t>下新川郡朝日町</t>
  </si>
  <si>
    <t>しもにいかわぐんあさひまち</t>
  </si>
  <si>
    <t>938-01 939-07</t>
  </si>
  <si>
    <t>17201</t>
  </si>
  <si>
    <t>金沢市</t>
  </si>
  <si>
    <t>かなざわし</t>
  </si>
  <si>
    <t>920-00 920-01 920-02 920-03 920-08 920-09 920-11 920-13 920-31 920-82 921-80 921-81</t>
  </si>
  <si>
    <t>17202</t>
  </si>
  <si>
    <t>七尾市</t>
  </si>
  <si>
    <t>ななおし</t>
  </si>
  <si>
    <t>0767</t>
  </si>
  <si>
    <t>926-00 926-01 926-02 926-03 926-08 929-21 929-22</t>
  </si>
  <si>
    <t>17203</t>
  </si>
  <si>
    <t>小松市</t>
  </si>
  <si>
    <t>こまつし</t>
  </si>
  <si>
    <t>0761</t>
  </si>
  <si>
    <t>923-00 923-01 923-03 923-08 923-09</t>
  </si>
  <si>
    <t>17204</t>
  </si>
  <si>
    <t>輪島市</t>
  </si>
  <si>
    <t>わじまし</t>
  </si>
  <si>
    <t>0768</t>
  </si>
  <si>
    <t>927-21 927-22 927-23 928-00 928-02 929-23</t>
  </si>
  <si>
    <t>17205</t>
  </si>
  <si>
    <t>珠洲市</t>
  </si>
  <si>
    <t>すずし</t>
  </si>
  <si>
    <t>927-12 927-13 927-14</t>
  </si>
  <si>
    <t>17206</t>
  </si>
  <si>
    <t>加賀市</t>
  </si>
  <si>
    <t>かがし</t>
  </si>
  <si>
    <t>922-00 922-01 922-02 922-03 922-04 922-05 922-06 922-08</t>
  </si>
  <si>
    <t>17207</t>
  </si>
  <si>
    <t>羽咋市</t>
  </si>
  <si>
    <t>はくいし</t>
  </si>
  <si>
    <t>925-00 925-06 929-15</t>
  </si>
  <si>
    <t>17209</t>
  </si>
  <si>
    <t>かほく市</t>
  </si>
  <si>
    <t>かほくし</t>
  </si>
  <si>
    <t>929-11 929-12</t>
  </si>
  <si>
    <t>17210</t>
  </si>
  <si>
    <t>白山市</t>
  </si>
  <si>
    <t>はくさんし</t>
  </si>
  <si>
    <t>920-21 920-23 920-25 924-00 924-08 929-02</t>
  </si>
  <si>
    <t>17211</t>
  </si>
  <si>
    <t>能美市</t>
  </si>
  <si>
    <t>のみし</t>
  </si>
  <si>
    <t>923-11 923-12 929-01</t>
  </si>
  <si>
    <t>17212</t>
  </si>
  <si>
    <t>野々市市</t>
  </si>
  <si>
    <t>ののいちし</t>
  </si>
  <si>
    <t>921-00 921-88</t>
  </si>
  <si>
    <t>17324</t>
  </si>
  <si>
    <t>能美郡川北町</t>
  </si>
  <si>
    <t>のみぐんかわきたまち</t>
  </si>
  <si>
    <t>923-12</t>
  </si>
  <si>
    <t>17361</t>
  </si>
  <si>
    <t>河北郡津幡町</t>
  </si>
  <si>
    <t>かほくぐんつばたまち</t>
  </si>
  <si>
    <t>929-03 929-04</t>
  </si>
  <si>
    <t>17365</t>
  </si>
  <si>
    <t>河北郡内灘町</t>
  </si>
  <si>
    <t>かほくぐんうちなだまち</t>
  </si>
  <si>
    <t>920-02</t>
  </si>
  <si>
    <t>17384</t>
  </si>
  <si>
    <t>羽咋郡志賀町</t>
  </si>
  <si>
    <t>はくいぐんしかまち</t>
  </si>
  <si>
    <t>925-01 925-02 925-03 925-04 925-05</t>
  </si>
  <si>
    <t>17386</t>
  </si>
  <si>
    <t>羽咋郡宝達志水町</t>
  </si>
  <si>
    <t>はくいぐんほうだつしみずちょう</t>
  </si>
  <si>
    <t>929-13 929-14 939-01</t>
  </si>
  <si>
    <t>17407</t>
  </si>
  <si>
    <t>鹿島郡中能登町</t>
  </si>
  <si>
    <t>かしまぐんなかのとまち</t>
  </si>
  <si>
    <t>929-15 929-16 929-17 929-18</t>
  </si>
  <si>
    <t>17461</t>
  </si>
  <si>
    <t>鳳珠郡穴水町</t>
  </si>
  <si>
    <t>ほうすぐんあなみずまち</t>
  </si>
  <si>
    <t>927-00 927-02</t>
  </si>
  <si>
    <t>17463</t>
  </si>
  <si>
    <t>鳳珠郡能登町</t>
  </si>
  <si>
    <t>ほうすぐんのとちょう</t>
  </si>
  <si>
    <t>927-03 927-04 927-05 927-06 928-03</t>
  </si>
  <si>
    <t>18201</t>
  </si>
  <si>
    <t>福井市</t>
  </si>
  <si>
    <t>ふくいし</t>
  </si>
  <si>
    <t>0776 07797</t>
  </si>
  <si>
    <t>910-00 910-01 910-08 910-21 910-22 910-23 910-24 910-31 910-32 910-33 910-34 910-35 910-36 918-00 918-80 918-81 918-82 919-03</t>
  </si>
  <si>
    <t>18202</t>
  </si>
  <si>
    <t>敦賀市</t>
  </si>
  <si>
    <t>つるがし</t>
  </si>
  <si>
    <t>0770</t>
  </si>
  <si>
    <t>914-00 914-01 914-02 914-03 914-08 919-12</t>
  </si>
  <si>
    <t>18204</t>
  </si>
  <si>
    <t>小浜市</t>
  </si>
  <si>
    <t>おばまし</t>
  </si>
  <si>
    <t>917-00 917-01 917-02 917-03</t>
  </si>
  <si>
    <t>18205</t>
  </si>
  <si>
    <t>大野市</t>
  </si>
  <si>
    <t>おおのし</t>
  </si>
  <si>
    <t>0779</t>
  </si>
  <si>
    <t>912-00 912-01 912-02 912-04 912-08</t>
  </si>
  <si>
    <t>18206</t>
  </si>
  <si>
    <t>勝山市</t>
  </si>
  <si>
    <t>かつやまし</t>
  </si>
  <si>
    <t>911-00 911-08</t>
  </si>
  <si>
    <t>18207</t>
  </si>
  <si>
    <t>鯖江市</t>
  </si>
  <si>
    <t>さばえし</t>
  </si>
  <si>
    <t>0778</t>
  </si>
  <si>
    <t>916-00 916-11 916-12</t>
  </si>
  <si>
    <t>18208</t>
  </si>
  <si>
    <t>あわら市</t>
  </si>
  <si>
    <t>あわらし</t>
  </si>
  <si>
    <t>0776</t>
  </si>
  <si>
    <t>910-41 910-42 919-06 919-07 919-08 922-06</t>
  </si>
  <si>
    <t>18209</t>
  </si>
  <si>
    <t>越前市</t>
  </si>
  <si>
    <t>えちぜんし</t>
  </si>
  <si>
    <t>915-00 915-02 915-08 915-12</t>
  </si>
  <si>
    <t>18210</t>
  </si>
  <si>
    <t>坂井市</t>
  </si>
  <si>
    <t>さかいし</t>
  </si>
  <si>
    <t>910-02 910-03 913-00 919-04 919-05</t>
  </si>
  <si>
    <t>18322</t>
  </si>
  <si>
    <t>吉田郡永平寺町</t>
  </si>
  <si>
    <t>よしだぐんえいへいじちょう</t>
  </si>
  <si>
    <t>910-11 910-12 910-13</t>
  </si>
  <si>
    <t>18382</t>
  </si>
  <si>
    <t>今立郡池田町</t>
  </si>
  <si>
    <t>いまだてぐんいけだちょう</t>
  </si>
  <si>
    <t>910-25</t>
  </si>
  <si>
    <t>18404</t>
  </si>
  <si>
    <t>南条郡南越前町</t>
  </si>
  <si>
    <t>なんじょうぐんみなみえちぜんちょう</t>
  </si>
  <si>
    <t>915-11 919-01 919-02</t>
  </si>
  <si>
    <t>18423</t>
  </si>
  <si>
    <t>丹生郡越前町</t>
  </si>
  <si>
    <t>にゅうぐんえちぜんちょう</t>
  </si>
  <si>
    <t>916-01 916-02 916-03 916-04</t>
  </si>
  <si>
    <t>18442</t>
  </si>
  <si>
    <t>三方郡美浜町</t>
  </si>
  <si>
    <t>みかたぐんみはまちょう</t>
  </si>
  <si>
    <t>919-11 919-12</t>
  </si>
  <si>
    <t>18481</t>
  </si>
  <si>
    <t>大飯郡高浜町</t>
  </si>
  <si>
    <t>おおいぐんたかはまちょう</t>
  </si>
  <si>
    <t>919-22 919-23</t>
  </si>
  <si>
    <t>18483</t>
  </si>
  <si>
    <t>大飯郡おおい町</t>
  </si>
  <si>
    <t>おおいぐんおおいちょう</t>
  </si>
  <si>
    <t>917-03 919-21</t>
  </si>
  <si>
    <t>18501</t>
  </si>
  <si>
    <t>三方上中郡若狭町</t>
  </si>
  <si>
    <t>みかたかみなかぐんわかさちょう</t>
  </si>
  <si>
    <t>919-13 919-14 919-15</t>
  </si>
  <si>
    <t>19201</t>
  </si>
  <si>
    <t>甲府市</t>
  </si>
  <si>
    <t>こうふし</t>
  </si>
  <si>
    <t>055 0555</t>
  </si>
  <si>
    <t>400-00 400-08 400-11 400-12 400-15 409-37</t>
  </si>
  <si>
    <t>19202</t>
  </si>
  <si>
    <t>富士吉田市</t>
  </si>
  <si>
    <t>ふじよしだし</t>
  </si>
  <si>
    <t>0555</t>
  </si>
  <si>
    <t>403-00</t>
  </si>
  <si>
    <t>19204</t>
  </si>
  <si>
    <t>都留市</t>
  </si>
  <si>
    <t>つるし</t>
  </si>
  <si>
    <t>0554</t>
  </si>
  <si>
    <t>402-00</t>
  </si>
  <si>
    <t>19205</t>
  </si>
  <si>
    <t>山梨市</t>
  </si>
  <si>
    <t>やまなしし</t>
  </si>
  <si>
    <t>0553</t>
  </si>
  <si>
    <t>404-00 404-02 405-00</t>
  </si>
  <si>
    <t>19206</t>
  </si>
  <si>
    <t>大月市</t>
  </si>
  <si>
    <t>おおつきし</t>
  </si>
  <si>
    <t>401-00 409-05 409-06</t>
  </si>
  <si>
    <t>19207</t>
  </si>
  <si>
    <t>韮崎市</t>
  </si>
  <si>
    <t>にらさきし</t>
  </si>
  <si>
    <t>0551</t>
  </si>
  <si>
    <t>407-00 407-01 407-02</t>
  </si>
  <si>
    <t>19208</t>
  </si>
  <si>
    <t>南アルプス市</t>
  </si>
  <si>
    <t>みなみあるぷすし</t>
  </si>
  <si>
    <t>055</t>
  </si>
  <si>
    <t>400-02 400-03 400-04</t>
  </si>
  <si>
    <t>19209</t>
  </si>
  <si>
    <t>北杜市</t>
  </si>
  <si>
    <t>407-03 408-00 408-01 408-02 408-03 409-15</t>
  </si>
  <si>
    <t>19210</t>
  </si>
  <si>
    <t>甲斐市</t>
  </si>
  <si>
    <t>かいし</t>
  </si>
  <si>
    <t>055 0551</t>
  </si>
  <si>
    <t>400-01 400-11 400-12 407-01</t>
  </si>
  <si>
    <t>19211</t>
  </si>
  <si>
    <t>笛吹市</t>
  </si>
  <si>
    <t>ふえふきし</t>
  </si>
  <si>
    <t>0553 055</t>
  </si>
  <si>
    <t>405-00 406-00 406-08 409-37</t>
  </si>
  <si>
    <t>19212</t>
  </si>
  <si>
    <t>上野原市</t>
  </si>
  <si>
    <t>うえのはらし</t>
  </si>
  <si>
    <t>401-02 409-01</t>
  </si>
  <si>
    <t>19213</t>
  </si>
  <si>
    <t>甲州市</t>
  </si>
  <si>
    <t>こうしゅうし</t>
  </si>
  <si>
    <t>404-00 404-02 409-12 409-13</t>
  </si>
  <si>
    <t>19214</t>
  </si>
  <si>
    <t>中央市</t>
  </si>
  <si>
    <t>ちゅうおうし</t>
  </si>
  <si>
    <t>400-15 409-38</t>
  </si>
  <si>
    <t>19346</t>
  </si>
  <si>
    <t>西八代郡市川三郷町</t>
  </si>
  <si>
    <t>にしやつしろぐんいちかわみさとちょう</t>
  </si>
  <si>
    <t>055 0556</t>
  </si>
  <si>
    <t>409-32 409-36 409-37</t>
  </si>
  <si>
    <t>19364</t>
  </si>
  <si>
    <t>南巨摩郡早川町</t>
  </si>
  <si>
    <t>みなみこまぐんはやかわちょう</t>
  </si>
  <si>
    <t>0556</t>
  </si>
  <si>
    <t>409-27</t>
  </si>
  <si>
    <t>19365</t>
  </si>
  <si>
    <t>南巨摩郡身延町</t>
  </si>
  <si>
    <t>みなみこまぐんみのぶちょう</t>
  </si>
  <si>
    <t>409-24 409-25 409-29 409-31 409-33 409-34</t>
  </si>
  <si>
    <t>19366</t>
  </si>
  <si>
    <t>南巨摩郡南部町</t>
  </si>
  <si>
    <t>みなみこまぐんなんぶちょう</t>
  </si>
  <si>
    <t>409-21 409-22 409-23</t>
  </si>
  <si>
    <t>19368</t>
  </si>
  <si>
    <t>南巨摩郡富士川町</t>
  </si>
  <si>
    <t>みなみこまぐんふじかわちょう</t>
  </si>
  <si>
    <t>400-05 400-06</t>
  </si>
  <si>
    <t>19384</t>
  </si>
  <si>
    <t>中巨摩郡昭和町</t>
  </si>
  <si>
    <t>なかこまぐんしょうわちょう</t>
  </si>
  <si>
    <t>409-38</t>
  </si>
  <si>
    <t>19422</t>
  </si>
  <si>
    <t>南都留郡道志村</t>
  </si>
  <si>
    <t>みなみつるぐんどうしむら</t>
  </si>
  <si>
    <t>402-02</t>
  </si>
  <si>
    <t>19423</t>
  </si>
  <si>
    <t>南都留郡西桂町</t>
  </si>
  <si>
    <t>みなみつるぐんにしかつらちょう</t>
  </si>
  <si>
    <t>19424</t>
  </si>
  <si>
    <t>南都留郡忍野村</t>
  </si>
  <si>
    <t>みなみつるぐんおしのむら</t>
  </si>
  <si>
    <t>401-05</t>
  </si>
  <si>
    <t>19425</t>
  </si>
  <si>
    <t>南都留郡山中湖村</t>
  </si>
  <si>
    <t>みなみつるぐんやまなかこむら</t>
  </si>
  <si>
    <t>19429</t>
  </si>
  <si>
    <t>南都留郡鳴沢村</t>
  </si>
  <si>
    <t>みなみつるぐんなるさわむら</t>
  </si>
  <si>
    <t>401-03</t>
  </si>
  <si>
    <t>19430</t>
  </si>
  <si>
    <t>南都留郡富士河口湖町</t>
  </si>
  <si>
    <t>みなみつるぐんふじかわぐちこまち</t>
  </si>
  <si>
    <t>401-03 409-37</t>
  </si>
  <si>
    <t>19442</t>
  </si>
  <si>
    <t>北都留郡小菅村</t>
  </si>
  <si>
    <t>きたつるぐんこすげむら</t>
  </si>
  <si>
    <t>409-01 409-02</t>
  </si>
  <si>
    <t>19443</t>
  </si>
  <si>
    <t>北都留郡丹波山村</t>
  </si>
  <si>
    <t>きたつるぐんたばやまむら</t>
  </si>
  <si>
    <t>409-03</t>
  </si>
  <si>
    <t>20201</t>
  </si>
  <si>
    <t>長野市</t>
  </si>
  <si>
    <t>ながのし</t>
  </si>
  <si>
    <t>026</t>
  </si>
  <si>
    <t>380-08 380-09 381-00 381-01 381-12 381-22 381-23 381-24 381-27 381-31 381-32 381-41 381-43 388-80 389-11</t>
  </si>
  <si>
    <t>20202</t>
  </si>
  <si>
    <t>松本市</t>
  </si>
  <si>
    <t>まつもとし</t>
  </si>
  <si>
    <t>0263</t>
  </si>
  <si>
    <t>390-02 390-03 390-08 390-11 390-12 390-14 390-15 390-16 390-17 399-00 399-74 399-82</t>
  </si>
  <si>
    <t>20203</t>
  </si>
  <si>
    <t>上田市</t>
  </si>
  <si>
    <t>うえだし</t>
  </si>
  <si>
    <t>0268</t>
  </si>
  <si>
    <t>386-00 386-01 386-03 386-04 386-05 386-11 386-12 386-13 386-14 386-15 386-22</t>
  </si>
  <si>
    <t>20204</t>
  </si>
  <si>
    <t>岡谷市</t>
  </si>
  <si>
    <t>おかやし</t>
  </si>
  <si>
    <t>0266</t>
  </si>
  <si>
    <t>394-00</t>
  </si>
  <si>
    <t>20205</t>
  </si>
  <si>
    <t>飯田市</t>
  </si>
  <si>
    <t>いいだし</t>
  </si>
  <si>
    <t>0265 0260</t>
  </si>
  <si>
    <t>395-00 395-01 395-02 395-08 399-12 399-13 399-14 399-22 399-24 399-25 399-26</t>
  </si>
  <si>
    <t>20206</t>
  </si>
  <si>
    <t>諏訪市</t>
  </si>
  <si>
    <t>すわし</t>
  </si>
  <si>
    <t>392-00 392-01</t>
  </si>
  <si>
    <t>20207</t>
  </si>
  <si>
    <t>須坂市</t>
  </si>
  <si>
    <t>すざかし</t>
  </si>
  <si>
    <t>382-00 386-22</t>
  </si>
  <si>
    <t>20208</t>
  </si>
  <si>
    <t>小諸市</t>
  </si>
  <si>
    <t>こもろし</t>
  </si>
  <si>
    <t>0267</t>
  </si>
  <si>
    <t>384-00 384-08</t>
  </si>
  <si>
    <t>20209</t>
  </si>
  <si>
    <t>伊那市</t>
  </si>
  <si>
    <t>いなし</t>
  </si>
  <si>
    <t>0265</t>
  </si>
  <si>
    <t>396-00 396-01 396-02 396-03 396-04 396-06 399-44 399-45</t>
  </si>
  <si>
    <t>20210</t>
  </si>
  <si>
    <t>駒ヶ根市</t>
  </si>
  <si>
    <t>こまがねし</t>
  </si>
  <si>
    <t>399-41 399-42 399-43</t>
  </si>
  <si>
    <t>20211</t>
  </si>
  <si>
    <t>中野市</t>
  </si>
  <si>
    <t>なかのし</t>
  </si>
  <si>
    <t>0269</t>
  </si>
  <si>
    <t>383-00 389-21 389-23</t>
  </si>
  <si>
    <t>20212</t>
  </si>
  <si>
    <t>大町市</t>
  </si>
  <si>
    <t>おおまちし</t>
  </si>
  <si>
    <t>0261</t>
  </si>
  <si>
    <t>398-00 399-73 399-91</t>
  </si>
  <si>
    <t>20213</t>
  </si>
  <si>
    <t>飯山市</t>
  </si>
  <si>
    <t>いいやまし</t>
  </si>
  <si>
    <t>389-22 389-23 389-24 389-26</t>
  </si>
  <si>
    <t>20214</t>
  </si>
  <si>
    <t>茅野市</t>
  </si>
  <si>
    <t>ちのし</t>
  </si>
  <si>
    <t>391-00 391-02 391-03</t>
  </si>
  <si>
    <t>20215</t>
  </si>
  <si>
    <t>塩尻市</t>
  </si>
  <si>
    <t>しおじりし</t>
  </si>
  <si>
    <t>0263 0264</t>
  </si>
  <si>
    <t>399-00 399-06 399-07 399-63 399-64</t>
  </si>
  <si>
    <t>20217</t>
  </si>
  <si>
    <t>佐久市</t>
  </si>
  <si>
    <t>さくし</t>
  </si>
  <si>
    <t>384-03 384-04 384-06 384-21 384-22 385-00</t>
  </si>
  <si>
    <t>20218</t>
  </si>
  <si>
    <t>千曲市</t>
  </si>
  <si>
    <t>ちくまし</t>
  </si>
  <si>
    <t>387-00 389-08</t>
  </si>
  <si>
    <t>20219</t>
  </si>
  <si>
    <t>東御市</t>
  </si>
  <si>
    <t>とうみし</t>
  </si>
  <si>
    <t>389-04 389-05</t>
  </si>
  <si>
    <t>20220</t>
  </si>
  <si>
    <t>安曇野市</t>
  </si>
  <si>
    <t>あづみのし</t>
  </si>
  <si>
    <t>399-71 399-81 399-82 399-83</t>
  </si>
  <si>
    <t>20303</t>
  </si>
  <si>
    <t>南佐久郡小海町</t>
  </si>
  <si>
    <t>みなみさくぐんこうみまち</t>
  </si>
  <si>
    <t>384-11</t>
  </si>
  <si>
    <t>20304</t>
  </si>
  <si>
    <t>南佐久郡川上村</t>
  </si>
  <si>
    <t>みなみさくぐんかわかみむら</t>
  </si>
  <si>
    <t>384-14</t>
  </si>
  <si>
    <t>20305</t>
  </si>
  <si>
    <t>南佐久郡南牧村</t>
  </si>
  <si>
    <t>みなみさくぐんみなみまきむら</t>
  </si>
  <si>
    <t>384-13</t>
  </si>
  <si>
    <t>20306</t>
  </si>
  <si>
    <t>南佐久郡南相木村</t>
  </si>
  <si>
    <t>みなみさくぐんみなみあいきむら</t>
  </si>
  <si>
    <t>384-12</t>
  </si>
  <si>
    <t>20307</t>
  </si>
  <si>
    <t>南佐久郡北相木村</t>
  </si>
  <si>
    <t>みなみさくぐんきたあいきむら</t>
  </si>
  <si>
    <t>20309</t>
  </si>
  <si>
    <t>南佐久郡佐久穂町</t>
  </si>
  <si>
    <t>みなみさくぐんさくほまち</t>
  </si>
  <si>
    <t>384-05 384-06 384-07</t>
  </si>
  <si>
    <t>20321</t>
  </si>
  <si>
    <t>北佐久郡軽井沢町</t>
  </si>
  <si>
    <t>きたさくぐんかるいざわまち</t>
  </si>
  <si>
    <t>389-01</t>
  </si>
  <si>
    <t>20323</t>
  </si>
  <si>
    <t>北佐久郡御代田町</t>
  </si>
  <si>
    <t>きたさくぐんみよたまち</t>
  </si>
  <si>
    <t>389-02</t>
  </si>
  <si>
    <t>20324</t>
  </si>
  <si>
    <t>北佐久郡立科町</t>
  </si>
  <si>
    <t>きたさくぐんたてしなまち</t>
  </si>
  <si>
    <t>384-22 384-23 391-03</t>
  </si>
  <si>
    <t>20349</t>
  </si>
  <si>
    <t>小県郡青木村</t>
  </si>
  <si>
    <t>ちいさがたぐんあおきむら</t>
  </si>
  <si>
    <t>386-16</t>
  </si>
  <si>
    <t>20350</t>
  </si>
  <si>
    <t>小県郡長和町</t>
  </si>
  <si>
    <t>ちいさがたぐんながわまち</t>
  </si>
  <si>
    <t>386-06 386-07</t>
  </si>
  <si>
    <t>20361</t>
  </si>
  <si>
    <t>諏訪郡下諏訪町</t>
  </si>
  <si>
    <t>すわぐんしもすわまち</t>
  </si>
  <si>
    <t>393-00</t>
  </si>
  <si>
    <t>20362</t>
  </si>
  <si>
    <t>諏訪郡富士見町</t>
  </si>
  <si>
    <t>すわぐんふじみまち</t>
  </si>
  <si>
    <t>391-00 399-01 399-02</t>
  </si>
  <si>
    <t>20363</t>
  </si>
  <si>
    <t>諏訪郡原村</t>
  </si>
  <si>
    <t>すわぐんはらむら</t>
  </si>
  <si>
    <t>391-01</t>
  </si>
  <si>
    <t>20382</t>
  </si>
  <si>
    <t>上伊那郡辰野町</t>
  </si>
  <si>
    <t>かみいなぐんたつのまち</t>
  </si>
  <si>
    <t>399-04 399-05 399-06</t>
  </si>
  <si>
    <t>20383</t>
  </si>
  <si>
    <t>上伊那郡箕輪町</t>
  </si>
  <si>
    <t>かみいなぐんみのわまち</t>
  </si>
  <si>
    <t>399-46</t>
  </si>
  <si>
    <t>20384</t>
  </si>
  <si>
    <t>上伊那郡飯島町</t>
  </si>
  <si>
    <t>かみいなぐんいいじままち</t>
  </si>
  <si>
    <t>399-37</t>
  </si>
  <si>
    <t>20385</t>
  </si>
  <si>
    <t>上伊那郡南箕輪村</t>
  </si>
  <si>
    <t>かみいなぐんみなみみのわむら</t>
  </si>
  <si>
    <t>399-45</t>
  </si>
  <si>
    <t>20386</t>
  </si>
  <si>
    <t>上伊那郡中川村</t>
  </si>
  <si>
    <t>かみいなぐんなかがわむら</t>
  </si>
  <si>
    <t>399-38</t>
  </si>
  <si>
    <t>20388</t>
  </si>
  <si>
    <t>上伊那郡宮田村</t>
  </si>
  <si>
    <t>かみいなぐんみやだむら</t>
  </si>
  <si>
    <t>399-43</t>
  </si>
  <si>
    <t>20402</t>
  </si>
  <si>
    <t>下伊那郡松川町</t>
  </si>
  <si>
    <t>しもいなぐんまつかわまち</t>
  </si>
  <si>
    <t>399-33</t>
  </si>
  <si>
    <t>20403</t>
  </si>
  <si>
    <t>下伊那郡高森町</t>
  </si>
  <si>
    <t>しもいなぐんたかもりまち</t>
  </si>
  <si>
    <t>399-31</t>
  </si>
  <si>
    <t>20404</t>
  </si>
  <si>
    <t>下伊那郡阿南町</t>
  </si>
  <si>
    <t>しもいなぐんあなんちょう</t>
  </si>
  <si>
    <t>0260</t>
  </si>
  <si>
    <t>399-15 399-16</t>
  </si>
  <si>
    <t>20407</t>
  </si>
  <si>
    <t>下伊那郡阿智村</t>
  </si>
  <si>
    <t>しもいなぐんあちむら</t>
  </si>
  <si>
    <t>395-03 395-04 395-05</t>
  </si>
  <si>
    <t>20409</t>
  </si>
  <si>
    <t>下伊那郡平谷村</t>
  </si>
  <si>
    <t>しもいなぐんひらやむら</t>
  </si>
  <si>
    <t>395-06</t>
  </si>
  <si>
    <t>20410</t>
  </si>
  <si>
    <t>下伊那郡根羽村</t>
  </si>
  <si>
    <t>しもいなぐんねばむら</t>
  </si>
  <si>
    <t>395-07</t>
  </si>
  <si>
    <t>20411</t>
  </si>
  <si>
    <t>下伊那郡下條村</t>
  </si>
  <si>
    <t>しもいなぐんしもじょうむら</t>
  </si>
  <si>
    <t>399-21</t>
  </si>
  <si>
    <t>20412</t>
  </si>
  <si>
    <t>下伊那郡売木村</t>
  </si>
  <si>
    <t>しもいなぐんうるぎむら</t>
  </si>
  <si>
    <t>399-16</t>
  </si>
  <si>
    <t>20413</t>
  </si>
  <si>
    <t>下伊那郡天龍村</t>
  </si>
  <si>
    <t>しもいなぐんてんりゅうむら</t>
  </si>
  <si>
    <t>399-12</t>
  </si>
  <si>
    <t>20414</t>
  </si>
  <si>
    <t>下伊那郡泰阜村</t>
  </si>
  <si>
    <t>しもいなぐんやすおかむら</t>
  </si>
  <si>
    <t>399-18</t>
  </si>
  <si>
    <t>20415</t>
  </si>
  <si>
    <t>下伊那郡喬木村</t>
  </si>
  <si>
    <t>しもいなぐんたかぎむら</t>
  </si>
  <si>
    <t>395-11</t>
  </si>
  <si>
    <t>20416</t>
  </si>
  <si>
    <t>下伊那郡豊丘村</t>
  </si>
  <si>
    <t>しもいなぐんとよおかむら</t>
  </si>
  <si>
    <t>399-32 399-33</t>
  </si>
  <si>
    <t>20417</t>
  </si>
  <si>
    <t>下伊那郡大鹿村</t>
  </si>
  <si>
    <t>しもいなぐんおおしかむら</t>
  </si>
  <si>
    <t>399-35</t>
  </si>
  <si>
    <t>20422</t>
  </si>
  <si>
    <t>木曽郡上松町</t>
  </si>
  <si>
    <t>きそぐんあげまつまち</t>
  </si>
  <si>
    <t>0264</t>
  </si>
  <si>
    <t>399-56</t>
  </si>
  <si>
    <t>20423</t>
  </si>
  <si>
    <t>木曽郡南木曽町</t>
  </si>
  <si>
    <t>きそぐんなぎそまち</t>
  </si>
  <si>
    <t>0264 0573</t>
  </si>
  <si>
    <t>399-53</t>
  </si>
  <si>
    <t>20425</t>
  </si>
  <si>
    <t>木曽郡木祖村</t>
  </si>
  <si>
    <t>きそぐんきそむら</t>
  </si>
  <si>
    <t>399-62</t>
  </si>
  <si>
    <t>20429</t>
  </si>
  <si>
    <t>木曽郡王滝村</t>
  </si>
  <si>
    <t>きそぐんおうたきむら</t>
  </si>
  <si>
    <t>397-02</t>
  </si>
  <si>
    <t>20430</t>
  </si>
  <si>
    <t>木曽郡大桑村</t>
  </si>
  <si>
    <t>きそぐんおおくわむら</t>
  </si>
  <si>
    <t>399-55</t>
  </si>
  <si>
    <t>20432</t>
  </si>
  <si>
    <t>木曽郡木曽町</t>
  </si>
  <si>
    <t>きそぐんきそまち</t>
  </si>
  <si>
    <t>397-00 397-01 397-03 399-61</t>
  </si>
  <si>
    <t>20446</t>
  </si>
  <si>
    <t>東筑摩郡麻績村</t>
  </si>
  <si>
    <t>ひがしちくまぐんおみむら</t>
  </si>
  <si>
    <t>399-77</t>
  </si>
  <si>
    <t>20448</t>
  </si>
  <si>
    <t>東筑摩郡生坂村</t>
  </si>
  <si>
    <t>ひがしちくまぐんいくさかむら</t>
  </si>
  <si>
    <t>399-72 399-73</t>
  </si>
  <si>
    <t>20450</t>
  </si>
  <si>
    <t>東筑摩郡山形村</t>
  </si>
  <si>
    <t>ひがしちくまぐんやまがたむら</t>
  </si>
  <si>
    <t>390-13</t>
  </si>
  <si>
    <t>20451</t>
  </si>
  <si>
    <t>東筑摩郡朝日村</t>
  </si>
  <si>
    <t>ひがしちくまぐんあさひむら</t>
  </si>
  <si>
    <t>390-11</t>
  </si>
  <si>
    <t>20452</t>
  </si>
  <si>
    <t>東筑摩郡筑北村</t>
  </si>
  <si>
    <t>ひがしちくまぐんちくほくむら</t>
  </si>
  <si>
    <t>399-75 399-76 399-77</t>
  </si>
  <si>
    <t>20481</t>
  </si>
  <si>
    <t>北安曇郡池田町</t>
  </si>
  <si>
    <t>きたあづみぐんいけだまち</t>
  </si>
  <si>
    <t>399-86</t>
  </si>
  <si>
    <t>20482</t>
  </si>
  <si>
    <t>北安曇郡松川村</t>
  </si>
  <si>
    <t>きたあづみぐんまつかわむら</t>
  </si>
  <si>
    <t>399-85</t>
  </si>
  <si>
    <t>20485</t>
  </si>
  <si>
    <t>北安曇郡白馬村</t>
  </si>
  <si>
    <t>きたあづみぐんはくばむら</t>
  </si>
  <si>
    <t>399-92 399-93</t>
  </si>
  <si>
    <t>20486</t>
  </si>
  <si>
    <t>北安曇郡小谷村</t>
  </si>
  <si>
    <t>きたあづみぐんおたりむら</t>
  </si>
  <si>
    <t>399-94 399-95 399-96</t>
  </si>
  <si>
    <t>20521</t>
  </si>
  <si>
    <t>埴科郡坂城町</t>
  </si>
  <si>
    <t>はにしなぐんさかきまち</t>
  </si>
  <si>
    <t>389-06</t>
  </si>
  <si>
    <t>20541</t>
  </si>
  <si>
    <t>上高井郡小布施町</t>
  </si>
  <si>
    <t>かみたかいぐんおぶせまち</t>
  </si>
  <si>
    <t>381-02</t>
  </si>
  <si>
    <t>20543</t>
  </si>
  <si>
    <t>上高井郡高山村</t>
  </si>
  <si>
    <t>かみたかいぐんたかやまむら</t>
  </si>
  <si>
    <t>382-08</t>
  </si>
  <si>
    <t>20561</t>
  </si>
  <si>
    <t>下高井郡山ノ内町</t>
  </si>
  <si>
    <t>しもたかいぐんやまのうちまち</t>
  </si>
  <si>
    <t>381-04</t>
  </si>
  <si>
    <t>20562</t>
  </si>
  <si>
    <t>下高井郡木島平村</t>
  </si>
  <si>
    <t>しもたかいぐんきじまだいらむら</t>
  </si>
  <si>
    <t>389-23</t>
  </si>
  <si>
    <t>20563</t>
  </si>
  <si>
    <t>下高井郡野沢温泉村</t>
  </si>
  <si>
    <t>しもたかいぐんのざわおんせんむら</t>
  </si>
  <si>
    <t>389-25 389-26</t>
  </si>
  <si>
    <t>20583</t>
  </si>
  <si>
    <t>上水内郡信濃町</t>
  </si>
  <si>
    <t>かみみのちぐんしなのまち</t>
  </si>
  <si>
    <t>389-13</t>
  </si>
  <si>
    <t>20588</t>
  </si>
  <si>
    <t>上水内郡小川村</t>
  </si>
  <si>
    <t>かみみのちぐんおがわむら</t>
  </si>
  <si>
    <t>381-33</t>
  </si>
  <si>
    <t>20590</t>
  </si>
  <si>
    <t>上水内郡飯綱町</t>
  </si>
  <si>
    <t>かみみのちぐんいいづなまち</t>
  </si>
  <si>
    <t>389-12</t>
  </si>
  <si>
    <t>20602</t>
  </si>
  <si>
    <t>下水内郡栄村</t>
  </si>
  <si>
    <t>しもみのちぐんさかえむら</t>
  </si>
  <si>
    <t>389-27 949-83</t>
  </si>
  <si>
    <t>21201</t>
  </si>
  <si>
    <t>岐阜市</t>
  </si>
  <si>
    <t>ぎふし</t>
  </si>
  <si>
    <t>058</t>
  </si>
  <si>
    <t>500-00 500-80 500-81 500-82 500-83 500-84 500-88 501-01 501-11 501-25 501-31 501-61 502-00 502-08 502-09</t>
  </si>
  <si>
    <t>21202</t>
  </si>
  <si>
    <t>大垣市</t>
  </si>
  <si>
    <t>おおがきし</t>
  </si>
  <si>
    <t>0584</t>
  </si>
  <si>
    <t>503-00 503-01 503-08 503-09 503-16 503-22</t>
  </si>
  <si>
    <t>21203</t>
  </si>
  <si>
    <t>高山市</t>
  </si>
  <si>
    <t>たかやまし</t>
  </si>
  <si>
    <t>0577 0578 05769</t>
  </si>
  <si>
    <t>501-54 506-00 506-01 506-02 506-08 506-13 506-14 506-21 506-22 509-27 509-32 509-33 509-34 509-35 509-41</t>
  </si>
  <si>
    <t>21204</t>
  </si>
  <si>
    <t>多治見市</t>
  </si>
  <si>
    <t>たじみし</t>
  </si>
  <si>
    <t>0572</t>
  </si>
  <si>
    <t>507-00 507-08 507-09</t>
  </si>
  <si>
    <t>21205</t>
  </si>
  <si>
    <t>関市</t>
  </si>
  <si>
    <t>せきし</t>
  </si>
  <si>
    <t>0575 0581</t>
  </si>
  <si>
    <t>501-26 501-28 501-29 501-32 501-35 501-36 501-38 501-39</t>
  </si>
  <si>
    <t>21206</t>
  </si>
  <si>
    <t>中津川市</t>
  </si>
  <si>
    <t>なかつがわし</t>
  </si>
  <si>
    <t>0573 0264</t>
  </si>
  <si>
    <t>508-00 508-01 508-02 508-03 508-04 508-05 509-73 509-83 509-91 509-92</t>
  </si>
  <si>
    <t>21207</t>
  </si>
  <si>
    <t>美濃市</t>
  </si>
  <si>
    <t>みのし</t>
  </si>
  <si>
    <t>0575</t>
  </si>
  <si>
    <t>501-37</t>
  </si>
  <si>
    <t>21208</t>
  </si>
  <si>
    <t>瑞浪市</t>
  </si>
  <si>
    <t>みずなみし</t>
  </si>
  <si>
    <t>509-61 509-62 509-63 509-64</t>
  </si>
  <si>
    <t>21209</t>
  </si>
  <si>
    <t>羽島市</t>
  </si>
  <si>
    <t>はしまし</t>
  </si>
  <si>
    <t>501-62 501-63</t>
  </si>
  <si>
    <t>21210</t>
  </si>
  <si>
    <t>恵那市</t>
  </si>
  <si>
    <t>えなし</t>
  </si>
  <si>
    <t>0573 0572</t>
  </si>
  <si>
    <t>509-71 509-72 509-74 509-75 509-76 509-77 509-78 509-82</t>
  </si>
  <si>
    <t>21211</t>
  </si>
  <si>
    <t>美濃加茂市</t>
  </si>
  <si>
    <t>みのかもし</t>
  </si>
  <si>
    <t>0574</t>
  </si>
  <si>
    <t>505-00</t>
  </si>
  <si>
    <t>21212</t>
  </si>
  <si>
    <t>土岐市</t>
  </si>
  <si>
    <t>ときし</t>
  </si>
  <si>
    <t>509-51 509-52 509-53 509-54</t>
  </si>
  <si>
    <t>21213</t>
  </si>
  <si>
    <t>各務原市</t>
  </si>
  <si>
    <t>かかみがはらし</t>
  </si>
  <si>
    <t>058 0586</t>
  </si>
  <si>
    <t>501-60 504-00 504-08 504-09 509-01</t>
  </si>
  <si>
    <t>21214</t>
  </si>
  <si>
    <t>可児市</t>
  </si>
  <si>
    <t>かにし</t>
  </si>
  <si>
    <t>505-01 509-02</t>
  </si>
  <si>
    <t>21215</t>
  </si>
  <si>
    <t>山県市</t>
  </si>
  <si>
    <t>0581</t>
  </si>
  <si>
    <t>501-21 501-22 501-23</t>
  </si>
  <si>
    <t>21216</t>
  </si>
  <si>
    <t>瑞穂市</t>
  </si>
  <si>
    <t>みずほし</t>
  </si>
  <si>
    <t>058 0584</t>
  </si>
  <si>
    <t>501-02 501-03</t>
  </si>
  <si>
    <t>21217</t>
  </si>
  <si>
    <t>飛騨市</t>
  </si>
  <si>
    <t>ひだし</t>
  </si>
  <si>
    <t>0577 0578</t>
  </si>
  <si>
    <t>506-02 506-11 506-12 509-42 509-43 509-44 509-45</t>
  </si>
  <si>
    <t>21218</t>
  </si>
  <si>
    <t>本巣市</t>
  </si>
  <si>
    <t>もとすし</t>
  </si>
  <si>
    <t>058 0581</t>
  </si>
  <si>
    <t>501-04 501-12 501-15</t>
  </si>
  <si>
    <t>21219</t>
  </si>
  <si>
    <t>郡上市</t>
  </si>
  <si>
    <t>ぐじょうし</t>
  </si>
  <si>
    <t>501-41 501-42 501-43 501-44 501-45 501-46 501-51 501-52 501-53</t>
  </si>
  <si>
    <t>21220</t>
  </si>
  <si>
    <t>下呂市</t>
  </si>
  <si>
    <t>げろし</t>
  </si>
  <si>
    <t>0576</t>
  </si>
  <si>
    <t>509-16 509-21 509-22 509-23 509-24 509-25 509-26 509-31</t>
  </si>
  <si>
    <t>21221</t>
  </si>
  <si>
    <t>海津市</t>
  </si>
  <si>
    <t>かいづし</t>
  </si>
  <si>
    <t>503-03 503-04 503-05 503-06</t>
  </si>
  <si>
    <t>21302</t>
  </si>
  <si>
    <t>羽島郡岐南町</t>
  </si>
  <si>
    <t>はしまぐんぎなんちょう</t>
  </si>
  <si>
    <t>501-60 501-61</t>
  </si>
  <si>
    <t>21303</t>
  </si>
  <si>
    <t>羽島郡笠松町</t>
  </si>
  <si>
    <t>はしまぐんかさまつちょう</t>
  </si>
  <si>
    <t>21341</t>
  </si>
  <si>
    <t>養老郡養老町</t>
  </si>
  <si>
    <t>ようろうぐんようろうちょう</t>
  </si>
  <si>
    <t>503-12 503-13</t>
  </si>
  <si>
    <t>21361</t>
  </si>
  <si>
    <t>不破郡垂井町</t>
  </si>
  <si>
    <t>ふわぐんたるいちょう</t>
  </si>
  <si>
    <t>503-21</t>
  </si>
  <si>
    <t>21362</t>
  </si>
  <si>
    <t>不破郡関ケ原町</t>
  </si>
  <si>
    <t>ふわぐんせきがはらちょう</t>
  </si>
  <si>
    <t>503-15</t>
  </si>
  <si>
    <t>21381</t>
  </si>
  <si>
    <t>安八郡神戸町</t>
  </si>
  <si>
    <t>あんぱちぐんごうどちょう</t>
  </si>
  <si>
    <t>503-23</t>
  </si>
  <si>
    <t>21382</t>
  </si>
  <si>
    <t>安八郡輪之内町</t>
  </si>
  <si>
    <t>あんぱちぐんわのうちちょう</t>
  </si>
  <si>
    <t>503-02</t>
  </si>
  <si>
    <t>21383</t>
  </si>
  <si>
    <t>安八郡安八町</t>
  </si>
  <si>
    <t>あんぱちぐんあんぱちちょう</t>
  </si>
  <si>
    <t>503-01</t>
  </si>
  <si>
    <t>21401</t>
  </si>
  <si>
    <t>揖斐郡揖斐川町</t>
  </si>
  <si>
    <t>いびぐんいびがわちょう</t>
  </si>
  <si>
    <t>0585 0581</t>
  </si>
  <si>
    <t>501-06 501-07 501-08 501-09 501-13 503-25</t>
  </si>
  <si>
    <t>21403</t>
  </si>
  <si>
    <t>揖斐郡大野町</t>
  </si>
  <si>
    <t>いびぐんおおのちょう</t>
  </si>
  <si>
    <t>0585</t>
  </si>
  <si>
    <t>501-05</t>
  </si>
  <si>
    <t>21404</t>
  </si>
  <si>
    <t>揖斐郡池田町</t>
  </si>
  <si>
    <t>いびぐんいけだちょう</t>
  </si>
  <si>
    <t>0585 0584</t>
  </si>
  <si>
    <t>503-24</t>
  </si>
  <si>
    <t>21421</t>
  </si>
  <si>
    <t>本巣郡北方町</t>
  </si>
  <si>
    <t>もとすぐんきたがたちょう</t>
  </si>
  <si>
    <t>501-04</t>
  </si>
  <si>
    <t>21501</t>
  </si>
  <si>
    <t>加茂郡坂祝町</t>
  </si>
  <si>
    <t>かもぐんさかほぎちょう</t>
  </si>
  <si>
    <t>21502</t>
  </si>
  <si>
    <t>加茂郡富加町</t>
  </si>
  <si>
    <t>かもぐんとみかちょう</t>
  </si>
  <si>
    <t>501-33</t>
  </si>
  <si>
    <t>21503</t>
  </si>
  <si>
    <t>加茂郡川辺町</t>
  </si>
  <si>
    <t>かもぐんかわべちょう</t>
  </si>
  <si>
    <t>509-03</t>
  </si>
  <si>
    <t>21504</t>
  </si>
  <si>
    <t>加茂郡七宗町</t>
  </si>
  <si>
    <t>かもぐんひちそうちょう</t>
  </si>
  <si>
    <t>509-04 509-05</t>
  </si>
  <si>
    <t>21505</t>
  </si>
  <si>
    <t>加茂郡八百津町</t>
  </si>
  <si>
    <t>かもぐんやおつちょう</t>
  </si>
  <si>
    <t>505-03 505-04 505-05</t>
  </si>
  <si>
    <t>21506</t>
  </si>
  <si>
    <t>加茂郡白川町</t>
  </si>
  <si>
    <t>かもぐんしらかわちょう</t>
  </si>
  <si>
    <t>509-11 509-12 509-14</t>
  </si>
  <si>
    <t>21507</t>
  </si>
  <si>
    <t>加茂郡東白川村</t>
  </si>
  <si>
    <t>かもぐんひがししらかわむら</t>
  </si>
  <si>
    <t>509-13</t>
  </si>
  <si>
    <t>21521</t>
  </si>
  <si>
    <t>可児郡御嵩町</t>
  </si>
  <si>
    <t>かにぐんみたけちょう</t>
  </si>
  <si>
    <t>505-01</t>
  </si>
  <si>
    <t>21604</t>
  </si>
  <si>
    <t>大野郡白川村</t>
  </si>
  <si>
    <t>おおのぐんしらかわむら</t>
  </si>
  <si>
    <t>05769</t>
  </si>
  <si>
    <t>501-55 501-56</t>
  </si>
  <si>
    <t>22100</t>
  </si>
  <si>
    <t>静岡市</t>
  </si>
  <si>
    <t>しずおかし</t>
  </si>
  <si>
    <t>22101</t>
  </si>
  <si>
    <t>静岡市葵区</t>
  </si>
  <si>
    <t>しずおかしあおいく</t>
  </si>
  <si>
    <t>054</t>
  </si>
  <si>
    <t>420-00 420-08 420-09 421-12 421-13 421-14 421-21 421-22 421-23 422-00 428-05</t>
  </si>
  <si>
    <t>22102</t>
  </si>
  <si>
    <t>静岡市駿河区</t>
  </si>
  <si>
    <t>しずおかしするがく</t>
  </si>
  <si>
    <t>421-01 422-00 422-80</t>
  </si>
  <si>
    <t>22103</t>
  </si>
  <si>
    <t>静岡市清水区</t>
  </si>
  <si>
    <t>しずおかししみずく</t>
  </si>
  <si>
    <t>421-31 421-32 422-00 424-00 424-01 424-02 424-03 424-04 424-08 424-09</t>
  </si>
  <si>
    <t>22130</t>
  </si>
  <si>
    <t>浜松市</t>
  </si>
  <si>
    <t>はままつし</t>
  </si>
  <si>
    <t>22131</t>
  </si>
  <si>
    <t>浜松市中区</t>
  </si>
  <si>
    <t>はままつしなかく</t>
  </si>
  <si>
    <t>053</t>
  </si>
  <si>
    <t>430-08 430-09 430-77 432-00 432-80 433-81 435-00</t>
  </si>
  <si>
    <t>22132</t>
  </si>
  <si>
    <t>浜松市東区</t>
  </si>
  <si>
    <t>はままつしひがしく</t>
  </si>
  <si>
    <t>430-08 431-31 432-00 435-00</t>
  </si>
  <si>
    <t>22133</t>
  </si>
  <si>
    <t>浜松市西区</t>
  </si>
  <si>
    <t>はままつしにしく</t>
  </si>
  <si>
    <t>431-01 431-02 431-11 431-12 432-00 432-80</t>
  </si>
  <si>
    <t>22134</t>
  </si>
  <si>
    <t>浜松市南区</t>
  </si>
  <si>
    <t>はままつしみなみく</t>
  </si>
  <si>
    <t>430-08 432-00 432-80 435-00</t>
  </si>
  <si>
    <t>22135</t>
  </si>
  <si>
    <t>浜松市北区</t>
  </si>
  <si>
    <t>はままつしきたく</t>
  </si>
  <si>
    <t>431-13 431-14 431-21 431-22 431-25 432-00 433-81</t>
  </si>
  <si>
    <t>22136</t>
  </si>
  <si>
    <t>浜松市浜北区</t>
  </si>
  <si>
    <t>はままつしはまきたく</t>
  </si>
  <si>
    <t>434-00</t>
  </si>
  <si>
    <t>22137</t>
  </si>
  <si>
    <t>浜松市天竜区</t>
  </si>
  <si>
    <t>はままつしてんりゅうく</t>
  </si>
  <si>
    <t>431-33 431-34 431-35 431-36 431-37 431-38 431-39 431-41 432-00 437-06</t>
  </si>
  <si>
    <t>22203</t>
  </si>
  <si>
    <t>沼津市</t>
  </si>
  <si>
    <t>ぬまづし</t>
  </si>
  <si>
    <t>055 0558</t>
  </si>
  <si>
    <t>410-00 410-01 410-02 410-03 410-08 410-34</t>
  </si>
  <si>
    <t>22205</t>
  </si>
  <si>
    <t>熱海市</t>
  </si>
  <si>
    <t>あたみし</t>
  </si>
  <si>
    <t>0557 0465</t>
  </si>
  <si>
    <t>413-00 413-01</t>
  </si>
  <si>
    <t>22206</t>
  </si>
  <si>
    <t>三島市</t>
  </si>
  <si>
    <t>みしまし</t>
  </si>
  <si>
    <t>411-00 411-08</t>
  </si>
  <si>
    <t>22207</t>
  </si>
  <si>
    <t>富士宮市</t>
  </si>
  <si>
    <t>ふじのみやし</t>
  </si>
  <si>
    <t>0544</t>
  </si>
  <si>
    <t>418-00 418-01 419-03</t>
  </si>
  <si>
    <t>22208</t>
  </si>
  <si>
    <t>伊東市</t>
  </si>
  <si>
    <t>いとうし</t>
  </si>
  <si>
    <t>0557</t>
  </si>
  <si>
    <t>413-01 413-02 414-00</t>
  </si>
  <si>
    <t>22209</t>
  </si>
  <si>
    <t>島田市</t>
  </si>
  <si>
    <t>しまだし</t>
  </si>
  <si>
    <t>0547</t>
  </si>
  <si>
    <t>427-00 427-01 427-02 428-00 428-01 428-02</t>
  </si>
  <si>
    <t>22210</t>
  </si>
  <si>
    <t>富士市</t>
  </si>
  <si>
    <t>ふじし</t>
  </si>
  <si>
    <t>0545</t>
  </si>
  <si>
    <t>416-09 417-00 417-08 419-02 421-33</t>
  </si>
  <si>
    <t>22211</t>
  </si>
  <si>
    <t>磐田市</t>
  </si>
  <si>
    <t>いわたし</t>
  </si>
  <si>
    <t>0538 0539</t>
  </si>
  <si>
    <t>437-12 438-00 438-01 438-02 438-08</t>
  </si>
  <si>
    <t>22212</t>
  </si>
  <si>
    <t>焼津市</t>
  </si>
  <si>
    <t>やいづし</t>
  </si>
  <si>
    <t>421-02 425-00</t>
  </si>
  <si>
    <t>22213</t>
  </si>
  <si>
    <t>掛川市</t>
  </si>
  <si>
    <t>かけがわし</t>
  </si>
  <si>
    <t>0537</t>
  </si>
  <si>
    <t>436-00 436-01 436-02 436-03 437-13 437-14</t>
  </si>
  <si>
    <t>22214</t>
  </si>
  <si>
    <t>藤枝市</t>
  </si>
  <si>
    <t>ふじえだし</t>
  </si>
  <si>
    <t>421-11 426-00 426-01 426-02</t>
  </si>
  <si>
    <t>22215</t>
  </si>
  <si>
    <t>御殿場市</t>
  </si>
  <si>
    <t>ごてんばし</t>
  </si>
  <si>
    <t>0550</t>
  </si>
  <si>
    <t>412-00</t>
  </si>
  <si>
    <t>22216</t>
  </si>
  <si>
    <t>袋井市</t>
  </si>
  <si>
    <t>ふくろいし</t>
  </si>
  <si>
    <t>0538</t>
  </si>
  <si>
    <t>437-00 437-01 437-11 437-13</t>
  </si>
  <si>
    <t>22219</t>
  </si>
  <si>
    <t>下田市</t>
  </si>
  <si>
    <t>しもだし</t>
  </si>
  <si>
    <t>0558</t>
  </si>
  <si>
    <t>413-07 415-00</t>
  </si>
  <si>
    <t>22220</t>
  </si>
  <si>
    <t>裾野市</t>
  </si>
  <si>
    <t>すそのし</t>
  </si>
  <si>
    <t>055 0460</t>
  </si>
  <si>
    <t>410-11 410-12</t>
  </si>
  <si>
    <t>22221</t>
  </si>
  <si>
    <t>湖西市</t>
  </si>
  <si>
    <t>こさいし</t>
  </si>
  <si>
    <t>431-03 431-04</t>
  </si>
  <si>
    <t>22222</t>
  </si>
  <si>
    <t>伊豆市</t>
  </si>
  <si>
    <t>いずし</t>
  </si>
  <si>
    <t>0558 0557</t>
  </si>
  <si>
    <t>410-24 410-25 410-32 410-33</t>
  </si>
  <si>
    <t>22223</t>
  </si>
  <si>
    <t>御前崎市</t>
  </si>
  <si>
    <t>おまえざきし</t>
  </si>
  <si>
    <t>0548 0537</t>
  </si>
  <si>
    <t>421-06 437-16</t>
  </si>
  <si>
    <t>22224</t>
  </si>
  <si>
    <t>菊川市</t>
  </si>
  <si>
    <t>きくがわし</t>
  </si>
  <si>
    <t>0537 0548</t>
  </si>
  <si>
    <t>437-15 439-00</t>
  </si>
  <si>
    <t>22225</t>
  </si>
  <si>
    <t>伊豆の国市</t>
  </si>
  <si>
    <t>いずのくにし</t>
  </si>
  <si>
    <t>410-21 410-22 410-23</t>
  </si>
  <si>
    <t>22226</t>
  </si>
  <si>
    <t>牧之原市</t>
  </si>
  <si>
    <t>まきのはらし</t>
  </si>
  <si>
    <t>0548</t>
  </si>
  <si>
    <t>421-04 421-05</t>
  </si>
  <si>
    <t>22301</t>
  </si>
  <si>
    <t>賀茂郡東伊豆町</t>
  </si>
  <si>
    <t>かもぐんひがしいずちょう</t>
  </si>
  <si>
    <t>413-03 413-04</t>
  </si>
  <si>
    <t>22302</t>
  </si>
  <si>
    <t>賀茂郡河津町</t>
  </si>
  <si>
    <t>かもぐんかわづちょう</t>
  </si>
  <si>
    <t>413-05</t>
  </si>
  <si>
    <t>22304</t>
  </si>
  <si>
    <t>賀茂郡南伊豆町</t>
  </si>
  <si>
    <t>かもぐんみなみいずちょう</t>
  </si>
  <si>
    <t>415-01 415-03 415-05</t>
  </si>
  <si>
    <t>22305</t>
  </si>
  <si>
    <t>賀茂郡松崎町</t>
  </si>
  <si>
    <t>かもぐんまつざきちょう</t>
  </si>
  <si>
    <t>410-36</t>
  </si>
  <si>
    <t>22306</t>
  </si>
  <si>
    <t>賀茂郡西伊豆町</t>
  </si>
  <si>
    <t>かもぐんにしいずちょう</t>
  </si>
  <si>
    <t>410-35</t>
  </si>
  <si>
    <t>22325</t>
  </si>
  <si>
    <t>田方郡函南町</t>
  </si>
  <si>
    <t>たがたぐんかんなみちょう</t>
  </si>
  <si>
    <t>411-00 419-01</t>
  </si>
  <si>
    <t>22341</t>
  </si>
  <si>
    <t>駿東郡清水町</t>
  </si>
  <si>
    <t>すんとうぐんしみずちょう</t>
  </si>
  <si>
    <t>411-00 411-09</t>
  </si>
  <si>
    <t>22342</t>
  </si>
  <si>
    <t>駿東郡長泉町</t>
  </si>
  <si>
    <t>すんとうぐんながいずみちょう</t>
  </si>
  <si>
    <t>22344</t>
  </si>
  <si>
    <t>駿東郡小山町</t>
  </si>
  <si>
    <t>すんとうぐんおやまちょう</t>
  </si>
  <si>
    <t>410-13 410-14</t>
  </si>
  <si>
    <t>22424</t>
  </si>
  <si>
    <t>榛原郡吉田町</t>
  </si>
  <si>
    <t>はいばらぐんよしだちょう</t>
  </si>
  <si>
    <t>421-03</t>
  </si>
  <si>
    <t>22429</t>
  </si>
  <si>
    <t>榛原郡川根本町</t>
  </si>
  <si>
    <t>はいばらぐんかわねほんちょう</t>
  </si>
  <si>
    <t>428-03 428-04</t>
  </si>
  <si>
    <t>22461</t>
  </si>
  <si>
    <t>周智郡森町</t>
  </si>
  <si>
    <t>しゅうちぐんもりまち</t>
  </si>
  <si>
    <t>437-02</t>
  </si>
  <si>
    <t>23100</t>
  </si>
  <si>
    <t>名古屋市</t>
  </si>
  <si>
    <t>なごやし</t>
  </si>
  <si>
    <t>23101</t>
  </si>
  <si>
    <t>名古屋市千種区</t>
  </si>
  <si>
    <t>なごやしちくさく</t>
  </si>
  <si>
    <t>052</t>
  </si>
  <si>
    <t>464-00 464-08 468-08</t>
  </si>
  <si>
    <t>23102</t>
  </si>
  <si>
    <t>名古屋市東区</t>
  </si>
  <si>
    <t>なごやしひがしく</t>
  </si>
  <si>
    <t>461-00</t>
  </si>
  <si>
    <t>23103</t>
  </si>
  <si>
    <t>名古屋市北区</t>
  </si>
  <si>
    <t>なごやしきたく</t>
  </si>
  <si>
    <t>462-00 462-08</t>
  </si>
  <si>
    <t>23104</t>
  </si>
  <si>
    <t>名古屋市西区</t>
  </si>
  <si>
    <t>なごやしにしく</t>
  </si>
  <si>
    <t>451-00 452-08</t>
  </si>
  <si>
    <t>23105</t>
  </si>
  <si>
    <t>名古屋市中村区</t>
  </si>
  <si>
    <t>なごやしなかむらく</t>
  </si>
  <si>
    <t>450-00 450-60 453-00 453-08</t>
  </si>
  <si>
    <t>23106</t>
  </si>
  <si>
    <t>名古屋市中区</t>
  </si>
  <si>
    <t>なごやしなかく</t>
  </si>
  <si>
    <t>460-00</t>
  </si>
  <si>
    <t>23107</t>
  </si>
  <si>
    <t>名古屋市昭和区</t>
  </si>
  <si>
    <t>なごやししょうわく</t>
  </si>
  <si>
    <t>466-00 466-08</t>
  </si>
  <si>
    <t>23108</t>
  </si>
  <si>
    <t>名古屋市瑞穂区</t>
  </si>
  <si>
    <t>なごやしみずほく</t>
  </si>
  <si>
    <t>467-00 467-08</t>
  </si>
  <si>
    <t>23109</t>
  </si>
  <si>
    <t>名古屋市熱田区</t>
  </si>
  <si>
    <t>なごやしあつたく</t>
  </si>
  <si>
    <t>456-00</t>
  </si>
  <si>
    <t>23110</t>
  </si>
  <si>
    <t>名古屋市中川区</t>
  </si>
  <si>
    <t>なごやしなかがわく</t>
  </si>
  <si>
    <t>454-00 454-08 454-09</t>
  </si>
  <si>
    <t>23111</t>
  </si>
  <si>
    <t>名古屋市港区</t>
  </si>
  <si>
    <t>なごやしみなとく</t>
  </si>
  <si>
    <t>455-00 455-08</t>
  </si>
  <si>
    <t>23112</t>
  </si>
  <si>
    <t>名古屋市南区</t>
  </si>
  <si>
    <t>なごやしみなみく</t>
  </si>
  <si>
    <t>457-00 457-08</t>
  </si>
  <si>
    <t>23113</t>
  </si>
  <si>
    <t>名古屋市守山区</t>
  </si>
  <si>
    <t>なごやしもりやまく</t>
  </si>
  <si>
    <t>463-00 463-08</t>
  </si>
  <si>
    <t>23114</t>
  </si>
  <si>
    <t>名古屋市緑区</t>
  </si>
  <si>
    <t>なごやしみどりく</t>
  </si>
  <si>
    <t>458-00 458-08 458-09 459-80</t>
  </si>
  <si>
    <t>23115</t>
  </si>
  <si>
    <t>名古屋市名東区</t>
  </si>
  <si>
    <t>なごやしめいとうく</t>
  </si>
  <si>
    <t>465-00</t>
  </si>
  <si>
    <t>23116</t>
  </si>
  <si>
    <t>名古屋市天白区</t>
  </si>
  <si>
    <t>なごやしてんぱくく</t>
  </si>
  <si>
    <t>468-00 468-08</t>
  </si>
  <si>
    <t>23201</t>
  </si>
  <si>
    <t>豊橋市</t>
  </si>
  <si>
    <t>とよはしし</t>
  </si>
  <si>
    <t>0532</t>
  </si>
  <si>
    <t>440-00 440-08 441-00 441-01 441-11 441-31 441-32 441-33 441-80 441-81</t>
  </si>
  <si>
    <t>23202</t>
  </si>
  <si>
    <t>岡崎市</t>
  </si>
  <si>
    <t>おかざきし</t>
  </si>
  <si>
    <t>0564</t>
  </si>
  <si>
    <t>444-00 444-02 444-08 444-09 444-21 444-31 444-33 444-34 444-35 444-36</t>
  </si>
  <si>
    <t>23203</t>
  </si>
  <si>
    <t>一宮市</t>
  </si>
  <si>
    <t>いちのみやし</t>
  </si>
  <si>
    <t>0586</t>
  </si>
  <si>
    <t>491-00 491-01 491-02 491-03 491-08 491-09 493-00 493-80 494-00</t>
  </si>
  <si>
    <t>23204</t>
  </si>
  <si>
    <t>瀬戸市</t>
  </si>
  <si>
    <t>せとし</t>
  </si>
  <si>
    <t>0561</t>
  </si>
  <si>
    <t>480-00 480-12 489-00 489-08 489-09</t>
  </si>
  <si>
    <t>23205</t>
  </si>
  <si>
    <t>半田市</t>
  </si>
  <si>
    <t>はんだし</t>
  </si>
  <si>
    <t>0569</t>
  </si>
  <si>
    <t>475-00 475-08 475-09</t>
  </si>
  <si>
    <t>23206</t>
  </si>
  <si>
    <t>春日井市</t>
  </si>
  <si>
    <t>かすがいし</t>
  </si>
  <si>
    <t>0568</t>
  </si>
  <si>
    <t>480-03 486-00 486-08 486-09 487-00</t>
  </si>
  <si>
    <t>23207</t>
  </si>
  <si>
    <t>豊川市</t>
  </si>
  <si>
    <t>とよかわし</t>
  </si>
  <si>
    <t>0533</t>
  </si>
  <si>
    <t>441-01 441-02 441-03 441-12 442-00 442-08</t>
  </si>
  <si>
    <t>23208</t>
  </si>
  <si>
    <t>津島市</t>
  </si>
  <si>
    <t>つしまし</t>
  </si>
  <si>
    <t>0567</t>
  </si>
  <si>
    <t>496-00 496-08</t>
  </si>
  <si>
    <t>23209</t>
  </si>
  <si>
    <t>碧南市</t>
  </si>
  <si>
    <t>へきなんし</t>
  </si>
  <si>
    <t>0566</t>
  </si>
  <si>
    <t>447-00 447-08</t>
  </si>
  <si>
    <t>23210</t>
  </si>
  <si>
    <t>刈谷市</t>
  </si>
  <si>
    <t>かりやし</t>
  </si>
  <si>
    <t>448-00 448-08</t>
  </si>
  <si>
    <t>23211</t>
  </si>
  <si>
    <t>豊田市</t>
  </si>
  <si>
    <t>とよたし</t>
  </si>
  <si>
    <t>0565 0564 0536</t>
  </si>
  <si>
    <t>441-25 444-22 444-23 444-24 444-25 444-26 444-28 444-32 470-03 470-04 470-05 470-12 471-00 471-08 473-09</t>
  </si>
  <si>
    <t>23212</t>
  </si>
  <si>
    <t>安城市</t>
  </si>
  <si>
    <t>あんじょうし</t>
  </si>
  <si>
    <t>444-11 444-12 446-00</t>
  </si>
  <si>
    <t>23213</t>
  </si>
  <si>
    <t>西尾市</t>
  </si>
  <si>
    <t>にしおし</t>
  </si>
  <si>
    <t>0563</t>
  </si>
  <si>
    <t>444-03 444-04 444-05 444-07 445-00 445-08</t>
  </si>
  <si>
    <t>23214</t>
  </si>
  <si>
    <t>蒲郡市</t>
  </si>
  <si>
    <t>がまごおりし</t>
  </si>
  <si>
    <t>443-00 443-01</t>
  </si>
  <si>
    <t>23215</t>
  </si>
  <si>
    <t>犬山市</t>
  </si>
  <si>
    <t>いぬやまし</t>
  </si>
  <si>
    <t>484-00 484-08 484-09</t>
  </si>
  <si>
    <t>23216</t>
  </si>
  <si>
    <t>常滑市</t>
  </si>
  <si>
    <t>とこなめし</t>
  </si>
  <si>
    <t>479-00 479-08</t>
  </si>
  <si>
    <t>23217</t>
  </si>
  <si>
    <t>江南市</t>
  </si>
  <si>
    <t>こうなんし</t>
  </si>
  <si>
    <t>0587</t>
  </si>
  <si>
    <t>483-00 483-80 483-81 483-82 483-83 483-84</t>
  </si>
  <si>
    <t>23219</t>
  </si>
  <si>
    <t>小牧市</t>
  </si>
  <si>
    <t>こまきし</t>
  </si>
  <si>
    <t>485-00 485-08</t>
  </si>
  <si>
    <t>23220</t>
  </si>
  <si>
    <t>稲沢市</t>
  </si>
  <si>
    <t>いなざわし</t>
  </si>
  <si>
    <t>0587 0586</t>
  </si>
  <si>
    <t>490-13 492-00 492-80 492-81 492-82 492-83 492-84 495-00</t>
  </si>
  <si>
    <t>23221</t>
  </si>
  <si>
    <t>新城市</t>
  </si>
  <si>
    <t>しんしろし</t>
  </si>
  <si>
    <t>0536</t>
  </si>
  <si>
    <t>441-13 441-14 441-15 441-16 441-19</t>
  </si>
  <si>
    <t>23222</t>
  </si>
  <si>
    <t>東海市</t>
  </si>
  <si>
    <t>とうかいし</t>
  </si>
  <si>
    <t>052 0562</t>
  </si>
  <si>
    <t>476-00 477-00</t>
  </si>
  <si>
    <t>23223</t>
  </si>
  <si>
    <t>大府市</t>
  </si>
  <si>
    <t>おおぶし</t>
  </si>
  <si>
    <t>0562</t>
  </si>
  <si>
    <t>474-00</t>
  </si>
  <si>
    <t>23224</t>
  </si>
  <si>
    <t>知多市</t>
  </si>
  <si>
    <t>ちたし</t>
  </si>
  <si>
    <t>0562 0569</t>
  </si>
  <si>
    <t>478-00</t>
  </si>
  <si>
    <t>23225</t>
  </si>
  <si>
    <t>知立市</t>
  </si>
  <si>
    <t>ちりゅうし</t>
  </si>
  <si>
    <t>472-00</t>
  </si>
  <si>
    <t>23226</t>
  </si>
  <si>
    <t>尾張旭市</t>
  </si>
  <si>
    <t>おわりあさひし</t>
  </si>
  <si>
    <t>0561 052</t>
  </si>
  <si>
    <t>488-00 488-08</t>
  </si>
  <si>
    <t>23227</t>
  </si>
  <si>
    <t>高浜市</t>
  </si>
  <si>
    <t>たかはまし</t>
  </si>
  <si>
    <t>444-13</t>
  </si>
  <si>
    <t>23228</t>
  </si>
  <si>
    <t>岩倉市</t>
  </si>
  <si>
    <t>いわくらし</t>
  </si>
  <si>
    <t>482-00</t>
  </si>
  <si>
    <t>23229</t>
  </si>
  <si>
    <t>豊明市</t>
  </si>
  <si>
    <t>とよあけし</t>
  </si>
  <si>
    <t>470-11</t>
  </si>
  <si>
    <t>23230</t>
  </si>
  <si>
    <t>日進市</t>
  </si>
  <si>
    <t>にっしんし</t>
  </si>
  <si>
    <t>470-01</t>
  </si>
  <si>
    <t>23231</t>
  </si>
  <si>
    <t>田原市</t>
  </si>
  <si>
    <t>たはらし</t>
  </si>
  <si>
    <t>0531</t>
  </si>
  <si>
    <t>441-34 441-35 441-36</t>
  </si>
  <si>
    <t>23232</t>
  </si>
  <si>
    <t>愛西市</t>
  </si>
  <si>
    <t>あいさいし</t>
  </si>
  <si>
    <t>496-00 496-09 496-80</t>
  </si>
  <si>
    <t>23233</t>
  </si>
  <si>
    <t>清須市</t>
  </si>
  <si>
    <t>きよすし</t>
  </si>
  <si>
    <t>452-00 452-09</t>
  </si>
  <si>
    <t>23234</t>
  </si>
  <si>
    <t>北名古屋市</t>
  </si>
  <si>
    <t>きたなごやし</t>
  </si>
  <si>
    <t>481-00</t>
  </si>
  <si>
    <t>23235</t>
  </si>
  <si>
    <t>弥富市</t>
  </si>
  <si>
    <t>やとみし</t>
  </si>
  <si>
    <t>490-14 498-00</t>
  </si>
  <si>
    <t>23236</t>
  </si>
  <si>
    <t>みよし市</t>
  </si>
  <si>
    <t>みよしし</t>
  </si>
  <si>
    <t>470-02</t>
  </si>
  <si>
    <t>23237</t>
  </si>
  <si>
    <t>あま市</t>
  </si>
  <si>
    <t>あまし</t>
  </si>
  <si>
    <t>490-11 490-12 497-00</t>
  </si>
  <si>
    <t>23238</t>
  </si>
  <si>
    <t>長久手市</t>
  </si>
  <si>
    <t>ながくてし</t>
  </si>
  <si>
    <t>480-00 480-11</t>
  </si>
  <si>
    <t>23302</t>
  </si>
  <si>
    <t>愛知郡東郷町</t>
  </si>
  <si>
    <t>あいちぐんとうごうちょう</t>
  </si>
  <si>
    <t>23342</t>
  </si>
  <si>
    <t>西春日井郡豊山町</t>
  </si>
  <si>
    <t>にしかすがいぐんとよやまちょう</t>
  </si>
  <si>
    <t>480-02</t>
  </si>
  <si>
    <t>23361</t>
  </si>
  <si>
    <t>丹羽郡大口町</t>
  </si>
  <si>
    <t>にわぐんおおぐちちょう</t>
  </si>
  <si>
    <t>480-01</t>
  </si>
  <si>
    <t>23362</t>
  </si>
  <si>
    <t>丹羽郡扶桑町</t>
  </si>
  <si>
    <t>にわぐんふそうちょう</t>
  </si>
  <si>
    <t>23424</t>
  </si>
  <si>
    <t>海部郡大治町</t>
  </si>
  <si>
    <t>あまぐんおおはるちょう</t>
  </si>
  <si>
    <t>490-11</t>
  </si>
  <si>
    <t>23425</t>
  </si>
  <si>
    <t>海部郡蟹江町</t>
  </si>
  <si>
    <t>あまぐんかにえちょう</t>
  </si>
  <si>
    <t>497-00</t>
  </si>
  <si>
    <t>23427</t>
  </si>
  <si>
    <t>海部郡飛島村</t>
  </si>
  <si>
    <t>あまぐんとびしまむら</t>
  </si>
  <si>
    <t>490-14</t>
  </si>
  <si>
    <t>23441</t>
  </si>
  <si>
    <t>知多郡阿久比町</t>
  </si>
  <si>
    <t>ちたぐんあぐいちょう</t>
  </si>
  <si>
    <t>470-22</t>
  </si>
  <si>
    <t>23442</t>
  </si>
  <si>
    <t>知多郡東浦町</t>
  </si>
  <si>
    <t>ちたぐんひがしうらちょう</t>
  </si>
  <si>
    <t>470-21</t>
  </si>
  <si>
    <t>23445</t>
  </si>
  <si>
    <t>知多郡南知多町</t>
  </si>
  <si>
    <t>ちたぐんみなみちたちょう</t>
  </si>
  <si>
    <t>470-33 470-34 470-35</t>
  </si>
  <si>
    <t>23446</t>
  </si>
  <si>
    <t>知多郡美浜町</t>
  </si>
  <si>
    <t>ちたぐんみはまちょう</t>
  </si>
  <si>
    <t>470-24 470-32</t>
  </si>
  <si>
    <t>23447</t>
  </si>
  <si>
    <t>知多郡武豊町</t>
  </si>
  <si>
    <t>ちたぐんたけとよちょう</t>
  </si>
  <si>
    <t>470-23 470-25</t>
  </si>
  <si>
    <t>23501</t>
  </si>
  <si>
    <t>額田郡幸田町</t>
  </si>
  <si>
    <t>ぬかたぐんこうたちょう</t>
  </si>
  <si>
    <t>444-01</t>
  </si>
  <si>
    <t>23561</t>
  </si>
  <si>
    <t>北設楽郡設楽町</t>
  </si>
  <si>
    <t>きたしたらぐんしたらちょう</t>
  </si>
  <si>
    <t>441-22 441-23 441-24 441-25 441-26</t>
  </si>
  <si>
    <t>23562</t>
  </si>
  <si>
    <t>北設楽郡東栄町</t>
  </si>
  <si>
    <t>きたしたらぐんとうえいちょう</t>
  </si>
  <si>
    <t>449-02</t>
  </si>
  <si>
    <t>23563</t>
  </si>
  <si>
    <t>北設楽郡豊根村</t>
  </si>
  <si>
    <t>きたしたらぐんとよねむら</t>
  </si>
  <si>
    <t>431-41 449-04</t>
  </si>
  <si>
    <t>24201</t>
  </si>
  <si>
    <t>津市</t>
  </si>
  <si>
    <t>つし</t>
  </si>
  <si>
    <t>059</t>
  </si>
  <si>
    <t>510-03 514-00 514-01 514-03 514-08 514-11 514-12 514-21 514-22 514-23 515-25 515-26 515-31 515-32 515-33 515-34 515-35</t>
  </si>
  <si>
    <t>24202</t>
  </si>
  <si>
    <t>四日市市</t>
  </si>
  <si>
    <t>よっかいちし</t>
  </si>
  <si>
    <t>510-00 510-01 510-08 510-09 510-80 512-03 512-09 512-11 512-12 512-13 512-80</t>
  </si>
  <si>
    <t>24203</t>
  </si>
  <si>
    <t>伊勢市</t>
  </si>
  <si>
    <t>いせし</t>
  </si>
  <si>
    <t>0596</t>
  </si>
  <si>
    <t>515-05 516-00 516-08 516-11 517-00 519-05 519-06</t>
  </si>
  <si>
    <t>24204</t>
  </si>
  <si>
    <t>松阪市</t>
  </si>
  <si>
    <t>まつさかし</t>
  </si>
  <si>
    <t>0598</t>
  </si>
  <si>
    <t>515-00 515-01 515-02 515-08 515-11 515-12 515-13 515-14 515-15 515-16 515-17 515-21 515-23 515-24 519-21</t>
  </si>
  <si>
    <t>24205</t>
  </si>
  <si>
    <t>桑名市</t>
  </si>
  <si>
    <t>くわなし</t>
  </si>
  <si>
    <t>0594</t>
  </si>
  <si>
    <t>511-00 511-01 511-08 511-09 511-11</t>
  </si>
  <si>
    <t>24207</t>
  </si>
  <si>
    <t>鈴鹿市</t>
  </si>
  <si>
    <t>すずかし</t>
  </si>
  <si>
    <t>510-02 513-00 513-08 513-11 519-02 519-03</t>
  </si>
  <si>
    <t>24208</t>
  </si>
  <si>
    <t>名張市</t>
  </si>
  <si>
    <t>なばりし</t>
  </si>
  <si>
    <t>0595</t>
  </si>
  <si>
    <t>518-04 518-05 518-06 518-07</t>
  </si>
  <si>
    <t>24209</t>
  </si>
  <si>
    <t>尾鷲市</t>
  </si>
  <si>
    <t>おわせし</t>
  </si>
  <si>
    <t>0597</t>
  </si>
  <si>
    <t>519-34 519-36 519-37 519-38 519-39</t>
  </si>
  <si>
    <t>24210</t>
  </si>
  <si>
    <t>亀山市</t>
  </si>
  <si>
    <t>かめやまし</t>
  </si>
  <si>
    <t>519-01 519-02 519-11</t>
  </si>
  <si>
    <t>24211</t>
  </si>
  <si>
    <t>鳥羽市</t>
  </si>
  <si>
    <t>とばし</t>
  </si>
  <si>
    <t>0599</t>
  </si>
  <si>
    <t>517-00</t>
  </si>
  <si>
    <t>24212</t>
  </si>
  <si>
    <t>熊野市</t>
  </si>
  <si>
    <t>くまのし</t>
  </si>
  <si>
    <t>0597 05979</t>
  </si>
  <si>
    <t>519-42 519-43 519-44 519-45 519-46 519-54 647-13</t>
  </si>
  <si>
    <t>24214</t>
  </si>
  <si>
    <t>いなべ市</t>
  </si>
  <si>
    <t>いなべし</t>
  </si>
  <si>
    <t>511-02 511-04 511-05</t>
  </si>
  <si>
    <t>24215</t>
  </si>
  <si>
    <t>志摩市</t>
  </si>
  <si>
    <t>しまし</t>
  </si>
  <si>
    <t>517-02 517-04 517-05 517-06 517-07</t>
  </si>
  <si>
    <t>24216</t>
  </si>
  <si>
    <t>伊賀市</t>
  </si>
  <si>
    <t>いがし</t>
  </si>
  <si>
    <t>518-00 518-01 518-02 518-08 518-11 518-13 518-14 519-14 519-17</t>
  </si>
  <si>
    <t>24303</t>
  </si>
  <si>
    <t>桑名郡木曽岬町</t>
  </si>
  <si>
    <t>くわなぐんきそさきちょう</t>
  </si>
  <si>
    <t>498-00 498-08</t>
  </si>
  <si>
    <t>24324</t>
  </si>
  <si>
    <t>員弁郡東員町</t>
  </si>
  <si>
    <t>いなべぐんとういんちょう</t>
  </si>
  <si>
    <t>511-02</t>
  </si>
  <si>
    <t>24341</t>
  </si>
  <si>
    <t>三重郡菰野町</t>
  </si>
  <si>
    <t>みえぐんこものちょう</t>
  </si>
  <si>
    <t>510-12 510-13</t>
  </si>
  <si>
    <t>24343</t>
  </si>
  <si>
    <t>三重郡朝日町</t>
  </si>
  <si>
    <t>みえぐんあさひちょう</t>
  </si>
  <si>
    <t>510-00 510-81</t>
  </si>
  <si>
    <t>24344</t>
  </si>
  <si>
    <t>三重郡川越町</t>
  </si>
  <si>
    <t>みえぐんかわごえちょう</t>
  </si>
  <si>
    <t>24441</t>
  </si>
  <si>
    <t>多気郡多気町</t>
  </si>
  <si>
    <t>たきぐんたきちょう</t>
  </si>
  <si>
    <t>519-21 519-22</t>
  </si>
  <si>
    <t>24442</t>
  </si>
  <si>
    <t>多気郡明和町</t>
  </si>
  <si>
    <t>たきぐんめいわちょう</t>
  </si>
  <si>
    <t>515-03</t>
  </si>
  <si>
    <t>24443</t>
  </si>
  <si>
    <t>多気郡大台町</t>
  </si>
  <si>
    <t>たきぐんおおだいちょう</t>
  </si>
  <si>
    <t>519-24 519-25 519-26</t>
  </si>
  <si>
    <t>24461</t>
  </si>
  <si>
    <t>度会郡玉城町</t>
  </si>
  <si>
    <t>わたらいぐんたまきちょう</t>
  </si>
  <si>
    <t>519-04</t>
  </si>
  <si>
    <t>24470</t>
  </si>
  <si>
    <t>度会郡度会町</t>
  </si>
  <si>
    <t>わたらいぐんわたらいちょう</t>
  </si>
  <si>
    <t>516-12 516-21</t>
  </si>
  <si>
    <t>24471</t>
  </si>
  <si>
    <t>度会郡大紀町</t>
  </si>
  <si>
    <t>わたらいぐんたいきちょう</t>
  </si>
  <si>
    <t>519-27 519-28 519-29 519-31</t>
  </si>
  <si>
    <t>24472</t>
  </si>
  <si>
    <t>度会郡南伊勢町</t>
  </si>
  <si>
    <t>わたらいぐんみなみいせちょう</t>
  </si>
  <si>
    <t>0596 0599</t>
  </si>
  <si>
    <t>516-01 516-02 516-13 516-14 516-15</t>
  </si>
  <si>
    <t>24543</t>
  </si>
  <si>
    <t>北牟婁郡紀北町</t>
  </si>
  <si>
    <t>きたむろぐんきほくちょう</t>
  </si>
  <si>
    <t>05974 0597</t>
  </si>
  <si>
    <t>519-32 519-34</t>
  </si>
  <si>
    <t>24561</t>
  </si>
  <si>
    <t>南牟婁郡御浜町</t>
  </si>
  <si>
    <t>みなみむろぐんみはまちょう</t>
  </si>
  <si>
    <t>05979</t>
  </si>
  <si>
    <t>519-52 519-53</t>
  </si>
  <si>
    <t>24562</t>
  </si>
  <si>
    <t>南牟婁郡紀宝町</t>
  </si>
  <si>
    <t>みなみむろぐんきほうちょう</t>
  </si>
  <si>
    <t>0735</t>
  </si>
  <si>
    <t>519-57 519-58</t>
  </si>
  <si>
    <t>25201</t>
  </si>
  <si>
    <t>大津市</t>
  </si>
  <si>
    <t>おおつし</t>
  </si>
  <si>
    <t>077</t>
  </si>
  <si>
    <t>520-00 520-01 520-02 520-03 520-04 520-05 520-08 520-21 520-22</t>
  </si>
  <si>
    <t>25202</t>
  </si>
  <si>
    <t>彦根市</t>
  </si>
  <si>
    <t>ひこねし</t>
  </si>
  <si>
    <t>0749</t>
  </si>
  <si>
    <t>521-11 522-00 522-02 529-11</t>
  </si>
  <si>
    <t>25203</t>
  </si>
  <si>
    <t>長浜市</t>
  </si>
  <si>
    <t>ながはまし</t>
  </si>
  <si>
    <t>526-00 526-01 526-02 526-08 529-01 529-02 529-03 529-04 529-05 529-07</t>
  </si>
  <si>
    <t>25204</t>
  </si>
  <si>
    <t>近江八幡市</t>
  </si>
  <si>
    <t>おうみはちまんし</t>
  </si>
  <si>
    <t>0748</t>
  </si>
  <si>
    <t>521-13 523-00 523-08</t>
  </si>
  <si>
    <t>25206</t>
  </si>
  <si>
    <t>草津市</t>
  </si>
  <si>
    <t>くさつし</t>
  </si>
  <si>
    <t>525-00</t>
  </si>
  <si>
    <t>25207</t>
  </si>
  <si>
    <t>守山市</t>
  </si>
  <si>
    <t>もりやまし</t>
  </si>
  <si>
    <t>524-00 524-01 524-02</t>
  </si>
  <si>
    <t>25208</t>
  </si>
  <si>
    <t>栗東市</t>
  </si>
  <si>
    <t>りっとうし</t>
  </si>
  <si>
    <t>520-30</t>
  </si>
  <si>
    <t>25209</t>
  </si>
  <si>
    <t>甲賀市</t>
  </si>
  <si>
    <t>こうかし</t>
  </si>
  <si>
    <t>520-33 520-34 528-00 528-02 529-18</t>
  </si>
  <si>
    <t>25210</t>
  </si>
  <si>
    <t>野洲市</t>
  </si>
  <si>
    <t>やすし</t>
  </si>
  <si>
    <t>520-23 520-24 524-02</t>
  </si>
  <si>
    <t>25211</t>
  </si>
  <si>
    <t>湖南市</t>
  </si>
  <si>
    <t>こなんし</t>
  </si>
  <si>
    <t>520-31 520-32</t>
  </si>
  <si>
    <t>25212</t>
  </si>
  <si>
    <t>高島市</t>
  </si>
  <si>
    <t>たかしまし</t>
  </si>
  <si>
    <t>0740</t>
  </si>
  <si>
    <t>520-11 520-12 520-14 520-15 520-16 520-18</t>
  </si>
  <si>
    <t>25213</t>
  </si>
  <si>
    <t>東近江市</t>
  </si>
  <si>
    <t>ひがしおうみし</t>
  </si>
  <si>
    <t>0748 0749</t>
  </si>
  <si>
    <t>521-12 527-00 527-01 527-02 529-14 529-15</t>
  </si>
  <si>
    <t>25214</t>
  </si>
  <si>
    <t>米原市</t>
  </si>
  <si>
    <t>まいばらし</t>
  </si>
  <si>
    <t>521-00 521-02 521-03</t>
  </si>
  <si>
    <t>25383</t>
  </si>
  <si>
    <t>蒲生郡日野町</t>
  </si>
  <si>
    <t>がもうぐんひのちょう</t>
  </si>
  <si>
    <t>529-16</t>
  </si>
  <si>
    <t>25384</t>
  </si>
  <si>
    <t>蒲生郡竜王町</t>
  </si>
  <si>
    <t>がもうぐんりゅうおうちょう</t>
  </si>
  <si>
    <t>520-25</t>
  </si>
  <si>
    <t>25425</t>
  </si>
  <si>
    <t>愛知郡愛荘町</t>
  </si>
  <si>
    <t>えちぐんあいしょうちょう</t>
  </si>
  <si>
    <t>529-12 529-13</t>
  </si>
  <si>
    <t>25441</t>
  </si>
  <si>
    <t>犬上郡豊郷町</t>
  </si>
  <si>
    <t>いぬかみぐんとよさとちょう</t>
  </si>
  <si>
    <t>529-11</t>
  </si>
  <si>
    <t>25442</t>
  </si>
  <si>
    <t>犬上郡甲良町</t>
  </si>
  <si>
    <t>いぬかみぐんこうらちょう</t>
  </si>
  <si>
    <t>522-02</t>
  </si>
  <si>
    <t>25443</t>
  </si>
  <si>
    <t>犬上郡多賀町</t>
  </si>
  <si>
    <t>いぬかみぐんたがちょう</t>
  </si>
  <si>
    <t>522-03</t>
  </si>
  <si>
    <t>26100</t>
  </si>
  <si>
    <t>京都市</t>
  </si>
  <si>
    <t>きょうとし</t>
  </si>
  <si>
    <t>26101</t>
  </si>
  <si>
    <t>京都市北区</t>
  </si>
  <si>
    <t>きょうとしきたく</t>
  </si>
  <si>
    <t>075</t>
  </si>
  <si>
    <t>601-01 603-00 603-80 603-81 603-82 603-83 603-84 603-88</t>
  </si>
  <si>
    <t>26102</t>
  </si>
  <si>
    <t>京都市上京区</t>
  </si>
  <si>
    <t>きょうとしかみぎょうく</t>
  </si>
  <si>
    <t>602-00 602-08 602-09 602-80 602-81 602-82 602-83 602-84</t>
  </si>
  <si>
    <t>26103</t>
  </si>
  <si>
    <t>京都市左京区</t>
  </si>
  <si>
    <t>きょうとしさきょうく</t>
  </si>
  <si>
    <t>520-04 601-11 601-12 606-00 606-08 606-09 606-80 606-81 606-82 606-83 606-84</t>
  </si>
  <si>
    <t>26104</t>
  </si>
  <si>
    <t>京都市中京区</t>
  </si>
  <si>
    <t>きょうとしなかぎょうく</t>
  </si>
  <si>
    <t>604-00 604-08 604-09 604-80 604-81 604-82 604-83 604-84 604-88</t>
  </si>
  <si>
    <t>26105</t>
  </si>
  <si>
    <t>京都市東山区</t>
  </si>
  <si>
    <t>きょうとしひがしやまく</t>
  </si>
  <si>
    <t>605-00 605-08 605-09</t>
  </si>
  <si>
    <t>26106</t>
  </si>
  <si>
    <t>京都市下京区</t>
  </si>
  <si>
    <t>きょうとししもぎょうく</t>
  </si>
  <si>
    <t>600-00 600-80 600-81 600-82 600-83 600-84 600-88</t>
  </si>
  <si>
    <t>26107</t>
  </si>
  <si>
    <t>京都市南区</t>
  </si>
  <si>
    <t>きょうとしみなみく</t>
  </si>
  <si>
    <t>601-00 601-80 601-81 601-82 601-83 601-84</t>
  </si>
  <si>
    <t>26108</t>
  </si>
  <si>
    <t>京都市右京区</t>
  </si>
  <si>
    <t>きょうとしうきょうく</t>
  </si>
  <si>
    <t>075 0771</t>
  </si>
  <si>
    <t>601-02 601-03 601-04 601-05 615-00 615-08 615-09 616-00 616-80 616-81 616-82 616-83 616-84</t>
  </si>
  <si>
    <t>26109</t>
  </si>
  <si>
    <t>京都市伏見区</t>
  </si>
  <si>
    <t>きょうとしふしみく</t>
  </si>
  <si>
    <t>075 077</t>
  </si>
  <si>
    <t>601-13 601-14 612-00 612-08 612-80 612-81 612-82 612-83 612-84 613-09</t>
  </si>
  <si>
    <t>26110</t>
  </si>
  <si>
    <t>京都市山科区</t>
  </si>
  <si>
    <t>きょうとしやましなく</t>
  </si>
  <si>
    <t>607-00 607-80 607-81 607-82 607-83 607-84</t>
  </si>
  <si>
    <t>26111</t>
  </si>
  <si>
    <t>京都市西京区</t>
  </si>
  <si>
    <t>きょうとしにしきょうく</t>
  </si>
  <si>
    <t>610-00 610-11 615-80 615-81 615-82 615-83 616-00</t>
  </si>
  <si>
    <t>26201</t>
  </si>
  <si>
    <t>福知山市</t>
  </si>
  <si>
    <t>ふくちやまし</t>
  </si>
  <si>
    <t>0773</t>
  </si>
  <si>
    <t>620-00 620-02 620-03 620-08 620-09 620-13 620-14 629-13</t>
  </si>
  <si>
    <t>26202</t>
  </si>
  <si>
    <t>舞鶴市</t>
  </si>
  <si>
    <t>まいづるし</t>
  </si>
  <si>
    <t>624-01 624-08 624-09 625-00 625-01</t>
  </si>
  <si>
    <t>26203</t>
  </si>
  <si>
    <t>綾部市</t>
  </si>
  <si>
    <t>あやべし</t>
  </si>
  <si>
    <t>623-00 623-01 623-02 623-03 623-11 629-12</t>
  </si>
  <si>
    <t>26204</t>
  </si>
  <si>
    <t>宇治市</t>
  </si>
  <si>
    <t>うじし</t>
  </si>
  <si>
    <t>0774</t>
  </si>
  <si>
    <t>601-13 611-00</t>
  </si>
  <si>
    <t>26205</t>
  </si>
  <si>
    <t>宮津市</t>
  </si>
  <si>
    <t>みやづし</t>
  </si>
  <si>
    <t>0772</t>
  </si>
  <si>
    <t>626-00 626-02 629-22</t>
  </si>
  <si>
    <t>26206</t>
  </si>
  <si>
    <t>亀岡市</t>
  </si>
  <si>
    <t>かめおかし</t>
  </si>
  <si>
    <t>0771</t>
  </si>
  <si>
    <t>621-00 621-01 621-02 621-08</t>
  </si>
  <si>
    <t>26207</t>
  </si>
  <si>
    <t>城陽市</t>
  </si>
  <si>
    <t>じょうようし</t>
  </si>
  <si>
    <t>610-01</t>
  </si>
  <si>
    <t>26208</t>
  </si>
  <si>
    <t>向日市</t>
  </si>
  <si>
    <t>むこうし</t>
  </si>
  <si>
    <t>617-00</t>
  </si>
  <si>
    <t>26209</t>
  </si>
  <si>
    <t>長岡京市</t>
  </si>
  <si>
    <t>ながおかきょうし</t>
  </si>
  <si>
    <t>617-00 617-08</t>
  </si>
  <si>
    <t>26210</t>
  </si>
  <si>
    <t>八幡市</t>
  </si>
  <si>
    <t>やわたし</t>
  </si>
  <si>
    <t>613-08 614-00 614-80 614-81 614-82 614-83</t>
  </si>
  <si>
    <t>26211</t>
  </si>
  <si>
    <t>京田辺市</t>
  </si>
  <si>
    <t>きょうたなべし</t>
  </si>
  <si>
    <t>610-03</t>
  </si>
  <si>
    <t>26212</t>
  </si>
  <si>
    <t>京丹後市</t>
  </si>
  <si>
    <t>きょうたんごし</t>
  </si>
  <si>
    <t>627-00 627-01 627-02 629-25 629-31 629-32 629-34 629-35</t>
  </si>
  <si>
    <t>26213</t>
  </si>
  <si>
    <t>南丹市</t>
  </si>
  <si>
    <t>なんたんし</t>
  </si>
  <si>
    <t>601-07 622-00 629-01 629-02 629-03</t>
  </si>
  <si>
    <t>26214</t>
  </si>
  <si>
    <t>木津川市</t>
  </si>
  <si>
    <t>きづがわし</t>
  </si>
  <si>
    <t>619-02 619-11</t>
  </si>
  <si>
    <t>26303</t>
  </si>
  <si>
    <t>乙訓郡大山崎町</t>
  </si>
  <si>
    <t>おとくにぐんおおやまざきちょう</t>
  </si>
  <si>
    <t>618-00</t>
  </si>
  <si>
    <t>26322</t>
  </si>
  <si>
    <t>久世郡久御山町</t>
  </si>
  <si>
    <t>くせぐんくみやまちょう</t>
  </si>
  <si>
    <t>075 0774</t>
  </si>
  <si>
    <t>613-00</t>
  </si>
  <si>
    <t>26343</t>
  </si>
  <si>
    <t>綴喜郡井手町</t>
  </si>
  <si>
    <t>つづきぐんいでちょう</t>
  </si>
  <si>
    <t>26344</t>
  </si>
  <si>
    <t>綴喜郡宇治田原町</t>
  </si>
  <si>
    <t>つづきぐんうじたわらちょう</t>
  </si>
  <si>
    <t>610-02</t>
  </si>
  <si>
    <t>26364</t>
  </si>
  <si>
    <t>相楽郡笠置町</t>
  </si>
  <si>
    <t>そうらくぐんかさぎちょう</t>
  </si>
  <si>
    <t>0743</t>
  </si>
  <si>
    <t>619-13</t>
  </si>
  <si>
    <t>26365</t>
  </si>
  <si>
    <t>相楽郡和束町</t>
  </si>
  <si>
    <t>そうらくぐんわづかちょう</t>
  </si>
  <si>
    <t>619-12</t>
  </si>
  <si>
    <t>26366</t>
  </si>
  <si>
    <t>相楽郡精華町</t>
  </si>
  <si>
    <t>そうらくぐんせいかちょう</t>
  </si>
  <si>
    <t>619-02</t>
  </si>
  <si>
    <t>26367</t>
  </si>
  <si>
    <t>相楽郡南山城村</t>
  </si>
  <si>
    <t>そうらくぐんみなみやましろむら</t>
  </si>
  <si>
    <t>619-14</t>
  </si>
  <si>
    <t>26407</t>
  </si>
  <si>
    <t>船井郡京丹波町</t>
  </si>
  <si>
    <t>ふないぐんきょうたんばちょう</t>
  </si>
  <si>
    <t>622-02 622-03 622-04 629-11</t>
  </si>
  <si>
    <t>26463</t>
  </si>
  <si>
    <t>与謝郡伊根町</t>
  </si>
  <si>
    <t>よさぐんいねちょう</t>
  </si>
  <si>
    <t>626-04</t>
  </si>
  <si>
    <t>26465</t>
  </si>
  <si>
    <t>与謝郡与謝野町</t>
  </si>
  <si>
    <t>よさぐんよさのちょう</t>
  </si>
  <si>
    <t>629-22 629-23 629-24</t>
  </si>
  <si>
    <t>27100</t>
  </si>
  <si>
    <t>大阪市</t>
  </si>
  <si>
    <t>おおさかし</t>
  </si>
  <si>
    <t>27102</t>
  </si>
  <si>
    <t>大阪市都島区</t>
  </si>
  <si>
    <t>おおさかしみやこじまく</t>
  </si>
  <si>
    <t>06</t>
  </si>
  <si>
    <t>534-00</t>
  </si>
  <si>
    <t>27103</t>
  </si>
  <si>
    <t>大阪市福島区</t>
  </si>
  <si>
    <t>おおさかしふくしまく</t>
  </si>
  <si>
    <t>553-00</t>
  </si>
  <si>
    <t>27104</t>
  </si>
  <si>
    <t>大阪市此花区</t>
  </si>
  <si>
    <t>おおさかしこのはなく</t>
  </si>
  <si>
    <t>554-00</t>
  </si>
  <si>
    <t>27106</t>
  </si>
  <si>
    <t>大阪市西区</t>
  </si>
  <si>
    <t>おおさかしにしく</t>
  </si>
  <si>
    <t>550-00</t>
  </si>
  <si>
    <t>27107</t>
  </si>
  <si>
    <t>大阪市港区</t>
  </si>
  <si>
    <t>おおさかしみなとく</t>
  </si>
  <si>
    <t>552-00</t>
  </si>
  <si>
    <t>27108</t>
  </si>
  <si>
    <t>大阪市大正区</t>
  </si>
  <si>
    <t>おおさかしたいしょうく</t>
  </si>
  <si>
    <t>551-00</t>
  </si>
  <si>
    <t>27109</t>
  </si>
  <si>
    <t>大阪市天王寺区</t>
  </si>
  <si>
    <t>おおさかしてんのうじく</t>
  </si>
  <si>
    <t>543-00</t>
  </si>
  <si>
    <t>27111</t>
  </si>
  <si>
    <t>大阪市浪速区</t>
  </si>
  <si>
    <t>おおさかしなにわく</t>
  </si>
  <si>
    <t>556-00</t>
  </si>
  <si>
    <t>27113</t>
  </si>
  <si>
    <t>大阪市西淀川区</t>
  </si>
  <si>
    <t>おおさかしにしよどがわく</t>
  </si>
  <si>
    <t>555-00</t>
  </si>
  <si>
    <t>27114</t>
  </si>
  <si>
    <t>大阪市東淀川区</t>
  </si>
  <si>
    <t>おおさかしひがしよどがわく</t>
  </si>
  <si>
    <t>533-00</t>
  </si>
  <si>
    <t>27115</t>
  </si>
  <si>
    <t>大阪市東成区</t>
  </si>
  <si>
    <t>おおさかしひがしなりく</t>
  </si>
  <si>
    <t>537-00</t>
  </si>
  <si>
    <t>27116</t>
  </si>
  <si>
    <t>大阪市生野区</t>
  </si>
  <si>
    <t>おおさかしいくのく</t>
  </si>
  <si>
    <t>544-00</t>
  </si>
  <si>
    <t>27117</t>
  </si>
  <si>
    <t>大阪市旭区</t>
  </si>
  <si>
    <t>おおさかしあさひく</t>
  </si>
  <si>
    <t>535-00</t>
  </si>
  <si>
    <t>27118</t>
  </si>
  <si>
    <t>大阪市城東区</t>
  </si>
  <si>
    <t>おおさかしじょうとうく</t>
  </si>
  <si>
    <t>536-00</t>
  </si>
  <si>
    <t>27119</t>
  </si>
  <si>
    <t>大阪市阿倍野区</t>
  </si>
  <si>
    <t>おおさかしあべのく</t>
  </si>
  <si>
    <t>545-00</t>
  </si>
  <si>
    <t>27120</t>
  </si>
  <si>
    <t>大阪市住吉区</t>
  </si>
  <si>
    <t>おおさかしすみよしく</t>
  </si>
  <si>
    <t>558-00</t>
  </si>
  <si>
    <t>27121</t>
  </si>
  <si>
    <t>大阪市東住吉区</t>
  </si>
  <si>
    <t>おおさかしひがしすみよしく</t>
  </si>
  <si>
    <t>06 072</t>
  </si>
  <si>
    <t>546-00</t>
  </si>
  <si>
    <t>27122</t>
  </si>
  <si>
    <t>大阪市西成区</t>
  </si>
  <si>
    <t>おおさかしにしなりく</t>
  </si>
  <si>
    <t>557-00</t>
  </si>
  <si>
    <t>27123</t>
  </si>
  <si>
    <t>大阪市淀川区</t>
  </si>
  <si>
    <t>おおさかしよどがわく</t>
  </si>
  <si>
    <t>532-00</t>
  </si>
  <si>
    <t>27124</t>
  </si>
  <si>
    <t>大阪市鶴見区</t>
  </si>
  <si>
    <t>おおさかしつるみく</t>
  </si>
  <si>
    <t>538-00</t>
  </si>
  <si>
    <t>27125</t>
  </si>
  <si>
    <t>大阪市住之江区</t>
  </si>
  <si>
    <t>おおさかしすみのえく</t>
  </si>
  <si>
    <t>559-00</t>
  </si>
  <si>
    <t>27126</t>
  </si>
  <si>
    <t>大阪市平野区</t>
  </si>
  <si>
    <t>おおさかしひらのく</t>
  </si>
  <si>
    <t>547-00</t>
  </si>
  <si>
    <t>27127</t>
  </si>
  <si>
    <t>大阪市北区</t>
  </si>
  <si>
    <t>おおさかしきたく</t>
  </si>
  <si>
    <t>530-00 530-60 531-00 531-60 531-61</t>
  </si>
  <si>
    <t>27128</t>
  </si>
  <si>
    <t>大阪市中央区</t>
  </si>
  <si>
    <t>おおさかしちゅうおうく</t>
  </si>
  <si>
    <t>539-00 540-00 540-60 540-61 540-62 540-63 541-00 542-00</t>
  </si>
  <si>
    <t>27140</t>
  </si>
  <si>
    <t>堺市</t>
  </si>
  <si>
    <t>27141</t>
  </si>
  <si>
    <t>堺市堺区</t>
  </si>
  <si>
    <t>さかいしさかいく</t>
  </si>
  <si>
    <t>072</t>
  </si>
  <si>
    <t>590-00 590-08 590-09</t>
  </si>
  <si>
    <t>27142</t>
  </si>
  <si>
    <t>堺市中区</t>
  </si>
  <si>
    <t>さかいしなかく</t>
  </si>
  <si>
    <t>590-01 599-00 599-82</t>
  </si>
  <si>
    <t>27143</t>
  </si>
  <si>
    <t>堺市東区</t>
  </si>
  <si>
    <t>さかいしひがしく</t>
  </si>
  <si>
    <t>599-00 599-81</t>
  </si>
  <si>
    <t>27144</t>
  </si>
  <si>
    <t>堺市西区</t>
  </si>
  <si>
    <t>さかいしにしく</t>
  </si>
  <si>
    <t>592-83 593-00 593-83</t>
  </si>
  <si>
    <t>27145</t>
  </si>
  <si>
    <t>堺市南区</t>
  </si>
  <si>
    <t>さかいしみなみく</t>
  </si>
  <si>
    <t>590-01</t>
  </si>
  <si>
    <t>27146</t>
  </si>
  <si>
    <t>堺市北区</t>
  </si>
  <si>
    <t>さかいしきたく</t>
  </si>
  <si>
    <t>591-00 591-80</t>
  </si>
  <si>
    <t>27147</t>
  </si>
  <si>
    <t>堺市美原区</t>
  </si>
  <si>
    <t>さかいしみはらく</t>
  </si>
  <si>
    <t>587-00</t>
  </si>
  <si>
    <t>27202</t>
  </si>
  <si>
    <t>岸和田市</t>
  </si>
  <si>
    <t>きしわだし</t>
  </si>
  <si>
    <t>596-00 596-01 596-08</t>
  </si>
  <si>
    <t>27203</t>
  </si>
  <si>
    <t>豊中市</t>
  </si>
  <si>
    <t>とよなかし</t>
  </si>
  <si>
    <t>560-00 561-08</t>
  </si>
  <si>
    <t>27204</t>
  </si>
  <si>
    <t>池田市</t>
  </si>
  <si>
    <t>いけだし</t>
  </si>
  <si>
    <t>072 06</t>
  </si>
  <si>
    <t>563-00</t>
  </si>
  <si>
    <t>27205</t>
  </si>
  <si>
    <t>吹田市</t>
  </si>
  <si>
    <t>すいたし</t>
  </si>
  <si>
    <t>564-00 565-08</t>
  </si>
  <si>
    <t>27206</t>
  </si>
  <si>
    <t>泉大津市</t>
  </si>
  <si>
    <t>いずみおおつし</t>
  </si>
  <si>
    <t>0725</t>
  </si>
  <si>
    <t>595-00</t>
  </si>
  <si>
    <t>27207</t>
  </si>
  <si>
    <t>高槻市</t>
  </si>
  <si>
    <t>たかつきし</t>
  </si>
  <si>
    <t>569-00 569-08 569-10 569-11</t>
  </si>
  <si>
    <t>27208</t>
  </si>
  <si>
    <t>貝塚市</t>
  </si>
  <si>
    <t>かいづかし</t>
  </si>
  <si>
    <t>590-04 596-09 597-00 597-01</t>
  </si>
  <si>
    <t>27209</t>
  </si>
  <si>
    <t>守口市</t>
  </si>
  <si>
    <t>もりぐちし</t>
  </si>
  <si>
    <t>570-00</t>
  </si>
  <si>
    <t>27210</t>
  </si>
  <si>
    <t>枚方市</t>
  </si>
  <si>
    <t>ひらかたし</t>
  </si>
  <si>
    <t>573-00 573-01 573-11</t>
  </si>
  <si>
    <t>27211</t>
  </si>
  <si>
    <t>茨木市</t>
  </si>
  <si>
    <t>いばらきし</t>
  </si>
  <si>
    <t>567-00 567-08 568-00</t>
  </si>
  <si>
    <t>27212</t>
  </si>
  <si>
    <t>八尾市</t>
  </si>
  <si>
    <t>やおし</t>
  </si>
  <si>
    <t>581-00 581-08</t>
  </si>
  <si>
    <t>27213</t>
  </si>
  <si>
    <t>泉佐野市</t>
  </si>
  <si>
    <t>いずみさのし</t>
  </si>
  <si>
    <t>549-00 598-00</t>
  </si>
  <si>
    <t>27214</t>
  </si>
  <si>
    <t>富田林市</t>
  </si>
  <si>
    <t>とんだばやしし</t>
  </si>
  <si>
    <t>0721 072</t>
  </si>
  <si>
    <t>584-00</t>
  </si>
  <si>
    <t>27215</t>
  </si>
  <si>
    <t>寝屋川市</t>
  </si>
  <si>
    <t>ねやがわし</t>
  </si>
  <si>
    <t>572-00 572-08</t>
  </si>
  <si>
    <t>27216</t>
  </si>
  <si>
    <t>河内長野市</t>
  </si>
  <si>
    <t>かわちながのし</t>
  </si>
  <si>
    <t>0721</t>
  </si>
  <si>
    <t>586-00</t>
  </si>
  <si>
    <t>27217</t>
  </si>
  <si>
    <t>松原市</t>
  </si>
  <si>
    <t>まつばらし</t>
  </si>
  <si>
    <t>580-00</t>
  </si>
  <si>
    <t>27218</t>
  </si>
  <si>
    <t>大東市</t>
  </si>
  <si>
    <t>だいとうし</t>
  </si>
  <si>
    <t>574-00</t>
  </si>
  <si>
    <t>27219</t>
  </si>
  <si>
    <t>和泉市</t>
  </si>
  <si>
    <t>いずみし</t>
  </si>
  <si>
    <t>594-00 594-11</t>
  </si>
  <si>
    <t>27220</t>
  </si>
  <si>
    <t>箕面市</t>
  </si>
  <si>
    <t>みのおし</t>
  </si>
  <si>
    <t>562-00 563-02</t>
  </si>
  <si>
    <t>27221</t>
  </si>
  <si>
    <t>柏原市</t>
  </si>
  <si>
    <t>かしわらし</t>
  </si>
  <si>
    <t>582-00</t>
  </si>
  <si>
    <t>27222</t>
  </si>
  <si>
    <t>羽曳野市</t>
  </si>
  <si>
    <t>はびきのし</t>
  </si>
  <si>
    <t>583-00 583-08</t>
  </si>
  <si>
    <t>27223</t>
  </si>
  <si>
    <t>門真市</t>
  </si>
  <si>
    <t>かどまし</t>
  </si>
  <si>
    <t>571-00</t>
  </si>
  <si>
    <t>27224</t>
  </si>
  <si>
    <t>摂津市</t>
  </si>
  <si>
    <t>せっつし</t>
  </si>
  <si>
    <t>566-00</t>
  </si>
  <si>
    <t>27225</t>
  </si>
  <si>
    <t>高石市</t>
  </si>
  <si>
    <t>たかいしし</t>
  </si>
  <si>
    <t>592-00 595-00</t>
  </si>
  <si>
    <t>27226</t>
  </si>
  <si>
    <t>藤井寺市</t>
  </si>
  <si>
    <t>ふじいでらし</t>
  </si>
  <si>
    <t>583-00</t>
  </si>
  <si>
    <t>27227</t>
  </si>
  <si>
    <t>東大阪市</t>
  </si>
  <si>
    <t>ひがしおおさかし</t>
  </si>
  <si>
    <t>577-00 577-08 578-09 579-80 630-02</t>
  </si>
  <si>
    <t>27228</t>
  </si>
  <si>
    <t>泉南市</t>
  </si>
  <si>
    <t>せんなんし</t>
  </si>
  <si>
    <t>549-00 590-05</t>
  </si>
  <si>
    <t>27229</t>
  </si>
  <si>
    <t>四條畷市</t>
  </si>
  <si>
    <t>しじょうなわてし</t>
  </si>
  <si>
    <t>072 0743</t>
  </si>
  <si>
    <t>575-00</t>
  </si>
  <si>
    <t>27230</t>
  </si>
  <si>
    <t>交野市</t>
  </si>
  <si>
    <t>かたのし</t>
  </si>
  <si>
    <t>576-00</t>
  </si>
  <si>
    <t>27231</t>
  </si>
  <si>
    <t>大阪狭山市</t>
  </si>
  <si>
    <t>おおさかさやまし</t>
  </si>
  <si>
    <t>589-00</t>
  </si>
  <si>
    <t>27232</t>
  </si>
  <si>
    <t>阪南市</t>
  </si>
  <si>
    <t>はんなんし</t>
  </si>
  <si>
    <t>599-02</t>
  </si>
  <si>
    <t>27301</t>
  </si>
  <si>
    <t>三島郡島本町</t>
  </si>
  <si>
    <t>みしまぐんしまもとちょう</t>
  </si>
  <si>
    <t>27321</t>
  </si>
  <si>
    <t>豊能郡豊能町</t>
  </si>
  <si>
    <t>とよのぐんとよのちょう</t>
  </si>
  <si>
    <t>563-01 563-02</t>
  </si>
  <si>
    <t>27322</t>
  </si>
  <si>
    <t>豊能郡能勢町</t>
  </si>
  <si>
    <t>とよのぐんのせちょう</t>
  </si>
  <si>
    <t>563-01 563-03</t>
  </si>
  <si>
    <t>27341</t>
  </si>
  <si>
    <t>泉北郡忠岡町</t>
  </si>
  <si>
    <t>せんぼくぐんただおかちょう</t>
  </si>
  <si>
    <t>0725 072</t>
  </si>
  <si>
    <t>595-00 595-08</t>
  </si>
  <si>
    <t>27361</t>
  </si>
  <si>
    <t>泉南郡熊取町</t>
  </si>
  <si>
    <t>せんなんぐんくまとりちょう</t>
  </si>
  <si>
    <t>590-04</t>
  </si>
  <si>
    <t>27362</t>
  </si>
  <si>
    <t>泉南郡田尻町</t>
  </si>
  <si>
    <t>せんなんぐんたじりちょう</t>
  </si>
  <si>
    <t>27366</t>
  </si>
  <si>
    <t>泉南郡岬町</t>
  </si>
  <si>
    <t>せんなんぐんみさきちょう</t>
  </si>
  <si>
    <t>599-03</t>
  </si>
  <si>
    <t>27381</t>
  </si>
  <si>
    <t>南河内郡太子町</t>
  </si>
  <si>
    <t>みなみかわちぐんたいしちょう</t>
  </si>
  <si>
    <t>583-00 583-09</t>
  </si>
  <si>
    <t>27382</t>
  </si>
  <si>
    <t>南河内郡河南町</t>
  </si>
  <si>
    <t>みなみかわちぐんかなんちょう</t>
  </si>
  <si>
    <t>585-00</t>
  </si>
  <si>
    <t>27383</t>
  </si>
  <si>
    <t>南河内郡千早赤阪村</t>
  </si>
  <si>
    <t>みなみかわちぐんちはやあかさかむら</t>
  </si>
  <si>
    <t>28100</t>
  </si>
  <si>
    <t>神戸市</t>
  </si>
  <si>
    <t>こうべし</t>
  </si>
  <si>
    <t>28101</t>
  </si>
  <si>
    <t>神戸市東灘区</t>
  </si>
  <si>
    <t>こうべしひがしなだく</t>
  </si>
  <si>
    <t>078</t>
  </si>
  <si>
    <t>657-01 658-00</t>
  </si>
  <si>
    <t>28102</t>
  </si>
  <si>
    <t>神戸市灘区</t>
  </si>
  <si>
    <t>こうべしなだく</t>
  </si>
  <si>
    <t>657-00 657-01 657-08</t>
  </si>
  <si>
    <t>28105</t>
  </si>
  <si>
    <t>神戸市兵庫区</t>
  </si>
  <si>
    <t>こうべしひょうごく</t>
  </si>
  <si>
    <t>652-00 652-08</t>
  </si>
  <si>
    <t>28106</t>
  </si>
  <si>
    <t>神戸市長田区</t>
  </si>
  <si>
    <t>こうべしながたく</t>
  </si>
  <si>
    <t>653-00 653-08</t>
  </si>
  <si>
    <t>28107</t>
  </si>
  <si>
    <t>神戸市須磨区</t>
  </si>
  <si>
    <t>こうべしすまく</t>
  </si>
  <si>
    <t>654-00 654-01</t>
  </si>
  <si>
    <t>28108</t>
  </si>
  <si>
    <t>神戸市垂水区</t>
  </si>
  <si>
    <t>こうべしたるみく</t>
  </si>
  <si>
    <t>655-00 655-08</t>
  </si>
  <si>
    <t>28109</t>
  </si>
  <si>
    <t>神戸市北区</t>
  </si>
  <si>
    <t>こうべしきたく</t>
  </si>
  <si>
    <t>651-11 651-12 651-13 651-14 651-15 651-16 652-00 669-11</t>
  </si>
  <si>
    <t>28110</t>
  </si>
  <si>
    <t>神戸市中央区</t>
  </si>
  <si>
    <t>こうべしちゅうおうく</t>
  </si>
  <si>
    <t>650-00 651-00</t>
  </si>
  <si>
    <t>28111</t>
  </si>
  <si>
    <t>神戸市西区</t>
  </si>
  <si>
    <t>こうべしにしく</t>
  </si>
  <si>
    <t>650-00 651-21 651-22 651-23 651-24</t>
  </si>
  <si>
    <t>28201</t>
  </si>
  <si>
    <t>姫路市</t>
  </si>
  <si>
    <t>ひめじし</t>
  </si>
  <si>
    <t>079 0790</t>
  </si>
  <si>
    <t>670-00 670-08 670-09 671-01 671-02 671-11 671-12 671-21 671-22 671-24 672-01 672-80 679-21 679-42</t>
  </si>
  <si>
    <t>28202</t>
  </si>
  <si>
    <t>尼崎市</t>
  </si>
  <si>
    <t>あまがさきし</t>
  </si>
  <si>
    <t>660-00 660-08 661-00 661-09</t>
  </si>
  <si>
    <t>28203</t>
  </si>
  <si>
    <t>明石市</t>
  </si>
  <si>
    <t>あかしし</t>
  </si>
  <si>
    <t>673-00 673-08 674-00</t>
  </si>
  <si>
    <t>28204</t>
  </si>
  <si>
    <t>西宮市</t>
  </si>
  <si>
    <t>にしのみやし</t>
  </si>
  <si>
    <t>0798 078 0797</t>
  </si>
  <si>
    <t>651-14 662-00 662-08 662-09 663-80 663-81 663-82 669-11 669-12</t>
  </si>
  <si>
    <t>28205</t>
  </si>
  <si>
    <t>洲本市</t>
  </si>
  <si>
    <t>すもとし</t>
  </si>
  <si>
    <t>0799</t>
  </si>
  <si>
    <t>656-00 656-01 656-13 656-21 656-25</t>
  </si>
  <si>
    <t>28206</t>
  </si>
  <si>
    <t>芦屋市</t>
  </si>
  <si>
    <t>あしやし</t>
  </si>
  <si>
    <t>0797</t>
  </si>
  <si>
    <t>659-00</t>
  </si>
  <si>
    <t>28207</t>
  </si>
  <si>
    <t>伊丹市</t>
  </si>
  <si>
    <t>いたみし</t>
  </si>
  <si>
    <t>563-08 664-00 664-08</t>
  </si>
  <si>
    <t>28208</t>
  </si>
  <si>
    <t>相生市</t>
  </si>
  <si>
    <t>あいおいし</t>
  </si>
  <si>
    <t>0791</t>
  </si>
  <si>
    <t>678-00 678-01</t>
  </si>
  <si>
    <t>28209</t>
  </si>
  <si>
    <t>豊岡市</t>
  </si>
  <si>
    <t>とよおかし</t>
  </si>
  <si>
    <t>0796</t>
  </si>
  <si>
    <t>668-00 668-02 668-03 668-08 669-53 669-61 669-62 669-63</t>
  </si>
  <si>
    <t>28210</t>
  </si>
  <si>
    <t>加古川市</t>
  </si>
  <si>
    <t>かこがわし</t>
  </si>
  <si>
    <t>079 078</t>
  </si>
  <si>
    <t>675-00 675-01 675-03 675-12</t>
  </si>
  <si>
    <t>28212</t>
  </si>
  <si>
    <t>赤穂市</t>
  </si>
  <si>
    <t>あこうし</t>
  </si>
  <si>
    <t>678-01 678-02 678-11</t>
  </si>
  <si>
    <t>28213</t>
  </si>
  <si>
    <t>西脇市</t>
  </si>
  <si>
    <t>にしわきし</t>
  </si>
  <si>
    <t>0795</t>
  </si>
  <si>
    <t>677-00 679-03</t>
  </si>
  <si>
    <t>28214</t>
  </si>
  <si>
    <t>宝塚市</t>
  </si>
  <si>
    <t>たからづかし</t>
  </si>
  <si>
    <t>0797 072 0798</t>
  </si>
  <si>
    <t>665-00 665-08 666-01 669-12</t>
  </si>
  <si>
    <t>28215</t>
  </si>
  <si>
    <t>三木市</t>
  </si>
  <si>
    <t>みきし</t>
  </si>
  <si>
    <t>0794</t>
  </si>
  <si>
    <t>673-04 673-05 673-07 673-11 673-12</t>
  </si>
  <si>
    <t>28216</t>
  </si>
  <si>
    <t>高砂市</t>
  </si>
  <si>
    <t>たかさごし</t>
  </si>
  <si>
    <t>079</t>
  </si>
  <si>
    <t>671-01 676-00 676-08</t>
  </si>
  <si>
    <t>28217</t>
  </si>
  <si>
    <t>川西市</t>
  </si>
  <si>
    <t>かわにしし</t>
  </si>
  <si>
    <t>665-08 666-00 666-01</t>
  </si>
  <si>
    <t>28218</t>
  </si>
  <si>
    <t>小野市</t>
  </si>
  <si>
    <t>おのし</t>
  </si>
  <si>
    <t>675-13</t>
  </si>
  <si>
    <t>28219</t>
  </si>
  <si>
    <t>三田市</t>
  </si>
  <si>
    <t>さんだし</t>
  </si>
  <si>
    <t>669-13 669-14 669-15</t>
  </si>
  <si>
    <t>28220</t>
  </si>
  <si>
    <t>加西市</t>
  </si>
  <si>
    <t>かさいし</t>
  </si>
  <si>
    <t>0790</t>
  </si>
  <si>
    <t>675-00 675-21 675-22 675-23 675-24 679-01</t>
  </si>
  <si>
    <t>28221</t>
  </si>
  <si>
    <t>篠山市</t>
  </si>
  <si>
    <t>ささやまし</t>
  </si>
  <si>
    <t>669-21 669-22 669-23 669-24 669-25 669-26 669-27 669-28</t>
  </si>
  <si>
    <t>28222</t>
  </si>
  <si>
    <t>養父市</t>
  </si>
  <si>
    <t>やぶし</t>
  </si>
  <si>
    <t>667-00 667-01 667-03 667-04 667-11</t>
  </si>
  <si>
    <t>28223</t>
  </si>
  <si>
    <t>丹波市</t>
  </si>
  <si>
    <t>たんばし</t>
  </si>
  <si>
    <t>669-31 669-33 669-34 669-35 669-36 669-38 669-41 669-42 669-43</t>
  </si>
  <si>
    <t>28224</t>
  </si>
  <si>
    <t>南あわじ市</t>
  </si>
  <si>
    <t>みなみあわじし</t>
  </si>
  <si>
    <t>656-01 656-03 656-04 656-05 656-06 656-09</t>
  </si>
  <si>
    <t>28225</t>
  </si>
  <si>
    <t>朝来市</t>
  </si>
  <si>
    <t>あさごし</t>
  </si>
  <si>
    <t>669-51 669-52 679-33 679-34</t>
  </si>
  <si>
    <t>28226</t>
  </si>
  <si>
    <t>淡路市</t>
  </si>
  <si>
    <t>あわじし</t>
  </si>
  <si>
    <t>656-15 656-16 656-17 656-21 656-22 656-23 656-24</t>
  </si>
  <si>
    <t>28227</t>
  </si>
  <si>
    <t>宍粟市</t>
  </si>
  <si>
    <t>しそうし</t>
  </si>
  <si>
    <t>671-25 671-32 671-41 671-42</t>
  </si>
  <si>
    <t>28228</t>
  </si>
  <si>
    <t>加東市</t>
  </si>
  <si>
    <t>かとうし</t>
  </si>
  <si>
    <t>673-13 673-14 679-02</t>
  </si>
  <si>
    <t>28229</t>
  </si>
  <si>
    <t>たつの市</t>
  </si>
  <si>
    <t>たつのし</t>
  </si>
  <si>
    <t>0791 079</t>
  </si>
  <si>
    <t>671-13 671-16 679-40 679-41 679-43 679-51</t>
  </si>
  <si>
    <t>28301</t>
  </si>
  <si>
    <t>川辺郡猪名川町</t>
  </si>
  <si>
    <t>かわべぐんいながわちょう</t>
  </si>
  <si>
    <t>666-02</t>
  </si>
  <si>
    <t>28365</t>
  </si>
  <si>
    <t>多可郡多可町</t>
  </si>
  <si>
    <t>たかぐんたかちょう</t>
  </si>
  <si>
    <t>677-01 679-11 679-12 679-13</t>
  </si>
  <si>
    <t>28381</t>
  </si>
  <si>
    <t>加古郡稲美町</t>
  </si>
  <si>
    <t>かこぐんいなみちょう</t>
  </si>
  <si>
    <t>675-11</t>
  </si>
  <si>
    <t>28382</t>
  </si>
  <si>
    <t>加古郡播磨町</t>
  </si>
  <si>
    <t>かこぐんはりまちょう</t>
  </si>
  <si>
    <t>675-01</t>
  </si>
  <si>
    <t>28442</t>
  </si>
  <si>
    <t>神崎郡市川町</t>
  </si>
  <si>
    <t>かんざきぐんいちかわちょう</t>
  </si>
  <si>
    <t>679-23</t>
  </si>
  <si>
    <t>28443</t>
  </si>
  <si>
    <t>神崎郡福崎町</t>
  </si>
  <si>
    <t>かんざきぐんふくさきちょう</t>
  </si>
  <si>
    <t>679-22</t>
  </si>
  <si>
    <t>28446</t>
  </si>
  <si>
    <t>神崎郡神河町</t>
  </si>
  <si>
    <t>かんざきぐんかみかわちょう</t>
  </si>
  <si>
    <t>679-24 679-31</t>
  </si>
  <si>
    <t>28464</t>
  </si>
  <si>
    <t>揖保郡太子町</t>
  </si>
  <si>
    <t>いぼぐんたいしちょう</t>
  </si>
  <si>
    <t>671-15</t>
  </si>
  <si>
    <t>28481</t>
  </si>
  <si>
    <t>赤穂郡上郡町</t>
  </si>
  <si>
    <t>あこうぐんかみごおりちょう</t>
  </si>
  <si>
    <t>678-12</t>
  </si>
  <si>
    <t>28501</t>
  </si>
  <si>
    <t>佐用郡佐用町</t>
  </si>
  <si>
    <t>さようぐんさようちょう</t>
  </si>
  <si>
    <t>679-51 679-52 679-53 679-55 679-56</t>
  </si>
  <si>
    <t>28585</t>
  </si>
  <si>
    <t>美方郡香美町</t>
  </si>
  <si>
    <t>みかたぐんかみちょう</t>
  </si>
  <si>
    <t>667-13 667-15 669-64 669-65 669-66</t>
  </si>
  <si>
    <t>28586</t>
  </si>
  <si>
    <t>美方郡新温泉町</t>
  </si>
  <si>
    <t>みかたぐんしんおんせんちょう</t>
  </si>
  <si>
    <t>669-67 669-68 669-69</t>
  </si>
  <si>
    <t>29201</t>
  </si>
  <si>
    <t>奈良市</t>
  </si>
  <si>
    <t>ならし</t>
  </si>
  <si>
    <t>0742 0743</t>
  </si>
  <si>
    <t>630-00 630-11 630-12 630-21 630-23 630-80 630-81 630-82 630-83 630-84 631-00 631-08 632-01 632-02</t>
  </si>
  <si>
    <t>29202</t>
  </si>
  <si>
    <t>大和高田市</t>
  </si>
  <si>
    <t>やまとたかだし</t>
  </si>
  <si>
    <t>0745</t>
  </si>
  <si>
    <t>635-00</t>
  </si>
  <si>
    <t>29203</t>
  </si>
  <si>
    <t>大和郡山市</t>
  </si>
  <si>
    <t>やまとこおりやまし</t>
  </si>
  <si>
    <t>639-10 639-11</t>
  </si>
  <si>
    <t>29204</t>
  </si>
  <si>
    <t>天理市</t>
  </si>
  <si>
    <t>てんりし</t>
  </si>
  <si>
    <t>632-00 632-01</t>
  </si>
  <si>
    <t>29205</t>
  </si>
  <si>
    <t>橿原市</t>
  </si>
  <si>
    <t>かしはらし</t>
  </si>
  <si>
    <t>0744</t>
  </si>
  <si>
    <t>634-00 634-08</t>
  </si>
  <si>
    <t>29206</t>
  </si>
  <si>
    <t>桜井市</t>
  </si>
  <si>
    <t>さくらいし</t>
  </si>
  <si>
    <t>633-00 633-01</t>
  </si>
  <si>
    <t>29207</t>
  </si>
  <si>
    <t>五條市</t>
  </si>
  <si>
    <t>ごじょうし</t>
  </si>
  <si>
    <t>0747</t>
  </si>
  <si>
    <t>637-00 637-01 637-02 637-04 638-06</t>
  </si>
  <si>
    <t>29208</t>
  </si>
  <si>
    <t>御所市</t>
  </si>
  <si>
    <t>ごせし</t>
  </si>
  <si>
    <t>639-22 639-23</t>
  </si>
  <si>
    <t>29209</t>
  </si>
  <si>
    <t>生駒市</t>
  </si>
  <si>
    <t>いこまし</t>
  </si>
  <si>
    <t>630-01 630-02</t>
  </si>
  <si>
    <t>29210</t>
  </si>
  <si>
    <t>香芝市</t>
  </si>
  <si>
    <t>かしばし</t>
  </si>
  <si>
    <t>639-02</t>
  </si>
  <si>
    <t>29211</t>
  </si>
  <si>
    <t>葛城市</t>
  </si>
  <si>
    <t>かつらぎし</t>
  </si>
  <si>
    <t>639-02 639-21</t>
  </si>
  <si>
    <t>29212</t>
  </si>
  <si>
    <t>宇陀市</t>
  </si>
  <si>
    <t>うだし</t>
  </si>
  <si>
    <t>0745 0743</t>
  </si>
  <si>
    <t>632-02 633-02 633-03 633-04 633-21 633-22</t>
  </si>
  <si>
    <t>29322</t>
  </si>
  <si>
    <t>山辺郡山添村</t>
  </si>
  <si>
    <t>やまべぐんやまぞえむら</t>
  </si>
  <si>
    <t>630-00 630-22 630-23</t>
  </si>
  <si>
    <t>29342</t>
  </si>
  <si>
    <t>生駒郡平群町</t>
  </si>
  <si>
    <t>いこまぐんへぐりちょう</t>
  </si>
  <si>
    <t>636-00 636-09</t>
  </si>
  <si>
    <t>29343</t>
  </si>
  <si>
    <t>生駒郡三郷町</t>
  </si>
  <si>
    <t>いこまぐんさんごうちょう</t>
  </si>
  <si>
    <t>636-00 636-08</t>
  </si>
  <si>
    <t>29344</t>
  </si>
  <si>
    <t>生駒郡斑鳩町</t>
  </si>
  <si>
    <t>いこまぐんいかるがちょう</t>
  </si>
  <si>
    <t>636-01</t>
  </si>
  <si>
    <t>29345</t>
  </si>
  <si>
    <t>生駒郡安堵町</t>
  </si>
  <si>
    <t>いこまぐんあんどちょう</t>
  </si>
  <si>
    <t>29361</t>
  </si>
  <si>
    <t>磯城郡川西町</t>
  </si>
  <si>
    <t>しきぐんかわにしちょう</t>
  </si>
  <si>
    <t>636-02 636-03</t>
  </si>
  <si>
    <t>29362</t>
  </si>
  <si>
    <t>磯城郡三宅町</t>
  </si>
  <si>
    <t>しきぐんみやけちょう</t>
  </si>
  <si>
    <t>29363</t>
  </si>
  <si>
    <t>磯城郡田原本町</t>
  </si>
  <si>
    <t>しきぐんたわらもとちょう</t>
  </si>
  <si>
    <t>29385</t>
  </si>
  <si>
    <t>宇陀郡曽爾村</t>
  </si>
  <si>
    <t>うだぐんそにむら</t>
  </si>
  <si>
    <t>633-12</t>
  </si>
  <si>
    <t>29386</t>
  </si>
  <si>
    <t>宇陀郡御杖村</t>
  </si>
  <si>
    <t>うだぐんみつえむら</t>
  </si>
  <si>
    <t>633-13</t>
  </si>
  <si>
    <t>29401</t>
  </si>
  <si>
    <t>高市郡高取町</t>
  </si>
  <si>
    <t>たかいちぐんたかとりちょう</t>
  </si>
  <si>
    <t>0744 0745</t>
  </si>
  <si>
    <t>635-01</t>
  </si>
  <si>
    <t>29402</t>
  </si>
  <si>
    <t>高市郡明日香村</t>
  </si>
  <si>
    <t>たかいちぐんあすかむら</t>
  </si>
  <si>
    <t>634-01</t>
  </si>
  <si>
    <t>29424</t>
  </si>
  <si>
    <t>北葛城郡上牧町</t>
  </si>
  <si>
    <t>きたかつらぎぐんかんまきちょう</t>
  </si>
  <si>
    <t>29425</t>
  </si>
  <si>
    <t>北葛城郡王寺町</t>
  </si>
  <si>
    <t>きたかつらぎぐんおうじちょう</t>
  </si>
  <si>
    <t>636-00</t>
  </si>
  <si>
    <t>29426</t>
  </si>
  <si>
    <t>北葛城郡広陵町</t>
  </si>
  <si>
    <t>きたかつらぎぐんこうりょうちょう</t>
  </si>
  <si>
    <t>635-00 635-08</t>
  </si>
  <si>
    <t>29427</t>
  </si>
  <si>
    <t>北葛城郡河合町</t>
  </si>
  <si>
    <t>きたかつらぎぐんかわいちょう</t>
  </si>
  <si>
    <t>29441</t>
  </si>
  <si>
    <t>吉野郡吉野町</t>
  </si>
  <si>
    <t>よしのぐんよしのちょう</t>
  </si>
  <si>
    <t>0746</t>
  </si>
  <si>
    <t>639-31 639-33 639-34</t>
  </si>
  <si>
    <t>29442</t>
  </si>
  <si>
    <t>吉野郡大淀町</t>
  </si>
  <si>
    <t>よしのぐんおおよどちょう</t>
  </si>
  <si>
    <t>0747 0745 0746</t>
  </si>
  <si>
    <t>638-00 638-08 639-31</t>
  </si>
  <si>
    <t>29443</t>
  </si>
  <si>
    <t>吉野郡下市町</t>
  </si>
  <si>
    <t>よしのぐんしもいちちょう</t>
  </si>
  <si>
    <t>638-00</t>
  </si>
  <si>
    <t>29444</t>
  </si>
  <si>
    <t>吉野郡黒滝村</t>
  </si>
  <si>
    <t>よしのぐんくろたきむら</t>
  </si>
  <si>
    <t>638-02</t>
  </si>
  <si>
    <t>29446</t>
  </si>
  <si>
    <t>吉野郡天川村</t>
  </si>
  <si>
    <t>よしのぐんてんかわむら</t>
  </si>
  <si>
    <t>638-03 638-04 638-05</t>
  </si>
  <si>
    <t>29447</t>
  </si>
  <si>
    <t>吉野郡野迫川村</t>
  </si>
  <si>
    <t>よしのぐんのせがわむら</t>
  </si>
  <si>
    <t>637-04 648-03</t>
  </si>
  <si>
    <t>29449</t>
  </si>
  <si>
    <t>吉野郡十津川村</t>
  </si>
  <si>
    <t>よしのぐんとつかわむら</t>
  </si>
  <si>
    <t>637-11 637-12 637-13 637-14 637-15 637-16 647-12 647-15</t>
  </si>
  <si>
    <t>29450</t>
  </si>
  <si>
    <t>吉野郡下北山村</t>
  </si>
  <si>
    <t>よしのぐんしもきたやまむら</t>
  </si>
  <si>
    <t>07468</t>
  </si>
  <si>
    <t>639-38</t>
  </si>
  <si>
    <t>29451</t>
  </si>
  <si>
    <t>吉野郡上北山村</t>
  </si>
  <si>
    <t>よしのぐんかみきたやまむら</t>
  </si>
  <si>
    <t>639-37</t>
  </si>
  <si>
    <t>29452</t>
  </si>
  <si>
    <t>吉野郡川上村</t>
  </si>
  <si>
    <t>よしのぐんかわかみむら</t>
  </si>
  <si>
    <t>639-35 639-36</t>
  </si>
  <si>
    <t>29453</t>
  </si>
  <si>
    <t>吉野郡東吉野村</t>
  </si>
  <si>
    <t>よしのぐんひがしよしのむら</t>
  </si>
  <si>
    <t>633-23 633-24</t>
  </si>
  <si>
    <t>30201</t>
  </si>
  <si>
    <t>和歌山市</t>
  </si>
  <si>
    <t>わかやまし</t>
  </si>
  <si>
    <t>073</t>
  </si>
  <si>
    <t>640-00 640-01 640-03 640-80 640-81 640-82 640-83 640-84 641-00 649-62 649-63</t>
  </si>
  <si>
    <t>30202</t>
  </si>
  <si>
    <t>海南市</t>
  </si>
  <si>
    <t>かいなんし</t>
  </si>
  <si>
    <t>640-04 640-11 642-00 649-01</t>
  </si>
  <si>
    <t>30203</t>
  </si>
  <si>
    <t>橋本市</t>
  </si>
  <si>
    <t>はしもとし</t>
  </si>
  <si>
    <t>0736</t>
  </si>
  <si>
    <t>648-00 649-72</t>
  </si>
  <si>
    <t>30204</t>
  </si>
  <si>
    <t>有田市</t>
  </si>
  <si>
    <t>ありだし</t>
  </si>
  <si>
    <t>0737</t>
  </si>
  <si>
    <t>649-03 649-04</t>
  </si>
  <si>
    <t>30205</t>
  </si>
  <si>
    <t>御坊市</t>
  </si>
  <si>
    <t>ごぼうし</t>
  </si>
  <si>
    <t>0738</t>
  </si>
  <si>
    <t>644-00 649-13</t>
  </si>
  <si>
    <t>30206</t>
  </si>
  <si>
    <t>田辺市</t>
  </si>
  <si>
    <t>たなべし</t>
  </si>
  <si>
    <t>0739 0735</t>
  </si>
  <si>
    <t>645-03 645-04 645-05 646-00 646-01 646-02 646-11 646-12 646-13 646-14 647-17</t>
  </si>
  <si>
    <t>30207</t>
  </si>
  <si>
    <t>新宮市</t>
  </si>
  <si>
    <t>しんぐうし</t>
  </si>
  <si>
    <t>647-00 647-11 647-12</t>
  </si>
  <si>
    <t>30208</t>
  </si>
  <si>
    <t>紀の川市</t>
  </si>
  <si>
    <t>きのかわし</t>
  </si>
  <si>
    <t>640-04 640-13 649-61 649-64 649-65 649-66</t>
  </si>
  <si>
    <t>30209</t>
  </si>
  <si>
    <t>岩出市</t>
  </si>
  <si>
    <t>いわでし</t>
  </si>
  <si>
    <t>649-62</t>
  </si>
  <si>
    <t>30304</t>
  </si>
  <si>
    <t>海草郡紀美野町</t>
  </si>
  <si>
    <t>かいそうぐんきみのちょう</t>
  </si>
  <si>
    <t>640-11 640-12 640-13 640-14</t>
  </si>
  <si>
    <t>30341</t>
  </si>
  <si>
    <t>伊都郡かつらぎ町</t>
  </si>
  <si>
    <t>いとぐんかつらぎちょう</t>
  </si>
  <si>
    <t>0736 0737</t>
  </si>
  <si>
    <t>640-14 643-06 648-02 649-71</t>
  </si>
  <si>
    <t>30343</t>
  </si>
  <si>
    <t>伊都郡九度山町</t>
  </si>
  <si>
    <t>いとぐんくどやまちょう</t>
  </si>
  <si>
    <t>648-01</t>
  </si>
  <si>
    <t>30344</t>
  </si>
  <si>
    <t>伊都郡高野町</t>
  </si>
  <si>
    <t>いとぐんこうやちょう</t>
  </si>
  <si>
    <t>648-01 648-02 648-04</t>
  </si>
  <si>
    <t>30361</t>
  </si>
  <si>
    <t>有田郡湯浅町</t>
  </si>
  <si>
    <t>ありだぐんゆあさちょう</t>
  </si>
  <si>
    <t>643-00</t>
  </si>
  <si>
    <t>30362</t>
  </si>
  <si>
    <t>有田郡広川町</t>
  </si>
  <si>
    <t>ありだぐんひろがわちょう</t>
  </si>
  <si>
    <t>30366</t>
  </si>
  <si>
    <t>有田郡有田川町</t>
  </si>
  <si>
    <t>ありだぐんありだがわちょう</t>
  </si>
  <si>
    <t>643-00 643-01 643-03 643-05 643-06 643-08</t>
  </si>
  <si>
    <t>30381</t>
  </si>
  <si>
    <t>日高郡美浜町</t>
  </si>
  <si>
    <t>ひだかぐんみはまちょう</t>
  </si>
  <si>
    <t>644-00</t>
  </si>
  <si>
    <t>30382</t>
  </si>
  <si>
    <t>日高郡日高町</t>
  </si>
  <si>
    <t>ひだかぐんひだかちょう</t>
  </si>
  <si>
    <t>649-12</t>
  </si>
  <si>
    <t>30383</t>
  </si>
  <si>
    <t>日高郡由良町</t>
  </si>
  <si>
    <t>ひだかぐんゆらちょう</t>
  </si>
  <si>
    <t>649-11</t>
  </si>
  <si>
    <t>30390</t>
  </si>
  <si>
    <t>日高郡印南町</t>
  </si>
  <si>
    <t>ひだかぐんいなみちょう</t>
  </si>
  <si>
    <t>644-02 649-15</t>
  </si>
  <si>
    <t>30391</t>
  </si>
  <si>
    <t>日高郡みなべ町</t>
  </si>
  <si>
    <t>ひだかぐんみなべちょう</t>
  </si>
  <si>
    <t>0739</t>
  </si>
  <si>
    <t>645-00 645-02</t>
  </si>
  <si>
    <t>30392</t>
  </si>
  <si>
    <t>日高郡日高川町</t>
  </si>
  <si>
    <t>ひだかぐんひだかがわちょう</t>
  </si>
  <si>
    <t>644-11 644-12 645-05 649-13 649-14</t>
  </si>
  <si>
    <t>30401</t>
  </si>
  <si>
    <t>西牟婁郡白浜町</t>
  </si>
  <si>
    <t>にしむろぐんしらはまちょう</t>
  </si>
  <si>
    <t>646-03 649-22 649-23 649-25</t>
  </si>
  <si>
    <t>30404</t>
  </si>
  <si>
    <t>西牟婁郡上富田町</t>
  </si>
  <si>
    <t>にしむろぐんかみとんだちょう</t>
  </si>
  <si>
    <t>646-11 649-21</t>
  </si>
  <si>
    <t>30406</t>
  </si>
  <si>
    <t>西牟婁郡すさみ町</t>
  </si>
  <si>
    <t>にしむろぐんすさみちょう</t>
  </si>
  <si>
    <t>649-26 649-31</t>
  </si>
  <si>
    <t>30421</t>
  </si>
  <si>
    <t>東牟婁郡那智勝浦町</t>
  </si>
  <si>
    <t>ひがしむろぐんなちかつうらちょう</t>
  </si>
  <si>
    <t>649-51 649-53 649-54</t>
  </si>
  <si>
    <t>30422</t>
  </si>
  <si>
    <t>東牟婁郡太地町</t>
  </si>
  <si>
    <t>ひがしむろぐんたいじちょう</t>
  </si>
  <si>
    <t>649-51 649-53</t>
  </si>
  <si>
    <t>30424</t>
  </si>
  <si>
    <t>東牟婁郡古座川町</t>
  </si>
  <si>
    <t>ひがしむろぐんこざがわちょう</t>
  </si>
  <si>
    <t>649-41 649-42 649-44 649-45</t>
  </si>
  <si>
    <t>30427</t>
  </si>
  <si>
    <t>東牟婁郡北山村</t>
  </si>
  <si>
    <t>ひがしむろぐんきたやまむら</t>
  </si>
  <si>
    <t>647-16</t>
  </si>
  <si>
    <t>30428</t>
  </si>
  <si>
    <t>東牟婁郡串本町</t>
  </si>
  <si>
    <t>ひがしむろぐんくしもとちょう</t>
  </si>
  <si>
    <t>649-35 649-36 649-41</t>
  </si>
  <si>
    <t>31201</t>
  </si>
  <si>
    <t>鳥取市</t>
  </si>
  <si>
    <t>とっとりし</t>
  </si>
  <si>
    <t>0857 0858</t>
  </si>
  <si>
    <t>680-00 680-01 680-02 680-08 680-09 680-11 680-12 680-14 680-80 689-01 689-02 689-03 689-04 689-05 689-11 689-12 689-13</t>
  </si>
  <si>
    <t>31202</t>
  </si>
  <si>
    <t>米子市</t>
  </si>
  <si>
    <t>よなごし</t>
  </si>
  <si>
    <t>0859</t>
  </si>
  <si>
    <t>683-00 683-01 683-02 683-08 689-34 689-35</t>
  </si>
  <si>
    <t>31203</t>
  </si>
  <si>
    <t>倉吉市</t>
  </si>
  <si>
    <t>くらよしし</t>
  </si>
  <si>
    <t>0858</t>
  </si>
  <si>
    <t>682-00 682-04 682-06 682-08 682-09</t>
  </si>
  <si>
    <t>31204</t>
  </si>
  <si>
    <t>境港市</t>
  </si>
  <si>
    <t>さかいみなとし</t>
  </si>
  <si>
    <t>684-00</t>
  </si>
  <si>
    <t>31302</t>
  </si>
  <si>
    <t>岩美郡岩美町</t>
  </si>
  <si>
    <t>いわみぐんいわみちょう</t>
  </si>
  <si>
    <t>0857</t>
  </si>
  <si>
    <t>681-00</t>
  </si>
  <si>
    <t>31325</t>
  </si>
  <si>
    <t>八頭郡若桜町</t>
  </si>
  <si>
    <t>やずぐんわかさちょう</t>
  </si>
  <si>
    <t>680-07</t>
  </si>
  <si>
    <t>31328</t>
  </si>
  <si>
    <t>八頭郡智頭町</t>
  </si>
  <si>
    <t>やずぐんちづちょう</t>
  </si>
  <si>
    <t>689-14</t>
  </si>
  <si>
    <t>31329</t>
  </si>
  <si>
    <t>八頭郡八頭町</t>
  </si>
  <si>
    <t>やずぐんやずちょう</t>
  </si>
  <si>
    <t>680-03 680-04 680-05 680-06</t>
  </si>
  <si>
    <t>31364</t>
  </si>
  <si>
    <t>東伯郡三朝町</t>
  </si>
  <si>
    <t>とうはくぐんみささちょう</t>
  </si>
  <si>
    <t>682-01 682-03</t>
  </si>
  <si>
    <t>31370</t>
  </si>
  <si>
    <t>東伯郡湯梨浜町</t>
  </si>
  <si>
    <t>とうはくぐんゆりはまちょう</t>
  </si>
  <si>
    <t>682-07 689-06 689-07</t>
  </si>
  <si>
    <t>31371</t>
  </si>
  <si>
    <t>東伯郡琴浦町</t>
  </si>
  <si>
    <t>とうはくぐんことうらちょう</t>
  </si>
  <si>
    <t>689-23 689-25</t>
  </si>
  <si>
    <t>31372</t>
  </si>
  <si>
    <t>東伯郡北栄町</t>
  </si>
  <si>
    <t>とうはくぐんほくえいちょう</t>
  </si>
  <si>
    <t>689-21 689-22</t>
  </si>
  <si>
    <t>31384</t>
  </si>
  <si>
    <t>西伯郡日吉津村</t>
  </si>
  <si>
    <t>さいはくぐんひえづそん</t>
  </si>
  <si>
    <t>689-35</t>
  </si>
  <si>
    <t>31386</t>
  </si>
  <si>
    <t>西伯郡大山町</t>
  </si>
  <si>
    <t>さいはくぐんだいせんちょう</t>
  </si>
  <si>
    <t>0859 0858</t>
  </si>
  <si>
    <t>689-31 689-32 689-33</t>
  </si>
  <si>
    <t>31389</t>
  </si>
  <si>
    <t>西伯郡南部町</t>
  </si>
  <si>
    <t>さいはくぐんなんぶちょう</t>
  </si>
  <si>
    <t>683-02 683-03</t>
  </si>
  <si>
    <t>31390</t>
  </si>
  <si>
    <t>西伯郡伯耆町</t>
  </si>
  <si>
    <t>さいはくぐんほうきちょう</t>
  </si>
  <si>
    <t>689-41 689-42</t>
  </si>
  <si>
    <t>31401</t>
  </si>
  <si>
    <t>日野郡日南町</t>
  </si>
  <si>
    <t>ひのぐんにちなんちょう</t>
  </si>
  <si>
    <t>689-52 689-55 689-56</t>
  </si>
  <si>
    <t>31402</t>
  </si>
  <si>
    <t>日野郡日野町</t>
  </si>
  <si>
    <t>ひのぐんひのちょう</t>
  </si>
  <si>
    <t>689-45 689-51</t>
  </si>
  <si>
    <t>31403</t>
  </si>
  <si>
    <t>日野郡江府町</t>
  </si>
  <si>
    <t>ひのぐんこうふちょう</t>
  </si>
  <si>
    <t>689-44</t>
  </si>
  <si>
    <t>32201</t>
  </si>
  <si>
    <t>松江市</t>
  </si>
  <si>
    <t>まつえし</t>
  </si>
  <si>
    <t>0852</t>
  </si>
  <si>
    <t>690-00 690-01 690-02 690-03 690-04 690-08 690-11 690-12 690-13 690-14 690-15 690-21 699-01 699-02 699-04</t>
  </si>
  <si>
    <t>32202</t>
  </si>
  <si>
    <t>浜田市</t>
  </si>
  <si>
    <t>はまだし</t>
  </si>
  <si>
    <t>0855</t>
  </si>
  <si>
    <t>695-01 697-00 697-01 697-02 697-03 697-04 697-05 697-11 697-12 697-13 699-32 699-33</t>
  </si>
  <si>
    <t>32203</t>
  </si>
  <si>
    <t>出雲市</t>
  </si>
  <si>
    <t>いずもし</t>
  </si>
  <si>
    <t>0853</t>
  </si>
  <si>
    <t>691-00 693-00 693-01 693-02 693-05 699-07 699-08 699-09</t>
  </si>
  <si>
    <t>32204</t>
  </si>
  <si>
    <t>益田市</t>
  </si>
  <si>
    <t>ますだし</t>
  </si>
  <si>
    <t>0856</t>
  </si>
  <si>
    <t>698-00 698-02 698-04 698-12 698-21 698-22 699-35 699-36 699-37 699-51</t>
  </si>
  <si>
    <t>32205</t>
  </si>
  <si>
    <t>大田市</t>
  </si>
  <si>
    <t>おおだし</t>
  </si>
  <si>
    <t>0854 0855</t>
  </si>
  <si>
    <t>694-00 694-02 694-03 694-04 699-22 699-23 699-25</t>
  </si>
  <si>
    <t>32206</t>
  </si>
  <si>
    <t>安来市</t>
  </si>
  <si>
    <t>やすぎし</t>
  </si>
  <si>
    <t>0854</t>
  </si>
  <si>
    <t>692-00 692-02 692-03 692-04 692-06 692-07</t>
  </si>
  <si>
    <t>32207</t>
  </si>
  <si>
    <t>江津市</t>
  </si>
  <si>
    <t>ごうつし</t>
  </si>
  <si>
    <t>695-00 695-01 699-28 699-31 699-41 699-42 699-44 699-45</t>
  </si>
  <si>
    <t>32209</t>
  </si>
  <si>
    <t>雲南市</t>
  </si>
  <si>
    <t>うんなんし</t>
  </si>
  <si>
    <t>690-23 690-24 690-25 690-26 690-27 690-28 699-11 699-12 699-13 699-14</t>
  </si>
  <si>
    <t>32343</t>
  </si>
  <si>
    <t>仁多郡奥出雲町</t>
  </si>
  <si>
    <t>にたぐんおくいずもちょう</t>
  </si>
  <si>
    <t>699-14 699-15 699-16 699-17 699-18 699-19</t>
  </si>
  <si>
    <t>32386</t>
  </si>
  <si>
    <t>飯石郡飯南町</t>
  </si>
  <si>
    <t>いいしぐんいいなんちょう</t>
  </si>
  <si>
    <t>690-32 690-33 690-34 690-35</t>
  </si>
  <si>
    <t>32441</t>
  </si>
  <si>
    <t>邑智郡川本町</t>
  </si>
  <si>
    <t>おおちぐんかわもとまち</t>
  </si>
  <si>
    <t>696-00 696-12</t>
  </si>
  <si>
    <t>32448</t>
  </si>
  <si>
    <t>邑智郡美郷町</t>
  </si>
  <si>
    <t>おおちぐんみさとちょう</t>
  </si>
  <si>
    <t>696-07 696-11 699-46 699-47</t>
  </si>
  <si>
    <t>32449</t>
  </si>
  <si>
    <t>邑智郡邑南町</t>
  </si>
  <si>
    <t>おおちぐんおおなんちょう</t>
  </si>
  <si>
    <t>696-01 696-02 696-03 696-04 696-05 696-06 697-06 699-43</t>
  </si>
  <si>
    <t>32501</t>
  </si>
  <si>
    <t>鹿足郡津和野町</t>
  </si>
  <si>
    <t>かのあしぐんつわのちょう</t>
  </si>
  <si>
    <t>699-52 699-56</t>
  </si>
  <si>
    <t>32505</t>
  </si>
  <si>
    <t>鹿足郡吉賀町</t>
  </si>
  <si>
    <t>かのあしぐんよしかちょう</t>
  </si>
  <si>
    <t>699-53 699-55</t>
  </si>
  <si>
    <t>32525</t>
  </si>
  <si>
    <t>隠岐郡海士町</t>
  </si>
  <si>
    <t>おきぐんあまちょう</t>
  </si>
  <si>
    <t>08514</t>
  </si>
  <si>
    <t>684-04</t>
  </si>
  <si>
    <t>32526</t>
  </si>
  <si>
    <t>隠岐郡西ノ島町</t>
  </si>
  <si>
    <t>おきぐんにしのしまちょう</t>
  </si>
  <si>
    <t>684-02 684-03</t>
  </si>
  <si>
    <t>32527</t>
  </si>
  <si>
    <t>隠岐郡知夫村</t>
  </si>
  <si>
    <t>おきぐんちぶむら</t>
  </si>
  <si>
    <t>684-01</t>
  </si>
  <si>
    <t>32528</t>
  </si>
  <si>
    <t>隠岐郡隠岐の島町</t>
  </si>
  <si>
    <t>おきぐんおきのしまちょう</t>
  </si>
  <si>
    <t>08512</t>
  </si>
  <si>
    <t>685-00 685-01 685-03 685-04</t>
  </si>
  <si>
    <t>33100</t>
  </si>
  <si>
    <t>岡山市</t>
  </si>
  <si>
    <t>おかやまし</t>
  </si>
  <si>
    <t>33101</t>
  </si>
  <si>
    <t>岡山市北区</t>
  </si>
  <si>
    <t>おかやましきたく</t>
  </si>
  <si>
    <t>086 0867</t>
  </si>
  <si>
    <t>700-00 700-08 700-09 701-01 701-11 701-12 701-13 701-14 701-15 701-16 701-21 703-82 709-21 709-31</t>
  </si>
  <si>
    <t>33102</t>
  </si>
  <si>
    <t>岡山市中区</t>
  </si>
  <si>
    <t>おかやましなかく</t>
  </si>
  <si>
    <t>086</t>
  </si>
  <si>
    <t>700-00 702-80 703-82</t>
  </si>
  <si>
    <t>33103</t>
  </si>
  <si>
    <t>岡山市東区</t>
  </si>
  <si>
    <t>おかやましひがしく</t>
  </si>
  <si>
    <t>700-00 703-82 704-81 709-06 709-08</t>
  </si>
  <si>
    <t>33104</t>
  </si>
  <si>
    <t>岡山市南区</t>
  </si>
  <si>
    <t>おかやましみなみく</t>
  </si>
  <si>
    <t>086 08636</t>
  </si>
  <si>
    <t>700-00 700-08 700-09 701-02 702-80 709-12 710-01</t>
  </si>
  <si>
    <t>33202</t>
  </si>
  <si>
    <t>倉敷市</t>
  </si>
  <si>
    <t>くらしきし</t>
  </si>
  <si>
    <t>086 0866</t>
  </si>
  <si>
    <t>701-01 709-11 710-00 710-01 710-02 710-08 710-13 711-09 712-80 713-81</t>
  </si>
  <si>
    <t>33203</t>
  </si>
  <si>
    <t>津山市</t>
  </si>
  <si>
    <t>つやまし</t>
  </si>
  <si>
    <t>0868</t>
  </si>
  <si>
    <t>708-00 708-08 708-11 708-12 709-39 709-46</t>
  </si>
  <si>
    <t>33204</t>
  </si>
  <si>
    <t>玉野市</t>
  </si>
  <si>
    <t>たまのし</t>
  </si>
  <si>
    <t>0863</t>
  </si>
  <si>
    <t>706-00 706-01 706-02 706-03</t>
  </si>
  <si>
    <t>33205</t>
  </si>
  <si>
    <t>笠岡市</t>
  </si>
  <si>
    <t>かさおかし</t>
  </si>
  <si>
    <t>0865</t>
  </si>
  <si>
    <t>714-00 714-03</t>
  </si>
  <si>
    <t>33207</t>
  </si>
  <si>
    <t>井原市</t>
  </si>
  <si>
    <t>いばらし</t>
  </si>
  <si>
    <t>0866</t>
  </si>
  <si>
    <t>714-14 714-21 714-22 714-23 715-00</t>
  </si>
  <si>
    <t>33208</t>
  </si>
  <si>
    <t>総社市</t>
  </si>
  <si>
    <t>そうじゃし</t>
  </si>
  <si>
    <t>710-12 719-11 719-13</t>
  </si>
  <si>
    <t>33209</t>
  </si>
  <si>
    <t>高梁市</t>
  </si>
  <si>
    <t>たかはしし</t>
  </si>
  <si>
    <t>716-00 716-01 716-02 716-03 716-13 719-21 719-22 719-23 719-24</t>
  </si>
  <si>
    <t>33210</t>
  </si>
  <si>
    <t>新見市</t>
  </si>
  <si>
    <t>にいみし</t>
  </si>
  <si>
    <t>0867</t>
  </si>
  <si>
    <t>718-00 718-01 718-02 718-03 719-25 719-26 719-27 719-28 719-35 719-36 719-37 719-38</t>
  </si>
  <si>
    <t>33211</t>
  </si>
  <si>
    <t>備前市</t>
  </si>
  <si>
    <t>びぜんし</t>
  </si>
  <si>
    <t>0869</t>
  </si>
  <si>
    <t>701-32 705-00 705-01 709-02 709-03</t>
  </si>
  <si>
    <t>33212</t>
  </si>
  <si>
    <t>瀬戸内市</t>
  </si>
  <si>
    <t>せとうちし</t>
  </si>
  <si>
    <t>701-42 701-43 701-45</t>
  </si>
  <si>
    <t>33213</t>
  </si>
  <si>
    <t>赤磐市</t>
  </si>
  <si>
    <t>あかいわし</t>
  </si>
  <si>
    <t>086 08699</t>
  </si>
  <si>
    <t>701-22 701-24 701-25 709-07 709-08</t>
  </si>
  <si>
    <t>33214</t>
  </si>
  <si>
    <t>真庭市</t>
  </si>
  <si>
    <t>まにわし</t>
  </si>
  <si>
    <t>0866 0867</t>
  </si>
  <si>
    <t>716-14 717-00 717-01 717-04 717-05 717-06 717-07 719-31 719-32</t>
  </si>
  <si>
    <t>33215</t>
  </si>
  <si>
    <t>美作市</t>
  </si>
  <si>
    <t>みまさかし</t>
  </si>
  <si>
    <t>701-26 707-00 707-01 707-02 707-04 709-42</t>
  </si>
  <si>
    <t>33216</t>
  </si>
  <si>
    <t>浅口市</t>
  </si>
  <si>
    <t>あさくちし</t>
  </si>
  <si>
    <t>714-01 719-01 719-02</t>
  </si>
  <si>
    <t>33346</t>
  </si>
  <si>
    <t>和気郡和気町</t>
  </si>
  <si>
    <t>わけぐんわけちょう</t>
  </si>
  <si>
    <t>709-04 709-05</t>
  </si>
  <si>
    <t>33423</t>
  </si>
  <si>
    <t>都窪郡早島町</t>
  </si>
  <si>
    <t>つくぼぐんはやしまちょう</t>
  </si>
  <si>
    <t>701-03</t>
  </si>
  <si>
    <t>33445</t>
  </si>
  <si>
    <t>浅口郡里庄町</t>
  </si>
  <si>
    <t>あさくちぐんさとしょうちょう</t>
  </si>
  <si>
    <t>719-03</t>
  </si>
  <si>
    <t>33461</t>
  </si>
  <si>
    <t>小田郡矢掛町</t>
  </si>
  <si>
    <t>おだぐんやかげちょう</t>
  </si>
  <si>
    <t>714-12</t>
  </si>
  <si>
    <t>33586</t>
  </si>
  <si>
    <t>真庭郡新庄村</t>
  </si>
  <si>
    <t>まにわぐんしんじょうそん</t>
  </si>
  <si>
    <t>717-02</t>
  </si>
  <si>
    <t>33606</t>
  </si>
  <si>
    <t>苫田郡鏡野町</t>
  </si>
  <si>
    <t>とまたぐんかがみのちょう</t>
  </si>
  <si>
    <t>0868 0867</t>
  </si>
  <si>
    <t>708-03 708-04 708-05 708-06 719-33</t>
  </si>
  <si>
    <t>33622</t>
  </si>
  <si>
    <t>勝田郡勝央町</t>
  </si>
  <si>
    <t>かつたぐんしょうおうちょう</t>
  </si>
  <si>
    <t>709-43</t>
  </si>
  <si>
    <t>33623</t>
  </si>
  <si>
    <t>勝田郡奈義町</t>
  </si>
  <si>
    <t>かつたぐんなぎちょう</t>
  </si>
  <si>
    <t>708-13</t>
  </si>
  <si>
    <t>33643</t>
  </si>
  <si>
    <t>英田郡西粟倉村</t>
  </si>
  <si>
    <t>あいだぐんにしあわくらそん</t>
  </si>
  <si>
    <t>707-05</t>
  </si>
  <si>
    <t>33663</t>
  </si>
  <si>
    <t>久米郡久米南町</t>
  </si>
  <si>
    <t>くめぐんくめなんちょう</t>
  </si>
  <si>
    <t>709-36</t>
  </si>
  <si>
    <t>33666</t>
  </si>
  <si>
    <t>久米郡美咲町</t>
  </si>
  <si>
    <t>くめぐんみさきちょう</t>
  </si>
  <si>
    <t>0868 0867 086</t>
  </si>
  <si>
    <t>708-15 709-34 709-37</t>
  </si>
  <si>
    <t>33681</t>
  </si>
  <si>
    <t>加賀郡吉備中央町</t>
  </si>
  <si>
    <t>かがぐんきびちゅうおうちょう</t>
  </si>
  <si>
    <t>0867 0866</t>
  </si>
  <si>
    <t>709-23 709-24 709-25 709-26 716-11 716-12 716-15</t>
  </si>
  <si>
    <t>34100</t>
  </si>
  <si>
    <t>広島市</t>
  </si>
  <si>
    <t>ひろしまし</t>
  </si>
  <si>
    <t>34101</t>
  </si>
  <si>
    <t>広島市中区</t>
  </si>
  <si>
    <t>ひろしましなかく</t>
  </si>
  <si>
    <t>082</t>
  </si>
  <si>
    <t>730-00 730-08</t>
  </si>
  <si>
    <t>34102</t>
  </si>
  <si>
    <t>広島市東区</t>
  </si>
  <si>
    <t>ひろしましひがしく</t>
  </si>
  <si>
    <t>732-00</t>
  </si>
  <si>
    <t>34103</t>
  </si>
  <si>
    <t>広島市南区</t>
  </si>
  <si>
    <t>ひろしましみなみく</t>
  </si>
  <si>
    <t>732-08 734-00</t>
  </si>
  <si>
    <t>34104</t>
  </si>
  <si>
    <t>広島市西区</t>
  </si>
  <si>
    <t>ひろしましにしく</t>
  </si>
  <si>
    <t>733-00 733-08</t>
  </si>
  <si>
    <t>34105</t>
  </si>
  <si>
    <t>広島市安佐南区</t>
  </si>
  <si>
    <t>ひろしましあさみなみく</t>
  </si>
  <si>
    <t>731-01 731-31 731-32</t>
  </si>
  <si>
    <t>34106</t>
  </si>
  <si>
    <t>広島市安佐北区</t>
  </si>
  <si>
    <t>ひろしましあさきたく</t>
  </si>
  <si>
    <t>731-02 731-11 731-12 731-33 739-13 739-14 739-15 739-17</t>
  </si>
  <si>
    <t>34107</t>
  </si>
  <si>
    <t>広島市安芸区</t>
  </si>
  <si>
    <t>ひろしましあきく</t>
  </si>
  <si>
    <t>731-42 736-00 739-03</t>
  </si>
  <si>
    <t>34108</t>
  </si>
  <si>
    <t>広島市佐伯区</t>
  </si>
  <si>
    <t>ひろしましさえきく</t>
  </si>
  <si>
    <t>082 0829</t>
  </si>
  <si>
    <t>731-51 738-05 738-06 738-07</t>
  </si>
  <si>
    <t>34202</t>
  </si>
  <si>
    <t>呉市</t>
  </si>
  <si>
    <t>くれし</t>
  </si>
  <si>
    <t>0823 0846</t>
  </si>
  <si>
    <t>729-25 729-26 734-01 734-03 737-00 737-01 737-03 737-04 737-08 737-09 737-12 737-13</t>
  </si>
  <si>
    <t>34203</t>
  </si>
  <si>
    <t>竹原市</t>
  </si>
  <si>
    <t>たけはらし</t>
  </si>
  <si>
    <t>0846</t>
  </si>
  <si>
    <t>725-00 729-23</t>
  </si>
  <si>
    <t>34204</t>
  </si>
  <si>
    <t>三原市</t>
  </si>
  <si>
    <t>みはらし</t>
  </si>
  <si>
    <t>0848 0847</t>
  </si>
  <si>
    <t>722-13 722-14 722-15 723-00 723-01 729-03 729-04 729-12 729-13 729-14 729-22 729-23</t>
  </si>
  <si>
    <t>34205</t>
  </si>
  <si>
    <t>尾道市</t>
  </si>
  <si>
    <t>おのみちし</t>
  </si>
  <si>
    <t>0848 0845</t>
  </si>
  <si>
    <t>720-05 722-00 722-02 722-03 722-04 722-15 722-21 722-22 722-23 722-24 729-01</t>
  </si>
  <si>
    <t>34207</t>
  </si>
  <si>
    <t>福山市</t>
  </si>
  <si>
    <t>ふくやまし</t>
  </si>
  <si>
    <t>084 0847</t>
  </si>
  <si>
    <t>720-00 720-02 720-03 720-04 720-05 720-08 720-11 720-12 720-21 720-24 720-25 720-26 721-00 721-09 722-26 729-01 729-02 729-31</t>
  </si>
  <si>
    <t>34208</t>
  </si>
  <si>
    <t>0847</t>
  </si>
  <si>
    <t>722-04 726-00 729-32 729-34</t>
  </si>
  <si>
    <t>34209</t>
  </si>
  <si>
    <t>三次市</t>
  </si>
  <si>
    <t>0824 0847</t>
  </si>
  <si>
    <t>728-00 728-01 728-02 728-04 728-06 729-41 729-42 729-43 729-62 729-63 729-66 729-67</t>
  </si>
  <si>
    <t>34210</t>
  </si>
  <si>
    <t>庄原市</t>
  </si>
  <si>
    <t>しょうばらし</t>
  </si>
  <si>
    <t>0824 08477</t>
  </si>
  <si>
    <t>720-19 727-00 727-01 727-02 727-03 727-04 727-06 728-05 729-37 729-51 729-52 729-54 729-55 729-56 729-57 729-58 729-61</t>
  </si>
  <si>
    <t>34211</t>
  </si>
  <si>
    <t>大竹市</t>
  </si>
  <si>
    <t>おおたけし</t>
  </si>
  <si>
    <t>0827</t>
  </si>
  <si>
    <t>739-06</t>
  </si>
  <si>
    <t>34212</t>
  </si>
  <si>
    <t>東広島市</t>
  </si>
  <si>
    <t>ひがしひろしまし</t>
  </si>
  <si>
    <t>082 0823 0846</t>
  </si>
  <si>
    <t>724-02 724-03 724-05 724-06 724-07 729-11 729-24 739-00 739-01 739-02 739-21</t>
  </si>
  <si>
    <t>34213</t>
  </si>
  <si>
    <t>廿日市市</t>
  </si>
  <si>
    <t>はつかいちし</t>
  </si>
  <si>
    <t>0829 0827</t>
  </si>
  <si>
    <t>738-00 738-02 738-03 739-04 739-05 739-06</t>
  </si>
  <si>
    <t>34214</t>
  </si>
  <si>
    <t>安芸高田市</t>
  </si>
  <si>
    <t>あきたかたし</t>
  </si>
  <si>
    <t>0826</t>
  </si>
  <si>
    <t>731-03 731-05 731-06 731-07 739-11 739-12 739-18</t>
  </si>
  <si>
    <t>34215</t>
  </si>
  <si>
    <t>江田島市</t>
  </si>
  <si>
    <t>えたじまし</t>
  </si>
  <si>
    <t>0823</t>
  </si>
  <si>
    <t>737-21 737-22 737-23</t>
  </si>
  <si>
    <t>34302</t>
  </si>
  <si>
    <t>安芸郡府中町</t>
  </si>
  <si>
    <t>あきぐんふちゅうちょう</t>
  </si>
  <si>
    <t>735-00</t>
  </si>
  <si>
    <t>34304</t>
  </si>
  <si>
    <t>安芸郡海田町</t>
  </si>
  <si>
    <t>あきぐんかいたちょう</t>
  </si>
  <si>
    <t>736-00</t>
  </si>
  <si>
    <t>34307</t>
  </si>
  <si>
    <t>安芸郡熊野町</t>
  </si>
  <si>
    <t>あきぐんくまのちょう</t>
  </si>
  <si>
    <t>731-42</t>
  </si>
  <si>
    <t>34309</t>
  </si>
  <si>
    <t>安芸郡坂町</t>
  </si>
  <si>
    <t>あきぐんさかちょう</t>
  </si>
  <si>
    <t>731-43</t>
  </si>
  <si>
    <t>34368</t>
  </si>
  <si>
    <t>山県郡安芸太田町</t>
  </si>
  <si>
    <t>やまがたぐんあきおおたちょう</t>
  </si>
  <si>
    <t>731-34 731-35 731-36 731-37 731-38</t>
  </si>
  <si>
    <t>34369</t>
  </si>
  <si>
    <t>山県郡北広島町</t>
  </si>
  <si>
    <t>やまがたぐんきたひろしまちょう</t>
  </si>
  <si>
    <t>731-12 731-15 731-17 731-21 731-22 731-23 731-24 731-25 731-35</t>
  </si>
  <si>
    <t>34431</t>
  </si>
  <si>
    <t>豊田郡大崎上島町</t>
  </si>
  <si>
    <t>とよたぐんおおさきかみじまちょう</t>
  </si>
  <si>
    <t>725-02 725-03 725-04</t>
  </si>
  <si>
    <t>34462</t>
  </si>
  <si>
    <t>世羅郡世羅町</t>
  </si>
  <si>
    <t>せらぐんせらちょう</t>
  </si>
  <si>
    <t>722-04 722-11 722-12 722-16 722-17 729-33 729-67</t>
  </si>
  <si>
    <t>34545</t>
  </si>
  <si>
    <t>神石郡神石高原町</t>
  </si>
  <si>
    <t>じんせきぐんじんせきこうげんちょう</t>
  </si>
  <si>
    <t>720-14 720-15 720-16 720-17 720-18 720-19 729-35 729-36</t>
  </si>
  <si>
    <t>35201</t>
  </si>
  <si>
    <t>下関市</t>
  </si>
  <si>
    <t>しものせきし</t>
  </si>
  <si>
    <t>0832 0837</t>
  </si>
  <si>
    <t>750-00 750-02 750-03 750-04 750-11 751-08 752-09 759-51 759-52 759-53 759-55 759-61 759-63 759-65 759-66</t>
  </si>
  <si>
    <t>35202</t>
  </si>
  <si>
    <t>宇部市</t>
  </si>
  <si>
    <t>うべし</t>
  </si>
  <si>
    <t>0836</t>
  </si>
  <si>
    <t>754-13 755-00 755-01 755-02 755-08 757-02 757-04 759-01 759-02</t>
  </si>
  <si>
    <t>35203</t>
  </si>
  <si>
    <t>山口市</t>
  </si>
  <si>
    <t>やまぐちし</t>
  </si>
  <si>
    <t>083 0835 0836</t>
  </si>
  <si>
    <t>747-02 747-03 747-04 747-05 747-06 747-12 753-00 753-02 753-03 753-08 754-00 754-08 754-11 754-12 759-12 759-13 759-14 759-15 759-16</t>
  </si>
  <si>
    <t>35204</t>
  </si>
  <si>
    <t>萩市</t>
  </si>
  <si>
    <t>はぎし</t>
  </si>
  <si>
    <t>0838 08387 08388</t>
  </si>
  <si>
    <t>753-01 754-04 758-00 758-01 758-02 758-03 758-05 758-07 759-31 759-32 759-33 759-34 759-36 759-37</t>
  </si>
  <si>
    <t>35206</t>
  </si>
  <si>
    <t>防府市</t>
  </si>
  <si>
    <t>ほうふし</t>
  </si>
  <si>
    <t>0835</t>
  </si>
  <si>
    <t>747-00 747-01 747-08 747-11 747-12</t>
  </si>
  <si>
    <t>35207</t>
  </si>
  <si>
    <t>下松市</t>
  </si>
  <si>
    <t>くだまつし</t>
  </si>
  <si>
    <t>0833</t>
  </si>
  <si>
    <t>744-00 744-02</t>
  </si>
  <si>
    <t>35208</t>
  </si>
  <si>
    <t>岩国市</t>
  </si>
  <si>
    <t>いわくにし</t>
  </si>
  <si>
    <t>740-00 740-03 740-05 740-06 740-07 740-08 740-09 740-12 740-14 741-00 742-03 742-04</t>
  </si>
  <si>
    <t>35210</t>
  </si>
  <si>
    <t>光市</t>
  </si>
  <si>
    <t>ひかりし</t>
  </si>
  <si>
    <t>0833 0820</t>
  </si>
  <si>
    <t>743-00 743-01</t>
  </si>
  <si>
    <t>35211</t>
  </si>
  <si>
    <t>長門市</t>
  </si>
  <si>
    <t>ながとし</t>
  </si>
  <si>
    <t>0837</t>
  </si>
  <si>
    <t>759-38 759-41 759-42 759-44 759-45 759-46 759-47</t>
  </si>
  <si>
    <t>35212</t>
  </si>
  <si>
    <t>柳井市</t>
  </si>
  <si>
    <t>やないし</t>
  </si>
  <si>
    <t>0820</t>
  </si>
  <si>
    <t>742-00 742-01 742-02 742-13 749-01</t>
  </si>
  <si>
    <t>35213</t>
  </si>
  <si>
    <t>美祢市</t>
  </si>
  <si>
    <t>みねし</t>
  </si>
  <si>
    <t>0837 08396</t>
  </si>
  <si>
    <t>750-06 754-01 754-02 754-03 754-05 754-06 759-21 759-22 759-23</t>
  </si>
  <si>
    <t>35215</t>
  </si>
  <si>
    <t>周南市</t>
  </si>
  <si>
    <t>しゅうなんし</t>
  </si>
  <si>
    <t>0834 0833</t>
  </si>
  <si>
    <t>745-00 745-01 745-02 745-03 745-04 745-05 745-06 745-08 745-11 746-00 746-01 747-06</t>
  </si>
  <si>
    <t>35216</t>
  </si>
  <si>
    <t>山陽小野田市</t>
  </si>
  <si>
    <t>さんようおのだし</t>
  </si>
  <si>
    <t>756-00 756-08 757-00</t>
  </si>
  <si>
    <t>35305</t>
  </si>
  <si>
    <t>大島郡周防大島町</t>
  </si>
  <si>
    <t>おおしまぐんすおうおおしまちょう</t>
  </si>
  <si>
    <t>742-21 742-23 742-25 742-26 742-27 742-28 742-29</t>
  </si>
  <si>
    <t>35321</t>
  </si>
  <si>
    <t>玖珂郡和木町</t>
  </si>
  <si>
    <t>くがぐんわきちょう</t>
  </si>
  <si>
    <t>740-00</t>
  </si>
  <si>
    <t>35341</t>
  </si>
  <si>
    <t>熊毛郡上関町</t>
  </si>
  <si>
    <t>くまげぐんかみのせきちょう</t>
  </si>
  <si>
    <t>742-14</t>
  </si>
  <si>
    <t>35343</t>
  </si>
  <si>
    <t>熊毛郡田布施町</t>
  </si>
  <si>
    <t>くまげぐんたぶせちょう</t>
  </si>
  <si>
    <t>742-15</t>
  </si>
  <si>
    <t>35344</t>
  </si>
  <si>
    <t>熊毛郡平生町</t>
  </si>
  <si>
    <t>くまげぐんひらおちょう</t>
  </si>
  <si>
    <t>742-11</t>
  </si>
  <si>
    <t>35502</t>
  </si>
  <si>
    <t>阿武郡阿武町</t>
  </si>
  <si>
    <t>あぶぐんあぶちょう</t>
  </si>
  <si>
    <t>08388</t>
  </si>
  <si>
    <t>758-06 759-35 759-36</t>
  </si>
  <si>
    <t>36201</t>
  </si>
  <si>
    <t>徳島市</t>
  </si>
  <si>
    <t>とくしまし</t>
  </si>
  <si>
    <t>088</t>
  </si>
  <si>
    <t>770-00 770-08 770-09 770-80 771-01 771-11 771-42 773-00 779-31</t>
  </si>
  <si>
    <t>36202</t>
  </si>
  <si>
    <t>鳴門市</t>
  </si>
  <si>
    <t>なるとし</t>
  </si>
  <si>
    <t>771-03 772-00 779-02 779-03</t>
  </si>
  <si>
    <t>36203</t>
  </si>
  <si>
    <t>小松島市</t>
  </si>
  <si>
    <t>こまつしまし</t>
  </si>
  <si>
    <t>0885</t>
  </si>
  <si>
    <t>773-00</t>
  </si>
  <si>
    <t>36204</t>
  </si>
  <si>
    <t>阿南市</t>
  </si>
  <si>
    <t>あなんし</t>
  </si>
  <si>
    <t>0884</t>
  </si>
  <si>
    <t>771-51 774-00 774-17 779-11 779-12 779-14 779-15 779-16 779-17</t>
  </si>
  <si>
    <t>36205</t>
  </si>
  <si>
    <t>吉野川市</t>
  </si>
  <si>
    <t>よしのがわし</t>
  </si>
  <si>
    <t>0883</t>
  </si>
  <si>
    <t>776-00 779-33 779-34 779-35</t>
  </si>
  <si>
    <t>36206</t>
  </si>
  <si>
    <t>阿波市</t>
  </si>
  <si>
    <t>あわし</t>
  </si>
  <si>
    <t>088 0883</t>
  </si>
  <si>
    <t>771-14 771-15 771-16 771-17</t>
  </si>
  <si>
    <t>36207</t>
  </si>
  <si>
    <t>美馬市</t>
  </si>
  <si>
    <t>みまし</t>
  </si>
  <si>
    <t>771-21 777-00 777-03 779-36 779-37</t>
  </si>
  <si>
    <t>36208</t>
  </si>
  <si>
    <t>三好市</t>
  </si>
  <si>
    <t>771-23 778-00 778-01 778-02 778-52 779-48 779-51 779-53 779-54</t>
  </si>
  <si>
    <t>36301</t>
  </si>
  <si>
    <t>勝浦郡勝浦町</t>
  </si>
  <si>
    <t>かつうらぐんかつうらちょう</t>
  </si>
  <si>
    <t>771-43</t>
  </si>
  <si>
    <t>36302</t>
  </si>
  <si>
    <t>勝浦郡上勝町</t>
  </si>
  <si>
    <t>かつうらぐんかみかつちょう</t>
  </si>
  <si>
    <t>771-45</t>
  </si>
  <si>
    <t>36321</t>
  </si>
  <si>
    <t>名東郡佐那河内村</t>
  </si>
  <si>
    <t>みょうどうぐんさなごうちそん</t>
  </si>
  <si>
    <t>771-41</t>
  </si>
  <si>
    <t>36341</t>
  </si>
  <si>
    <t>名西郡石井町</t>
  </si>
  <si>
    <t>みょうざいぐんいしいちょう</t>
  </si>
  <si>
    <t>779-32</t>
  </si>
  <si>
    <t>36342</t>
  </si>
  <si>
    <t>名西郡神山町</t>
  </si>
  <si>
    <t>みょうざいぐんかみやまちょう</t>
  </si>
  <si>
    <t>771-32 771-33 771-34</t>
  </si>
  <si>
    <t>36368</t>
  </si>
  <si>
    <t>那賀郡那賀町</t>
  </si>
  <si>
    <t>なかぐんなかちょう</t>
  </si>
  <si>
    <t>771-52 771-53 771-54 771-55 771-61 771-63 771-64 771-65</t>
  </si>
  <si>
    <t>36383</t>
  </si>
  <si>
    <t>海部郡牟岐町</t>
  </si>
  <si>
    <t>かいふぐんむぎちょう</t>
  </si>
  <si>
    <t>775-00</t>
  </si>
  <si>
    <t>36387</t>
  </si>
  <si>
    <t>海部郡美波町</t>
  </si>
  <si>
    <t>かいふぐんみなみちょう</t>
  </si>
  <si>
    <t>779-21 779-23</t>
  </si>
  <si>
    <t>36388</t>
  </si>
  <si>
    <t>海部郡海陽町</t>
  </si>
  <si>
    <t>かいふぐんかいようちょう</t>
  </si>
  <si>
    <t>775-01 775-02 775-03 775-04 775-05</t>
  </si>
  <si>
    <t>36401</t>
  </si>
  <si>
    <t>板野郡松茂町</t>
  </si>
  <si>
    <t>いたのぐんまつしげちょう</t>
  </si>
  <si>
    <t>771-02</t>
  </si>
  <si>
    <t>36402</t>
  </si>
  <si>
    <t>板野郡北島町</t>
  </si>
  <si>
    <t>いたのぐんきたじまちょう</t>
  </si>
  <si>
    <t>36403</t>
  </si>
  <si>
    <t>板野郡藍住町</t>
  </si>
  <si>
    <t>いたのぐんあいずみちょう</t>
  </si>
  <si>
    <t>771-12</t>
  </si>
  <si>
    <t>36404</t>
  </si>
  <si>
    <t>板野郡板野町</t>
  </si>
  <si>
    <t>いたのぐんいたのちょう</t>
  </si>
  <si>
    <t>779-01</t>
  </si>
  <si>
    <t>36405</t>
  </si>
  <si>
    <t>板野郡上板町</t>
  </si>
  <si>
    <t>いたのぐんかみいたちょう</t>
  </si>
  <si>
    <t>771-13</t>
  </si>
  <si>
    <t>36468</t>
  </si>
  <si>
    <t>美馬郡つるぎ町</t>
  </si>
  <si>
    <t>みまぐんつるぎちょう</t>
  </si>
  <si>
    <t>779-41 779-43 779-44</t>
  </si>
  <si>
    <t>36489</t>
  </si>
  <si>
    <t>三好郡東みよし町</t>
  </si>
  <si>
    <t>みよしぐんひがしみよしちょう</t>
  </si>
  <si>
    <t>771-25 779-47</t>
  </si>
  <si>
    <t>37201</t>
  </si>
  <si>
    <t>高松市</t>
  </si>
  <si>
    <t>たかまつし</t>
  </si>
  <si>
    <t>087</t>
  </si>
  <si>
    <t>760-00 761-01 761-03 761-04 761-14 761-15 761-16 761-17 761-80 769-01</t>
  </si>
  <si>
    <t>37202</t>
  </si>
  <si>
    <t>丸亀市</t>
  </si>
  <si>
    <t>まるがめし</t>
  </si>
  <si>
    <t>0877</t>
  </si>
  <si>
    <t>761-24 762-00 763-00 763-01 763-02</t>
  </si>
  <si>
    <t>37203</t>
  </si>
  <si>
    <t>坂出市</t>
  </si>
  <si>
    <t>さかいでし</t>
  </si>
  <si>
    <t>762-00</t>
  </si>
  <si>
    <t>37204</t>
  </si>
  <si>
    <t>善通寺市</t>
  </si>
  <si>
    <t>ぜんつうじし</t>
  </si>
  <si>
    <t>765-00</t>
  </si>
  <si>
    <t>37205</t>
  </si>
  <si>
    <t>観音寺市</t>
  </si>
  <si>
    <t>かんおんじし</t>
  </si>
  <si>
    <t>0875 0896</t>
  </si>
  <si>
    <t>768-00 769-16</t>
  </si>
  <si>
    <t>37206</t>
  </si>
  <si>
    <t>さぬき市</t>
  </si>
  <si>
    <t>さぬきし</t>
  </si>
  <si>
    <t>0879 087</t>
  </si>
  <si>
    <t>761-09 769-21 769-23 769-24</t>
  </si>
  <si>
    <t>37207</t>
  </si>
  <si>
    <t>東かがわ市</t>
  </si>
  <si>
    <t>ひがしかがわし</t>
  </si>
  <si>
    <t>0879</t>
  </si>
  <si>
    <t>769-25 769-26 769-27 769-29</t>
  </si>
  <si>
    <t>37208</t>
  </si>
  <si>
    <t>三豊市</t>
  </si>
  <si>
    <t>みとよし</t>
  </si>
  <si>
    <t>0875</t>
  </si>
  <si>
    <t>767-00 768-01 769-04 769-11 769-14 769-15</t>
  </si>
  <si>
    <t>37322</t>
  </si>
  <si>
    <t>小豆郡土庄町</t>
  </si>
  <si>
    <t>しょうずぐんとのしょうちょう</t>
  </si>
  <si>
    <t>761-41 761-46</t>
  </si>
  <si>
    <t>37324</t>
  </si>
  <si>
    <t>小豆郡小豆島町</t>
  </si>
  <si>
    <t>しょうずぐんしょうどしまちょう</t>
  </si>
  <si>
    <t>761-41 761-43 761-44</t>
  </si>
  <si>
    <t>37341</t>
  </si>
  <si>
    <t>木田郡三木町</t>
  </si>
  <si>
    <t>きたぐんみきちょう</t>
  </si>
  <si>
    <t>761-06 761-07 761-08</t>
  </si>
  <si>
    <t>37364</t>
  </si>
  <si>
    <t>香川郡直島町</t>
  </si>
  <si>
    <t>かがわぐんなおしまちょう</t>
  </si>
  <si>
    <t>761-31</t>
  </si>
  <si>
    <t>37386</t>
  </si>
  <si>
    <t>綾歌郡宇多津町</t>
  </si>
  <si>
    <t>あやうたぐんうたづちょう</t>
  </si>
  <si>
    <t>769-02</t>
  </si>
  <si>
    <t>37387</t>
  </si>
  <si>
    <t>綾歌郡綾川町</t>
  </si>
  <si>
    <t>あやうたぐんあやがわちょう</t>
  </si>
  <si>
    <t>761-21 761-22 761-23</t>
  </si>
  <si>
    <t>37403</t>
  </si>
  <si>
    <t>仲多度郡琴平町</t>
  </si>
  <si>
    <t>なかたどぐんことひらちょう</t>
  </si>
  <si>
    <t>766-00</t>
  </si>
  <si>
    <t>37404</t>
  </si>
  <si>
    <t>仲多度郡多度津町</t>
  </si>
  <si>
    <t>なかたどぐんたどつちょう</t>
  </si>
  <si>
    <t>764-00</t>
  </si>
  <si>
    <t>37406</t>
  </si>
  <si>
    <t>仲多度郡まんのう町</t>
  </si>
  <si>
    <t>なかたどぐんまんのうちょう</t>
  </si>
  <si>
    <t>766-00 766-02 769-03</t>
  </si>
  <si>
    <t>38201</t>
  </si>
  <si>
    <t>松山市</t>
  </si>
  <si>
    <t>まつやまし</t>
  </si>
  <si>
    <t>089</t>
  </si>
  <si>
    <t>790-00 790-08 790-09 791-00 791-01 791-02 791-11 791-43 791-44 791-45 791-80 799-24 799-26</t>
  </si>
  <si>
    <t>38202</t>
  </si>
  <si>
    <t>今治市</t>
  </si>
  <si>
    <t>いまばりし</t>
  </si>
  <si>
    <t>0898 0897</t>
  </si>
  <si>
    <t>792-00 794-00 794-01 794-08 794-11 794-13 794-14 794-21 794-22 794-23 799-15 799-16 799-21 799-22 799-23</t>
  </si>
  <si>
    <t>38203</t>
  </si>
  <si>
    <t>宇和島市</t>
  </si>
  <si>
    <t>うわじまし</t>
  </si>
  <si>
    <t>0895</t>
  </si>
  <si>
    <t>798-00 798-01 798-02 798-11 798-21 798-32 798-33 799-37</t>
  </si>
  <si>
    <t>38204</t>
  </si>
  <si>
    <t>八幡浜市</t>
  </si>
  <si>
    <t>やわたはまし</t>
  </si>
  <si>
    <t>0894</t>
  </si>
  <si>
    <t>796-00 796-01 796-02 796-80</t>
  </si>
  <si>
    <t>38205</t>
  </si>
  <si>
    <t>新居浜市</t>
  </si>
  <si>
    <t>にいはまし</t>
  </si>
  <si>
    <t>0897</t>
  </si>
  <si>
    <t>792-00 792-08 799-06</t>
  </si>
  <si>
    <t>38206</t>
  </si>
  <si>
    <t>西条市</t>
  </si>
  <si>
    <t>さいじょうし</t>
  </si>
  <si>
    <t>0897 0898</t>
  </si>
  <si>
    <t>791-05 793-00 793-01 793-02 799-11 799-13</t>
  </si>
  <si>
    <t>38207</t>
  </si>
  <si>
    <t>大洲市</t>
  </si>
  <si>
    <t>おおずし</t>
  </si>
  <si>
    <t>0893</t>
  </si>
  <si>
    <t>795-00 797-15 797-16 799-34</t>
  </si>
  <si>
    <t>38210</t>
  </si>
  <si>
    <t>伊予市</t>
  </si>
  <si>
    <t>いよし</t>
  </si>
  <si>
    <t>791-32 799-31 799-32 799-33</t>
  </si>
  <si>
    <t>38213</t>
  </si>
  <si>
    <t>四国中央市</t>
  </si>
  <si>
    <t>しこくちゅうおうし</t>
  </si>
  <si>
    <t>0896</t>
  </si>
  <si>
    <t>799-01 799-03 799-04 799-06 799-07</t>
  </si>
  <si>
    <t>38214</t>
  </si>
  <si>
    <t>西予市</t>
  </si>
  <si>
    <t>せいよし</t>
  </si>
  <si>
    <t>796-09 797-00 797-01 797-02 797-11 797-12 797-13 797-14 797-17</t>
  </si>
  <si>
    <t>38215</t>
  </si>
  <si>
    <t>東温市</t>
  </si>
  <si>
    <t>とうおんし</t>
  </si>
  <si>
    <t>791-02 791-03</t>
  </si>
  <si>
    <t>38356</t>
  </si>
  <si>
    <t>越智郡上島町</t>
  </si>
  <si>
    <t>おちぐんかみじまちょう</t>
  </si>
  <si>
    <t>794-24 794-25</t>
  </si>
  <si>
    <t>38386</t>
  </si>
  <si>
    <t>上浮穴郡久万高原町</t>
  </si>
  <si>
    <t>かみうけなぐんくまこうげんちょう</t>
  </si>
  <si>
    <t>0892</t>
  </si>
  <si>
    <t>791-12 791-15 791-17 791-18</t>
  </si>
  <si>
    <t>38401</t>
  </si>
  <si>
    <t>伊予郡松前町</t>
  </si>
  <si>
    <t>いよぐんまさきちょう</t>
  </si>
  <si>
    <t>791-31</t>
  </si>
  <si>
    <t>38402</t>
  </si>
  <si>
    <t>伊予郡砥部町</t>
  </si>
  <si>
    <t>いよぐんとべちょう</t>
  </si>
  <si>
    <t>791-21 791-22</t>
  </si>
  <si>
    <t>38422</t>
  </si>
  <si>
    <t>喜多郡内子町</t>
  </si>
  <si>
    <t>きたぐんうちこちょう</t>
  </si>
  <si>
    <t>0893 0892</t>
  </si>
  <si>
    <t>791-33 791-35 795-03</t>
  </si>
  <si>
    <t>38442</t>
  </si>
  <si>
    <t>西宇和郡伊方町</t>
  </si>
  <si>
    <t>にしうわぐんいかたちょう</t>
  </si>
  <si>
    <t>796-03 796-04 796-05 796-06 796-08</t>
  </si>
  <si>
    <t>38484</t>
  </si>
  <si>
    <t>北宇和郡松野町</t>
  </si>
  <si>
    <t>きたうわぐんまつのちょう</t>
  </si>
  <si>
    <t>798-21</t>
  </si>
  <si>
    <t>38488</t>
  </si>
  <si>
    <t>北宇和郡鬼北町</t>
  </si>
  <si>
    <t>きたうわぐんきほくちょう</t>
  </si>
  <si>
    <t>798-13 798-15</t>
  </si>
  <si>
    <t>38506</t>
  </si>
  <si>
    <t>南宇和郡愛南町</t>
  </si>
  <si>
    <t>みなみうわぐんあいなんちょう</t>
  </si>
  <si>
    <t>798-37 798-41 798-42 798-43 798-44</t>
  </si>
  <si>
    <t>39201</t>
  </si>
  <si>
    <t>高知市</t>
  </si>
  <si>
    <t>こうちし</t>
  </si>
  <si>
    <t>780-00 780-08 780-09 780-80 781-00 781-01 781-02 781-03 781-31 781-32 781-51 781-81</t>
  </si>
  <si>
    <t>39202</t>
  </si>
  <si>
    <t>室戸市</t>
  </si>
  <si>
    <t>むろとし</t>
  </si>
  <si>
    <t>0887</t>
  </si>
  <si>
    <t>781-67 781-68 781-71 781-72</t>
  </si>
  <si>
    <t>39203</t>
  </si>
  <si>
    <t>安芸市</t>
  </si>
  <si>
    <t>あきし</t>
  </si>
  <si>
    <t>784-00 784-02</t>
  </si>
  <si>
    <t>39204</t>
  </si>
  <si>
    <t>南国市</t>
  </si>
  <si>
    <t>なんこくし</t>
  </si>
  <si>
    <t>783-00</t>
  </si>
  <si>
    <t>39205</t>
  </si>
  <si>
    <t>土佐市</t>
  </si>
  <si>
    <t>とさし</t>
  </si>
  <si>
    <t>781-11</t>
  </si>
  <si>
    <t>39206</t>
  </si>
  <si>
    <t>須崎市</t>
  </si>
  <si>
    <t>すさきし</t>
  </si>
  <si>
    <t>0889 088</t>
  </si>
  <si>
    <t>785-00 785-01</t>
  </si>
  <si>
    <t>39208</t>
  </si>
  <si>
    <t>宿毛市</t>
  </si>
  <si>
    <t>すくもし</t>
  </si>
  <si>
    <t>0880</t>
  </si>
  <si>
    <t>788-00 788-02 788-06 788-07</t>
  </si>
  <si>
    <t>39209</t>
  </si>
  <si>
    <t>土佐清水市</t>
  </si>
  <si>
    <t>とさしみずし</t>
  </si>
  <si>
    <t>787-02 787-03 787-04 787-05</t>
  </si>
  <si>
    <t>39210</t>
  </si>
  <si>
    <t>四万十市</t>
  </si>
  <si>
    <t>しまんとし</t>
  </si>
  <si>
    <t>787-00 787-01 787-06 787-07 787-11 787-12 787-13 787-14 787-15 787-16</t>
  </si>
  <si>
    <t>39211</t>
  </si>
  <si>
    <t>香南市</t>
  </si>
  <si>
    <t>781-52 781-53 781-54 781-56</t>
  </si>
  <si>
    <t>39212</t>
  </si>
  <si>
    <t>香美市</t>
  </si>
  <si>
    <t>かみし</t>
  </si>
  <si>
    <t>781-42 781-44 781-45 781-46 782-00 784-00 789-05</t>
  </si>
  <si>
    <t>39301</t>
  </si>
  <si>
    <t>安芸郡東洋町</t>
  </si>
  <si>
    <t>あきぐんとうようちょう</t>
  </si>
  <si>
    <t>781-73 781-74</t>
  </si>
  <si>
    <t>39302</t>
  </si>
  <si>
    <t>安芸郡奈半利町</t>
  </si>
  <si>
    <t>あきぐんなはりちょう</t>
  </si>
  <si>
    <t>781-64</t>
  </si>
  <si>
    <t>39303</t>
  </si>
  <si>
    <t>安芸郡田野町</t>
  </si>
  <si>
    <t>あきぐんたのちょう</t>
  </si>
  <si>
    <t>39304</t>
  </si>
  <si>
    <t>安芸郡安田町</t>
  </si>
  <si>
    <t>あきぐんやすだちょう</t>
  </si>
  <si>
    <t>39305</t>
  </si>
  <si>
    <t>安芸郡北川村</t>
  </si>
  <si>
    <t>あきぐんきたがわむら</t>
  </si>
  <si>
    <t>39306</t>
  </si>
  <si>
    <t>安芸郡馬路村</t>
  </si>
  <si>
    <t>あきぐんうまじむら</t>
  </si>
  <si>
    <t>781-62</t>
  </si>
  <si>
    <t>39307</t>
  </si>
  <si>
    <t>安芸郡芸西村</t>
  </si>
  <si>
    <t>あきぐんげいせいむら</t>
  </si>
  <si>
    <t>781-57</t>
  </si>
  <si>
    <t>39341</t>
  </si>
  <si>
    <t>長岡郡本山町</t>
  </si>
  <si>
    <t>ながおかぐんもとやまちょう</t>
  </si>
  <si>
    <t>781-36</t>
  </si>
  <si>
    <t>39344</t>
  </si>
  <si>
    <t>長岡郡大豊町</t>
  </si>
  <si>
    <t>ながおかぐんおおとよちょう</t>
  </si>
  <si>
    <t>789-01 789-02 789-03 789-04 789-05</t>
  </si>
  <si>
    <t>39363</t>
  </si>
  <si>
    <t>土佐郡土佐町</t>
  </si>
  <si>
    <t>とさぐんとさちょう</t>
  </si>
  <si>
    <t>781-33 781-34 781-35 781-37</t>
  </si>
  <si>
    <t>39364</t>
  </si>
  <si>
    <t>土佐郡大川村</t>
  </si>
  <si>
    <t>とさぐんおおかわむら</t>
  </si>
  <si>
    <t>781-37</t>
  </si>
  <si>
    <t>39386</t>
  </si>
  <si>
    <t>吾川郡いの町</t>
  </si>
  <si>
    <t>あがわぐんいのちょう</t>
  </si>
  <si>
    <t>781-21 781-23 781-24 781-25 781-26</t>
  </si>
  <si>
    <t>39387</t>
  </si>
  <si>
    <t>吾川郡仁淀川町</t>
  </si>
  <si>
    <t>あがわぐんによどがわちょう</t>
  </si>
  <si>
    <t>0889</t>
  </si>
  <si>
    <t>781-15 781-16 781-17 781-18 781-19</t>
  </si>
  <si>
    <t>39401</t>
  </si>
  <si>
    <t>高岡郡中土佐町</t>
  </si>
  <si>
    <t>たかおかぐんなかとさちょう</t>
  </si>
  <si>
    <t>789-13 789-14</t>
  </si>
  <si>
    <t>39402</t>
  </si>
  <si>
    <t>高岡郡佐川町</t>
  </si>
  <si>
    <t>たかおかぐんさかわちょう</t>
  </si>
  <si>
    <t>789-12</t>
  </si>
  <si>
    <t>39403</t>
  </si>
  <si>
    <t>高岡郡越知町</t>
  </si>
  <si>
    <t>たかおかぐんおちちょう</t>
  </si>
  <si>
    <t>781-13</t>
  </si>
  <si>
    <t>39405</t>
  </si>
  <si>
    <t>高岡郡梼原町</t>
  </si>
  <si>
    <t>たかおかぐんゆすはらちょう</t>
  </si>
  <si>
    <t>785-06 785-07</t>
  </si>
  <si>
    <t>39410</t>
  </si>
  <si>
    <t>高岡郡日高村</t>
  </si>
  <si>
    <t>たかおかぐんひだかむら</t>
  </si>
  <si>
    <t>781-21</t>
  </si>
  <si>
    <t>39411</t>
  </si>
  <si>
    <t>高岡郡津野町</t>
  </si>
  <si>
    <t>たかおかぐんつのちょう</t>
  </si>
  <si>
    <t>785-02 785-04 785-05</t>
  </si>
  <si>
    <t>39412</t>
  </si>
  <si>
    <t>高岡郡四万十町</t>
  </si>
  <si>
    <t>たかおかぐんしまんとちょう</t>
  </si>
  <si>
    <t>786-00 786-03 786-05</t>
  </si>
  <si>
    <t>39424</t>
  </si>
  <si>
    <t>幡多郡大月町</t>
  </si>
  <si>
    <t>はたぐんおおつきちょう</t>
  </si>
  <si>
    <t>788-03</t>
  </si>
  <si>
    <t>39427</t>
  </si>
  <si>
    <t>幡多郡三原村</t>
  </si>
  <si>
    <t>はたぐんみはらむら</t>
  </si>
  <si>
    <t>787-08</t>
  </si>
  <si>
    <t>39428</t>
  </si>
  <si>
    <t>幡多郡黒潮町</t>
  </si>
  <si>
    <t>はたぐんくろしおちょう</t>
  </si>
  <si>
    <t>789-17 789-19</t>
  </si>
  <si>
    <t>40100</t>
  </si>
  <si>
    <t>北九州市</t>
  </si>
  <si>
    <t>きたきゅうしゅうし</t>
  </si>
  <si>
    <t>40101</t>
  </si>
  <si>
    <t>北九州市門司区</t>
  </si>
  <si>
    <t>きたきゅうしゅうしもじく</t>
  </si>
  <si>
    <t>093</t>
  </si>
  <si>
    <t>800-00 800-01 801-08</t>
  </si>
  <si>
    <t>40103</t>
  </si>
  <si>
    <t>北九州市若松区</t>
  </si>
  <si>
    <t>きたきゅうしゅうしわかまつく</t>
  </si>
  <si>
    <t>808-00 808-01</t>
  </si>
  <si>
    <t>40105</t>
  </si>
  <si>
    <t>北九州市戸畑区</t>
  </si>
  <si>
    <t>きたきゅうしゅうしとばたく</t>
  </si>
  <si>
    <t>804-00</t>
  </si>
  <si>
    <t>40106</t>
  </si>
  <si>
    <t>北九州市小倉北区</t>
  </si>
  <si>
    <t>きたきゅうしゅうしこくらきたく</t>
  </si>
  <si>
    <t>802-00 803-08</t>
  </si>
  <si>
    <t>40107</t>
  </si>
  <si>
    <t>北九州市小倉南区</t>
  </si>
  <si>
    <t>きたきゅうしゅうしこくらみなみく</t>
  </si>
  <si>
    <t>800-02 800-03 802-00 802-08 802-09 803-01 803-02</t>
  </si>
  <si>
    <t>40108</t>
  </si>
  <si>
    <t>北九州市八幡東区</t>
  </si>
  <si>
    <t>きたきゅうしゅうしやはたひがしく</t>
  </si>
  <si>
    <t>805-00</t>
  </si>
  <si>
    <t>40109</t>
  </si>
  <si>
    <t>北九州市八幡西区</t>
  </si>
  <si>
    <t>きたきゅうしゅうしやはたにしく</t>
  </si>
  <si>
    <t>806-00 807-00 807-08 807-11 807-12</t>
  </si>
  <si>
    <t>40130</t>
  </si>
  <si>
    <t>福岡市</t>
  </si>
  <si>
    <t>ふくおかし</t>
  </si>
  <si>
    <t>40131</t>
  </si>
  <si>
    <t>福岡市東区</t>
  </si>
  <si>
    <t>ふくおかしひがしく</t>
  </si>
  <si>
    <t>092</t>
  </si>
  <si>
    <t>811-02 811-03 812-00 813-00</t>
  </si>
  <si>
    <t>40132</t>
  </si>
  <si>
    <t>福岡市博多区</t>
  </si>
  <si>
    <t>ふくおかしはかたく</t>
  </si>
  <si>
    <t>810-08 812-00 816-00</t>
  </si>
  <si>
    <t>40133</t>
  </si>
  <si>
    <t>福岡市中央区</t>
  </si>
  <si>
    <t>ふくおかしちゅうおうく</t>
  </si>
  <si>
    <t>810-00</t>
  </si>
  <si>
    <t>40134</t>
  </si>
  <si>
    <t>福岡市南区</t>
  </si>
  <si>
    <t>ふくおかしみなみく</t>
  </si>
  <si>
    <t>811-13 815-00</t>
  </si>
  <si>
    <t>40135</t>
  </si>
  <si>
    <t>福岡市西区</t>
  </si>
  <si>
    <t>ふくおかしにしく</t>
  </si>
  <si>
    <t>819-00 819-01 819-02 819-03</t>
  </si>
  <si>
    <t>40136</t>
  </si>
  <si>
    <t>福岡市城南区</t>
  </si>
  <si>
    <t>ふくおかしじょうなんく</t>
  </si>
  <si>
    <t>814-01</t>
  </si>
  <si>
    <t>40137</t>
  </si>
  <si>
    <t>福岡市早良区</t>
  </si>
  <si>
    <t>ふくおかしさわらく</t>
  </si>
  <si>
    <t>811-11 814-00 814-01</t>
  </si>
  <si>
    <t>40202</t>
  </si>
  <si>
    <t>大牟田市</t>
  </si>
  <si>
    <t>おおむたし</t>
  </si>
  <si>
    <t>0944</t>
  </si>
  <si>
    <t>836-00 836-08 837-09</t>
  </si>
  <si>
    <t>40203</t>
  </si>
  <si>
    <t>久留米市</t>
  </si>
  <si>
    <t>くるめし</t>
  </si>
  <si>
    <t>0942 0943</t>
  </si>
  <si>
    <t>830-00 830-01 830-02 830-11 839-00 839-08 839-12</t>
  </si>
  <si>
    <t>40204</t>
  </si>
  <si>
    <t>直方市</t>
  </si>
  <si>
    <t>のおがたし</t>
  </si>
  <si>
    <t>0949</t>
  </si>
  <si>
    <t>822-00</t>
  </si>
  <si>
    <t>40205</t>
  </si>
  <si>
    <t>飯塚市</t>
  </si>
  <si>
    <t>いいづかし</t>
  </si>
  <si>
    <t>0948 09496</t>
  </si>
  <si>
    <t>820-00 820-01 820-07 820-11</t>
  </si>
  <si>
    <t>40206</t>
  </si>
  <si>
    <t>田川市</t>
  </si>
  <si>
    <t>たがわし</t>
  </si>
  <si>
    <t>0947</t>
  </si>
  <si>
    <t>825-00 826-00</t>
  </si>
  <si>
    <t>40207</t>
  </si>
  <si>
    <t>柳川市</t>
  </si>
  <si>
    <t>やながわし</t>
  </si>
  <si>
    <t>832-00 832-08 839-02</t>
  </si>
  <si>
    <t>40210</t>
  </si>
  <si>
    <t>八女市</t>
  </si>
  <si>
    <t>やめし</t>
  </si>
  <si>
    <t>0943</t>
  </si>
  <si>
    <t>834-00 834-02 834-11 834-12 834-14</t>
  </si>
  <si>
    <t>40211</t>
  </si>
  <si>
    <t>筑後市</t>
  </si>
  <si>
    <t>ちくごし</t>
  </si>
  <si>
    <t>0942 0944</t>
  </si>
  <si>
    <t>833-00</t>
  </si>
  <si>
    <t>40212</t>
  </si>
  <si>
    <t>大川市</t>
  </si>
  <si>
    <t>おおかわし</t>
  </si>
  <si>
    <t>831-00</t>
  </si>
  <si>
    <t>40213</t>
  </si>
  <si>
    <t>行橋市</t>
  </si>
  <si>
    <t>ゆくはしし</t>
  </si>
  <si>
    <t>0930</t>
  </si>
  <si>
    <t>824-00</t>
  </si>
  <si>
    <t>40214</t>
  </si>
  <si>
    <t>豊前市</t>
  </si>
  <si>
    <t>ぶぜんし</t>
  </si>
  <si>
    <t>0979</t>
  </si>
  <si>
    <t>828-00</t>
  </si>
  <si>
    <t>40215</t>
  </si>
  <si>
    <t>中間市</t>
  </si>
  <si>
    <t>なかまし</t>
  </si>
  <si>
    <t>809-00</t>
  </si>
  <si>
    <t>40216</t>
  </si>
  <si>
    <t>小郡市</t>
  </si>
  <si>
    <t>おごおりし</t>
  </si>
  <si>
    <t>0942</t>
  </si>
  <si>
    <t>838-01</t>
  </si>
  <si>
    <t>40217</t>
  </si>
  <si>
    <t>筑紫野市</t>
  </si>
  <si>
    <t>ちくしのし</t>
  </si>
  <si>
    <t>818-00</t>
  </si>
  <si>
    <t>40218</t>
  </si>
  <si>
    <t>春日市</t>
  </si>
  <si>
    <t>かすがし</t>
  </si>
  <si>
    <t>816-00 816-08 816-09</t>
  </si>
  <si>
    <t>40219</t>
  </si>
  <si>
    <t>大野城市</t>
  </si>
  <si>
    <t>おおのじょうし</t>
  </si>
  <si>
    <t>40220</t>
  </si>
  <si>
    <t>宗像市</t>
  </si>
  <si>
    <t>むなかたし</t>
  </si>
  <si>
    <t>0940</t>
  </si>
  <si>
    <t>811-34 811-35 811-37 811-41</t>
  </si>
  <si>
    <t>40221</t>
  </si>
  <si>
    <t>太宰府市</t>
  </si>
  <si>
    <t>だざいふし</t>
  </si>
  <si>
    <t>818-01</t>
  </si>
  <si>
    <t>40223</t>
  </si>
  <si>
    <t>古賀市</t>
  </si>
  <si>
    <t>811-31</t>
  </si>
  <si>
    <t>40224</t>
  </si>
  <si>
    <t>福津市</t>
  </si>
  <si>
    <t>ふくつし</t>
  </si>
  <si>
    <t>811-32 811-33 811-35</t>
  </si>
  <si>
    <t>40225</t>
  </si>
  <si>
    <t>うきは市</t>
  </si>
  <si>
    <t>うきはし</t>
  </si>
  <si>
    <t>839-13 839-14</t>
  </si>
  <si>
    <t>40226</t>
  </si>
  <si>
    <t>宮若市</t>
  </si>
  <si>
    <t>みやわかし</t>
  </si>
  <si>
    <t>822-01 823-00</t>
  </si>
  <si>
    <t>40227</t>
  </si>
  <si>
    <t>嘉麻市</t>
  </si>
  <si>
    <t>かまし</t>
  </si>
  <si>
    <t>0948</t>
  </si>
  <si>
    <t>820-02 820-03 820-05 821-00</t>
  </si>
  <si>
    <t>40228</t>
  </si>
  <si>
    <t>朝倉市</t>
  </si>
  <si>
    <t>あさくらし</t>
  </si>
  <si>
    <t>0946</t>
  </si>
  <si>
    <t>838-00 838-13 838-15</t>
  </si>
  <si>
    <t>40229</t>
  </si>
  <si>
    <t>みやま市</t>
  </si>
  <si>
    <t>みやまし</t>
  </si>
  <si>
    <t>0944 0942</t>
  </si>
  <si>
    <t>835-00 835-01 839-02</t>
  </si>
  <si>
    <t>40230</t>
  </si>
  <si>
    <t>糸島市</t>
  </si>
  <si>
    <t>いとしまし</t>
  </si>
  <si>
    <t>819-11 819-13 819-15 819-16</t>
  </si>
  <si>
    <t>40305</t>
  </si>
  <si>
    <t>筑紫郡那珂川町</t>
  </si>
  <si>
    <t>ちくしぐんなかがわまち</t>
  </si>
  <si>
    <t>811-12</t>
  </si>
  <si>
    <t>40341</t>
  </si>
  <si>
    <t>糟屋郡宇美町</t>
  </si>
  <si>
    <t>かすやぐんうみまち</t>
  </si>
  <si>
    <t>811-21</t>
  </si>
  <si>
    <t>40342</t>
  </si>
  <si>
    <t>糟屋郡篠栗町</t>
  </si>
  <si>
    <t>かすやぐんささぐりまち</t>
  </si>
  <si>
    <t>811-24</t>
  </si>
  <si>
    <t>40343</t>
  </si>
  <si>
    <t>糟屋郡志免町</t>
  </si>
  <si>
    <t>かすやぐんしめまち</t>
  </si>
  <si>
    <t>811-22</t>
  </si>
  <si>
    <t>40344</t>
  </si>
  <si>
    <t>糟屋郡須恵町</t>
  </si>
  <si>
    <t>かすやぐんすえまち</t>
  </si>
  <si>
    <t>811-21 811-22</t>
  </si>
  <si>
    <t>40345</t>
  </si>
  <si>
    <t>糟屋郡新宮町</t>
  </si>
  <si>
    <t>かすやぐんしんぐうまち</t>
  </si>
  <si>
    <t>811-01</t>
  </si>
  <si>
    <t>40348</t>
  </si>
  <si>
    <t>糟屋郡久山町</t>
  </si>
  <si>
    <t>かすやぐんひさやままち</t>
  </si>
  <si>
    <t>811-25</t>
  </si>
  <si>
    <t>40349</t>
  </si>
  <si>
    <t>糟屋郡粕屋町</t>
  </si>
  <si>
    <t>かすやぐんかすやまち</t>
  </si>
  <si>
    <t>811-23 813-00</t>
  </si>
  <si>
    <t>40381</t>
  </si>
  <si>
    <t>遠賀郡芦屋町</t>
  </si>
  <si>
    <t>おんがぐんあしやまち</t>
  </si>
  <si>
    <t>807-01</t>
  </si>
  <si>
    <t>40382</t>
  </si>
  <si>
    <t>遠賀郡水巻町</t>
  </si>
  <si>
    <t>おんがぐんみずまきまち</t>
  </si>
  <si>
    <t>807-00</t>
  </si>
  <si>
    <t>40383</t>
  </si>
  <si>
    <t>遠賀郡岡垣町</t>
  </si>
  <si>
    <t>おんがぐんおかがきまち</t>
  </si>
  <si>
    <t>811-42</t>
  </si>
  <si>
    <t>40384</t>
  </si>
  <si>
    <t>遠賀郡遠賀町</t>
  </si>
  <si>
    <t>おんがぐんおんがちょう</t>
  </si>
  <si>
    <t>811-43</t>
  </si>
  <si>
    <t>40401</t>
  </si>
  <si>
    <t>鞍手郡小竹町</t>
  </si>
  <si>
    <t>くらてぐんこたけまち</t>
  </si>
  <si>
    <t>09496</t>
  </si>
  <si>
    <t>820-11</t>
  </si>
  <si>
    <t>40402</t>
  </si>
  <si>
    <t>鞍手郡鞍手町</t>
  </si>
  <si>
    <t>くらてぐんくらてまち</t>
  </si>
  <si>
    <t>807-13</t>
  </si>
  <si>
    <t>40421</t>
  </si>
  <si>
    <t>嘉穂郡桂川町</t>
  </si>
  <si>
    <t>かほぐんけいせんまち</t>
  </si>
  <si>
    <t>820-06</t>
  </si>
  <si>
    <t>40447</t>
  </si>
  <si>
    <t>朝倉郡筑前町</t>
  </si>
  <si>
    <t>あさくらぐんちくぜんまち</t>
  </si>
  <si>
    <t>838-00 838-02 838-08</t>
  </si>
  <si>
    <t>40448</t>
  </si>
  <si>
    <t>朝倉郡東峰村</t>
  </si>
  <si>
    <t>あさくらぐんとうほうむら</t>
  </si>
  <si>
    <t>838-16 838-17</t>
  </si>
  <si>
    <t>40503</t>
  </si>
  <si>
    <t>三井郡大刀洗町</t>
  </si>
  <si>
    <t>みいぐんたちあらいまち</t>
  </si>
  <si>
    <t>830-12</t>
  </si>
  <si>
    <t>40522</t>
  </si>
  <si>
    <t>三潴郡大木町</t>
  </si>
  <si>
    <t>みずまぐんおおきまち</t>
  </si>
  <si>
    <t>830-04</t>
  </si>
  <si>
    <t>40544</t>
  </si>
  <si>
    <t>八女郡広川町</t>
  </si>
  <si>
    <t>やめぐんひろかわまち</t>
  </si>
  <si>
    <t>0943 0942</t>
  </si>
  <si>
    <t>834-01</t>
  </si>
  <si>
    <t>40601</t>
  </si>
  <si>
    <t>田川郡香春町</t>
  </si>
  <si>
    <t>たがわぐんかわらまち</t>
  </si>
  <si>
    <t>822-14</t>
  </si>
  <si>
    <t>40602</t>
  </si>
  <si>
    <t>田川郡添田町</t>
  </si>
  <si>
    <t>たがわぐんそえだまち</t>
  </si>
  <si>
    <t>824-04 824-06 824-07</t>
  </si>
  <si>
    <t>40604</t>
  </si>
  <si>
    <t>田川郡糸田町</t>
  </si>
  <si>
    <t>たがわぐんいとだまち</t>
  </si>
  <si>
    <t>822-13</t>
  </si>
  <si>
    <t>40605</t>
  </si>
  <si>
    <t>田川郡川崎町</t>
  </si>
  <si>
    <t>たがわぐんかわさきまち</t>
  </si>
  <si>
    <t>826-00 827-00</t>
  </si>
  <si>
    <t>40608</t>
  </si>
  <si>
    <t>田川郡大任町</t>
  </si>
  <si>
    <t>たがわぐんおおとうまち</t>
  </si>
  <si>
    <t>824-05</t>
  </si>
  <si>
    <t>40609</t>
  </si>
  <si>
    <t>田川郡赤村</t>
  </si>
  <si>
    <t>たがわぐんあかむら</t>
  </si>
  <si>
    <t>824-04</t>
  </si>
  <si>
    <t>40610</t>
  </si>
  <si>
    <t>田川郡福智町</t>
  </si>
  <si>
    <t>たがわぐんふくちまち</t>
  </si>
  <si>
    <t>822-11 822-12</t>
  </si>
  <si>
    <t>40621</t>
  </si>
  <si>
    <t>京都郡苅田町</t>
  </si>
  <si>
    <t>みやこぐんかんだまち</t>
  </si>
  <si>
    <t>093 0930</t>
  </si>
  <si>
    <t>800-03</t>
  </si>
  <si>
    <t>40625</t>
  </si>
  <si>
    <t>京都郡みやこ町</t>
  </si>
  <si>
    <t>みやこぐんみやこまち</t>
  </si>
  <si>
    <t>824-01 824-02 824-08</t>
  </si>
  <si>
    <t>40642</t>
  </si>
  <si>
    <t>築上郡吉富町</t>
  </si>
  <si>
    <t>ちくじょうぐんよしとみまち</t>
  </si>
  <si>
    <t>871-00 871-08</t>
  </si>
  <si>
    <t>40646</t>
  </si>
  <si>
    <t>築上郡上毛町</t>
  </si>
  <si>
    <t>ちくじょうぐんこうげまち</t>
  </si>
  <si>
    <t>871-02 871-09</t>
  </si>
  <si>
    <t>40647</t>
  </si>
  <si>
    <t>築上郡築上町</t>
  </si>
  <si>
    <t>ちくじょうぐんちくじょうまち</t>
  </si>
  <si>
    <t>829-01 829-03</t>
  </si>
  <si>
    <t>41201</t>
  </si>
  <si>
    <t>佐賀市</t>
  </si>
  <si>
    <t>さがし</t>
  </si>
  <si>
    <t>0952</t>
  </si>
  <si>
    <t>840-00 840-02 840-05 840-08 840-21 840-22 842-03 849-00 849-02 849-09</t>
  </si>
  <si>
    <t>41202</t>
  </si>
  <si>
    <t>唐津市</t>
  </si>
  <si>
    <t>からつし</t>
  </si>
  <si>
    <t>0955</t>
  </si>
  <si>
    <t>847-00 847-01 847-03 847-04 847-08 847-11 847-12 847-15 849-31 849-32 849-51</t>
  </si>
  <si>
    <t>41203</t>
  </si>
  <si>
    <t>鳥栖市</t>
  </si>
  <si>
    <t>とすし</t>
  </si>
  <si>
    <t>841-00</t>
  </si>
  <si>
    <t>41204</t>
  </si>
  <si>
    <t>多久市</t>
  </si>
  <si>
    <t>たくし</t>
  </si>
  <si>
    <t>846-00</t>
  </si>
  <si>
    <t>41205</t>
  </si>
  <si>
    <t>伊万里市</t>
  </si>
  <si>
    <t>いまりし</t>
  </si>
  <si>
    <t>848-00 848-01 849-42 849-52</t>
  </si>
  <si>
    <t>41206</t>
  </si>
  <si>
    <t>武雄市</t>
  </si>
  <si>
    <t>たけおし</t>
  </si>
  <si>
    <t>0954</t>
  </si>
  <si>
    <t>843-00 843-01 843-02 849-22 849-23</t>
  </si>
  <si>
    <t>41207</t>
  </si>
  <si>
    <t>鹿島市</t>
  </si>
  <si>
    <t>849-13</t>
  </si>
  <si>
    <t>41208</t>
  </si>
  <si>
    <t>小城市</t>
  </si>
  <si>
    <t>おぎし</t>
  </si>
  <si>
    <t>845-00 849-03</t>
  </si>
  <si>
    <t>41209</t>
  </si>
  <si>
    <t>嬉野市</t>
  </si>
  <si>
    <t>うれしのし</t>
  </si>
  <si>
    <t>843-03 849-14</t>
  </si>
  <si>
    <t>41210</t>
  </si>
  <si>
    <t>神埼市</t>
  </si>
  <si>
    <t>かんざきし</t>
  </si>
  <si>
    <t>842-00 842-01 842-02</t>
  </si>
  <si>
    <t>41327</t>
  </si>
  <si>
    <t>神埼郡吉野ヶ里町</t>
  </si>
  <si>
    <t>かんざきぐんよしのがりちょう</t>
  </si>
  <si>
    <t>842-00 842-01</t>
  </si>
  <si>
    <t>41341</t>
  </si>
  <si>
    <t>三養基郡基山町</t>
  </si>
  <si>
    <t>みやきぐんきやまちょう</t>
  </si>
  <si>
    <t>841-02</t>
  </si>
  <si>
    <t>41345</t>
  </si>
  <si>
    <t>三養基郡上峰町</t>
  </si>
  <si>
    <t>みやきぐんかみみねちょう</t>
  </si>
  <si>
    <t>849-01</t>
  </si>
  <si>
    <t>41346</t>
  </si>
  <si>
    <t>三養基郡みやき町</t>
  </si>
  <si>
    <t>みやきぐんみやきちょう</t>
  </si>
  <si>
    <t>840-11 849-01</t>
  </si>
  <si>
    <t>41387</t>
  </si>
  <si>
    <t>東松浦郡玄海町</t>
  </si>
  <si>
    <t>ひがしまつうらぐんげんかいちょう</t>
  </si>
  <si>
    <t>847-14</t>
  </si>
  <si>
    <t>41401</t>
  </si>
  <si>
    <t>西松浦郡有田町</t>
  </si>
  <si>
    <t>にしまつうらぐんありたちょう</t>
  </si>
  <si>
    <t>844-00 849-41</t>
  </si>
  <si>
    <t>41423</t>
  </si>
  <si>
    <t>杵島郡大町町</t>
  </si>
  <si>
    <t>きしまぐんおおまちちょう</t>
  </si>
  <si>
    <t>849-21</t>
  </si>
  <si>
    <t>41424</t>
  </si>
  <si>
    <t>杵島郡江北町</t>
  </si>
  <si>
    <t>きしまぐんこうほくまち</t>
  </si>
  <si>
    <t>849-05</t>
  </si>
  <si>
    <t>41425</t>
  </si>
  <si>
    <t>杵島郡白石町</t>
  </si>
  <si>
    <t>きしまぐんしろいしちょう</t>
  </si>
  <si>
    <t>0952 0954</t>
  </si>
  <si>
    <t>849-04 849-11 849-12</t>
  </si>
  <si>
    <t>41441</t>
  </si>
  <si>
    <t>藤津郡太良町</t>
  </si>
  <si>
    <t>ふじつぐんたらちょう</t>
  </si>
  <si>
    <t>849-16</t>
  </si>
  <si>
    <t>42201</t>
  </si>
  <si>
    <t>長崎市</t>
  </si>
  <si>
    <t>ながさきし</t>
  </si>
  <si>
    <t>095 0959</t>
  </si>
  <si>
    <t>850-00 850-08 850-09 851-01 851-02 851-03 851-04 851-05 851-11 851-12 851-13 851-22 851-23 851-24 851-31 851-32 852-80 852-81 857-00</t>
  </si>
  <si>
    <t>42202</t>
  </si>
  <si>
    <t>佐世保市</t>
  </si>
  <si>
    <t>させぼし</t>
  </si>
  <si>
    <t>0956 0959</t>
  </si>
  <si>
    <t>857-00 857-01 857-04 857-08 857-11 857-12 857-32 857-48 857-49 858-09 859-31 859-32 859-34 859-61 859-62 859-63 859-64</t>
  </si>
  <si>
    <t>42203</t>
  </si>
  <si>
    <t>島原市</t>
  </si>
  <si>
    <t>しまばらし</t>
  </si>
  <si>
    <t>0957</t>
  </si>
  <si>
    <t>855-00 855-08 859-14</t>
  </si>
  <si>
    <t>42204</t>
  </si>
  <si>
    <t>諫早市</t>
  </si>
  <si>
    <t>いさはやし</t>
  </si>
  <si>
    <t>854-00 854-01 854-02 854-11 859-01 859-03 859-04</t>
  </si>
  <si>
    <t>42205</t>
  </si>
  <si>
    <t>大村市</t>
  </si>
  <si>
    <t>おおむらし</t>
  </si>
  <si>
    <t>856-00 856-08</t>
  </si>
  <si>
    <t>42207</t>
  </si>
  <si>
    <t>平戸市</t>
  </si>
  <si>
    <t>ひらどし</t>
  </si>
  <si>
    <t>0950</t>
  </si>
  <si>
    <t>859-48 859-51 859-53 859-55 859-57 859-58</t>
  </si>
  <si>
    <t>42208</t>
  </si>
  <si>
    <t>松浦市</t>
  </si>
  <si>
    <t>まつうらし</t>
  </si>
  <si>
    <t>0956 0955</t>
  </si>
  <si>
    <t>848-04 859-43 859-45 859-47</t>
  </si>
  <si>
    <t>42209</t>
  </si>
  <si>
    <t>対馬市</t>
  </si>
  <si>
    <t>0920</t>
  </si>
  <si>
    <t>817-00 817-01 817-02 817-03 817-04 817-05 817-11 817-12 817-13 817-14 817-15 817-16 817-17 817-22 817-23</t>
  </si>
  <si>
    <t>42210</t>
  </si>
  <si>
    <t>壱岐市</t>
  </si>
  <si>
    <t>いきし</t>
  </si>
  <si>
    <t>811-51 811-52 811-53 811-54 811-55 811-57</t>
  </si>
  <si>
    <t>42211</t>
  </si>
  <si>
    <t>五島市</t>
  </si>
  <si>
    <t>ごとうし</t>
  </si>
  <si>
    <t>0959</t>
  </si>
  <si>
    <t>853-00 853-02 853-03 853-04 853-05 853-06 853-07 853-21 853-22 853-24</t>
  </si>
  <si>
    <t>42212</t>
  </si>
  <si>
    <t>西海市</t>
  </si>
  <si>
    <t>さいかいし</t>
  </si>
  <si>
    <t>851-33 851-34 851-35 857-22 857-23 857-24 857-25 857-31 857-33</t>
  </si>
  <si>
    <t>42213</t>
  </si>
  <si>
    <t>雲仙市</t>
  </si>
  <si>
    <t>うんぜんし</t>
  </si>
  <si>
    <t>854-03 854-04 854-05 854-06 854-07 859-11 859-12 859-13</t>
  </si>
  <si>
    <t>42214</t>
  </si>
  <si>
    <t>南島原市</t>
  </si>
  <si>
    <t>みなみしまばらし</t>
  </si>
  <si>
    <t>859-15 859-21 859-22 859-23 859-24 859-25 859-26</t>
  </si>
  <si>
    <t>42307</t>
  </si>
  <si>
    <t>西彼杵郡長与町</t>
  </si>
  <si>
    <t>にしそのぎぐんながよちょう</t>
  </si>
  <si>
    <t>095</t>
  </si>
  <si>
    <t>851-21</t>
  </si>
  <si>
    <t>42308</t>
  </si>
  <si>
    <t>西彼杵郡時津町</t>
  </si>
  <si>
    <t>にしそのぎぐんとぎつちょう</t>
  </si>
  <si>
    <t>42321</t>
  </si>
  <si>
    <t>東彼杵郡東彼杵町</t>
  </si>
  <si>
    <t>ひがしそのぎぐんひがしそのぎちょう</t>
  </si>
  <si>
    <t>859-38 859-39</t>
  </si>
  <si>
    <t>42322</t>
  </si>
  <si>
    <t>東彼杵郡川棚町</t>
  </si>
  <si>
    <t>ひがしそのぎぐんかわたなちょう</t>
  </si>
  <si>
    <t>0956</t>
  </si>
  <si>
    <t>859-36</t>
  </si>
  <si>
    <t>42323</t>
  </si>
  <si>
    <t>東彼杵郡波佐見町</t>
  </si>
  <si>
    <t>ひがしそのぎぐんはさみちょう</t>
  </si>
  <si>
    <t>859-37</t>
  </si>
  <si>
    <t>42383</t>
  </si>
  <si>
    <t>北松浦郡小値賀町</t>
  </si>
  <si>
    <t>きたまつうらぐんおぢかちょう</t>
  </si>
  <si>
    <t>857-47</t>
  </si>
  <si>
    <t>42391</t>
  </si>
  <si>
    <t>北松浦郡佐々町</t>
  </si>
  <si>
    <t>きたまつうらぐんさざちょう</t>
  </si>
  <si>
    <t>857-03</t>
  </si>
  <si>
    <t>42411</t>
  </si>
  <si>
    <t>南松浦郡新上五島町</t>
  </si>
  <si>
    <t>みなみまつうらぐんしんかみごとうちょう</t>
  </si>
  <si>
    <t>853-23 853-31 853-33 857-41 857-42 857-44 857-45 857-46</t>
  </si>
  <si>
    <t>43100</t>
  </si>
  <si>
    <t>熊本市</t>
  </si>
  <si>
    <t>くまもとし</t>
  </si>
  <si>
    <t>43101</t>
  </si>
  <si>
    <t>熊本市中央区</t>
  </si>
  <si>
    <t>くまもとしちゅうおうく</t>
  </si>
  <si>
    <t>096</t>
  </si>
  <si>
    <t>860-00 860-08 861-00 861-80 862-09</t>
  </si>
  <si>
    <t>43102</t>
  </si>
  <si>
    <t>熊本市東区</t>
  </si>
  <si>
    <t>くまもとしひがしく</t>
  </si>
  <si>
    <t>861-00 861-21 861-80 862-09</t>
  </si>
  <si>
    <t>43103</t>
  </si>
  <si>
    <t>熊本市西区</t>
  </si>
  <si>
    <t>くまもとしにしく</t>
  </si>
  <si>
    <t>860-00 861-00 861-52 861-53</t>
  </si>
  <si>
    <t>43104</t>
  </si>
  <si>
    <t>熊本市南区</t>
  </si>
  <si>
    <t>くまもとしみなみく</t>
  </si>
  <si>
    <t>096 0964</t>
  </si>
  <si>
    <t>860-08 861-00 861-41 861-42 861-52 862-09</t>
  </si>
  <si>
    <t>43105</t>
  </si>
  <si>
    <t>熊本市北区</t>
  </si>
  <si>
    <t>くまもとしきたく</t>
  </si>
  <si>
    <t>860-00 860-08 861-00 861-01 861-55 861-80</t>
  </si>
  <si>
    <t>43202</t>
  </si>
  <si>
    <t>八代市</t>
  </si>
  <si>
    <t>やつしろし</t>
  </si>
  <si>
    <t>0965</t>
  </si>
  <si>
    <t>866-00 866-08 869-42 869-43 869-44 869-45 869-46 869-47 869-51 869-52 869-61</t>
  </si>
  <si>
    <t>43203</t>
  </si>
  <si>
    <t>人吉市</t>
  </si>
  <si>
    <t>ひとよしし</t>
  </si>
  <si>
    <t>0966</t>
  </si>
  <si>
    <t>868-00 868-08</t>
  </si>
  <si>
    <t>43204</t>
  </si>
  <si>
    <t>荒尾市</t>
  </si>
  <si>
    <t>あらおし</t>
  </si>
  <si>
    <t>0968 0944</t>
  </si>
  <si>
    <t>864-00 864-01</t>
  </si>
  <si>
    <t>43205</t>
  </si>
  <si>
    <t>水俣市</t>
  </si>
  <si>
    <t>みなまたし</t>
  </si>
  <si>
    <t>867-00 867-01 867-02</t>
  </si>
  <si>
    <t>43206</t>
  </si>
  <si>
    <t>玉名市</t>
  </si>
  <si>
    <t>たまなし</t>
  </si>
  <si>
    <t>0968</t>
  </si>
  <si>
    <t>861-54 865-00 869-02</t>
  </si>
  <si>
    <t>43208</t>
  </si>
  <si>
    <t>山鹿市</t>
  </si>
  <si>
    <t>やまがし</t>
  </si>
  <si>
    <t>861-03 861-04 861-05 861-06</t>
  </si>
  <si>
    <t>43210</t>
  </si>
  <si>
    <t>菊池市</t>
  </si>
  <si>
    <t>きくちし</t>
  </si>
  <si>
    <t>861-12 861-13 861-14 861-16 869-12</t>
  </si>
  <si>
    <t>43211</t>
  </si>
  <si>
    <t>宇土市</t>
  </si>
  <si>
    <t>うとし</t>
  </si>
  <si>
    <t>0964</t>
  </si>
  <si>
    <t>869-04 869-31</t>
  </si>
  <si>
    <t>43212</t>
  </si>
  <si>
    <t>上天草市</t>
  </si>
  <si>
    <t>かみあまくさし</t>
  </si>
  <si>
    <t>0964 0969</t>
  </si>
  <si>
    <t>861-61 866-01 866-02 869-36 869-37</t>
  </si>
  <si>
    <t>43213</t>
  </si>
  <si>
    <t>宇城市</t>
  </si>
  <si>
    <t>うきし</t>
  </si>
  <si>
    <t>861-43 869-05 869-06 869-32 869-34</t>
  </si>
  <si>
    <t>43214</t>
  </si>
  <si>
    <t>阿蘇市</t>
  </si>
  <si>
    <t>あそし</t>
  </si>
  <si>
    <t>0967</t>
  </si>
  <si>
    <t>869-22 869-23 869-24 869-26 869-28</t>
  </si>
  <si>
    <t>43215</t>
  </si>
  <si>
    <t>天草市</t>
  </si>
  <si>
    <t>あまくさし</t>
  </si>
  <si>
    <t>0969</t>
  </si>
  <si>
    <t>861-63 861-64 861-65 861-72 861-73 863-00 863-01 863-11 863-12 863-14 863-15 863-17 863-19 863-21 863-22 863-23 863-24 863-28 866-03</t>
  </si>
  <si>
    <t>43216</t>
  </si>
  <si>
    <t>合志市</t>
  </si>
  <si>
    <t>こうしし</t>
  </si>
  <si>
    <t>861-11</t>
  </si>
  <si>
    <t>43348</t>
  </si>
  <si>
    <t>下益城郡美里町</t>
  </si>
  <si>
    <t>しもましきぐんみさとまち</t>
  </si>
  <si>
    <t>861-44 861-47</t>
  </si>
  <si>
    <t>43364</t>
  </si>
  <si>
    <t>玉名郡玉東町</t>
  </si>
  <si>
    <t>たまなぐんぎょくとうまち</t>
  </si>
  <si>
    <t>869-03</t>
  </si>
  <si>
    <t>43367</t>
  </si>
  <si>
    <t>玉名郡南関町</t>
  </si>
  <si>
    <t>たまなぐんなんかんまち</t>
  </si>
  <si>
    <t>861-08</t>
  </si>
  <si>
    <t>43368</t>
  </si>
  <si>
    <t>玉名郡長洲町</t>
  </si>
  <si>
    <t>たまなぐんながすまち</t>
  </si>
  <si>
    <t>869-01</t>
  </si>
  <si>
    <t>43369</t>
  </si>
  <si>
    <t>玉名郡和水町</t>
  </si>
  <si>
    <t>たまなぐんなごみまち</t>
  </si>
  <si>
    <t>861-09 865-01</t>
  </si>
  <si>
    <t>43403</t>
  </si>
  <si>
    <t>菊池郡大津町</t>
  </si>
  <si>
    <t>きくちぐんおおづまち</t>
  </si>
  <si>
    <t>869-12</t>
  </si>
  <si>
    <t>43404</t>
  </si>
  <si>
    <t>菊池郡菊陽町</t>
  </si>
  <si>
    <t>きくちぐんきくようまち</t>
  </si>
  <si>
    <t>869-11</t>
  </si>
  <si>
    <t>43423</t>
  </si>
  <si>
    <t>阿蘇郡南小国町</t>
  </si>
  <si>
    <t>あそぐんみなみおぐにまち</t>
  </si>
  <si>
    <t>869-24</t>
  </si>
  <si>
    <t>43424</t>
  </si>
  <si>
    <t>阿蘇郡小国町</t>
  </si>
  <si>
    <t>あそぐんおぐにまち</t>
  </si>
  <si>
    <t>869-25</t>
  </si>
  <si>
    <t>43425</t>
  </si>
  <si>
    <t>阿蘇郡産山村</t>
  </si>
  <si>
    <t>あそぐんうぶやまむら</t>
  </si>
  <si>
    <t>869-27</t>
  </si>
  <si>
    <t>43428</t>
  </si>
  <si>
    <t>阿蘇郡高森町</t>
  </si>
  <si>
    <t>あそぐんたかもりまち</t>
  </si>
  <si>
    <t>869-16 869-18</t>
  </si>
  <si>
    <t>43432</t>
  </si>
  <si>
    <t>阿蘇郡西原村</t>
  </si>
  <si>
    <t>あそぐんにしはらむら</t>
  </si>
  <si>
    <t>861-24</t>
  </si>
  <si>
    <t>43433</t>
  </si>
  <si>
    <t>阿蘇郡南阿蘇村</t>
  </si>
  <si>
    <t>あそぐんみなみあそむら</t>
  </si>
  <si>
    <t>869-14 869-15 869-22</t>
  </si>
  <si>
    <t>43441</t>
  </si>
  <si>
    <t>上益城郡御船町</t>
  </si>
  <si>
    <t>かみましきぐんみふねまち</t>
  </si>
  <si>
    <t>861-31 861-32 861-33 861-34</t>
  </si>
  <si>
    <t>43442</t>
  </si>
  <si>
    <t>上益城郡嘉島町</t>
  </si>
  <si>
    <t>かみましきぐんかしままち</t>
  </si>
  <si>
    <t>861-31</t>
  </si>
  <si>
    <t>43443</t>
  </si>
  <si>
    <t>上益城郡益城町</t>
  </si>
  <si>
    <t>かみましきぐんましきまち</t>
  </si>
  <si>
    <t>861-22</t>
  </si>
  <si>
    <t>43444</t>
  </si>
  <si>
    <t>上益城郡甲佐町</t>
  </si>
  <si>
    <t>かみましきぐんこうさまち</t>
  </si>
  <si>
    <t>861-32 861-46</t>
  </si>
  <si>
    <t>43447</t>
  </si>
  <si>
    <t>上益城郡山都町</t>
  </si>
  <si>
    <t>かみましきぐんやまとちょう</t>
  </si>
  <si>
    <t>861-34 861-35 861-36 861-37 861-38 861-39</t>
  </si>
  <si>
    <t>43468</t>
  </si>
  <si>
    <t>八代郡氷川町</t>
  </si>
  <si>
    <t>やつしろぐんひかわちょう</t>
  </si>
  <si>
    <t>0965 0964</t>
  </si>
  <si>
    <t>869-46 869-48</t>
  </si>
  <si>
    <t>43482</t>
  </si>
  <si>
    <t>葦北郡芦北町</t>
  </si>
  <si>
    <t>あしきたぐんあしきたまち</t>
  </si>
  <si>
    <t>869-53 869-54 869-55 869-62 869-63</t>
  </si>
  <si>
    <t>43484</t>
  </si>
  <si>
    <t>葦北郡津奈木町</t>
  </si>
  <si>
    <t>あしきたぐんつなぎまち</t>
  </si>
  <si>
    <t>869-56</t>
  </si>
  <si>
    <t>43501</t>
  </si>
  <si>
    <t>球磨郡錦町</t>
  </si>
  <si>
    <t>くまぐんにしきまち</t>
  </si>
  <si>
    <t>868-03</t>
  </si>
  <si>
    <t>43505</t>
  </si>
  <si>
    <t>球磨郡多良木町</t>
  </si>
  <si>
    <t>くまぐんたらぎまち</t>
  </si>
  <si>
    <t>868-05</t>
  </si>
  <si>
    <t>43506</t>
  </si>
  <si>
    <t>球磨郡湯前町</t>
  </si>
  <si>
    <t>くまぐんゆのまえまち</t>
  </si>
  <si>
    <t>868-06</t>
  </si>
  <si>
    <t>43507</t>
  </si>
  <si>
    <t>球磨郡水上村</t>
  </si>
  <si>
    <t>くまぐんみずかみむら</t>
  </si>
  <si>
    <t>868-07</t>
  </si>
  <si>
    <t>43510</t>
  </si>
  <si>
    <t>球磨郡相良村</t>
  </si>
  <si>
    <t>くまぐんさがらむら</t>
  </si>
  <si>
    <t>868-00 868-01</t>
  </si>
  <si>
    <t>43511</t>
  </si>
  <si>
    <t>球磨郡五木村</t>
  </si>
  <si>
    <t>くまぐんいつきむら</t>
  </si>
  <si>
    <t>868-02</t>
  </si>
  <si>
    <t>43512</t>
  </si>
  <si>
    <t>球磨郡山江村</t>
  </si>
  <si>
    <t>くまぐんやまえむら</t>
  </si>
  <si>
    <t>868-00</t>
  </si>
  <si>
    <t>43513</t>
  </si>
  <si>
    <t>球磨郡球磨村</t>
  </si>
  <si>
    <t>くまぐんくまむら</t>
  </si>
  <si>
    <t>869-62 869-64</t>
  </si>
  <si>
    <t>43514</t>
  </si>
  <si>
    <t>球磨郡あさぎり町</t>
  </si>
  <si>
    <t>くまぐんあさぎりちょう</t>
  </si>
  <si>
    <t>868-04</t>
  </si>
  <si>
    <t>43531</t>
  </si>
  <si>
    <t>天草郡苓北町</t>
  </si>
  <si>
    <t>あまくさぐんれいほくまち</t>
  </si>
  <si>
    <t>863-25 863-26</t>
  </si>
  <si>
    <t>44201</t>
  </si>
  <si>
    <t>大分市</t>
  </si>
  <si>
    <t>おおいたし</t>
  </si>
  <si>
    <t>097</t>
  </si>
  <si>
    <t>870-00 870-01 870-02 870-03 870-08 870-09 870-11 870-12 879-21 879-22 879-75 879-77 879-78</t>
  </si>
  <si>
    <t>44202</t>
  </si>
  <si>
    <t>別府市</t>
  </si>
  <si>
    <t>べっぷし</t>
  </si>
  <si>
    <t>0977</t>
  </si>
  <si>
    <t>874-00 874-08 874-09 879-55</t>
  </si>
  <si>
    <t>44203</t>
  </si>
  <si>
    <t>中津市</t>
  </si>
  <si>
    <t>なかつし</t>
  </si>
  <si>
    <t>871-00 871-01 871-02 871-03 871-04 871-07 879-01 879-02</t>
  </si>
  <si>
    <t>44204</t>
  </si>
  <si>
    <t>日田市</t>
  </si>
  <si>
    <t>ひたし</t>
  </si>
  <si>
    <t>0973</t>
  </si>
  <si>
    <t>839-14 877-00 877-01 877-02 877-03 877-11 877-12 877-13 879-41 879-42</t>
  </si>
  <si>
    <t>44205</t>
  </si>
  <si>
    <t>佐伯市</t>
  </si>
  <si>
    <t>さいきし</t>
  </si>
  <si>
    <t>0972</t>
  </si>
  <si>
    <t>876-00 876-01 876-02 876-08 876-11 876-12 876-13 876-14 876-15 876-21 876-22 876-23 876-24 879-26 879-31 879-32 879-33 879-34</t>
  </si>
  <si>
    <t>44206</t>
  </si>
  <si>
    <t>臼杵市</t>
  </si>
  <si>
    <t>うすきし</t>
  </si>
  <si>
    <t>0972 0974</t>
  </si>
  <si>
    <t>875-00 875-02 875-03</t>
  </si>
  <si>
    <t>44207</t>
  </si>
  <si>
    <t>津久見市</t>
  </si>
  <si>
    <t>つくみし</t>
  </si>
  <si>
    <t>879-24 879-25 879-26</t>
  </si>
  <si>
    <t>44208</t>
  </si>
  <si>
    <t>竹田市</t>
  </si>
  <si>
    <t>たけたし</t>
  </si>
  <si>
    <t>0974</t>
  </si>
  <si>
    <t>878-00 878-01 878-02 878-04 878-05 879-61</t>
  </si>
  <si>
    <t>44209</t>
  </si>
  <si>
    <t>豊後高田市</t>
  </si>
  <si>
    <t>ぶんごたかだし</t>
  </si>
  <si>
    <t>0978</t>
  </si>
  <si>
    <t>872-11 872-12 879-06 879-07 879-08</t>
  </si>
  <si>
    <t>44210</t>
  </si>
  <si>
    <t>杵築市</t>
  </si>
  <si>
    <t>きつきし</t>
  </si>
  <si>
    <t>0978 0977</t>
  </si>
  <si>
    <t>873-00 879-09 879-13</t>
  </si>
  <si>
    <t>44211</t>
  </si>
  <si>
    <t>宇佐市</t>
  </si>
  <si>
    <t>うさし</t>
  </si>
  <si>
    <t>872-00 872-01 872-03 872-04 872-05 872-06 872-07 872-08 879-01 879-02 879-03 879-04 879-05 879-11</t>
  </si>
  <si>
    <t>44212</t>
  </si>
  <si>
    <t>豊後大野市</t>
  </si>
  <si>
    <t>ぶんごおおのし</t>
  </si>
  <si>
    <t>0974 097</t>
  </si>
  <si>
    <t>879-62 879-63-879-64 879-66 879-67 879-68 879-69 879-71 879-72 879-73 879-74</t>
  </si>
  <si>
    <t>44213</t>
  </si>
  <si>
    <t>由布市</t>
  </si>
  <si>
    <t>ゆふし</t>
  </si>
  <si>
    <t>097 0977</t>
  </si>
  <si>
    <t>879-51 879-54 879-55</t>
  </si>
  <si>
    <t>44214</t>
  </si>
  <si>
    <t>国東市</t>
  </si>
  <si>
    <t>くにさきし</t>
  </si>
  <si>
    <t>872-13 872-14 872-16 873-00 873-02 873-03 873-04 873-05 873-06</t>
  </si>
  <si>
    <t>44322</t>
  </si>
  <si>
    <t>東国東郡姫島村</t>
  </si>
  <si>
    <t>ひがしくにさきぐんひめしまむら</t>
  </si>
  <si>
    <t>872-15</t>
  </si>
  <si>
    <t>44341</t>
  </si>
  <si>
    <t>速見郡日出町</t>
  </si>
  <si>
    <t>はやみぐんひじまち</t>
  </si>
  <si>
    <t>879-15</t>
  </si>
  <si>
    <t>44461</t>
  </si>
  <si>
    <t>玖珠郡九重町</t>
  </si>
  <si>
    <t>くすぐんここのえまち</t>
  </si>
  <si>
    <t>879-46 879-47 879-48 879-49</t>
  </si>
  <si>
    <t>44462</t>
  </si>
  <si>
    <t>玖珠郡玖珠町</t>
  </si>
  <si>
    <t>くすぐんくすまち</t>
  </si>
  <si>
    <t>879-43 879-44 879-45 879-47</t>
  </si>
  <si>
    <t>45201</t>
  </si>
  <si>
    <t>宮崎市</t>
  </si>
  <si>
    <t>みやざきし</t>
  </si>
  <si>
    <t>0985</t>
  </si>
  <si>
    <t>880-00 880-01 880-02 880-03 880-08 880-09 880-21 880-22 880-23 889-16 889-17 889-21 889-23</t>
  </si>
  <si>
    <t>45202</t>
  </si>
  <si>
    <t>都城市</t>
  </si>
  <si>
    <t>みやこのじょうし</t>
  </si>
  <si>
    <t>0986</t>
  </si>
  <si>
    <t>880-23 885-00 885-01 885-02 885-11 885-12 885-13 889-18 889-45 889-46</t>
  </si>
  <si>
    <t>45203</t>
  </si>
  <si>
    <t>延岡市</t>
  </si>
  <si>
    <t>のべおかし</t>
  </si>
  <si>
    <t>0982</t>
  </si>
  <si>
    <t>882-00 882-01 882-02 882-08 889-01 889-03 889-05</t>
  </si>
  <si>
    <t>45204</t>
  </si>
  <si>
    <t>日南市</t>
  </si>
  <si>
    <t>にちなんし</t>
  </si>
  <si>
    <t>0987</t>
  </si>
  <si>
    <t>887-00 887-01 889-23 889-24 889-25 889-31 889-32</t>
  </si>
  <si>
    <t>45205</t>
  </si>
  <si>
    <t>小林市</t>
  </si>
  <si>
    <t>こばやしし</t>
  </si>
  <si>
    <t>0984</t>
  </si>
  <si>
    <t>886-00 886-01 886-02</t>
  </si>
  <si>
    <t>45206</t>
  </si>
  <si>
    <t>日向市</t>
  </si>
  <si>
    <t>ひゅうがし</t>
  </si>
  <si>
    <t>883-00 883-01 883-02 889-11</t>
  </si>
  <si>
    <t>45207</t>
  </si>
  <si>
    <t>串間市</t>
  </si>
  <si>
    <t>くしまし</t>
  </si>
  <si>
    <t>888-00 888-02 889-33 889-35</t>
  </si>
  <si>
    <t>45208</t>
  </si>
  <si>
    <t>西都市</t>
  </si>
  <si>
    <t>さいとし</t>
  </si>
  <si>
    <t>0983 0985</t>
  </si>
  <si>
    <t>880-03 881-00 881-01 881-11 881-12</t>
  </si>
  <si>
    <t>45209</t>
  </si>
  <si>
    <t>えびの市</t>
  </si>
  <si>
    <t>えびのし</t>
  </si>
  <si>
    <t>889-41 889-42 889-43</t>
  </si>
  <si>
    <t>45341</t>
  </si>
  <si>
    <t>北諸県郡三股町</t>
  </si>
  <si>
    <t>きたもろかたぐんみまたちょう</t>
  </si>
  <si>
    <t>889-19</t>
  </si>
  <si>
    <t>45361</t>
  </si>
  <si>
    <t>西諸県郡高原町</t>
  </si>
  <si>
    <t>にしもろかたぐんたかはるちょう</t>
  </si>
  <si>
    <t>889-44</t>
  </si>
  <si>
    <t>45382</t>
  </si>
  <si>
    <t>東諸県郡国富町</t>
  </si>
  <si>
    <t>ひがしもろかたぐんくにとみちょう</t>
  </si>
  <si>
    <t>880-11 880-12</t>
  </si>
  <si>
    <t>45383</t>
  </si>
  <si>
    <t>東諸県郡綾町</t>
  </si>
  <si>
    <t>ひがしもろかたぐんあやちょう</t>
  </si>
  <si>
    <t>880-13 886-02</t>
  </si>
  <si>
    <t>45401</t>
  </si>
  <si>
    <t>児湯郡高鍋町</t>
  </si>
  <si>
    <t>こゆぐんたかなべちょう</t>
  </si>
  <si>
    <t>0983</t>
  </si>
  <si>
    <t>884-00</t>
  </si>
  <si>
    <t>45402</t>
  </si>
  <si>
    <t>児湯郡新富町</t>
  </si>
  <si>
    <t>こゆぐんしんとみちょう</t>
  </si>
  <si>
    <t>889-14</t>
  </si>
  <si>
    <t>45403</t>
  </si>
  <si>
    <t>児湯郡西米良村</t>
  </si>
  <si>
    <t>こゆぐんにしめらそん</t>
  </si>
  <si>
    <t>881-13 881-14</t>
  </si>
  <si>
    <t>45404</t>
  </si>
  <si>
    <t>児湯郡木城町</t>
  </si>
  <si>
    <t>こゆぐんきじょうちょう</t>
  </si>
  <si>
    <t>0983 0982</t>
  </si>
  <si>
    <t>884-01</t>
  </si>
  <si>
    <t>45405</t>
  </si>
  <si>
    <t>児湯郡川南町</t>
  </si>
  <si>
    <t>こゆぐんかわみなみちょう</t>
  </si>
  <si>
    <t>889-13</t>
  </si>
  <si>
    <t>45406</t>
  </si>
  <si>
    <t>児湯郡都農町</t>
  </si>
  <si>
    <t>こゆぐんつのちょう</t>
  </si>
  <si>
    <t>889-12</t>
  </si>
  <si>
    <t>45421</t>
  </si>
  <si>
    <t>東臼杵郡門川町</t>
  </si>
  <si>
    <t>ひがしうすきぐんかどがわちょう</t>
  </si>
  <si>
    <t>889-06</t>
  </si>
  <si>
    <t>45429</t>
  </si>
  <si>
    <t>東臼杵郡諸塚村</t>
  </si>
  <si>
    <t>ひがしうすきぐんもろつかそん</t>
  </si>
  <si>
    <t>883-13 883-14</t>
  </si>
  <si>
    <t>45430</t>
  </si>
  <si>
    <t>東臼杵郡椎葉村</t>
  </si>
  <si>
    <t>ひがしうすきぐんしいばそん</t>
  </si>
  <si>
    <t>0982 0983</t>
  </si>
  <si>
    <t>883-04 883-16</t>
  </si>
  <si>
    <t>45431</t>
  </si>
  <si>
    <t>東臼杵郡美郷町</t>
  </si>
  <si>
    <t>ひがしうすきぐんみさとちょう</t>
  </si>
  <si>
    <t>883-03 883-11 883-12 889-09</t>
  </si>
  <si>
    <t>45441</t>
  </si>
  <si>
    <t>西臼杵郡高千穂町</t>
  </si>
  <si>
    <t>にしうすきぐんたかちほちょう</t>
  </si>
  <si>
    <t>882-11 882-14 882-16</t>
  </si>
  <si>
    <t>45442</t>
  </si>
  <si>
    <t>西臼杵郡日之影町</t>
  </si>
  <si>
    <t>にしうすきぐんひのかげちょう</t>
  </si>
  <si>
    <t>882-03 882-04</t>
  </si>
  <si>
    <t>45443</t>
  </si>
  <si>
    <t>西臼杵郡五ヶ瀬町</t>
  </si>
  <si>
    <t>にしうすきぐんごかせちょう</t>
  </si>
  <si>
    <t>882-12</t>
  </si>
  <si>
    <t>46201</t>
  </si>
  <si>
    <t>鹿児島市</t>
  </si>
  <si>
    <t>かごしまし</t>
  </si>
  <si>
    <t>099 0993</t>
  </si>
  <si>
    <t>890-00 891-01 891-02 891-11 891-12 891-13 891-14 891-15 892-08 899-25 899-27 899-32</t>
  </si>
  <si>
    <t>46203</t>
  </si>
  <si>
    <t>鹿屋市</t>
  </si>
  <si>
    <t>かのやし</t>
  </si>
  <si>
    <t>0994 099</t>
  </si>
  <si>
    <t>891-23 893-00 893-01 893-02 893-11 893-16 899-85</t>
  </si>
  <si>
    <t>46204</t>
  </si>
  <si>
    <t>枕崎市</t>
  </si>
  <si>
    <t>まくらざきし</t>
  </si>
  <si>
    <t>0993</t>
  </si>
  <si>
    <t>898-00</t>
  </si>
  <si>
    <t>46206</t>
  </si>
  <si>
    <t>阿久根市</t>
  </si>
  <si>
    <t>あくねし</t>
  </si>
  <si>
    <t>0996</t>
  </si>
  <si>
    <t>899-11 899-16 899-17</t>
  </si>
  <si>
    <t>46208</t>
  </si>
  <si>
    <t>出水市</t>
  </si>
  <si>
    <t>899-01 899-02 899-03 899-04 899-05</t>
  </si>
  <si>
    <t>46210</t>
  </si>
  <si>
    <t>指宿市</t>
  </si>
  <si>
    <t>いぶすきし</t>
  </si>
  <si>
    <t>891-03 891-04 891-05 891-06</t>
  </si>
  <si>
    <t>46213</t>
  </si>
  <si>
    <t>西之表市</t>
  </si>
  <si>
    <t>にしのおもてし</t>
  </si>
  <si>
    <t>0997</t>
  </si>
  <si>
    <t>891-31 891-32 891-34</t>
  </si>
  <si>
    <t>46214</t>
  </si>
  <si>
    <t>垂水市</t>
  </si>
  <si>
    <t>たるみずし</t>
  </si>
  <si>
    <t>0994</t>
  </si>
  <si>
    <t>891-21 899-46</t>
  </si>
  <si>
    <t>46215</t>
  </si>
  <si>
    <t>薩摩川内市</t>
  </si>
  <si>
    <t>さつませんだいし</t>
  </si>
  <si>
    <t>0996 09969</t>
  </si>
  <si>
    <t>895-00 895-01 895-02 895-11 895-12 895-14 895-15 896-11 896-12 896-13 896-14 896-15 896-16 899-18 899-19</t>
  </si>
  <si>
    <t>46216</t>
  </si>
  <si>
    <t>日置市</t>
  </si>
  <si>
    <t>ひおきし</t>
  </si>
  <si>
    <t>099</t>
  </si>
  <si>
    <t>899-22 899-23 899-24 899-25 899-31 899-32 899-33</t>
  </si>
  <si>
    <t>46217</t>
  </si>
  <si>
    <t>曽於市</t>
  </si>
  <si>
    <t>そおし</t>
  </si>
  <si>
    <t>0986 099</t>
  </si>
  <si>
    <t>899-41 899-81 899-82 899-83 899-84 899-86</t>
  </si>
  <si>
    <t>46218</t>
  </si>
  <si>
    <t>霧島市</t>
  </si>
  <si>
    <t>きりしまし</t>
  </si>
  <si>
    <t>0995</t>
  </si>
  <si>
    <t>899-42 899-43 899-44 899-45 899-51 899-63 899-64 899-65 899-66</t>
  </si>
  <si>
    <t>46219</t>
  </si>
  <si>
    <t>いちき串木野市</t>
  </si>
  <si>
    <t>いちきくしきのし</t>
  </si>
  <si>
    <t>896-00 899-21</t>
  </si>
  <si>
    <t>46220</t>
  </si>
  <si>
    <t>南さつま市</t>
  </si>
  <si>
    <t>みなみさつまし</t>
  </si>
  <si>
    <t>897-00 897-11 897-12 897-13 898-01 898-02 899-34 899-35 899-36</t>
  </si>
  <si>
    <t>46221</t>
  </si>
  <si>
    <t>志布志市</t>
  </si>
  <si>
    <t>しぶしし</t>
  </si>
  <si>
    <t>899-71 899-72 899-74 899-75 899-76 899-83</t>
  </si>
  <si>
    <t>46222</t>
  </si>
  <si>
    <t>奄美市</t>
  </si>
  <si>
    <t>あまみし</t>
  </si>
  <si>
    <t>894-00 894-01 894-03 894-05 894-06 894-07 894-11 894-12 894-13</t>
  </si>
  <si>
    <t>46223</t>
  </si>
  <si>
    <t>南九州市</t>
  </si>
  <si>
    <t>みなみきゅうしゅうし</t>
  </si>
  <si>
    <t>891-07 891-09 897-01 897-02 897-03</t>
  </si>
  <si>
    <t>46224</t>
  </si>
  <si>
    <t>伊佐市</t>
  </si>
  <si>
    <t>いさし</t>
  </si>
  <si>
    <t>895-24 895-25 895-26 895-27 895-28</t>
  </si>
  <si>
    <t>46225</t>
  </si>
  <si>
    <t>姶良市</t>
  </si>
  <si>
    <t>あいらし</t>
  </si>
  <si>
    <t>899-52 899-53 899-54 899-55 899-56</t>
  </si>
  <si>
    <t>46303</t>
  </si>
  <si>
    <t>鹿児島郡三島村</t>
  </si>
  <si>
    <t>かごしまぐんみしまむら</t>
  </si>
  <si>
    <t>09913</t>
  </si>
  <si>
    <t>890-00 890-09</t>
  </si>
  <si>
    <t>46304</t>
  </si>
  <si>
    <t>鹿児島郡十島村</t>
  </si>
  <si>
    <t>かごしまぐんとしまむら</t>
  </si>
  <si>
    <t>09912</t>
  </si>
  <si>
    <t>891-51 891-52 891-53</t>
  </si>
  <si>
    <t>46392</t>
  </si>
  <si>
    <t>薩摩郡さつま町</t>
  </si>
  <si>
    <t>さつまぐんさつまちょう</t>
  </si>
  <si>
    <t>895-17 895-18 895-21 895-22</t>
  </si>
  <si>
    <t>46404</t>
  </si>
  <si>
    <t>出水郡長島町</t>
  </si>
  <si>
    <t>いずみぐんながしまちょう</t>
  </si>
  <si>
    <t>899-12 899-13 899-14 899-15</t>
  </si>
  <si>
    <t>46452</t>
  </si>
  <si>
    <t>姶良郡湧水町</t>
  </si>
  <si>
    <t>あいらぐんゆうすいちょう</t>
  </si>
  <si>
    <t>899-61 899-62</t>
  </si>
  <si>
    <t>46468</t>
  </si>
  <si>
    <t>曽於郡大崎町</t>
  </si>
  <si>
    <t>そおぐんおおさきちょう</t>
  </si>
  <si>
    <t>899-73 899-83</t>
  </si>
  <si>
    <t>46482</t>
  </si>
  <si>
    <t>肝属郡東串良町</t>
  </si>
  <si>
    <t>きもつきぐんひがしくしらちょう</t>
  </si>
  <si>
    <t>893-16</t>
  </si>
  <si>
    <t>46490</t>
  </si>
  <si>
    <t>肝属郡錦江町</t>
  </si>
  <si>
    <t>きもつきぐんきんこうちょう</t>
  </si>
  <si>
    <t>893-23 893-24</t>
  </si>
  <si>
    <t>46491</t>
  </si>
  <si>
    <t>肝属郡南大隅町</t>
  </si>
  <si>
    <t>きもつきぐんみなみおおすみちょう</t>
  </si>
  <si>
    <t>893-25 893-26</t>
  </si>
  <si>
    <t>46492</t>
  </si>
  <si>
    <t>肝属郡肝付町</t>
  </si>
  <si>
    <t>きもつきぐんきもつきちょう</t>
  </si>
  <si>
    <t>893-12 893-14 893-15</t>
  </si>
  <si>
    <t>46501</t>
  </si>
  <si>
    <t>熊毛郡中種子町</t>
  </si>
  <si>
    <t>くまげぐんなかたねちょう</t>
  </si>
  <si>
    <t>891-36</t>
  </si>
  <si>
    <t>46502</t>
  </si>
  <si>
    <t>熊毛郡南種子町</t>
  </si>
  <si>
    <t>くまげぐんみなみたねちょう</t>
  </si>
  <si>
    <t>891-37</t>
  </si>
  <si>
    <t>46505</t>
  </si>
  <si>
    <t>熊毛郡屋久島町</t>
  </si>
  <si>
    <t>くまげぐんやくしまちょう</t>
  </si>
  <si>
    <t>891-42 891-43 891-44</t>
  </si>
  <si>
    <t>46523</t>
  </si>
  <si>
    <t>大島郡大和村</t>
  </si>
  <si>
    <t>おおしまぐんやまとそん</t>
  </si>
  <si>
    <t>894-31 894-32</t>
  </si>
  <si>
    <t>46524</t>
  </si>
  <si>
    <t>大島郡宇検村</t>
  </si>
  <si>
    <t>おおしまぐんうけんそん</t>
  </si>
  <si>
    <t>894-33 894-34 894-35 894-36</t>
  </si>
  <si>
    <t>46525</t>
  </si>
  <si>
    <t>大島郡瀬戸内町</t>
  </si>
  <si>
    <t>おおしまぐんせとうちちょう</t>
  </si>
  <si>
    <t>894-15 894-17 894-18 894-21 894-22 894-23 894-24 894-25 894-26</t>
  </si>
  <si>
    <t>46527</t>
  </si>
  <si>
    <t>大島郡龍郷町</t>
  </si>
  <si>
    <t>おおしまぐんたつごうちょう</t>
  </si>
  <si>
    <t>894-01 894-03 894-04</t>
  </si>
  <si>
    <t>46529</t>
  </si>
  <si>
    <t>大島郡喜界町</t>
  </si>
  <si>
    <t>おおしまぐんきかいちょう</t>
  </si>
  <si>
    <t>891-61 891-62</t>
  </si>
  <si>
    <t>46530</t>
  </si>
  <si>
    <t>大島郡徳之島町</t>
  </si>
  <si>
    <t>おおしまぐんとくのしまちょう</t>
  </si>
  <si>
    <t>891-71 891-74</t>
  </si>
  <si>
    <t>46531</t>
  </si>
  <si>
    <t>大島郡天城町</t>
  </si>
  <si>
    <t>おおしまぐんあまぎちょう</t>
  </si>
  <si>
    <t>891-76 891-77</t>
  </si>
  <si>
    <t>46532</t>
  </si>
  <si>
    <t>大島郡伊仙町</t>
  </si>
  <si>
    <t>おおしまぐんいせんちょう</t>
  </si>
  <si>
    <t>891-81 891-82 891-83</t>
  </si>
  <si>
    <t>46533</t>
  </si>
  <si>
    <t>大島郡和泊町</t>
  </si>
  <si>
    <t>おおしまぐんわどまりちょう</t>
  </si>
  <si>
    <t>891-91</t>
  </si>
  <si>
    <t>46534</t>
  </si>
  <si>
    <t>大島郡知名町</t>
  </si>
  <si>
    <t>おおしまぐんちなちょう</t>
  </si>
  <si>
    <t>891-92</t>
  </si>
  <si>
    <t>46535</t>
  </si>
  <si>
    <t>大島郡与論町</t>
  </si>
  <si>
    <t>おおしまぐんよろんちょう</t>
  </si>
  <si>
    <t>891-93</t>
  </si>
  <si>
    <t>47201</t>
  </si>
  <si>
    <t>那覇市</t>
  </si>
  <si>
    <t>なはし</t>
  </si>
  <si>
    <t>098</t>
  </si>
  <si>
    <t>900-00 901-01 902-00 903-08</t>
  </si>
  <si>
    <t>47205</t>
  </si>
  <si>
    <t>宜野湾市</t>
  </si>
  <si>
    <t>ぎのわんし</t>
  </si>
  <si>
    <t>901-22</t>
  </si>
  <si>
    <t>47207</t>
  </si>
  <si>
    <t>石垣市</t>
  </si>
  <si>
    <t>いしがきし</t>
  </si>
  <si>
    <t>0980</t>
  </si>
  <si>
    <t>907-00 907-02 907-03 907-04</t>
  </si>
  <si>
    <t>47208</t>
  </si>
  <si>
    <t>浦添市</t>
  </si>
  <si>
    <t>うらそえし</t>
  </si>
  <si>
    <t>901-21</t>
  </si>
  <si>
    <t>47209</t>
  </si>
  <si>
    <t>名護市</t>
  </si>
  <si>
    <t>なごし</t>
  </si>
  <si>
    <t>905-00 905-11 905-16 905-21 905-22</t>
  </si>
  <si>
    <t>47210</t>
  </si>
  <si>
    <t>糸満市</t>
  </si>
  <si>
    <t>いとまんし</t>
  </si>
  <si>
    <t>901-03</t>
  </si>
  <si>
    <t>47211</t>
  </si>
  <si>
    <t>沖縄市</t>
  </si>
  <si>
    <t>おきなわし</t>
  </si>
  <si>
    <t>904-00 904-21</t>
  </si>
  <si>
    <t>47212</t>
  </si>
  <si>
    <t>豊見城市</t>
  </si>
  <si>
    <t>とみぐすくし</t>
  </si>
  <si>
    <t>901-02</t>
  </si>
  <si>
    <t>47213</t>
  </si>
  <si>
    <t>うるま市</t>
  </si>
  <si>
    <t>うるまし</t>
  </si>
  <si>
    <t>904-11 904-22 904-23 904-24</t>
  </si>
  <si>
    <t>47214</t>
  </si>
  <si>
    <t>宮古島市</t>
  </si>
  <si>
    <t>みやこじまし</t>
  </si>
  <si>
    <t>906-00 906-01 906-02 906-03 906-04 906-05</t>
  </si>
  <si>
    <t>47215</t>
  </si>
  <si>
    <t>南城市</t>
  </si>
  <si>
    <t>なんじょうし</t>
  </si>
  <si>
    <t>901-06 901-12 901-14 901-15</t>
  </si>
  <si>
    <t>47301</t>
  </si>
  <si>
    <t>国頭郡国頭村</t>
  </si>
  <si>
    <t>くにがみぐんくにがみそん</t>
  </si>
  <si>
    <t>905-14 905-15</t>
  </si>
  <si>
    <t>47302</t>
  </si>
  <si>
    <t>国頭郡大宜味村</t>
  </si>
  <si>
    <t>くにがみぐんおおぎみそん</t>
  </si>
  <si>
    <t>905-13</t>
  </si>
  <si>
    <t>47303</t>
  </si>
  <si>
    <t>国頭郡東村</t>
  </si>
  <si>
    <t>くにがみぐんひがしそん</t>
  </si>
  <si>
    <t>905-12</t>
  </si>
  <si>
    <t>47306</t>
  </si>
  <si>
    <t>国頭郡今帰仁村</t>
  </si>
  <si>
    <t>くにがみぐんなきじんそん</t>
  </si>
  <si>
    <t>905-04</t>
  </si>
  <si>
    <t>47308</t>
  </si>
  <si>
    <t>国頭郡本部町</t>
  </si>
  <si>
    <t>くにがみぐんもとぶちょう</t>
  </si>
  <si>
    <t>905-02</t>
  </si>
  <si>
    <t>47311</t>
  </si>
  <si>
    <t>国頭郡恩納村</t>
  </si>
  <si>
    <t>くにがみぐんおんなそん</t>
  </si>
  <si>
    <t>904-04</t>
  </si>
  <si>
    <t>47313</t>
  </si>
  <si>
    <t>国頭郡宜野座村</t>
  </si>
  <si>
    <t>くにがみぐんぎのざそん</t>
  </si>
  <si>
    <t>904-13</t>
  </si>
  <si>
    <t>47314</t>
  </si>
  <si>
    <t>国頭郡金武町</t>
  </si>
  <si>
    <t>くにがみぐんきんちょう</t>
  </si>
  <si>
    <t>904-12</t>
  </si>
  <si>
    <t>47315</t>
  </si>
  <si>
    <t>国頭郡伊江村</t>
  </si>
  <si>
    <t>くにがみぐんいえそん</t>
  </si>
  <si>
    <t>905-05</t>
  </si>
  <si>
    <t>47324</t>
  </si>
  <si>
    <t>中頭郡読谷村</t>
  </si>
  <si>
    <t>なかがみぐんよみたんそん</t>
  </si>
  <si>
    <t>904-03</t>
  </si>
  <si>
    <t>47325</t>
  </si>
  <si>
    <t>中頭郡嘉手納町</t>
  </si>
  <si>
    <t>なかがみぐんかでなちょう</t>
  </si>
  <si>
    <t>904-02</t>
  </si>
  <si>
    <t>47326</t>
  </si>
  <si>
    <t>中頭郡北谷町</t>
  </si>
  <si>
    <t>なかがみぐんちゃたんちょう</t>
  </si>
  <si>
    <t>904-01</t>
  </si>
  <si>
    <t>47327</t>
  </si>
  <si>
    <t>中頭郡北中城村</t>
  </si>
  <si>
    <t>なかがみぐんきたなかぐすくそん</t>
  </si>
  <si>
    <t>901-23</t>
  </si>
  <si>
    <t>47328</t>
  </si>
  <si>
    <t>中頭郡中城村</t>
  </si>
  <si>
    <t>なかがみぐんなかぐすくそん</t>
  </si>
  <si>
    <t>901-24</t>
  </si>
  <si>
    <t>47329</t>
  </si>
  <si>
    <t>中頭郡西原町</t>
  </si>
  <si>
    <t>なかがみぐんにしはらちょう</t>
  </si>
  <si>
    <t>903-01</t>
  </si>
  <si>
    <t>47348</t>
  </si>
  <si>
    <t>島尻郡与那原町</t>
  </si>
  <si>
    <t>しまじりぐんよなばるちょう</t>
  </si>
  <si>
    <t>901-13</t>
  </si>
  <si>
    <t>47350</t>
  </si>
  <si>
    <t>島尻郡南風原町</t>
  </si>
  <si>
    <t>しまじりぐんはえばるちょう</t>
  </si>
  <si>
    <t>901-11</t>
  </si>
  <si>
    <t>47353</t>
  </si>
  <si>
    <t>島尻郡渡嘉敷村</t>
  </si>
  <si>
    <t>しまじりぐんとかしきそん</t>
  </si>
  <si>
    <t>901-35</t>
  </si>
  <si>
    <t>47354</t>
  </si>
  <si>
    <t>島尻郡座間味村</t>
  </si>
  <si>
    <t>しまじりぐんざまみそん</t>
  </si>
  <si>
    <t>901-33 901-34</t>
  </si>
  <si>
    <t>47355</t>
  </si>
  <si>
    <t>島尻郡粟国村</t>
  </si>
  <si>
    <t>しまじりぐんあぐにそん</t>
  </si>
  <si>
    <t>901-37</t>
  </si>
  <si>
    <t>47356</t>
  </si>
  <si>
    <t>島尻郡渡名喜村</t>
  </si>
  <si>
    <t>しまじりぐんとなきそん</t>
  </si>
  <si>
    <t>901-36</t>
  </si>
  <si>
    <t>47357</t>
  </si>
  <si>
    <t>島尻郡南大東村</t>
  </si>
  <si>
    <t>しまじりぐんみなみだいとうそん</t>
  </si>
  <si>
    <t>09802</t>
  </si>
  <si>
    <t>901-38</t>
  </si>
  <si>
    <t>47358</t>
  </si>
  <si>
    <t>島尻郡北大東村</t>
  </si>
  <si>
    <t>しまじりぐんきただいとうそん</t>
  </si>
  <si>
    <t>901-39</t>
  </si>
  <si>
    <t>47359</t>
  </si>
  <si>
    <t>島尻郡伊平屋村</t>
  </si>
  <si>
    <t>しまじりぐんいへやそん</t>
  </si>
  <si>
    <t>905-07</t>
  </si>
  <si>
    <t>47360</t>
  </si>
  <si>
    <t>島尻郡伊是名村</t>
  </si>
  <si>
    <t>しまじりぐんいぜなそん</t>
  </si>
  <si>
    <t>905-06</t>
  </si>
  <si>
    <t>47361</t>
  </si>
  <si>
    <t>島尻郡久米島町</t>
  </si>
  <si>
    <t>しまじりぐんくめじまちょう</t>
  </si>
  <si>
    <t>901-31</t>
  </si>
  <si>
    <t>47362</t>
  </si>
  <si>
    <t>島尻郡八重瀬町</t>
  </si>
  <si>
    <t>しまじりぐんやえせちょう</t>
  </si>
  <si>
    <t>901-04 901-05</t>
  </si>
  <si>
    <t>47375</t>
  </si>
  <si>
    <t>宮古郡多良間村</t>
  </si>
  <si>
    <t>みやこぐんたらまそん</t>
  </si>
  <si>
    <t>906-06</t>
  </si>
  <si>
    <t>47381</t>
  </si>
  <si>
    <t>八重山郡竹富町</t>
  </si>
  <si>
    <t>やえやまぐんたけとみちょう</t>
  </si>
  <si>
    <t>907-00 907-11 907-12 907-13 907-14 907-15 907-17</t>
  </si>
  <si>
    <t>47382</t>
  </si>
  <si>
    <t>八重山郡与那国町</t>
  </si>
  <si>
    <t>やえやまぐんよなぐにちょう</t>
  </si>
  <si>
    <t>907-18</t>
  </si>
  <si>
    <t>01</t>
    <phoneticPr fontId="1"/>
  </si>
  <si>
    <t>北海道</t>
  </si>
  <si>
    <t>02</t>
    <phoneticPr fontId="1"/>
  </si>
  <si>
    <t>05</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</si>
  <si>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</si>
  <si>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</si>
  <si>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</si>
  <si>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</si>
  <si>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</si>
  <si>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</si>
  <si>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</si>
  <si>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</si>
  <si>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</si>
  <si>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</si>
  <si>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</si>
  <si>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</si>
  <si>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</si>
  <si>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</si>
  <si>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</si>
  <si>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</si>
  <si>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</si>
  <si>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</si>
  <si>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</si>
  <si>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</si>
  <si>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</si>
  <si>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</si>
  <si>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</si>
  <si>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</si>
  <si>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</si>
  <si>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</si>
  <si>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</si>
  <si>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</si>
  <si>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</si>
  <si>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</si>
  <si>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</si>
  <si>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</si>
  <si>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</si>
  <si>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</si>
  <si>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</si>
  <si>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</si>
  <si>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</si>
  <si>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</si>
  <si>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</si>
  <si>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</si>
  <si>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</si>
  <si>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</si>
  <si>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</si>
  <si>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</si>
  <si>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</si>
  <si>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</si>
  <si>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</si>
  <si>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</si>
  <si>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</si>
  <si>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</si>
  <si>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</si>
  <si>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</si>
  <si>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</si>
  <si>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</si>
  <si>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</si>
  <si>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</si>
  <si>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</si>
  <si>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</si>
  <si>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</si>
  <si>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</si>
  <si>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</si>
  <si>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</si>
  <si>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</si>
  <si>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</si>
  <si>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</si>
  <si>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</si>
  <si>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</si>
  <si>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</si>
  <si>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</si>
  <si>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</si>
  <si>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</si>
  <si>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</si>
  <si>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</si>
  <si>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</si>
  <si>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</si>
  <si>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</si>
  <si>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</si>
  <si>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</si>
  <si>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</si>
  <si>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</si>
  <si>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</si>
  <si>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</si>
  <si>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</si>
  <si>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</si>
  <si>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</si>
  <si>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</si>
  <si>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</si>
  <si>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地　　　　　況</t>
    <rPh sb="0" eb="1">
      <t>チ</t>
    </rPh>
    <rPh sb="6" eb="7">
      <t>キョウ</t>
    </rPh>
    <phoneticPr fontId="1"/>
  </si>
  <si>
    <t>林　　　　況</t>
    <rPh sb="0" eb="1">
      <t>リン</t>
    </rPh>
    <rPh sb="5" eb="6">
      <t>キョウ</t>
    </rPh>
    <phoneticPr fontId="1"/>
  </si>
  <si>
    <t>点</t>
    <rPh sb="0" eb="1">
      <t>テン</t>
    </rPh>
    <phoneticPr fontId="1"/>
  </si>
  <si>
    <t>　荒廃状況等</t>
    <rPh sb="1" eb="3">
      <t>コウハイ</t>
    </rPh>
    <rPh sb="3" eb="5">
      <t>ジョウキョウ</t>
    </rPh>
    <rPh sb="5" eb="6">
      <t>トウ</t>
    </rPh>
    <phoneticPr fontId="1"/>
  </si>
  <si>
    <t>補</t>
    <rPh sb="0" eb="1">
      <t>ホ</t>
    </rPh>
    <phoneticPr fontId="1"/>
  </si>
  <si>
    <t>保</t>
    <rPh sb="0" eb="1">
      <t>ホ</t>
    </rPh>
    <phoneticPr fontId="1"/>
  </si>
  <si>
    <t>崩</t>
    <rPh sb="0" eb="1">
      <t>ホウ</t>
    </rPh>
    <phoneticPr fontId="1"/>
  </si>
  <si>
    <t>地　　　　　震　　　　　調　　　　　査</t>
    <rPh sb="0" eb="1">
      <t>チ</t>
    </rPh>
    <rPh sb="6" eb="7">
      <t>シン</t>
    </rPh>
    <rPh sb="12" eb="13">
      <t>チョウ</t>
    </rPh>
    <rPh sb="18" eb="19">
      <t>サ</t>
    </rPh>
    <phoneticPr fontId="1"/>
  </si>
  <si>
    <t>　　　　　　　　　落　　　　　　　　石　　　　　　　　調　　　　　　　　査</t>
    <rPh sb="9" eb="10">
      <t>オチ</t>
    </rPh>
    <rPh sb="18" eb="19">
      <t>イシ</t>
    </rPh>
    <rPh sb="27" eb="28">
      <t>チョウ</t>
    </rPh>
    <rPh sb="36" eb="37">
      <t>サ</t>
    </rPh>
    <phoneticPr fontId="1"/>
  </si>
  <si>
    <t>　傾　斜</t>
    <rPh sb="1" eb="2">
      <t>ナダレ</t>
    </rPh>
    <rPh sb="3" eb="4">
      <t>シャ</t>
    </rPh>
    <phoneticPr fontId="1"/>
  </si>
  <si>
    <t xml:space="preserve"> 縦断面形</t>
    <rPh sb="1" eb="3">
      <t>ジュウダン</t>
    </rPh>
    <rPh sb="3" eb="4">
      <t>メン</t>
    </rPh>
    <rPh sb="4" eb="5">
      <t>ケイ</t>
    </rPh>
    <phoneticPr fontId="1"/>
  </si>
  <si>
    <t xml:space="preserve"> 横断面形</t>
    <rPh sb="1" eb="3">
      <t>オウダン</t>
    </rPh>
    <rPh sb="3" eb="4">
      <t>メン</t>
    </rPh>
    <rPh sb="4" eb="5">
      <t>ケイ</t>
    </rPh>
    <phoneticPr fontId="1"/>
  </si>
  <si>
    <t xml:space="preserve"> 土層深</t>
    <rPh sb="1" eb="3">
      <t>ドソウ</t>
    </rPh>
    <rPh sb="3" eb="4">
      <t>シン</t>
    </rPh>
    <phoneticPr fontId="1"/>
  </si>
  <si>
    <t>林</t>
    <rPh sb="0" eb="1">
      <t>リン</t>
    </rPh>
    <phoneticPr fontId="1"/>
  </si>
  <si>
    <t>齢</t>
    <rPh sb="0" eb="1">
      <t>レイ</t>
    </rPh>
    <phoneticPr fontId="1"/>
  </si>
  <si>
    <t>崩</t>
  </si>
  <si>
    <t>正</t>
    <rPh sb="0" eb="1">
      <t>セイ</t>
    </rPh>
    <phoneticPr fontId="1"/>
  </si>
  <si>
    <t>合</t>
    <rPh sb="0" eb="1">
      <t>ゴウ</t>
    </rPh>
    <phoneticPr fontId="1"/>
  </si>
  <si>
    <t>安</t>
    <rPh sb="0" eb="1">
      <t>アン</t>
    </rPh>
    <phoneticPr fontId="1"/>
  </si>
  <si>
    <t>活断層からの距離</t>
    <rPh sb="0" eb="3">
      <t>カツダンソウ</t>
    </rPh>
    <rPh sb="6" eb="8">
      <t>キョリ</t>
    </rPh>
    <phoneticPr fontId="1"/>
  </si>
  <si>
    <t xml:space="preserve"> 斜面長</t>
    <rPh sb="1" eb="3">
      <t>シャメン</t>
    </rPh>
    <rPh sb="3" eb="4">
      <t>チョウ</t>
    </rPh>
    <phoneticPr fontId="1"/>
  </si>
  <si>
    <t>斜面位置</t>
    <rPh sb="0" eb="2">
      <t>シャメン</t>
    </rPh>
    <rPh sb="2" eb="4">
      <t>イチ</t>
    </rPh>
    <phoneticPr fontId="1"/>
  </si>
  <si>
    <t>　　　斜　面　状　況</t>
    <rPh sb="3" eb="4">
      <t>シャ</t>
    </rPh>
    <rPh sb="5" eb="6">
      <t>メン</t>
    </rPh>
    <rPh sb="7" eb="8">
      <t>ジョウ</t>
    </rPh>
    <rPh sb="9" eb="10">
      <t>キョウ</t>
    </rPh>
    <phoneticPr fontId="1"/>
  </si>
  <si>
    <t>地震</t>
    <rPh sb="0" eb="2">
      <t>ジシン</t>
    </rPh>
    <phoneticPr fontId="1"/>
  </si>
  <si>
    <t>　　　　発生源の傾斜角</t>
    <rPh sb="4" eb="7">
      <t>ハッセイゲン</t>
    </rPh>
    <rPh sb="8" eb="11">
      <t>ケイシャカク</t>
    </rPh>
    <phoneticPr fontId="1"/>
  </si>
  <si>
    <t>　落下斜面の</t>
    <rPh sb="1" eb="3">
      <t>ラッカ</t>
    </rPh>
    <rPh sb="3" eb="5">
      <t>シャメン</t>
    </rPh>
    <phoneticPr fontId="1"/>
  </si>
  <si>
    <t>　　地震の</t>
    <rPh sb="2" eb="4">
      <t>ジシン</t>
    </rPh>
    <phoneticPr fontId="1"/>
  </si>
  <si>
    <t>落石</t>
    <rPh sb="0" eb="2">
      <t>ラクセキ</t>
    </rPh>
    <phoneticPr fontId="1"/>
  </si>
  <si>
    <t>番</t>
    <phoneticPr fontId="1"/>
  </si>
  <si>
    <t>樹</t>
    <phoneticPr fontId="1"/>
  </si>
  <si>
    <t>N</t>
    <phoneticPr fontId="1"/>
  </si>
  <si>
    <t>齢</t>
    <phoneticPr fontId="1"/>
  </si>
  <si>
    <t>数</t>
    <rPh sb="0" eb="1">
      <t>スウ</t>
    </rPh>
    <phoneticPr fontId="1"/>
  </si>
  <si>
    <t>壊</t>
    <phoneticPr fontId="1"/>
  </si>
  <si>
    <t>地</t>
    <phoneticPr fontId="1"/>
  </si>
  <si>
    <t>落</t>
    <phoneticPr fontId="1"/>
  </si>
  <si>
    <t>計</t>
    <phoneticPr fontId="1"/>
  </si>
  <si>
    <t>加</t>
    <phoneticPr fontId="1"/>
  </si>
  <si>
    <t>林</t>
    <phoneticPr fontId="1"/>
  </si>
  <si>
    <t>点</t>
    <phoneticPr fontId="1"/>
  </si>
  <si>
    <t>による</t>
    <phoneticPr fontId="1"/>
  </si>
  <si>
    <t>正</t>
    <phoneticPr fontId="1"/>
  </si>
  <si>
    <t>　剥離型</t>
    <rPh sb="1" eb="3">
      <t>ハクリ</t>
    </rPh>
    <rPh sb="3" eb="4">
      <t>ガタ</t>
    </rPh>
    <phoneticPr fontId="1"/>
  </si>
  <si>
    <t>　転石型</t>
    <rPh sb="1" eb="3">
      <t>テンセキ</t>
    </rPh>
    <rPh sb="3" eb="4">
      <t>ガタ</t>
    </rPh>
    <phoneticPr fontId="1"/>
  </si>
  <si>
    <t>　　　　　剥　離　型</t>
    <rPh sb="5" eb="6">
      <t>パ</t>
    </rPh>
    <rPh sb="7" eb="8">
      <t>ハナレ</t>
    </rPh>
    <rPh sb="9" eb="10">
      <t>カタ</t>
    </rPh>
    <phoneticPr fontId="1"/>
  </si>
  <si>
    <t>　　　　　転　石　型</t>
    <rPh sb="5" eb="6">
      <t>テン</t>
    </rPh>
    <rPh sb="7" eb="8">
      <t>イシ</t>
    </rPh>
    <rPh sb="9" eb="10">
      <t>カタ</t>
    </rPh>
    <phoneticPr fontId="1"/>
  </si>
  <si>
    <t>　植生状況</t>
    <rPh sb="1" eb="3">
      <t>ショクセイ</t>
    </rPh>
    <rPh sb="3" eb="5">
      <t>ジョウキョウ</t>
    </rPh>
    <phoneticPr fontId="1"/>
  </si>
  <si>
    <t>　　強さ</t>
    <rPh sb="2" eb="3">
      <t>ツヨ</t>
    </rPh>
    <phoneticPr fontId="1"/>
  </si>
  <si>
    <t>行</t>
    <phoneticPr fontId="1"/>
  </si>
  <si>
    <t>列</t>
    <phoneticPr fontId="1"/>
  </si>
  <si>
    <t>％</t>
  </si>
  <si>
    <t>形</t>
  </si>
  <si>
    <t>度</t>
    <phoneticPr fontId="1"/>
  </si>
  <si>
    <t>ｍ</t>
    <phoneticPr fontId="1"/>
  </si>
  <si>
    <t>L</t>
    <phoneticPr fontId="1"/>
  </si>
  <si>
    <t>算</t>
    <phoneticPr fontId="1"/>
  </si>
  <si>
    <t>種</t>
    <phoneticPr fontId="1"/>
  </si>
  <si>
    <t>有</t>
    <phoneticPr fontId="1"/>
  </si>
  <si>
    <t>有無</t>
    <rPh sb="0" eb="2">
      <t>ウム</t>
    </rPh>
    <phoneticPr fontId="1"/>
  </si>
  <si>
    <t>度</t>
    <rPh sb="0" eb="1">
      <t>ド</t>
    </rPh>
    <phoneticPr fontId="1"/>
  </si>
  <si>
    <t>類</t>
    <rPh sb="0" eb="1">
      <t>タグイ</t>
    </rPh>
    <phoneticPr fontId="1"/>
  </si>
  <si>
    <t>山崩－表－１</t>
    <rPh sb="0" eb="1">
      <t>ヤマ</t>
    </rPh>
    <rPh sb="1" eb="2">
      <t>ホウ</t>
    </rPh>
    <rPh sb="3" eb="4">
      <t>ヒョウ</t>
    </rPh>
    <phoneticPr fontId="1"/>
  </si>
  <si>
    <t>山崩－表－２</t>
    <rPh sb="0" eb="1">
      <t>ヤマ</t>
    </rPh>
    <rPh sb="1" eb="2">
      <t>ホウ</t>
    </rPh>
    <rPh sb="3" eb="4">
      <t>ヒョウ</t>
    </rPh>
    <phoneticPr fontId="1"/>
  </si>
  <si>
    <t>山崩－表－３</t>
    <rPh sb="0" eb="1">
      <t>ヤマ</t>
    </rPh>
    <rPh sb="1" eb="2">
      <t>ホウ</t>
    </rPh>
    <rPh sb="3" eb="4">
      <t>ヒョウ</t>
    </rPh>
    <phoneticPr fontId="1"/>
  </si>
  <si>
    <t>崩土－表－１</t>
    <rPh sb="0" eb="2">
      <t>ホウド</t>
    </rPh>
    <rPh sb="3" eb="4">
      <t>ヒョウ</t>
    </rPh>
    <phoneticPr fontId="1"/>
  </si>
  <si>
    <t xml:space="preserve">調査項目 </t>
  </si>
  <si>
    <t>単位</t>
  </si>
  <si>
    <t xml:space="preserve">区 分 </t>
  </si>
  <si>
    <t>地</t>
  </si>
  <si>
    <t>質</t>
  </si>
  <si>
    <r>
      <rPr>
        <sz val="10.5"/>
        <color rgb="FF000000"/>
        <rFont val="ＭＳ Ｐ明朝"/>
        <family val="1"/>
        <charset val="128"/>
      </rPr>
      <t>調査項目</t>
    </r>
  </si>
  <si>
    <t>単位</t>
    <rPh sb="0" eb="2">
      <t>タンイ</t>
    </rPh>
    <phoneticPr fontId="1"/>
  </si>
  <si>
    <r>
      <rPr>
        <sz val="10.5"/>
        <color rgb="FF000000"/>
        <rFont val="ＭＳ Ｐ明朝"/>
        <family val="1"/>
        <charset val="128"/>
      </rPr>
      <t>区分</t>
    </r>
  </si>
  <si>
    <r>
      <rPr>
        <sz val="10.5"/>
        <color rgb="FF000000"/>
        <rFont val="ＭＳ Ｐ明朝"/>
        <family val="1"/>
        <charset val="128"/>
      </rPr>
      <t>点数</t>
    </r>
  </si>
  <si>
    <r>
      <rPr>
        <sz val="10"/>
        <color theme="1"/>
        <rFont val="ＭＳ Ｐ明朝"/>
        <family val="1"/>
        <charset val="128"/>
      </rPr>
      <t>調査項目</t>
    </r>
  </si>
  <si>
    <r>
      <rPr>
        <sz val="10"/>
        <color theme="1"/>
        <rFont val="ＭＳ Ｐ明朝"/>
        <family val="1"/>
        <charset val="128"/>
      </rPr>
      <t>区　</t>
    </r>
    <r>
      <rPr>
        <sz val="10"/>
        <color theme="1"/>
        <rFont val="Century"/>
        <family val="1"/>
      </rPr>
      <t xml:space="preserve"> </t>
    </r>
    <r>
      <rPr>
        <sz val="10"/>
        <color theme="1"/>
        <rFont val="ＭＳ Ｐ明朝"/>
        <family val="1"/>
        <charset val="128"/>
      </rPr>
      <t>分</t>
    </r>
    <phoneticPr fontId="1"/>
  </si>
  <si>
    <r>
      <rPr>
        <sz val="10"/>
        <color theme="1"/>
        <rFont val="ＭＳ Ｐ明朝"/>
        <family val="1"/>
        <charset val="128"/>
      </rPr>
      <t>点数</t>
    </r>
  </si>
  <si>
    <r>
      <rPr>
        <sz val="10.5"/>
        <color theme="1"/>
        <rFont val="ＭＳ Ｐ明朝"/>
        <family val="1"/>
        <charset val="128"/>
      </rPr>
      <t>調　査　項　目</t>
    </r>
    <rPh sb="0" eb="1">
      <t>チョウ</t>
    </rPh>
    <rPh sb="2" eb="3">
      <t>サ</t>
    </rPh>
    <rPh sb="4" eb="5">
      <t>コウ</t>
    </rPh>
    <rPh sb="6" eb="7">
      <t>メ</t>
    </rPh>
    <phoneticPr fontId="1"/>
  </si>
  <si>
    <r>
      <rPr>
        <sz val="10.5"/>
        <color theme="1"/>
        <rFont val="ＭＳ Ｐ明朝"/>
        <family val="1"/>
        <charset val="128"/>
      </rPr>
      <t>区　　分</t>
    </r>
    <rPh sb="0" eb="1">
      <t>ク</t>
    </rPh>
    <rPh sb="3" eb="4">
      <t>ブン</t>
    </rPh>
    <phoneticPr fontId="1"/>
  </si>
  <si>
    <r>
      <rPr>
        <sz val="10.5"/>
        <color theme="1"/>
        <rFont val="ＭＳ Ｐ明朝"/>
        <family val="1"/>
        <charset val="128"/>
      </rPr>
      <t>点数</t>
    </r>
  </si>
  <si>
    <t>第１類</t>
  </si>
  <si>
    <t>第２類</t>
  </si>
  <si>
    <t>第３類</t>
  </si>
  <si>
    <t>第４類</t>
  </si>
  <si>
    <t>第５類</t>
  </si>
  <si>
    <t xml:space="preserve">第６類 </t>
  </si>
  <si>
    <r>
      <t>5km</t>
    </r>
    <r>
      <rPr>
        <sz val="10.5"/>
        <color rgb="FF000000"/>
        <rFont val="ＭＳ Ｐ明朝"/>
        <family val="1"/>
        <charset val="128"/>
      </rPr>
      <t>未満</t>
    </r>
  </si>
  <si>
    <r>
      <t xml:space="preserve"> </t>
    </r>
    <r>
      <rPr>
        <sz val="10"/>
        <color theme="1"/>
        <rFont val="ＭＳ Ｐ明朝"/>
        <family val="1"/>
        <charset val="128"/>
      </rPr>
      <t>剥　離　型</t>
    </r>
    <phoneticPr fontId="1"/>
  </si>
  <si>
    <r>
      <rPr>
        <sz val="10"/>
        <color theme="1"/>
        <rFont val="ＭＳ Ｐ明朝"/>
        <family val="1"/>
        <charset val="128"/>
      </rPr>
      <t>転</t>
    </r>
    <r>
      <rPr>
        <sz val="10"/>
        <color theme="1"/>
        <rFont val="Century"/>
        <family val="1"/>
      </rPr>
      <t xml:space="preserve"> </t>
    </r>
    <r>
      <rPr>
        <sz val="10"/>
        <color theme="1"/>
        <rFont val="ＭＳ Ｐ明朝"/>
        <family val="1"/>
        <charset val="128"/>
      </rPr>
      <t>石</t>
    </r>
    <r>
      <rPr>
        <sz val="10"/>
        <color theme="1"/>
        <rFont val="Century"/>
        <family val="1"/>
      </rPr>
      <t xml:space="preserve"> </t>
    </r>
    <r>
      <rPr>
        <sz val="10"/>
        <color theme="1"/>
        <rFont val="ＭＳ Ｐ明朝"/>
        <family val="1"/>
        <charset val="128"/>
      </rPr>
      <t>型</t>
    </r>
    <phoneticPr fontId="1"/>
  </si>
  <si>
    <r>
      <rPr>
        <sz val="10.5"/>
        <color theme="1"/>
        <rFont val="ＭＳ Ｐ明朝"/>
        <family val="1"/>
        <charset val="128"/>
      </rPr>
      <t>荒廃発生源の崩壊（地すべり）
危険度</t>
    </r>
    <phoneticPr fontId="1"/>
  </si>
  <si>
    <r>
      <rPr>
        <sz val="10.5"/>
        <color theme="1"/>
        <rFont val="ＭＳ Ｐ明朝"/>
        <family val="1"/>
        <charset val="128"/>
      </rPr>
      <t>ａ１</t>
    </r>
  </si>
  <si>
    <r>
      <t>0</t>
    </r>
    <r>
      <rPr>
        <sz val="10"/>
        <color rgb="FF000000"/>
        <rFont val="ＭＳ 明朝"/>
        <family val="1"/>
        <charset val="128"/>
      </rPr>
      <t>～</t>
    </r>
    <r>
      <rPr>
        <sz val="10"/>
        <color rgb="FF000000"/>
        <rFont val="Century"/>
        <family val="1"/>
      </rPr>
      <t>30(3</t>
    </r>
    <r>
      <rPr>
        <sz val="10"/>
        <color rgb="FF000000"/>
        <rFont val="ＭＳ 明朝"/>
        <family val="1"/>
        <charset val="128"/>
      </rPr>
      <t>以下</t>
    </r>
    <r>
      <rPr>
        <sz val="10"/>
        <color rgb="FF000000"/>
        <rFont val="Century"/>
        <family val="1"/>
      </rPr>
      <t xml:space="preserve">) </t>
    </r>
  </si>
  <si>
    <r>
      <rPr>
        <sz val="10.5"/>
        <color rgb="FF000000"/>
        <rFont val="ＭＳ Ｐ明朝"/>
        <family val="1"/>
        <charset val="128"/>
      </rPr>
      <t>震央又は活断層からの距離</t>
    </r>
  </si>
  <si>
    <t>km</t>
  </si>
  <si>
    <r>
      <t>5km</t>
    </r>
    <r>
      <rPr>
        <sz val="10.5"/>
        <color rgb="FF000000"/>
        <rFont val="ＭＳ Ｐ明朝"/>
        <family val="1"/>
        <charset val="128"/>
      </rPr>
      <t>以上</t>
    </r>
    <r>
      <rPr>
        <sz val="10.5"/>
        <color rgb="FF000000"/>
        <rFont val="Century"/>
        <family val="1"/>
      </rPr>
      <t xml:space="preserve"> 10km</t>
    </r>
    <r>
      <rPr>
        <sz val="10.5"/>
        <color rgb="FF000000"/>
        <rFont val="ＭＳ Ｐ明朝"/>
        <family val="1"/>
        <charset val="128"/>
      </rPr>
      <t>未満</t>
    </r>
  </si>
  <si>
    <r>
      <rPr>
        <sz val="10"/>
        <color theme="1"/>
        <rFont val="ＭＳ Ｐ明朝"/>
        <family val="1"/>
        <charset val="128"/>
      </rPr>
      <t xml:space="preserve">発生源の傾斜角
</t>
    </r>
    <r>
      <rPr>
        <sz val="10"/>
        <color theme="1"/>
        <rFont val="Century"/>
        <family val="1"/>
      </rPr>
      <t xml:space="preserve"> (</t>
    </r>
    <r>
      <rPr>
        <sz val="10"/>
        <color theme="1"/>
        <rFont val="ＭＳ Ｐ明朝"/>
        <family val="1"/>
        <charset val="128"/>
      </rPr>
      <t>等高線本数</t>
    </r>
    <r>
      <rPr>
        <sz val="10"/>
        <color theme="1"/>
        <rFont val="Century"/>
        <family val="1"/>
      </rPr>
      <t>)</t>
    </r>
    <phoneticPr fontId="1"/>
  </si>
  <si>
    <r>
      <rPr>
        <sz val="10"/>
        <color theme="1"/>
        <rFont val="ＭＳ Ｐ明朝"/>
        <family val="1"/>
        <charset val="128"/>
      </rPr>
      <t>６０度以上</t>
    </r>
    <r>
      <rPr>
        <sz val="10"/>
        <color theme="1"/>
        <rFont val="Century"/>
        <family val="1"/>
      </rPr>
      <t xml:space="preserve"> </t>
    </r>
    <r>
      <rPr>
        <sz val="10"/>
        <color theme="1"/>
        <rFont val="ＭＳ Ｐ明朝"/>
        <family val="1"/>
        <charset val="128"/>
      </rPr>
      <t>（１７本以上）</t>
    </r>
    <phoneticPr fontId="1"/>
  </si>
  <si>
    <r>
      <rPr>
        <sz val="10.5"/>
        <color theme="1"/>
        <rFont val="ＭＳ Ｐ明朝"/>
        <family val="1"/>
        <charset val="128"/>
      </rPr>
      <t>ｂ１</t>
    </r>
  </si>
  <si>
    <t>傾斜</t>
  </si>
  <si>
    <r>
      <t>31</t>
    </r>
    <r>
      <rPr>
        <sz val="10"/>
        <color rgb="FF000000"/>
        <rFont val="ＭＳ 明朝"/>
        <family val="1"/>
        <charset val="128"/>
      </rPr>
      <t>～</t>
    </r>
    <r>
      <rPr>
        <sz val="10"/>
        <color rgb="FF000000"/>
        <rFont val="Century"/>
        <family val="1"/>
      </rPr>
      <t>50(4</t>
    </r>
    <r>
      <rPr>
        <sz val="10"/>
        <color rgb="FF000000"/>
        <rFont val="ＭＳ 明朝"/>
        <family val="1"/>
        <charset val="128"/>
      </rPr>
      <t>～</t>
    </r>
    <r>
      <rPr>
        <sz val="10"/>
        <color rgb="FF000000"/>
        <rFont val="Century"/>
        <family val="1"/>
      </rPr>
      <t xml:space="preserve">5) </t>
    </r>
  </si>
  <si>
    <r>
      <t>10km</t>
    </r>
    <r>
      <rPr>
        <sz val="10.5"/>
        <color rgb="FF000000"/>
        <rFont val="ＭＳ Ｐ明朝"/>
        <family val="1"/>
        <charset val="128"/>
      </rPr>
      <t>以上</t>
    </r>
  </si>
  <si>
    <r>
      <rPr>
        <sz val="10"/>
        <color theme="1"/>
        <rFont val="ＭＳ Ｐ明朝"/>
        <family val="1"/>
        <charset val="128"/>
      </rPr>
      <t>６０度未満</t>
    </r>
    <r>
      <rPr>
        <sz val="10"/>
        <color theme="1"/>
        <rFont val="Century"/>
        <family val="1"/>
      </rPr>
      <t xml:space="preserve"> </t>
    </r>
    <r>
      <rPr>
        <sz val="10"/>
        <color theme="1"/>
        <rFont val="ＭＳ Ｐ明朝"/>
        <family val="1"/>
        <charset val="128"/>
      </rPr>
      <t>（１７本未満）</t>
    </r>
    <phoneticPr fontId="1"/>
  </si>
  <si>
    <r>
      <rPr>
        <sz val="10.5"/>
        <color theme="1"/>
        <rFont val="ＭＳ Ｐ明朝"/>
        <family val="1"/>
        <charset val="128"/>
      </rPr>
      <t>ｃ１</t>
    </r>
  </si>
  <si>
    <t>(等高線</t>
  </si>
  <si>
    <t xml:space="preserve">(本) </t>
  </si>
  <si>
    <r>
      <t>51</t>
    </r>
    <r>
      <rPr>
        <sz val="10"/>
        <color rgb="FF000000"/>
        <rFont val="ＭＳ 明朝"/>
        <family val="1"/>
        <charset val="128"/>
      </rPr>
      <t>～</t>
    </r>
    <r>
      <rPr>
        <sz val="10"/>
        <color rgb="FF000000"/>
        <rFont val="Century"/>
        <family val="1"/>
      </rPr>
      <t>70(6</t>
    </r>
    <r>
      <rPr>
        <sz val="10"/>
        <color rgb="FF000000"/>
        <rFont val="ＭＳ 明朝"/>
        <family val="1"/>
        <charset val="128"/>
      </rPr>
      <t>～</t>
    </r>
    <r>
      <rPr>
        <sz val="10"/>
        <color rgb="FF000000"/>
        <rFont val="Century"/>
        <family val="1"/>
      </rPr>
      <t xml:space="preserve">7) </t>
    </r>
  </si>
  <si>
    <r>
      <t>0</t>
    </r>
    <r>
      <rPr>
        <sz val="10.5"/>
        <color rgb="FF000000"/>
        <rFont val="ＭＳ Ｐ明朝"/>
        <family val="1"/>
        <charset val="128"/>
      </rPr>
      <t>～</t>
    </r>
    <r>
      <rPr>
        <sz val="10.5"/>
        <color rgb="FF000000"/>
        <rFont val="Century"/>
        <family val="1"/>
      </rPr>
      <t>40(0</t>
    </r>
    <r>
      <rPr>
        <sz val="10.5"/>
        <color rgb="FF000000"/>
        <rFont val="ＭＳ Ｐ明朝"/>
        <family val="1"/>
        <charset val="128"/>
      </rPr>
      <t>～</t>
    </r>
    <r>
      <rPr>
        <sz val="10.5"/>
        <color rgb="FF000000"/>
        <rFont val="Century"/>
        <family val="1"/>
      </rPr>
      <t>4</t>
    </r>
  </si>
  <si>
    <r>
      <rPr>
        <sz val="10"/>
        <color theme="1"/>
        <rFont val="ＭＳ Ｐ明朝"/>
        <family val="1"/>
        <charset val="128"/>
      </rPr>
      <t>落下の高さ</t>
    </r>
  </si>
  <si>
    <r>
      <rPr>
        <sz val="10"/>
        <color theme="1"/>
        <rFont val="ＭＳ Ｐ明朝"/>
        <family val="1"/>
        <charset val="128"/>
      </rPr>
      <t>４０メートル以上</t>
    </r>
  </si>
  <si>
    <r>
      <rPr>
        <sz val="10.5"/>
        <color theme="1"/>
        <rFont val="ＭＳ Ｐ明朝"/>
        <family val="1"/>
        <charset val="128"/>
      </rPr>
      <t>ｄ１</t>
    </r>
    <phoneticPr fontId="1"/>
  </si>
  <si>
    <t>本数)</t>
  </si>
  <si>
    <r>
      <t>71</t>
    </r>
    <r>
      <rPr>
        <sz val="10"/>
        <color rgb="FF000000"/>
        <rFont val="ＭＳ 明朝"/>
        <family val="1"/>
        <charset val="128"/>
      </rPr>
      <t>～</t>
    </r>
    <r>
      <rPr>
        <sz val="10"/>
        <color rgb="FF000000"/>
        <rFont val="Century"/>
        <family val="1"/>
      </rPr>
      <t>90(8</t>
    </r>
    <r>
      <rPr>
        <sz val="10"/>
        <color rgb="FF000000"/>
        <rFont val="ＭＳ 明朝"/>
        <family val="1"/>
        <charset val="128"/>
      </rPr>
      <t>～</t>
    </r>
    <r>
      <rPr>
        <sz val="10"/>
        <color rgb="FF000000"/>
        <rFont val="Century"/>
        <family val="1"/>
      </rPr>
      <t xml:space="preserve">9) </t>
    </r>
  </si>
  <si>
    <r>
      <rPr>
        <sz val="10.5"/>
        <color rgb="FF000000"/>
        <rFont val="ＭＳ Ｐ明朝"/>
        <family val="1"/>
        <charset val="128"/>
      </rPr>
      <t>斜面傾斜</t>
    </r>
  </si>
  <si>
    <r>
      <rPr>
        <sz val="10.5"/>
        <color rgb="FF000000"/>
        <rFont val="ＭＳ Ｐ明朝"/>
        <family val="1"/>
        <charset val="128"/>
      </rPr>
      <t>％</t>
    </r>
  </si>
  <si>
    <r>
      <t>41</t>
    </r>
    <r>
      <rPr>
        <sz val="10.5"/>
        <color rgb="FF000000"/>
        <rFont val="ＭＳ Ｐ明朝"/>
        <family val="1"/>
        <charset val="128"/>
      </rPr>
      <t>～</t>
    </r>
    <r>
      <rPr>
        <sz val="10.5"/>
        <color rgb="FF000000"/>
        <rFont val="Century"/>
        <family val="1"/>
      </rPr>
      <t>60(5</t>
    </r>
    <r>
      <rPr>
        <sz val="10.5"/>
        <color rgb="FF000000"/>
        <rFont val="ＭＳ Ｐ明朝"/>
        <family val="1"/>
        <charset val="128"/>
      </rPr>
      <t>～</t>
    </r>
    <r>
      <rPr>
        <sz val="10.5"/>
        <color rgb="FF000000"/>
        <rFont val="Century"/>
        <family val="1"/>
      </rPr>
      <t>6)</t>
    </r>
  </si>
  <si>
    <r>
      <rPr>
        <sz val="10"/>
        <color theme="1"/>
        <rFont val="ＭＳ Ｐ明朝"/>
        <family val="1"/>
        <charset val="128"/>
      </rPr>
      <t>４０メートル未満</t>
    </r>
  </si>
  <si>
    <r>
      <rPr>
        <sz val="10.5"/>
        <color theme="1"/>
        <rFont val="ＭＳ Ｐ明朝"/>
        <family val="1"/>
        <charset val="128"/>
      </rPr>
      <t>転石の混入割合</t>
    </r>
  </si>
  <si>
    <r>
      <rPr>
        <sz val="10.5"/>
        <color theme="1"/>
        <rFont val="ＭＳ Ｐ明朝"/>
        <family val="1"/>
        <charset val="128"/>
      </rPr>
      <t>１０％未満</t>
    </r>
  </si>
  <si>
    <r>
      <t>91</t>
    </r>
    <r>
      <rPr>
        <sz val="10"/>
        <color rgb="FF000000"/>
        <rFont val="ＭＳ 明朝"/>
        <family val="1"/>
        <charset val="128"/>
      </rPr>
      <t>～</t>
    </r>
    <r>
      <rPr>
        <sz val="10"/>
        <color rgb="FF000000"/>
        <rFont val="Century"/>
        <family val="1"/>
      </rPr>
      <t>(10</t>
    </r>
    <r>
      <rPr>
        <sz val="10"/>
        <color rgb="FF000000"/>
        <rFont val="ＭＳ 明朝"/>
        <family val="1"/>
        <charset val="128"/>
      </rPr>
      <t>以上</t>
    </r>
    <r>
      <rPr>
        <sz val="10"/>
        <color rgb="FF000000"/>
        <rFont val="Century"/>
        <family val="1"/>
      </rPr>
      <t xml:space="preserve">) </t>
    </r>
  </si>
  <si>
    <r>
      <rPr>
        <sz val="10.5"/>
        <color rgb="FF000000"/>
        <rFont val="ＭＳ Ｐ明朝"/>
        <family val="1"/>
        <charset val="128"/>
      </rPr>
      <t>（等高線本数）</t>
    </r>
  </si>
  <si>
    <r>
      <t>(</t>
    </r>
    <r>
      <rPr>
        <sz val="10.5"/>
        <color rgb="FF000000"/>
        <rFont val="ＭＳ Ｐ明朝"/>
        <family val="1"/>
        <charset val="128"/>
      </rPr>
      <t>本</t>
    </r>
    <r>
      <rPr>
        <sz val="10.5"/>
        <color rgb="FF000000"/>
        <rFont val="Century"/>
        <family val="1"/>
      </rPr>
      <t>)</t>
    </r>
  </si>
  <si>
    <r>
      <t>61</t>
    </r>
    <r>
      <rPr>
        <sz val="10.5"/>
        <color rgb="FF000000"/>
        <rFont val="ＭＳ Ｐ明朝"/>
        <family val="1"/>
        <charset val="128"/>
      </rPr>
      <t>～</t>
    </r>
    <r>
      <rPr>
        <sz val="10.5"/>
        <color rgb="FF000000"/>
        <rFont val="Century"/>
        <family val="1"/>
      </rPr>
      <t>80(7</t>
    </r>
    <r>
      <rPr>
        <sz val="10.5"/>
        <color rgb="FF000000"/>
        <rFont val="ＭＳ Ｐ明朝"/>
        <family val="1"/>
        <charset val="128"/>
      </rPr>
      <t>～</t>
    </r>
    <r>
      <rPr>
        <sz val="10.5"/>
        <color rgb="FF000000"/>
        <rFont val="Century"/>
        <family val="1"/>
      </rPr>
      <t>8)</t>
    </r>
  </si>
  <si>
    <r>
      <rPr>
        <sz val="10"/>
        <color theme="1"/>
        <rFont val="ＭＳ Ｐ明朝"/>
        <family val="1"/>
        <charset val="128"/>
      </rPr>
      <t>容易に岩目から欠ける。</t>
    </r>
    <phoneticPr fontId="1"/>
  </si>
  <si>
    <r>
      <rPr>
        <sz val="10"/>
        <color theme="1"/>
        <rFont val="ＭＳ Ｐ明朝"/>
        <family val="1"/>
        <charset val="128"/>
      </rPr>
      <t>落石の頻度大。</t>
    </r>
    <phoneticPr fontId="1"/>
  </si>
  <si>
    <r>
      <rPr>
        <sz val="10.5"/>
        <color theme="1"/>
        <rFont val="ＭＳ Ｐ明朝"/>
        <family val="1"/>
        <charset val="128"/>
      </rPr>
      <t>１０％以上２０％未満</t>
    </r>
  </si>
  <si>
    <t xml:space="preserve">凹形 </t>
  </si>
  <si>
    <r>
      <t>81</t>
    </r>
    <r>
      <rPr>
        <sz val="10.5"/>
        <color rgb="FF000000"/>
        <rFont val="ＭＳ Ｐ明朝"/>
        <family val="1"/>
        <charset val="128"/>
      </rPr>
      <t>以上</t>
    </r>
    <r>
      <rPr>
        <sz val="10.5"/>
        <color rgb="FF000000"/>
        <rFont val="Century"/>
        <family val="1"/>
      </rPr>
      <t>(9</t>
    </r>
    <r>
      <rPr>
        <sz val="10.5"/>
        <color rgb="FF000000"/>
        <rFont val="ＭＳ Ｐ明朝"/>
        <family val="1"/>
        <charset val="128"/>
      </rPr>
      <t>以上</t>
    </r>
    <r>
      <rPr>
        <sz val="10.5"/>
        <color rgb="FF000000"/>
        <rFont val="Century"/>
        <family val="1"/>
      </rPr>
      <t>)</t>
    </r>
  </si>
  <si>
    <r>
      <rPr>
        <sz val="10"/>
        <color theme="1"/>
        <rFont val="ＭＳ Ｐ明朝"/>
        <family val="1"/>
        <charset val="128"/>
      </rPr>
      <t>岩石等の</t>
    </r>
    <phoneticPr fontId="1"/>
  </si>
  <si>
    <r>
      <rPr>
        <sz val="10"/>
        <color theme="1"/>
        <rFont val="ＭＳ Ｐ明朝"/>
        <family val="1"/>
        <charset val="128"/>
      </rPr>
      <t>下方に落下しているものが多い。</t>
    </r>
    <phoneticPr fontId="1"/>
  </si>
  <si>
    <r>
      <rPr>
        <sz val="10"/>
        <color theme="1"/>
        <rFont val="ＭＳ Ｐ明朝"/>
        <family val="1"/>
        <charset val="128"/>
      </rPr>
      <t>地上から浮き上がっている。</t>
    </r>
    <phoneticPr fontId="1"/>
  </si>
  <si>
    <r>
      <rPr>
        <sz val="10.5"/>
        <color theme="1"/>
        <rFont val="ＭＳ Ｐ明朝"/>
        <family val="1"/>
        <charset val="128"/>
      </rPr>
      <t>２０％以上３０％未満</t>
    </r>
  </si>
  <si>
    <t xml:space="preserve">縦断面形 </t>
  </si>
  <si>
    <t xml:space="preserve">平滑 </t>
  </si>
  <si>
    <r>
      <t>0</t>
    </r>
    <r>
      <rPr>
        <sz val="10.5"/>
        <color rgb="FF000000"/>
        <rFont val="ＭＳ Ｐ明朝"/>
        <family val="1"/>
        <charset val="128"/>
      </rPr>
      <t>～</t>
    </r>
    <r>
      <rPr>
        <sz val="10.5"/>
        <color rgb="FF000000"/>
        <rFont val="Century"/>
        <family val="1"/>
      </rPr>
      <t>150</t>
    </r>
  </si>
  <si>
    <r>
      <rPr>
        <sz val="10"/>
        <color theme="1"/>
        <rFont val="ＭＳ Ｐ明朝"/>
        <family val="1"/>
        <charset val="128"/>
      </rPr>
      <t>安定状況</t>
    </r>
    <phoneticPr fontId="1"/>
  </si>
  <si>
    <r>
      <rPr>
        <sz val="10"/>
        <color theme="1"/>
        <rFont val="ＭＳ Ｐ明朝"/>
        <family val="1"/>
        <charset val="128"/>
      </rPr>
      <t>叩くと動揺する。</t>
    </r>
    <phoneticPr fontId="1"/>
  </si>
  <si>
    <r>
      <rPr>
        <sz val="10.5"/>
        <color theme="1"/>
        <rFont val="ＭＳ Ｐ明朝"/>
        <family val="1"/>
        <charset val="128"/>
      </rPr>
      <t>３０％以上</t>
    </r>
  </si>
  <si>
    <t xml:space="preserve">複合 </t>
  </si>
  <si>
    <r>
      <rPr>
        <sz val="10.5"/>
        <color rgb="FF000000"/>
        <rFont val="ＭＳ Ｐ明朝"/>
        <family val="1"/>
        <charset val="128"/>
      </rPr>
      <t>斜面横断面形</t>
    </r>
  </si>
  <si>
    <r>
      <rPr>
        <sz val="10.5"/>
        <color rgb="FF000000"/>
        <rFont val="ＭＳ Ｐ明朝"/>
        <family val="1"/>
        <charset val="128"/>
      </rPr>
      <t>度</t>
    </r>
  </si>
  <si>
    <r>
      <t>151</t>
    </r>
    <r>
      <rPr>
        <sz val="10.5"/>
        <color rgb="FF000000"/>
        <rFont val="ＭＳ Ｐ明朝"/>
        <family val="1"/>
        <charset val="128"/>
      </rPr>
      <t>～</t>
    </r>
    <r>
      <rPr>
        <sz val="10.5"/>
        <color rgb="FF000000"/>
        <rFont val="Century"/>
        <family val="1"/>
      </rPr>
      <t>270</t>
    </r>
  </si>
  <si>
    <r>
      <rPr>
        <sz val="10"/>
        <color theme="1"/>
        <rFont val="ＭＳ Ｐ明朝"/>
        <family val="1"/>
        <charset val="128"/>
      </rPr>
      <t>上記以外</t>
    </r>
  </si>
  <si>
    <r>
      <rPr>
        <sz val="10.5"/>
        <color theme="1"/>
        <rFont val="ＭＳ Ｐ明朝"/>
        <family val="1"/>
        <charset val="128"/>
      </rPr>
      <t>荒廃発生源直下の渓床勾配</t>
    </r>
  </si>
  <si>
    <r>
      <rPr>
        <sz val="10.5"/>
        <color theme="1"/>
        <rFont val="ＭＳ Ｐ明朝"/>
        <family val="1"/>
        <charset val="128"/>
      </rPr>
      <t>９</t>
    </r>
    <r>
      <rPr>
        <sz val="10.5"/>
        <color theme="1"/>
        <rFont val="Century"/>
        <family val="1"/>
      </rPr>
      <t>°</t>
    </r>
    <r>
      <rPr>
        <sz val="10.5"/>
        <color theme="1"/>
        <rFont val="ＭＳ Ｐ明朝"/>
        <family val="1"/>
        <charset val="128"/>
      </rPr>
      <t>未満</t>
    </r>
  </si>
  <si>
    <t xml:space="preserve">凸形 </t>
  </si>
  <si>
    <r>
      <t>271</t>
    </r>
    <r>
      <rPr>
        <sz val="10.5"/>
        <color rgb="FF000000"/>
        <rFont val="ＭＳ Ｐ明朝"/>
        <family val="1"/>
        <charset val="128"/>
      </rPr>
      <t>以上</t>
    </r>
  </si>
  <si>
    <r>
      <rPr>
        <sz val="10"/>
        <color theme="1"/>
        <rFont val="ＭＳ Ｐ明朝"/>
        <family val="1"/>
        <charset val="128"/>
      </rPr>
      <t>落下斜面の
植生状況</t>
    </r>
    <phoneticPr fontId="1"/>
  </si>
  <si>
    <r>
      <rPr>
        <sz val="10"/>
        <color theme="1"/>
        <rFont val="ＭＳ Ｐ明朝"/>
        <family val="1"/>
        <charset val="128"/>
      </rPr>
      <t>無立木地、崩壊地、幼齢林、草生地、老齢疎林</t>
    </r>
  </si>
  <si>
    <r>
      <rPr>
        <sz val="10.5"/>
        <color theme="1"/>
        <rFont val="ＭＳ Ｐ明朝"/>
        <family val="1"/>
        <charset val="128"/>
      </rPr>
      <t>９</t>
    </r>
    <r>
      <rPr>
        <sz val="10.5"/>
        <color theme="1"/>
        <rFont val="Century"/>
        <family val="1"/>
      </rPr>
      <t>°</t>
    </r>
    <r>
      <rPr>
        <sz val="10.5"/>
        <color theme="1"/>
        <rFont val="ＭＳ Ｐ明朝"/>
        <family val="1"/>
        <charset val="128"/>
      </rPr>
      <t>以上１４</t>
    </r>
    <r>
      <rPr>
        <sz val="10.5"/>
        <color theme="1"/>
        <rFont val="Century"/>
        <family val="1"/>
      </rPr>
      <t xml:space="preserve"> °</t>
    </r>
    <r>
      <rPr>
        <sz val="10.5"/>
        <color theme="1"/>
        <rFont val="ＭＳ Ｐ明朝"/>
        <family val="1"/>
        <charset val="128"/>
      </rPr>
      <t>未満</t>
    </r>
  </si>
  <si>
    <r>
      <t>～</t>
    </r>
    <r>
      <rPr>
        <sz val="10"/>
        <color rgb="FF000000"/>
        <rFont val="Century"/>
        <family val="1"/>
      </rPr>
      <t xml:space="preserve">150 </t>
    </r>
  </si>
  <si>
    <r>
      <t>0</t>
    </r>
    <r>
      <rPr>
        <sz val="10.5"/>
        <color rgb="FF000000"/>
        <rFont val="ＭＳ Ｐ明朝"/>
        <family val="1"/>
        <charset val="128"/>
      </rPr>
      <t>～</t>
    </r>
    <r>
      <rPr>
        <sz val="10.5"/>
        <color rgb="FF000000"/>
        <rFont val="Century"/>
        <family val="1"/>
      </rPr>
      <t>100</t>
    </r>
  </si>
  <si>
    <r>
      <rPr>
        <sz val="10.5"/>
        <color theme="1"/>
        <rFont val="ＭＳ Ｐ明朝"/>
        <family val="1"/>
        <charset val="128"/>
      </rPr>
      <t>１４</t>
    </r>
    <r>
      <rPr>
        <sz val="10.5"/>
        <color theme="1"/>
        <rFont val="Century"/>
        <family val="1"/>
      </rPr>
      <t>°</t>
    </r>
    <r>
      <rPr>
        <sz val="10.5"/>
        <color theme="1"/>
        <rFont val="ＭＳ Ｐ明朝"/>
        <family val="1"/>
        <charset val="128"/>
      </rPr>
      <t>以上１９</t>
    </r>
    <r>
      <rPr>
        <sz val="10.5"/>
        <color theme="1"/>
        <rFont val="Century"/>
        <family val="1"/>
      </rPr>
      <t xml:space="preserve"> °</t>
    </r>
    <r>
      <rPr>
        <sz val="10.5"/>
        <color theme="1"/>
        <rFont val="ＭＳ Ｐ明朝"/>
        <family val="1"/>
        <charset val="128"/>
      </rPr>
      <t>未満</t>
    </r>
  </si>
  <si>
    <t xml:space="preserve">横断面形 </t>
  </si>
  <si>
    <t>度</t>
  </si>
  <si>
    <r>
      <t>151</t>
    </r>
    <r>
      <rPr>
        <sz val="10"/>
        <color rgb="FF000000"/>
        <rFont val="ＭＳ 明朝"/>
        <family val="1"/>
        <charset val="128"/>
      </rPr>
      <t>～</t>
    </r>
    <r>
      <rPr>
        <sz val="10"/>
        <color rgb="FF000000"/>
        <rFont val="Century"/>
        <family val="1"/>
      </rPr>
      <t xml:space="preserve">210 </t>
    </r>
  </si>
  <si>
    <r>
      <rPr>
        <sz val="10.5"/>
        <color rgb="FF000000"/>
        <rFont val="ＭＳ Ｐ明朝"/>
        <family val="1"/>
        <charset val="128"/>
      </rPr>
      <t>斜面長</t>
    </r>
  </si>
  <si>
    <r>
      <rPr>
        <sz val="10.5"/>
        <color rgb="FF000000"/>
        <rFont val="ＭＳ Ｐ明朝"/>
        <family val="1"/>
        <charset val="128"/>
      </rPr>
      <t>ｍ</t>
    </r>
  </si>
  <si>
    <r>
      <t>101</t>
    </r>
    <r>
      <rPr>
        <sz val="10.5"/>
        <color rgb="FF000000"/>
        <rFont val="ＭＳ Ｐ明朝"/>
        <family val="1"/>
        <charset val="128"/>
      </rPr>
      <t>～</t>
    </r>
    <r>
      <rPr>
        <sz val="10.5"/>
        <color rgb="FF000000"/>
        <rFont val="Century"/>
        <family val="1"/>
      </rPr>
      <t>200</t>
    </r>
  </si>
  <si>
    <r>
      <rPr>
        <sz val="10"/>
        <color theme="1"/>
        <rFont val="ＭＳ Ｐ明朝"/>
        <family val="1"/>
        <charset val="128"/>
      </rPr>
      <t>Ａ</t>
    </r>
  </si>
  <si>
    <r>
      <rPr>
        <sz val="10.5"/>
        <color theme="1"/>
        <rFont val="ＭＳ Ｐ明朝"/>
        <family val="1"/>
        <charset val="128"/>
      </rPr>
      <t>１９</t>
    </r>
    <r>
      <rPr>
        <sz val="10.5"/>
        <color theme="1"/>
        <rFont val="Century"/>
        <family val="1"/>
      </rPr>
      <t>°</t>
    </r>
    <r>
      <rPr>
        <sz val="10.5"/>
        <color theme="1"/>
        <rFont val="ＭＳ Ｐ明朝"/>
        <family val="1"/>
        <charset val="128"/>
      </rPr>
      <t>以上</t>
    </r>
  </si>
  <si>
    <r>
      <t>211</t>
    </r>
    <r>
      <rPr>
        <sz val="10"/>
        <color rgb="FF000000"/>
        <rFont val="ＭＳ 明朝"/>
        <family val="1"/>
        <charset val="128"/>
      </rPr>
      <t xml:space="preserve">～ </t>
    </r>
  </si>
  <si>
    <r>
      <t>201</t>
    </r>
    <r>
      <rPr>
        <sz val="10.5"/>
        <color rgb="FF000000"/>
        <rFont val="ＭＳ Ｐ明朝"/>
        <family val="1"/>
        <charset val="128"/>
      </rPr>
      <t>～</t>
    </r>
    <r>
      <rPr>
        <sz val="10.5"/>
        <color rgb="FF000000"/>
        <rFont val="Century"/>
        <family val="1"/>
      </rPr>
      <t>300</t>
    </r>
  </si>
  <si>
    <r>
      <rPr>
        <sz val="10"/>
        <color theme="1"/>
        <rFont val="ＭＳ Ｐ明朝"/>
        <family val="1"/>
        <charset val="128"/>
      </rPr>
      <t>地震の強さ</t>
    </r>
  </si>
  <si>
    <r>
      <rPr>
        <sz val="10"/>
        <color theme="1"/>
        <rFont val="ＭＳ Ｐ明朝"/>
        <family val="1"/>
        <charset val="128"/>
      </rPr>
      <t>地域別補正係数の地域区分表（表－７）から判定する</t>
    </r>
  </si>
  <si>
    <r>
      <t>B</t>
    </r>
    <r>
      <rPr>
        <sz val="10"/>
        <color theme="1"/>
        <rFont val="ＭＳ Ｐ明朝"/>
        <family val="1"/>
        <charset val="128"/>
      </rPr>
      <t>、</t>
    </r>
    <phoneticPr fontId="1"/>
  </si>
  <si>
    <r>
      <rPr>
        <sz val="10.5"/>
        <color theme="1"/>
        <rFont val="ＭＳ Ｐ明朝"/>
        <family val="1"/>
        <charset val="128"/>
      </rPr>
      <t>崩壊土砂流出区間の延長</t>
    </r>
  </si>
  <si>
    <r>
      <rPr>
        <sz val="10.5"/>
        <color theme="1"/>
        <rFont val="ＭＳ Ｐ明朝"/>
        <family val="1"/>
        <charset val="128"/>
      </rPr>
      <t>２００ｍ未満</t>
    </r>
  </si>
  <si>
    <r>
      <t>0.5m</t>
    </r>
    <r>
      <rPr>
        <sz val="10"/>
        <color rgb="FF000000"/>
        <rFont val="ＭＳ 明朝"/>
        <family val="1"/>
        <charset val="128"/>
      </rPr>
      <t xml:space="preserve">以下 </t>
    </r>
  </si>
  <si>
    <r>
      <t>301</t>
    </r>
    <r>
      <rPr>
        <sz val="10.5"/>
        <color rgb="FF000000"/>
        <rFont val="ＭＳ Ｐ明朝"/>
        <family val="1"/>
        <charset val="128"/>
      </rPr>
      <t>以上</t>
    </r>
  </si>
  <si>
    <r>
      <rPr>
        <sz val="10"/>
        <color theme="1"/>
        <rFont val="ＭＳ Ｐ明朝"/>
        <family val="1"/>
        <charset val="128"/>
      </rPr>
      <t>Ｃ</t>
    </r>
    <phoneticPr fontId="1"/>
  </si>
  <si>
    <r>
      <rPr>
        <sz val="10.5"/>
        <color theme="1"/>
        <rFont val="ＭＳ Ｐ明朝"/>
        <family val="1"/>
        <charset val="128"/>
      </rPr>
      <t>２００ｍ以上５００ｍ未満</t>
    </r>
  </si>
  <si>
    <t xml:space="preserve">土層深 </t>
  </si>
  <si>
    <t xml:space="preserve">ｍ </t>
  </si>
  <si>
    <r>
      <t>0</t>
    </r>
    <r>
      <rPr>
        <sz val="10.5"/>
        <color rgb="FF000000"/>
        <rFont val="ＭＳ Ｐ明朝"/>
        <family val="1"/>
        <charset val="128"/>
      </rPr>
      <t>～</t>
    </r>
    <r>
      <rPr>
        <sz val="10.5"/>
        <color rgb="FF000000"/>
        <rFont val="Century"/>
        <family val="1"/>
      </rPr>
      <t>30</t>
    </r>
  </si>
  <si>
    <r>
      <rPr>
        <sz val="10.5"/>
        <color theme="1"/>
        <rFont val="ＭＳ Ｐ明朝"/>
        <family val="1"/>
        <charset val="128"/>
      </rPr>
      <t>５００ｍ以上</t>
    </r>
  </si>
  <si>
    <r>
      <rPr>
        <sz val="10.5"/>
        <color rgb="FF000000"/>
        <rFont val="ＭＳ Ｐ明朝"/>
        <family val="1"/>
        <charset val="128"/>
      </rPr>
      <t>メッシュの斜面位置</t>
    </r>
  </si>
  <si>
    <r>
      <t>31</t>
    </r>
    <r>
      <rPr>
        <sz val="10.5"/>
        <color rgb="FF000000"/>
        <rFont val="ＭＳ Ｐ明朝"/>
        <family val="1"/>
        <charset val="128"/>
      </rPr>
      <t>～</t>
    </r>
    <r>
      <rPr>
        <sz val="10.5"/>
        <color rgb="FF000000"/>
        <rFont val="Century"/>
        <family val="1"/>
      </rPr>
      <t>50</t>
    </r>
  </si>
  <si>
    <r>
      <rPr>
        <sz val="10.5"/>
        <color theme="1"/>
        <rFont val="ＭＳ Ｐ明朝"/>
        <family val="1"/>
        <charset val="128"/>
      </rPr>
      <t>平均渓床勾配</t>
    </r>
  </si>
  <si>
    <r>
      <rPr>
        <sz val="10.5"/>
        <color theme="1"/>
        <rFont val="ＭＳ Ｐ明朝"/>
        <family val="1"/>
        <charset val="128"/>
      </rPr>
      <t>５</t>
    </r>
    <r>
      <rPr>
        <sz val="10.5"/>
        <color theme="1"/>
        <rFont val="Century"/>
        <family val="1"/>
      </rPr>
      <t>°</t>
    </r>
    <r>
      <rPr>
        <sz val="10.5"/>
        <color theme="1"/>
        <rFont val="ＭＳ Ｐ明朝"/>
        <family val="1"/>
        <charset val="128"/>
      </rPr>
      <t>未満</t>
    </r>
  </si>
  <si>
    <r>
      <t>51</t>
    </r>
    <r>
      <rPr>
        <sz val="10.5"/>
        <color rgb="FF000000"/>
        <rFont val="ＭＳ Ｐ明朝"/>
        <family val="1"/>
        <charset val="128"/>
      </rPr>
      <t>以上</t>
    </r>
  </si>
  <si>
    <r>
      <rPr>
        <sz val="10.5"/>
        <color theme="1"/>
        <rFont val="ＭＳ Ｐ明朝"/>
        <family val="1"/>
        <charset val="128"/>
      </rPr>
      <t>５</t>
    </r>
    <r>
      <rPr>
        <sz val="10.5"/>
        <color theme="1"/>
        <rFont val="Century"/>
        <family val="1"/>
      </rPr>
      <t>°</t>
    </r>
    <r>
      <rPr>
        <sz val="10.5"/>
        <color theme="1"/>
        <rFont val="ＭＳ Ｐ明朝"/>
        <family val="1"/>
        <charset val="128"/>
      </rPr>
      <t>以上８</t>
    </r>
    <r>
      <rPr>
        <sz val="10.5"/>
        <color theme="1"/>
        <rFont val="Century"/>
        <family val="1"/>
      </rPr>
      <t>°</t>
    </r>
    <r>
      <rPr>
        <sz val="10.5"/>
        <color theme="1"/>
        <rFont val="ＭＳ Ｐ明朝"/>
        <family val="1"/>
        <charset val="128"/>
      </rPr>
      <t>未満</t>
    </r>
  </si>
  <si>
    <r>
      <rPr>
        <sz val="10.5"/>
        <color rgb="FF000000"/>
        <rFont val="ＭＳ Ｐ明朝"/>
        <family val="1"/>
        <charset val="128"/>
      </rPr>
      <t>火山性</t>
    </r>
    <r>
      <rPr>
        <sz val="10.5"/>
        <color rgb="FF000000"/>
        <rFont val="Century"/>
        <family val="1"/>
      </rPr>
      <t>(</t>
    </r>
    <r>
      <rPr>
        <sz val="10.5"/>
        <color rgb="FF000000"/>
        <rFont val="ＭＳ Ｐ明朝"/>
        <family val="1"/>
        <charset val="128"/>
      </rPr>
      <t>噴出岩</t>
    </r>
    <r>
      <rPr>
        <sz val="10.5"/>
        <color rgb="FF000000"/>
        <rFont val="Century"/>
        <family val="1"/>
      </rPr>
      <t>)</t>
    </r>
    <r>
      <rPr>
        <sz val="10.5"/>
        <color rgb="FF000000"/>
        <rFont val="ＭＳ Ｐ明朝"/>
        <family val="1"/>
        <charset val="128"/>
      </rPr>
      <t>の地質</t>
    </r>
  </si>
  <si>
    <r>
      <rPr>
        <sz val="10.5"/>
        <color theme="1"/>
        <rFont val="ＭＳ Ｐ明朝"/>
        <family val="1"/>
        <charset val="128"/>
      </rPr>
      <t>８</t>
    </r>
    <r>
      <rPr>
        <sz val="10.5"/>
        <color theme="1"/>
        <rFont val="Century"/>
        <family val="1"/>
      </rPr>
      <t>°</t>
    </r>
    <r>
      <rPr>
        <sz val="10.5"/>
        <color theme="1"/>
        <rFont val="ＭＳ Ｐ明朝"/>
        <family val="1"/>
        <charset val="128"/>
      </rPr>
      <t>以上１１</t>
    </r>
    <r>
      <rPr>
        <sz val="10.5"/>
        <color theme="1"/>
        <rFont val="Century"/>
        <family val="1"/>
      </rPr>
      <t xml:space="preserve"> °</t>
    </r>
    <r>
      <rPr>
        <sz val="10.5"/>
        <color theme="1"/>
        <rFont val="ＭＳ Ｐ明朝"/>
        <family val="1"/>
        <charset val="128"/>
      </rPr>
      <t>未満</t>
    </r>
  </si>
  <si>
    <r>
      <rPr>
        <sz val="10.5"/>
        <color rgb="FF000000"/>
        <rFont val="ＭＳ Ｐ明朝"/>
        <family val="1"/>
        <charset val="128"/>
      </rPr>
      <t>オーバーハングが有る</t>
    </r>
  </si>
  <si>
    <r>
      <rPr>
        <sz val="10.5"/>
        <color theme="1"/>
        <rFont val="ＭＳ Ｐ明朝"/>
        <family val="1"/>
        <charset val="128"/>
      </rPr>
      <t>１１</t>
    </r>
    <r>
      <rPr>
        <sz val="10.5"/>
        <color theme="1"/>
        <rFont val="Century"/>
        <family val="1"/>
      </rPr>
      <t>°</t>
    </r>
    <r>
      <rPr>
        <sz val="10.5"/>
        <color theme="1"/>
        <rFont val="ＭＳ Ｐ明朝"/>
        <family val="1"/>
        <charset val="128"/>
      </rPr>
      <t>以上１６</t>
    </r>
    <r>
      <rPr>
        <sz val="10.5"/>
        <color theme="1"/>
        <rFont val="Century"/>
        <family val="1"/>
      </rPr>
      <t xml:space="preserve"> °</t>
    </r>
    <r>
      <rPr>
        <sz val="10.5"/>
        <color theme="1"/>
        <rFont val="ＭＳ Ｐ明朝"/>
        <family val="1"/>
        <charset val="128"/>
      </rPr>
      <t>未満</t>
    </r>
  </si>
  <si>
    <r>
      <rPr>
        <sz val="10.5"/>
        <color rgb="FF000000"/>
        <rFont val="ＭＳ Ｐ明朝"/>
        <family val="1"/>
        <charset val="128"/>
      </rPr>
      <t>表面に転石・浮石が多い</t>
    </r>
  </si>
  <si>
    <r>
      <rPr>
        <sz val="10.5"/>
        <color theme="1"/>
        <rFont val="ＭＳ Ｐ明朝"/>
        <family val="1"/>
        <charset val="128"/>
      </rPr>
      <t>１６</t>
    </r>
    <r>
      <rPr>
        <sz val="10.5"/>
        <color theme="1"/>
        <rFont val="Century"/>
        <family val="1"/>
      </rPr>
      <t>°</t>
    </r>
    <r>
      <rPr>
        <sz val="10.5"/>
        <color theme="1"/>
        <rFont val="ＭＳ Ｐ明朝"/>
        <family val="1"/>
        <charset val="128"/>
      </rPr>
      <t>以上</t>
    </r>
  </si>
  <si>
    <r>
      <rPr>
        <sz val="10.5"/>
        <color rgb="FF000000"/>
        <rFont val="ＭＳ Ｐ明朝"/>
        <family val="1"/>
        <charset val="128"/>
      </rPr>
      <t>斜面の状況</t>
    </r>
  </si>
  <si>
    <r>
      <rPr>
        <sz val="10.5"/>
        <color rgb="FF000000"/>
        <rFont val="ＭＳ Ｐ明朝"/>
        <family val="1"/>
        <charset val="128"/>
      </rPr>
      <t>風化・変質・亀裂が発達した岩</t>
    </r>
  </si>
  <si>
    <r>
      <rPr>
        <sz val="10.5"/>
        <color rgb="FF000000"/>
        <rFont val="ＭＳ Ｐ明朝"/>
        <family val="1"/>
        <charset val="128"/>
      </rPr>
      <t>風化・変質した岩</t>
    </r>
  </si>
  <si>
    <t xml:space="preserve">齢級 </t>
  </si>
  <si>
    <r>
      <rPr>
        <sz val="10.5"/>
        <color rgb="FF000000"/>
        <rFont val="ＭＳ Ｐ明朝"/>
        <family val="1"/>
        <charset val="128"/>
      </rPr>
      <t>亀裂の発達した岩</t>
    </r>
  </si>
  <si>
    <t>(1齢級=5年)</t>
    <rPh sb="2" eb="4">
      <t>レイキュウ</t>
    </rPh>
    <rPh sb="6" eb="7">
      <t>ネン</t>
    </rPh>
    <phoneticPr fontId="1"/>
  </si>
  <si>
    <r>
      <rPr>
        <sz val="10.5"/>
        <color rgb="FF000000"/>
        <rFont val="ＭＳ Ｐ明朝"/>
        <family val="1"/>
        <charset val="128"/>
      </rPr>
      <t>土砂・粘質土</t>
    </r>
  </si>
  <si>
    <r>
      <rPr>
        <sz val="10.5"/>
        <color rgb="FF000000"/>
        <rFont val="ＭＳ Ｐ明朝"/>
        <family val="1"/>
        <charset val="128"/>
      </rPr>
      <t>上記以外</t>
    </r>
  </si>
  <si>
    <r>
      <rPr>
        <sz val="10.5"/>
        <color rgb="FF000000"/>
        <rFont val="ＭＳ Ｐ明朝"/>
        <family val="1"/>
        <charset val="128"/>
      </rPr>
      <t>土層深</t>
    </r>
  </si>
  <si>
    <r>
      <t>0.5</t>
    </r>
    <r>
      <rPr>
        <sz val="10.5"/>
        <color rgb="FF000000"/>
        <rFont val="ＭＳ Ｐ明朝"/>
        <family val="1"/>
        <charset val="128"/>
      </rPr>
      <t>以上</t>
    </r>
  </si>
  <si>
    <r>
      <t>0.5</t>
    </r>
    <r>
      <rPr>
        <sz val="10.5"/>
        <color rgb="FF000000"/>
        <rFont val="ＭＳ Ｐ明朝"/>
        <family val="1"/>
        <charset val="128"/>
      </rPr>
      <t>未満</t>
    </r>
  </si>
  <si>
    <t>メッシュ</t>
    <phoneticPr fontId="1"/>
  </si>
  <si>
    <t>壊</t>
    <phoneticPr fontId="1"/>
  </si>
  <si>
    <t>km</t>
    <phoneticPr fontId="1"/>
  </si>
  <si>
    <t>％</t>
    <phoneticPr fontId="1"/>
  </si>
  <si>
    <t>内  容</t>
    <phoneticPr fontId="1"/>
  </si>
  <si>
    <t>崩壊発生</t>
    <phoneticPr fontId="1"/>
  </si>
  <si>
    <t>崩壊の</t>
    <phoneticPr fontId="1"/>
  </si>
  <si>
    <t>雨竜郡幌加内町</t>
    <phoneticPr fontId="1"/>
  </si>
  <si>
    <t>（ＪＩＳコード変更　01439 ⇒ 01472）</t>
  </si>
  <si>
    <t>天塩郡幌延町</t>
    <phoneticPr fontId="1"/>
  </si>
  <si>
    <t>（ＪＩＳコード変更　01488 ⇒ 01520）</t>
  </si>
  <si>
    <t>V</t>
  </si>
  <si>
    <t>II</t>
  </si>
  <si>
    <t>VIII</t>
  </si>
  <si>
    <t>VII</t>
  </si>
  <si>
    <t>I</t>
  </si>
  <si>
    <t>III</t>
  </si>
  <si>
    <t>IV</t>
  </si>
  <si>
    <t>VI</t>
  </si>
  <si>
    <t>IX</t>
  </si>
  <si>
    <t>X</t>
  </si>
  <si>
    <t>XI</t>
  </si>
  <si>
    <t>N</t>
    <phoneticPr fontId="1"/>
  </si>
  <si>
    <t>XII～</t>
    <phoneticPr fontId="1"/>
  </si>
  <si>
    <t>選択リスト</t>
    <rPh sb="0" eb="2">
      <t>センタク</t>
    </rPh>
    <phoneticPr fontId="1"/>
  </si>
  <si>
    <t>凹</t>
    <rPh sb="0" eb="1">
      <t>ボコ</t>
    </rPh>
    <phoneticPr fontId="1"/>
  </si>
  <si>
    <t>平</t>
    <rPh sb="0" eb="1">
      <t>ヘイ</t>
    </rPh>
    <phoneticPr fontId="1"/>
  </si>
  <si>
    <t>複</t>
    <rPh sb="0" eb="1">
      <t>フク</t>
    </rPh>
    <phoneticPr fontId="1"/>
  </si>
  <si>
    <t>凸</t>
    <rPh sb="0" eb="1">
      <t>デコ</t>
    </rPh>
    <phoneticPr fontId="1"/>
  </si>
  <si>
    <t>樹種</t>
    <rPh sb="0" eb="2">
      <t>ジュシュ</t>
    </rPh>
    <phoneticPr fontId="1"/>
  </si>
  <si>
    <t xml:space="preserve">縦断面形 </t>
    <phoneticPr fontId="1"/>
  </si>
  <si>
    <t>その他</t>
    <rPh sb="2" eb="3">
      <t>タ</t>
    </rPh>
    <phoneticPr fontId="1"/>
  </si>
  <si>
    <t>齢級</t>
    <rPh sb="0" eb="2">
      <t>レイキュウ</t>
    </rPh>
    <phoneticPr fontId="1"/>
  </si>
  <si>
    <t>水かん</t>
  </si>
  <si>
    <t>保安林種</t>
    <rPh sb="0" eb="3">
      <t>ホアンリン</t>
    </rPh>
    <rPh sb="3" eb="4">
      <t>シュ</t>
    </rPh>
    <phoneticPr fontId="1"/>
  </si>
  <si>
    <t>土流</t>
  </si>
  <si>
    <t>飛砂</t>
  </si>
  <si>
    <t>防風</t>
  </si>
  <si>
    <t>防霧</t>
  </si>
  <si>
    <t>水害</t>
  </si>
  <si>
    <t>潮害</t>
  </si>
  <si>
    <t>防雪</t>
  </si>
  <si>
    <t>干害</t>
  </si>
  <si>
    <t>なだれ</t>
  </si>
  <si>
    <t>落石</t>
  </si>
  <si>
    <t>防火</t>
  </si>
  <si>
    <t>魚つき</t>
  </si>
  <si>
    <t>航行</t>
  </si>
  <si>
    <t>保健</t>
  </si>
  <si>
    <t>風致</t>
  </si>
  <si>
    <t>有</t>
    <rPh sb="0" eb="1">
      <t>ア</t>
    </rPh>
    <phoneticPr fontId="1"/>
  </si>
  <si>
    <t>有無</t>
    <rPh sb="0" eb="2">
      <t>ウム</t>
    </rPh>
    <phoneticPr fontId="1"/>
  </si>
  <si>
    <t>A:火山性(噴出岩)の地質</t>
  </si>
  <si>
    <t>B:オーバーハングがある</t>
  </si>
  <si>
    <t>C:表面に転石･浮石が多い</t>
  </si>
  <si>
    <t>D:風化･変質･亀裂が発達した岩</t>
  </si>
  <si>
    <t>E:風化･変質した岩</t>
  </si>
  <si>
    <t>F:亀裂の発達した岩</t>
  </si>
  <si>
    <t>G:土砂･粘土質</t>
  </si>
  <si>
    <t>Z:その他</t>
  </si>
  <si>
    <t>A:容易に岩目から欠ける</t>
  </si>
  <si>
    <t>B:下方に落下しているものが多い</t>
  </si>
  <si>
    <t>（剥離型）</t>
    <rPh sb="1" eb="4">
      <t>ハクリガタ</t>
    </rPh>
    <phoneticPr fontId="1"/>
  </si>
  <si>
    <t>（転石型）</t>
    <rPh sb="1" eb="3">
      <t>テンセキ</t>
    </rPh>
    <rPh sb="3" eb="4">
      <t>ガタ</t>
    </rPh>
    <phoneticPr fontId="1"/>
  </si>
  <si>
    <t>A:落石の頻度大</t>
  </si>
  <si>
    <t>B:地上から浮き上がっている</t>
  </si>
  <si>
    <t>C:叩くと動揺する</t>
  </si>
  <si>
    <t>植生状況</t>
    <rPh sb="0" eb="2">
      <t>ショクセイ</t>
    </rPh>
    <rPh sb="2" eb="4">
      <t>ジョウキョウ</t>
    </rPh>
    <phoneticPr fontId="1"/>
  </si>
  <si>
    <t>斜面状況</t>
    <rPh sb="0" eb="2">
      <t>シャメン</t>
    </rPh>
    <rPh sb="2" eb="4">
      <t>ジョウキョウ</t>
    </rPh>
    <phoneticPr fontId="1"/>
  </si>
  <si>
    <t>安定状況</t>
    <rPh sb="0" eb="2">
      <t>アンテイ</t>
    </rPh>
    <rPh sb="2" eb="4">
      <t>ジョウキョウ</t>
    </rPh>
    <phoneticPr fontId="1"/>
  </si>
  <si>
    <t>無立木地</t>
  </si>
  <si>
    <t>崩壊地</t>
  </si>
  <si>
    <t>幼林齢</t>
  </si>
  <si>
    <t>草生地</t>
  </si>
  <si>
    <t>老齢疎林</t>
  </si>
  <si>
    <t>その他</t>
  </si>
  <si>
    <t>地震の強さ</t>
    <rPh sb="0" eb="2">
      <t>ジシン</t>
    </rPh>
    <rPh sb="3" eb="4">
      <t>ツヨ</t>
    </rPh>
    <phoneticPr fontId="1"/>
  </si>
  <si>
    <t>A</t>
    <phoneticPr fontId="1"/>
  </si>
  <si>
    <t>B</t>
    <phoneticPr fontId="1"/>
  </si>
  <si>
    <t>C</t>
    <phoneticPr fontId="1"/>
  </si>
  <si>
    <t>第７類</t>
    <rPh sb="0" eb="1">
      <t>ダイ</t>
    </rPh>
    <rPh sb="2" eb="3">
      <t>ルイ</t>
    </rPh>
    <phoneticPr fontId="1"/>
  </si>
  <si>
    <t>岩石等の安定状況</t>
    <rPh sb="0" eb="2">
      <t>ガンセキ</t>
    </rPh>
    <rPh sb="2" eb="3">
      <t>トウ</t>
    </rPh>
    <rPh sb="4" eb="5">
      <t>アン</t>
    </rPh>
    <rPh sb="5" eb="6">
      <t>サダム</t>
    </rPh>
    <rPh sb="6" eb="7">
      <t>ジョウ</t>
    </rPh>
    <rPh sb="7" eb="8">
      <t>キョウ</t>
    </rPh>
    <phoneticPr fontId="1"/>
  </si>
  <si>
    <t>林種</t>
    <rPh sb="0" eb="1">
      <t>リン</t>
    </rPh>
    <rPh sb="1" eb="2">
      <t>シュ</t>
    </rPh>
    <phoneticPr fontId="1"/>
  </si>
  <si>
    <t>L</t>
    <phoneticPr fontId="1"/>
  </si>
  <si>
    <t>NL</t>
    <phoneticPr fontId="1"/>
  </si>
  <si>
    <t>2～3</t>
    <phoneticPr fontId="1"/>
  </si>
  <si>
    <t>4～7</t>
    <phoneticPr fontId="1"/>
  </si>
  <si>
    <t>8～11</t>
    <phoneticPr fontId="1"/>
  </si>
  <si>
    <t>12以上</t>
    <rPh sb="2" eb="4">
      <t>イジョウ</t>
    </rPh>
    <phoneticPr fontId="1"/>
  </si>
  <si>
    <t>多雨</t>
    <rPh sb="0" eb="2">
      <t>タウ</t>
    </rPh>
    <phoneticPr fontId="1"/>
  </si>
  <si>
    <t>非多雨</t>
    <rPh sb="0" eb="1">
      <t>ヒ</t>
    </rPh>
    <rPh sb="1" eb="3">
      <t>タウ</t>
    </rPh>
    <phoneticPr fontId="1"/>
  </si>
  <si>
    <t>非</t>
    <rPh sb="0" eb="1">
      <t>ヒ</t>
    </rPh>
    <phoneticPr fontId="1"/>
  </si>
  <si>
    <t>多雨・非多雨の別</t>
    <rPh sb="0" eb="2">
      <t>タウ</t>
    </rPh>
    <rPh sb="3" eb="4">
      <t>ヒ</t>
    </rPh>
    <rPh sb="4" eb="6">
      <t>タウ</t>
    </rPh>
    <rPh sb="7" eb="8">
      <t>ベツ</t>
    </rPh>
    <phoneticPr fontId="1"/>
  </si>
  <si>
    <t>土崩</t>
    <phoneticPr fontId="1"/>
  </si>
  <si>
    <t>a1</t>
  </si>
  <si>
    <t>135点以上</t>
  </si>
  <si>
    <t>b1</t>
  </si>
  <si>
    <t>125点以上135点未満</t>
  </si>
  <si>
    <t>c1</t>
  </si>
  <si>
    <t>100点以上125点未満</t>
  </si>
  <si>
    <t>危険度</t>
    <rPh sb="0" eb="2">
      <t>キケン</t>
    </rPh>
    <rPh sb="2" eb="3">
      <t>ド</t>
    </rPh>
    <phoneticPr fontId="1"/>
  </si>
  <si>
    <t>危険度点数が最高点のメッシュの点数</t>
    <rPh sb="0" eb="2">
      <t>キケン</t>
    </rPh>
    <rPh sb="2" eb="3">
      <t>ド</t>
    </rPh>
    <rPh sb="3" eb="5">
      <t>テンスウ</t>
    </rPh>
    <rPh sb="6" eb="9">
      <t>サイコウテン</t>
    </rPh>
    <rPh sb="15" eb="17">
      <t>テンスウ</t>
    </rPh>
    <phoneticPr fontId="1"/>
  </si>
  <si>
    <t>125点以上</t>
  </si>
  <si>
    <t>115点以上125点未満</t>
  </si>
  <si>
    <t>100点以上115点未満</t>
  </si>
  <si>
    <t>樹種</t>
    <rPh sb="0" eb="2">
      <t>ジュシュ</t>
    </rPh>
    <phoneticPr fontId="1"/>
  </si>
  <si>
    <t>その他</t>
    <rPh sb="2" eb="3">
      <t>タ</t>
    </rPh>
    <phoneticPr fontId="1"/>
  </si>
  <si>
    <t>N</t>
    <phoneticPr fontId="1"/>
  </si>
  <si>
    <r>
      <t>L</t>
    </r>
    <r>
      <rPr>
        <sz val="10"/>
        <color rgb="FF000000"/>
        <rFont val="ＭＳ Ｐ明朝"/>
        <family val="1"/>
        <charset val="128"/>
      </rPr>
      <t>・</t>
    </r>
    <r>
      <rPr>
        <sz val="10"/>
        <color rgb="FF000000"/>
        <rFont val="Century"/>
        <family val="1"/>
      </rPr>
      <t>NL</t>
    </r>
    <phoneticPr fontId="1"/>
  </si>
  <si>
    <r>
      <t>2.1m</t>
    </r>
    <r>
      <rPr>
        <sz val="10"/>
        <color rgb="FF000000"/>
        <rFont val="ＭＳ Ｐ明朝"/>
        <family val="1"/>
        <charset val="128"/>
      </rPr>
      <t>以上</t>
    </r>
    <rPh sb="4" eb="6">
      <t>イジョウ</t>
    </rPh>
    <phoneticPr fontId="1"/>
  </si>
  <si>
    <r>
      <t>1.0</t>
    </r>
    <r>
      <rPr>
        <sz val="10"/>
        <color rgb="FF000000"/>
        <rFont val="ＭＳ 明朝"/>
        <family val="1"/>
        <charset val="128"/>
      </rPr>
      <t>～</t>
    </r>
    <r>
      <rPr>
        <sz val="10"/>
        <color rgb="FF000000"/>
        <rFont val="Century"/>
        <family val="1"/>
      </rPr>
      <t>2.0m</t>
    </r>
    <phoneticPr fontId="1"/>
  </si>
  <si>
    <r>
      <t>0.5</t>
    </r>
    <r>
      <rPr>
        <sz val="10"/>
        <color rgb="FF000000"/>
        <rFont val="ＭＳ 明朝"/>
        <family val="1"/>
        <charset val="128"/>
      </rPr>
      <t>～</t>
    </r>
    <r>
      <rPr>
        <sz val="10"/>
        <color rgb="FF000000"/>
        <rFont val="Century"/>
        <family val="1"/>
      </rPr>
      <t>1.0m</t>
    </r>
    <phoneticPr fontId="1"/>
  </si>
  <si>
    <t>落下の高さ</t>
    <rPh sb="0" eb="2">
      <t>ラッカ</t>
    </rPh>
    <rPh sb="3" eb="4">
      <t>タカ</t>
    </rPh>
    <phoneticPr fontId="1"/>
  </si>
  <si>
    <t>点数</t>
    <rPh sb="0" eb="2">
      <t>テンスウ</t>
    </rPh>
    <phoneticPr fontId="1"/>
  </si>
  <si>
    <t/>
  </si>
  <si>
    <t>号</t>
    <rPh sb="0" eb="1">
      <t>ゴウ</t>
    </rPh>
    <phoneticPr fontId="1"/>
  </si>
  <si>
    <t>数</t>
    <rPh sb="0" eb="1">
      <t>スウ</t>
    </rPh>
    <phoneticPr fontId="1"/>
  </si>
  <si>
    <t>種</t>
    <rPh sb="0" eb="1">
      <t>タネ</t>
    </rPh>
    <phoneticPr fontId="1"/>
  </si>
  <si>
    <t>級</t>
    <rPh sb="0" eb="1">
      <t>キュウ</t>
    </rPh>
    <phoneticPr fontId="1"/>
  </si>
  <si>
    <t>計</t>
    <rPh sb="0" eb="1">
      <t>ケイ</t>
    </rPh>
    <phoneticPr fontId="1"/>
  </si>
  <si>
    <t>等</t>
    <rPh sb="0" eb="1">
      <t>ナド</t>
    </rPh>
    <phoneticPr fontId="1"/>
  </si>
  <si>
    <t>有</t>
    <rPh sb="0" eb="1">
      <t>ア</t>
    </rPh>
    <phoneticPr fontId="1"/>
  </si>
  <si>
    <t>震</t>
    <rPh sb="0" eb="1">
      <t>シン</t>
    </rPh>
    <phoneticPr fontId="1"/>
  </si>
  <si>
    <t>石</t>
    <rPh sb="0" eb="1">
      <t>イシ</t>
    </rPh>
    <phoneticPr fontId="1"/>
  </si>
  <si>
    <t>点</t>
    <rPh sb="0" eb="1">
      <t>テン</t>
    </rPh>
    <phoneticPr fontId="1"/>
  </si>
  <si>
    <t>数</t>
    <rPh sb="0" eb="1">
      <t>スウ</t>
    </rPh>
    <phoneticPr fontId="1"/>
  </si>
  <si>
    <t>有</t>
  </si>
  <si>
    <t>A</t>
  </si>
  <si>
    <t>-</t>
  </si>
  <si>
    <t>平</t>
  </si>
  <si>
    <t>民</t>
  </si>
  <si>
    <t>伊勢</t>
  </si>
  <si>
    <t>市</t>
  </si>
  <si>
    <t>平成29年6月20日</t>
  </si>
  <si>
    <t>川村　篤史</t>
  </si>
  <si>
    <t>a2</t>
  </si>
  <si>
    <t>未着手(無)</t>
  </si>
  <si>
    <t>無</t>
  </si>
  <si>
    <t>平成19</t>
  </si>
  <si>
    <t>B</t>
  </si>
  <si>
    <t>中生代</t>
  </si>
  <si>
    <t>変成岩</t>
  </si>
  <si>
    <t>進んでいる</t>
  </si>
  <si>
    <t>もろい地盤</t>
  </si>
  <si>
    <t>第7類</t>
  </si>
  <si>
    <t>堂山</t>
  </si>
  <si>
    <t>朝熊</t>
  </si>
  <si>
    <t>町</t>
  </si>
  <si>
    <t>平成01年12月4日</t>
  </si>
  <si>
    <t>土砂流出防備保安林</t>
  </si>
  <si>
    <t>市道</t>
  </si>
  <si>
    <t>人家</t>
  </si>
  <si>
    <t>着手済(一部概成)</t>
  </si>
  <si>
    <t>地すべり性崩壊危険あり</t>
  </si>
  <si>
    <t>203-0002</t>
  </si>
  <si>
    <t>一部概成</t>
  </si>
  <si>
    <t>地盤がゆるんでいる</t>
  </si>
  <si>
    <t>高岡</t>
  </si>
  <si>
    <t>一宇田</t>
  </si>
  <si>
    <t>203-0003</t>
  </si>
  <si>
    <t>***</t>
  </si>
  <si>
    <t>風化が著しい</t>
  </si>
  <si>
    <t>奥</t>
  </si>
  <si>
    <t>楠部</t>
  </si>
  <si>
    <t>病院</t>
  </si>
  <si>
    <t>田</t>
  </si>
  <si>
    <t>1ha</t>
  </si>
  <si>
    <t>203-0004</t>
  </si>
  <si>
    <t>第四紀</t>
  </si>
  <si>
    <t>水成堆積物(第四紀)</t>
  </si>
  <si>
    <t>水により流動しやすい</t>
  </si>
  <si>
    <t>第2類</t>
  </si>
  <si>
    <t>中之切</t>
  </si>
  <si>
    <t>久世戸</t>
  </si>
  <si>
    <t>度重なる降雨により徐々に崩壊</t>
  </si>
  <si>
    <t>203-0005</t>
  </si>
  <si>
    <t>高麗広Ⅰ</t>
  </si>
  <si>
    <t>宇治今在家</t>
  </si>
  <si>
    <t>高麗広</t>
  </si>
  <si>
    <t>大床</t>
  </si>
  <si>
    <t>県道</t>
  </si>
  <si>
    <t>b2</t>
  </si>
  <si>
    <t>203-0006</t>
  </si>
  <si>
    <t>C</t>
  </si>
  <si>
    <t>古生代</t>
  </si>
  <si>
    <t>堆積岩(第四紀以外)</t>
  </si>
  <si>
    <t>第4類</t>
  </si>
  <si>
    <t>高麗広Ⅱ</t>
  </si>
  <si>
    <t>田代</t>
  </si>
  <si>
    <t>203-0007</t>
  </si>
  <si>
    <t>高麗広Ⅲ</t>
  </si>
  <si>
    <t>公民館</t>
  </si>
  <si>
    <t>203-0008</t>
  </si>
  <si>
    <t>高麗広Ⅳ</t>
  </si>
  <si>
    <t>仙人</t>
  </si>
  <si>
    <t>203-0009</t>
  </si>
  <si>
    <t>檜原</t>
  </si>
  <si>
    <t>藤里</t>
  </si>
  <si>
    <t>着手済(未成)</t>
  </si>
  <si>
    <t>203-0010</t>
  </si>
  <si>
    <t>未成</t>
  </si>
  <si>
    <t>大山</t>
  </si>
  <si>
    <t>前山</t>
  </si>
  <si>
    <t>c2</t>
  </si>
  <si>
    <t>203-0011</t>
  </si>
  <si>
    <t>風化が著しく崩れやすい</t>
  </si>
  <si>
    <t>西山</t>
  </si>
  <si>
    <t>水田</t>
  </si>
  <si>
    <t>0.5ha</t>
  </si>
  <si>
    <t>203-0012</t>
  </si>
  <si>
    <t>東万所</t>
  </si>
  <si>
    <t>二俣</t>
  </si>
  <si>
    <t>203-0013</t>
  </si>
  <si>
    <t>岡田</t>
  </si>
  <si>
    <t>佐八</t>
  </si>
  <si>
    <t>寺</t>
  </si>
  <si>
    <t>203-0014</t>
  </si>
  <si>
    <t>廣上</t>
  </si>
  <si>
    <t>横輪</t>
  </si>
  <si>
    <t>203-0015</t>
  </si>
  <si>
    <t>村上</t>
  </si>
  <si>
    <t>矢持</t>
  </si>
  <si>
    <t>下村</t>
  </si>
  <si>
    <t>保育園</t>
  </si>
  <si>
    <t>203-0016</t>
  </si>
  <si>
    <t>前田</t>
  </si>
  <si>
    <t>菖蒲</t>
  </si>
  <si>
    <t>57年災</t>
  </si>
  <si>
    <t>203-0017</t>
  </si>
  <si>
    <t>上村</t>
  </si>
  <si>
    <t>203-0018</t>
  </si>
  <si>
    <t>里東</t>
  </si>
  <si>
    <t>203-0019</t>
  </si>
  <si>
    <t>家の前</t>
  </si>
  <si>
    <t>床ノ木</t>
  </si>
  <si>
    <t>203-0020</t>
  </si>
  <si>
    <t>岩井田山</t>
  </si>
  <si>
    <t>宇治館</t>
  </si>
  <si>
    <t>眞浄院谷</t>
  </si>
  <si>
    <t>昭和20年11月20日</t>
  </si>
  <si>
    <t>土砂崩壊防備保安林</t>
  </si>
  <si>
    <t>県営総合競技場</t>
  </si>
  <si>
    <t>203-0021</t>
  </si>
  <si>
    <t>3丁目</t>
  </si>
  <si>
    <t>宇治浦田</t>
  </si>
  <si>
    <t>203-0022</t>
  </si>
  <si>
    <t>永代山</t>
  </si>
  <si>
    <t>勢田</t>
  </si>
  <si>
    <t>着手済(概成)</t>
  </si>
  <si>
    <t>203-1005</t>
  </si>
  <si>
    <t>概成</t>
  </si>
  <si>
    <t>流れ盤</t>
  </si>
  <si>
    <t>南尾</t>
  </si>
  <si>
    <t>辻久留</t>
  </si>
  <si>
    <t>昭和58年2月23日</t>
  </si>
  <si>
    <t>集会所</t>
  </si>
  <si>
    <t>203-1006</t>
  </si>
  <si>
    <t>進んでいない</t>
  </si>
  <si>
    <t>Z:\16-054治山調査\【01調書】\01山地災害危険地区調査（CSV)\山地災害危険地区調査（山腹崩壊）\203伊勢 山腹崩壊.csv</t>
  </si>
  <si>
    <t>岳</t>
    <phoneticPr fontId="1"/>
  </si>
  <si>
    <t>民</t>
    <phoneticPr fontId="1"/>
  </si>
  <si>
    <t>伊勢</t>
    <phoneticPr fontId="1"/>
  </si>
  <si>
    <t>市</t>
    <phoneticPr fontId="1"/>
  </si>
  <si>
    <t>平成29年6月20日</t>
    <phoneticPr fontId="1"/>
  </si>
  <si>
    <t>川村　篤史</t>
    <phoneticPr fontId="1"/>
  </si>
  <si>
    <t>県無線中継所</t>
    <phoneticPr fontId="1"/>
  </si>
  <si>
    <t>1</t>
  </si>
  <si>
    <t>a2</t>
    <phoneticPr fontId="1"/>
  </si>
  <si>
    <t>未着手(無)</t>
    <phoneticPr fontId="1"/>
  </si>
  <si>
    <t>無</t>
    <phoneticPr fontId="1"/>
  </si>
  <si>
    <t>平成19</t>
    <phoneticPr fontId="1"/>
  </si>
  <si>
    <t>B</t>
    <phoneticPr fontId="1"/>
  </si>
  <si>
    <t>203-0001</t>
    <phoneticPr fontId="1"/>
  </si>
  <si>
    <t>c1</t>
    <phoneticPr fontId="1"/>
  </si>
  <si>
    <t>0</t>
  </si>
  <si>
    <t>2</t>
  </si>
  <si>
    <t>中生代</t>
    <phoneticPr fontId="1"/>
  </si>
  <si>
    <t>変成岩</t>
    <phoneticPr fontId="1"/>
  </si>
  <si>
    <t>進んでいる</t>
    <phoneticPr fontId="1"/>
  </si>
  <si>
    <t>もろい地盤</t>
    <phoneticPr fontId="1"/>
  </si>
  <si>
    <t>第7類</t>
    <phoneticPr fontId="1"/>
  </si>
  <si>
    <t>83</t>
  </si>
  <si>
    <t>103</t>
  </si>
  <si>
    <t>スギ</t>
  </si>
  <si>
    <t>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</si>
</sst>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33" x14ac:knownFonts="1">
    <font>
      <sz val="11"/>
      <color theme="1"/>
      <name val="ＭＳ Ｐゴシック"/>
      <family val="2"/>
      <charset val="128"/>
      <scheme val="minor"/>
    </font>
    <font>
      <sz val="6"/>
      <name val="ＭＳ Ｐゴシック"/>
      <family val="2"/>
      <charset val="128"/>
      <scheme val="minor"/>
    </font>
    <font>
      <sz val="9"/>
      <color indexed="81"/>
      <name val="ＭＳ Ｐゴシック"/>
      <family val="3"/>
      <charset val="128"/>
    </font>
    <font>
      <sz val="10"/>
      <color rgb="FFFFFF00"/>
      <name val="ＭＳ Ｐゴシック"/>
      <family val="2"/>
      <charset val="128"/>
      <scheme val="minor"/>
    </font>
    <font>
      <sz val="10"/>
      <color rgb="FFFFFF00"/>
      <name val="ＭＳ Ｐゴシック"/>
      <family val="3"/>
      <charset val="128"/>
      <scheme val="minor"/>
    </font>
    <font>
      <sz val="10"/>
      <color theme="1"/>
      <name val="ＭＳ Ｐゴシック"/>
      <family val="2"/>
      <charset val="128"/>
      <scheme val="minor"/>
    </font>
    <font>
      <sz val="9"/>
      <color rgb="FFFFFF00"/>
      <name val="ＭＳ Ｐゴシック"/>
      <family val="3"/>
      <charset val="128"/>
      <scheme val="minor"/>
    </font>
    <font>
      <sz val="9"/>
      <color theme="1"/>
      <name val="ＭＳ Ｐゴシック"/>
      <family val="3"/>
      <charset val="128"/>
      <scheme val="minor"/>
    </font>
    <font>
      <sz val="8"/>
      <color theme="1"/>
      <name val="ＭＳ Ｐゴシック"/>
      <family val="3"/>
      <charset val="128"/>
      <scheme val="minor"/>
    </font>
    <font>
      <sz val="10.5"/>
      <color rgb="FF000000"/>
      <name val="ＭＳ 明朝"/>
      <family val="1"/>
      <charset val="128"/>
    </font>
    <font>
      <sz val="12"/>
      <name val="ＭＳ Ｐゴシック"/>
      <family val="3"/>
      <charset val="128"/>
    </font>
    <font>
      <sz val="10.5"/>
      <color rgb="FF000000"/>
      <name val="Century"/>
      <family val="1"/>
    </font>
    <font>
      <sz val="10.5"/>
      <color rgb="FF000000"/>
      <name val="ＭＳ Ｐ明朝"/>
      <family val="1"/>
      <charset val="128"/>
    </font>
    <font>
      <sz val="11"/>
      <name val="ＭＳ Ｐ明朝"/>
      <family val="1"/>
      <charset val="128"/>
    </font>
    <font>
      <sz val="11"/>
      <color theme="1"/>
      <name val="Century"/>
      <family val="1"/>
    </font>
    <font>
      <sz val="10"/>
      <color theme="1"/>
      <name val="Century"/>
      <family val="1"/>
    </font>
    <font>
      <sz val="10"/>
      <color theme="1"/>
      <name val="ＭＳ Ｐ明朝"/>
      <family val="1"/>
      <charset val="128"/>
    </font>
    <font>
      <sz val="10.5"/>
      <color theme="1"/>
      <name val="Century"/>
      <family val="1"/>
    </font>
    <font>
      <sz val="10.5"/>
      <color theme="1"/>
      <name val="ＭＳ Ｐ明朝"/>
      <family val="1"/>
      <charset val="128"/>
    </font>
    <font>
      <sz val="10"/>
      <color rgb="FF000000"/>
      <name val="ＭＳ 明朝"/>
      <family val="1"/>
      <charset val="128"/>
    </font>
    <font>
      <sz val="10"/>
      <color rgb="FF000000"/>
      <name val="Century"/>
      <family val="1"/>
    </font>
    <font>
      <sz val="9"/>
      <color rgb="FF000000"/>
      <name val="ＭＳ 明朝"/>
      <family val="1"/>
      <charset val="128"/>
    </font>
    <font>
      <sz val="12"/>
      <name val="Century"/>
      <family val="1"/>
    </font>
    <font>
      <sz val="9"/>
      <color theme="1"/>
      <name val="ＭＳ Ｐゴシック"/>
      <family val="2"/>
      <charset val="128"/>
      <scheme val="minor"/>
    </font>
    <font>
      <sz val="11"/>
      <color theme="1"/>
      <name val="ＭＳ Ｐゴシック"/>
      <family val="2"/>
      <charset val="128"/>
      <scheme val="minor"/>
    </font>
    <font>
      <sz val="8"/>
      <color rgb="FFFFFF00"/>
      <name val="ＭＳ Ｐゴシック"/>
      <family val="3"/>
      <charset val="128"/>
      <scheme val="minor"/>
    </font>
    <font>
      <sz val="11"/>
      <color rgb="FFFF0000"/>
      <name val="ＭＳ Ｐゴシック"/>
      <family val="2"/>
      <charset val="128"/>
      <scheme val="minor"/>
    </font>
    <font>
      <sz val="11"/>
      <color theme="1"/>
      <name val="ＭＳ Ｐゴシック"/>
      <family val="3"/>
      <charset val="128"/>
      <scheme val="minor"/>
    </font>
    <font>
      <sz val="11"/>
      <color theme="1"/>
      <name val="ＭＳ Ｐ明朝"/>
      <family val="1"/>
      <charset val="128"/>
    </font>
    <font>
      <sz val="10"/>
      <color rgb="FF000000"/>
      <name val="ＭＳ Ｐ明朝"/>
      <family val="1"/>
      <charset val="128"/>
    </font>
    <font>
      <sz val="10"/>
      <color theme="1"/>
      <name val="ＭＳ Ｐゴシック"/>
      <family val="3"/>
      <charset val="128"/>
      <scheme val="minor"/>
    </font>
    <font>
      <sz val="10"/>
      <color theme="0"/>
      <name val="ＭＳ Ｐゴシック"/>
      <family val="2"/>
      <charset val="128"/>
      <scheme val="minor"/>
    </font>
    <font>
      <sz val="10"/>
      <color theme="0"/>
      <name val="ＭＳ Ｐゴシック"/>
      <family val="3"/>
      <charset val="128"/>
      <scheme val="minor"/>
    </font>
  </fonts>
  <fills count="10">
    <fill>
      <patternFill patternType="none"/>
    </fill>
    <fill>
      <patternFill patternType="gray125"/>
    </fill>
    <fill>
      <patternFill patternType="solid">
        <fgColor theme="8" tint="-0.249977111117893"/>
        <bgColor indexed="64"/>
      </patternFill>
    </fill>
    <fill>
      <patternFill patternType="solid">
        <fgColor rgb="FF0070C0"/>
        <bgColor indexed="64"/>
      </patternFill>
    </fill>
    <fill>
      <patternFill patternType="solid">
        <fgColor theme="3" tint="-0.249977111117893"/>
        <bgColor indexed="64"/>
      </patternFill>
    </fill>
    <fill>
      <patternFill patternType="solid">
        <fgColor theme="5" tint="-0.249977111117893"/>
        <bgColor indexed="64"/>
      </patternFill>
    </fill>
    <fill>
      <patternFill patternType="solid">
        <fgColor rgb="FFFFFF99"/>
        <bgColor indexed="64"/>
      </patternFill>
    </fill>
    <fill>
      <patternFill patternType="solid">
        <fgColor rgb="FF99CCFF"/>
        <bgColor indexed="64"/>
      </patternFill>
    </fill>
    <fill>
      <patternFill patternType="solid">
        <fgColor rgb="FFFFFF00"/>
        <bgColor indexed="64"/>
      </patternFill>
    </fill>
    <fill>
      <patternFill patternType="solid">
        <fgColor theme="0" tint="-0.14999847407452621"/>
        <bgColor indexed="64"/>
      </patternFill>
    </fill>
  </fills>
  <borders count="30">
    <border>
      <left/>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top/>
      <bottom/>
      <diagonal/>
    </border>
    <border>
      <left/>
      <right style="hair">
        <color indexed="64"/>
      </right>
      <top/>
      <bottom/>
      <diagonal/>
    </border>
    <border>
      <left style="hair">
        <color indexed="64"/>
      </left>
      <right style="hair">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s>
  <cellStyleXfs count="4">
    <xf numFmtId="0" fontId="0" fillId="0" borderId="0">
      <alignment vertical="center"/>
    </xf>
    <xf numFmtId="38" fontId="24" fillId="0" borderId="0" applyFont="0" applyFill="0" applyBorder="0" applyAlignment="0" applyProtection="0">
      <alignment vertical="center"/>
    </xf>
    <xf numFmtId="0" fontId="24" fillId="0" borderId="0">
      <alignment vertical="center"/>
    </xf>
    <xf numFmtId="0" fontId="27" fillId="0" borderId="0">
      <alignment vertical="center"/>
    </xf>
  </cellStyleXfs>
  <cellXfs count="219">
    <xf numFmtId="0" fontId="0" fillId="0" borderId="0" xfId="0">
      <alignment vertical="center"/>
    </xf>
    <xf numFmtId="0" fontId="4" fillId="2" borderId="3" xfId="0" applyFont="1" applyFill="1" applyBorder="1" applyAlignment="1" applyProtection="1"/>
    <xf numFmtId="0" fontId="4" fillId="3" borderId="2" xfId="0" applyFont="1" applyFill="1" applyBorder="1" applyAlignment="1" applyProtection="1">
      <alignment horizontal="center"/>
    </xf>
    <xf numFmtId="0" fontId="4" fillId="3" borderId="4" xfId="0" applyFont="1" applyFill="1" applyBorder="1" applyAlignment="1" applyProtection="1">
      <alignment horizontal="center"/>
    </xf>
    <xf numFmtId="0" fontId="4" fillId="3" borderId="6" xfId="0" applyFont="1" applyFill="1" applyBorder="1" applyAlignment="1" applyProtection="1">
      <alignment horizontal="center"/>
    </xf>
    <xf numFmtId="0" fontId="4" fillId="3" borderId="5" xfId="0" applyFont="1" applyFill="1" applyBorder="1" applyAlignment="1" applyProtection="1">
      <alignment horizontal="center"/>
    </xf>
    <xf numFmtId="0" fontId="3" fillId="5" borderId="2" xfId="0" applyFont="1" applyFill="1" applyBorder="1" applyAlignment="1" applyProtection="1">
      <alignment horizontal="center"/>
    </xf>
    <xf numFmtId="0" fontId="3" fillId="2" borderId="2" xfId="0" applyFont="1" applyFill="1" applyBorder="1" applyAlignment="1" applyProtection="1">
      <alignment horizontal="center"/>
    </xf>
    <xf numFmtId="0" fontId="3" fillId="2" borderId="2" xfId="0" applyFont="1" applyFill="1" applyBorder="1" applyAlignment="1" applyProtection="1"/>
    <xf numFmtId="0" fontId="5" fillId="0" borderId="0" xfId="0" applyFont="1" applyAlignment="1" applyProtection="1"/>
    <xf numFmtId="0" fontId="4" fillId="2" borderId="5" xfId="0" applyFont="1" applyFill="1" applyBorder="1" applyAlignment="1" applyProtection="1">
      <alignment vertical="center"/>
    </xf>
    <xf numFmtId="0" fontId="4" fillId="3" borderId="7" xfId="0" applyFont="1" applyFill="1" applyBorder="1" applyAlignment="1" applyProtection="1">
      <alignment horizontal="left" vertical="center"/>
    </xf>
    <xf numFmtId="0" fontId="4" fillId="3" borderId="0" xfId="0" applyFont="1" applyFill="1" applyBorder="1" applyAlignment="1" applyProtection="1">
      <alignment horizontal="left" vertical="center"/>
    </xf>
    <xf numFmtId="0" fontId="4" fillId="3" borderId="8" xfId="0" applyFont="1" applyFill="1" applyBorder="1" applyAlignment="1" applyProtection="1">
      <alignment horizontal="center" vertical="center"/>
    </xf>
    <xf numFmtId="0" fontId="4" fillId="3" borderId="9" xfId="0" applyFont="1" applyFill="1" applyBorder="1" applyAlignment="1" applyProtection="1">
      <alignment horizontal="center" vertical="center"/>
    </xf>
    <xf numFmtId="0" fontId="4" fillId="3" borderId="0" xfId="0" applyFont="1" applyFill="1" applyBorder="1" applyAlignment="1" applyProtection="1">
      <alignment horizontal="center" vertical="center"/>
    </xf>
    <xf numFmtId="0" fontId="4" fillId="3" borderId="10" xfId="0" applyFont="1" applyFill="1" applyBorder="1" applyAlignment="1" applyProtection="1">
      <alignment horizontal="center" vertical="center"/>
    </xf>
    <xf numFmtId="0" fontId="4" fillId="5" borderId="1" xfId="0" applyFont="1" applyFill="1" applyBorder="1" applyAlignment="1" applyProtection="1">
      <alignment horizontal="left" vertical="center"/>
    </xf>
    <xf numFmtId="0" fontId="4" fillId="5" borderId="0" xfId="0" applyFont="1" applyFill="1" applyBorder="1" applyAlignment="1" applyProtection="1">
      <alignment horizontal="left" vertical="center"/>
    </xf>
    <xf numFmtId="0" fontId="4" fillId="5" borderId="0" xfId="0" applyFont="1" applyFill="1" applyBorder="1" applyAlignment="1" applyProtection="1">
      <alignment horizontal="center" vertical="center"/>
    </xf>
    <xf numFmtId="0" fontId="4" fillId="5" borderId="7" xfId="0" applyFont="1" applyFill="1" applyBorder="1" applyAlignment="1" applyProtection="1">
      <alignment horizontal="center" vertical="center"/>
    </xf>
    <xf numFmtId="0" fontId="4" fillId="5" borderId="5" xfId="0" applyFont="1" applyFill="1" applyBorder="1" applyAlignment="1" applyProtection="1">
      <alignment horizontal="center" vertical="center"/>
    </xf>
    <xf numFmtId="0" fontId="4" fillId="5" borderId="4" xfId="0" applyFont="1" applyFill="1" applyBorder="1" applyAlignment="1" applyProtection="1">
      <alignment horizontal="center"/>
    </xf>
    <xf numFmtId="0" fontId="4" fillId="2" borderId="11" xfId="0" applyFont="1" applyFill="1" applyBorder="1" applyAlignment="1" applyProtection="1">
      <alignment vertical="center"/>
    </xf>
    <xf numFmtId="0" fontId="4" fillId="2" borderId="12" xfId="0" applyFont="1" applyFill="1" applyBorder="1" applyAlignment="1" applyProtection="1">
      <alignment horizontal="center" vertical="center"/>
    </xf>
    <xf numFmtId="0" fontId="4" fillId="2" borderId="11" xfId="0" applyFont="1" applyFill="1" applyBorder="1" applyAlignment="1" applyProtection="1">
      <alignment horizontal="left" vertical="center"/>
    </xf>
    <xf numFmtId="0" fontId="4" fillId="2" borderId="9" xfId="0" applyFont="1" applyFill="1" applyBorder="1" applyAlignment="1" applyProtection="1">
      <alignment horizontal="center"/>
    </xf>
    <xf numFmtId="0" fontId="4" fillId="2" borderId="10" xfId="0" applyFont="1" applyFill="1" applyBorder="1" applyAlignment="1" applyProtection="1">
      <alignment horizontal="center" vertical="center"/>
    </xf>
    <xf numFmtId="0" fontId="5" fillId="0" borderId="0" xfId="0" applyFont="1" applyAlignment="1" applyProtection="1">
      <alignment vertical="center"/>
    </xf>
    <xf numFmtId="0" fontId="4" fillId="2" borderId="8" xfId="0" applyFont="1" applyFill="1" applyBorder="1" applyAlignment="1" applyProtection="1">
      <alignment horizontal="center" vertical="center"/>
    </xf>
    <xf numFmtId="0" fontId="4" fillId="3" borderId="5"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4" xfId="0" applyFont="1" applyFill="1" applyBorder="1" applyAlignment="1" applyProtection="1">
      <alignment horizontal="center" vertical="center"/>
    </xf>
    <xf numFmtId="0" fontId="6" fillId="5" borderId="5" xfId="0" applyFont="1" applyFill="1" applyBorder="1" applyAlignment="1" applyProtection="1">
      <alignment horizontal="center" vertical="center"/>
    </xf>
    <xf numFmtId="0" fontId="4" fillId="5" borderId="5" xfId="0" applyFont="1" applyFill="1" applyBorder="1" applyAlignment="1" applyProtection="1">
      <alignment horizontal="left" vertical="center"/>
    </xf>
    <xf numFmtId="0" fontId="4" fillId="5" borderId="8" xfId="0" applyFont="1" applyFill="1" applyBorder="1" applyAlignment="1" applyProtection="1">
      <alignment horizontal="center" vertical="center"/>
    </xf>
    <xf numFmtId="0" fontId="4" fillId="5" borderId="10" xfId="0" applyFont="1" applyFill="1" applyBorder="1" applyAlignment="1" applyProtection="1">
      <alignment horizontal="center" vertical="center"/>
    </xf>
    <xf numFmtId="0" fontId="4" fillId="5" borderId="9" xfId="0" applyFont="1" applyFill="1" applyBorder="1" applyAlignment="1" applyProtection="1">
      <alignment horizontal="center"/>
    </xf>
    <xf numFmtId="0" fontId="4" fillId="3" borderId="10" xfId="0" applyFont="1" applyFill="1" applyBorder="1" applyAlignment="1" applyProtection="1">
      <alignment horizontal="center" vertical="top"/>
    </xf>
    <xf numFmtId="0" fontId="6" fillId="5" borderId="10" xfId="0" applyFont="1" applyFill="1" applyBorder="1" applyAlignment="1" applyProtection="1">
      <alignment horizontal="center" vertical="center"/>
    </xf>
    <xf numFmtId="0" fontId="4" fillId="5" borderId="0" xfId="0" applyFont="1" applyFill="1" applyBorder="1" applyAlignment="1" applyProtection="1">
      <alignment horizontal="center"/>
    </xf>
    <xf numFmtId="0" fontId="4" fillId="2" borderId="5" xfId="0" applyFont="1" applyFill="1" applyBorder="1" applyAlignment="1" applyProtection="1">
      <alignment horizontal="center" vertical="center"/>
    </xf>
    <xf numFmtId="0" fontId="4" fillId="2" borderId="7" xfId="0" applyFont="1" applyFill="1" applyBorder="1" applyAlignment="1" applyProtection="1">
      <alignment horizontal="center" vertical="center"/>
    </xf>
    <xf numFmtId="0" fontId="4" fillId="2" borderId="10" xfId="0" applyFont="1" applyFill="1" applyBorder="1" applyAlignment="1" applyProtection="1">
      <alignment horizontal="center" vertical="top"/>
    </xf>
    <xf numFmtId="0" fontId="4" fillId="3" borderId="10" xfId="0" applyFont="1" applyFill="1" applyBorder="1" applyAlignment="1" applyProtection="1">
      <alignment horizontal="center" vertical="center" shrinkToFit="1"/>
    </xf>
    <xf numFmtId="0" fontId="4" fillId="3" borderId="9" xfId="0" applyFont="1" applyFill="1" applyBorder="1" applyAlignment="1" applyProtection="1">
      <alignment horizontal="center"/>
    </xf>
    <xf numFmtId="0" fontId="4" fillId="3" borderId="8" xfId="0" applyFont="1" applyFill="1" applyBorder="1" applyAlignment="1" applyProtection="1">
      <alignment horizontal="center" vertical="top"/>
    </xf>
    <xf numFmtId="0" fontId="4" fillId="5" borderId="10" xfId="0" applyFont="1" applyFill="1" applyBorder="1" applyAlignment="1" applyProtection="1">
      <alignment horizontal="center" vertical="top"/>
    </xf>
    <xf numFmtId="0" fontId="4" fillId="5" borderId="10" xfId="0" applyFont="1" applyFill="1" applyBorder="1" applyAlignment="1" applyProtection="1">
      <alignment horizontal="left" vertical="top"/>
    </xf>
    <xf numFmtId="0" fontId="4" fillId="5" borderId="10" xfId="0" applyFont="1" applyFill="1" applyBorder="1" applyAlignment="1" applyProtection="1">
      <alignment horizontal="center" vertical="center" wrapText="1"/>
    </xf>
    <xf numFmtId="0" fontId="4" fillId="5" borderId="0" xfId="0" applyFont="1" applyFill="1" applyBorder="1" applyAlignment="1" applyProtection="1">
      <alignment horizontal="center" vertical="top"/>
    </xf>
    <xf numFmtId="0" fontId="4" fillId="2" borderId="9" xfId="0" applyFont="1" applyFill="1" applyBorder="1" applyAlignment="1" applyProtection="1">
      <alignment horizontal="center" vertical="top"/>
    </xf>
    <xf numFmtId="0" fontId="4" fillId="2" borderId="10" xfId="0" applyFont="1" applyFill="1" applyBorder="1" applyAlignment="1" applyProtection="1">
      <alignment horizontal="center" vertical="center" wrapText="1"/>
    </xf>
    <xf numFmtId="0" fontId="5" fillId="0" borderId="0" xfId="0" applyFont="1" applyAlignment="1" applyProtection="1">
      <alignment horizontal="center" vertical="center"/>
    </xf>
    <xf numFmtId="0" fontId="5" fillId="6" borderId="14" xfId="0" applyFont="1" applyFill="1" applyBorder="1" applyAlignment="1" applyProtection="1">
      <alignment horizontal="center" vertical="center"/>
      <protection locked="0"/>
    </xf>
    <xf numFmtId="0" fontId="5" fillId="7" borderId="14" xfId="0"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7" fillId="7" borderId="14" xfId="0" applyFont="1" applyFill="1" applyBorder="1" applyAlignment="1" applyProtection="1">
      <alignment horizontal="center" vertical="center"/>
      <protection locked="0"/>
    </xf>
    <xf numFmtId="0" fontId="8" fillId="7" borderId="14" xfId="0" applyFont="1" applyFill="1" applyBorder="1" applyAlignment="1" applyProtection="1">
      <alignment horizontal="left" vertical="center"/>
      <protection locked="0"/>
    </xf>
    <xf numFmtId="0" fontId="5" fillId="0" borderId="0" xfId="0" applyFont="1" applyAlignment="1">
      <alignment horizontal="center" vertical="center"/>
    </xf>
    <xf numFmtId="0" fontId="5" fillId="0" borderId="0" xfId="0" applyFont="1" applyAlignment="1">
      <alignment vertical="center"/>
    </xf>
    <xf numFmtId="0" fontId="8" fillId="7" borderId="0" xfId="0" applyFont="1" applyFill="1" applyAlignment="1" applyProtection="1">
      <alignment horizontal="left" vertical="center"/>
      <protection locked="0"/>
    </xf>
    <xf numFmtId="0" fontId="10" fillId="0" borderId="16" xfId="0" applyFont="1" applyBorder="1" applyAlignment="1">
      <alignment horizontal="center" vertical="center" wrapText="1"/>
    </xf>
    <xf numFmtId="0" fontId="9" fillId="0" borderId="17" xfId="0" applyFont="1" applyBorder="1" applyAlignment="1">
      <alignment horizontal="right" vertical="center" wrapText="1"/>
    </xf>
    <xf numFmtId="0" fontId="10" fillId="0" borderId="17" xfId="0" applyFont="1" applyBorder="1" applyAlignment="1">
      <alignment horizontal="right" vertical="center" wrapText="1"/>
    </xf>
    <xf numFmtId="0" fontId="10" fillId="0" borderId="18" xfId="0" applyFont="1" applyBorder="1" applyAlignment="1">
      <alignment horizontal="right" vertical="center" wrapText="1"/>
    </xf>
    <xf numFmtId="0" fontId="11" fillId="0" borderId="15" xfId="0" applyFont="1" applyBorder="1" applyAlignment="1">
      <alignment horizontal="center" vertical="center" wrapText="1"/>
    </xf>
    <xf numFmtId="0" fontId="13" fillId="0" borderId="18" xfId="0" applyFont="1" applyBorder="1" applyAlignment="1">
      <alignment horizontal="center" vertical="center" wrapText="1"/>
    </xf>
    <xf numFmtId="0" fontId="14" fillId="0" borderId="0" xfId="0" applyFont="1">
      <alignment vertical="center"/>
    </xf>
    <xf numFmtId="0" fontId="17" fillId="0" borderId="15" xfId="0" applyFont="1" applyBorder="1" applyAlignment="1">
      <alignment horizontal="center" vertical="center"/>
    </xf>
    <xf numFmtId="0" fontId="19" fillId="0" borderId="18" xfId="0" applyFont="1" applyBorder="1" applyAlignment="1">
      <alignment horizontal="center" vertical="center" wrapText="1"/>
    </xf>
    <xf numFmtId="0" fontId="19" fillId="0" borderId="15" xfId="0" applyFont="1" applyBorder="1" applyAlignment="1">
      <alignment horizontal="center" vertical="center" wrapText="1"/>
    </xf>
    <xf numFmtId="0" fontId="11" fillId="0" borderId="20" xfId="0" applyFont="1" applyBorder="1" applyAlignment="1">
      <alignment vertical="center" wrapText="1"/>
    </xf>
    <xf numFmtId="0" fontId="11" fillId="0" borderId="0" xfId="0" applyFont="1" applyBorder="1" applyAlignment="1">
      <alignment horizontal="center" vertical="center" wrapText="1"/>
    </xf>
    <xf numFmtId="0" fontId="11" fillId="0" borderId="15" xfId="0" applyFont="1" applyBorder="1" applyAlignment="1">
      <alignment vertical="center" wrapText="1"/>
    </xf>
    <xf numFmtId="0" fontId="15" fillId="0" borderId="15" xfId="0" applyFont="1" applyBorder="1" applyAlignment="1">
      <alignment horizontal="center" vertical="center"/>
    </xf>
    <xf numFmtId="0" fontId="17" fillId="0" borderId="15" xfId="0" applyFont="1" applyBorder="1">
      <alignment vertical="center"/>
    </xf>
    <xf numFmtId="0" fontId="9" fillId="0" borderId="19" xfId="0" applyFont="1" applyBorder="1" applyAlignment="1">
      <alignment horizontal="center" vertical="center" wrapText="1"/>
    </xf>
    <xf numFmtId="0" fontId="9" fillId="0" borderId="0" xfId="0" applyFont="1" applyBorder="1" applyAlignment="1">
      <alignment horizontal="center" vertical="center" wrapText="1"/>
    </xf>
    <xf numFmtId="0" fontId="20" fillId="0" borderId="21" xfId="0" applyFont="1" applyBorder="1" applyAlignment="1">
      <alignment horizontal="center" vertical="center" wrapText="1"/>
    </xf>
    <xf numFmtId="0" fontId="20" fillId="0" borderId="15" xfId="0" applyFont="1" applyBorder="1" applyAlignment="1">
      <alignment horizontal="right" vertical="center" wrapText="1"/>
    </xf>
    <xf numFmtId="0" fontId="15" fillId="0" borderId="15" xfId="0" applyFont="1" applyBorder="1">
      <alignment vertical="center"/>
    </xf>
    <xf numFmtId="0" fontId="9" fillId="0" borderId="20" xfId="0" applyFont="1" applyBorder="1" applyAlignment="1">
      <alignment horizontal="center" vertical="center" wrapText="1"/>
    </xf>
    <xf numFmtId="0" fontId="20" fillId="0" borderId="15" xfId="0" applyFont="1" applyBorder="1" applyAlignment="1">
      <alignment horizontal="center" vertical="center" wrapText="1"/>
    </xf>
    <xf numFmtId="0" fontId="14" fillId="0" borderId="20" xfId="0" applyFont="1" applyBorder="1" applyAlignment="1">
      <alignment vertical="top" wrapText="1"/>
    </xf>
    <xf numFmtId="0" fontId="14" fillId="0" borderId="0" xfId="0" applyFont="1" applyBorder="1" applyAlignment="1">
      <alignment vertical="top" wrapText="1"/>
    </xf>
    <xf numFmtId="0" fontId="21" fillId="0" borderId="0" xfId="0" applyFont="1" applyBorder="1" applyAlignment="1">
      <alignment horizontal="center" vertical="center" wrapText="1"/>
    </xf>
    <xf numFmtId="0" fontId="11" fillId="0" borderId="19" xfId="0" applyFont="1" applyBorder="1" applyAlignment="1">
      <alignment vertical="center" wrapText="1"/>
    </xf>
    <xf numFmtId="0" fontId="11" fillId="0" borderId="22" xfId="0" applyFont="1" applyBorder="1" applyAlignment="1">
      <alignment horizontal="center" vertical="center" wrapText="1"/>
    </xf>
    <xf numFmtId="0" fontId="0" fillId="0" borderId="20" xfId="0" applyBorder="1" applyAlignment="1">
      <alignment vertical="top" wrapText="1"/>
    </xf>
    <xf numFmtId="0" fontId="11" fillId="0" borderId="23" xfId="0" applyFont="1" applyBorder="1" applyAlignment="1">
      <alignment horizontal="center" vertical="center" wrapText="1"/>
    </xf>
    <xf numFmtId="0" fontId="15" fillId="0" borderId="19" xfId="0" applyFont="1" applyBorder="1" applyAlignment="1">
      <alignment horizontal="center" vertical="center"/>
    </xf>
    <xf numFmtId="0" fontId="0" fillId="0" borderId="0" xfId="0" applyBorder="1" applyAlignment="1">
      <alignment vertical="top" wrapText="1"/>
    </xf>
    <xf numFmtId="0" fontId="14" fillId="0" borderId="24" xfId="0" applyFont="1" applyBorder="1" applyAlignment="1">
      <alignment horizontal="left" vertical="center"/>
    </xf>
    <xf numFmtId="0" fontId="15" fillId="0" borderId="24" xfId="0" applyFont="1" applyBorder="1" applyAlignment="1">
      <alignment vertical="center" wrapText="1"/>
    </xf>
    <xf numFmtId="0" fontId="15" fillId="0" borderId="19" xfId="0" applyFont="1" applyBorder="1" applyAlignment="1">
      <alignment vertical="center"/>
    </xf>
    <xf numFmtId="0" fontId="9" fillId="0" borderId="25" xfId="0" applyFont="1" applyBorder="1" applyAlignment="1">
      <alignment horizontal="center" vertical="center" wrapText="1"/>
    </xf>
    <xf numFmtId="0" fontId="10" fillId="0" borderId="19" xfId="0" applyFont="1" applyBorder="1" applyAlignment="1">
      <alignment vertical="center" wrapText="1"/>
    </xf>
    <xf numFmtId="0" fontId="14" fillId="0" borderId="21" xfId="0" applyFont="1" applyBorder="1" applyAlignment="1">
      <alignment vertical="top" wrapText="1"/>
    </xf>
    <xf numFmtId="0" fontId="14" fillId="0" borderId="26" xfId="0" applyFont="1" applyBorder="1" applyAlignment="1">
      <alignment vertical="top" wrapText="1"/>
    </xf>
    <xf numFmtId="0" fontId="15" fillId="0" borderId="27" xfId="0" applyFont="1" applyBorder="1" applyAlignment="1">
      <alignment horizontal="left" vertical="center" wrapText="1"/>
    </xf>
    <xf numFmtId="0" fontId="15" fillId="0" borderId="27" xfId="0" applyFont="1" applyBorder="1" applyAlignment="1">
      <alignment vertical="center" wrapText="1"/>
    </xf>
    <xf numFmtId="0" fontId="15" fillId="0" borderId="20" xfId="0" applyFont="1" applyBorder="1" applyAlignment="1">
      <alignment horizontal="center" vertical="center"/>
    </xf>
    <xf numFmtId="0" fontId="10" fillId="0" borderId="20" xfId="0" applyFont="1" applyBorder="1" applyAlignment="1">
      <alignment vertical="center" wrapText="1"/>
    </xf>
    <xf numFmtId="0" fontId="15" fillId="0" borderId="28" xfId="0" applyFont="1" applyBorder="1" applyAlignment="1">
      <alignment vertical="center" wrapText="1"/>
    </xf>
    <xf numFmtId="0" fontId="15" fillId="0" borderId="21" xfId="0" applyFont="1" applyBorder="1" applyAlignment="1">
      <alignment vertical="center"/>
    </xf>
    <xf numFmtId="0" fontId="15" fillId="0" borderId="21" xfId="0" applyFont="1" applyBorder="1" applyAlignment="1">
      <alignment horizontal="left" vertical="center"/>
    </xf>
    <xf numFmtId="0" fontId="15" fillId="0" borderId="26" xfId="0" applyFont="1" applyBorder="1" applyAlignment="1">
      <alignment horizontal="center" vertical="center"/>
    </xf>
    <xf numFmtId="0" fontId="15" fillId="0" borderId="21" xfId="0" applyFont="1" applyBorder="1" applyAlignment="1">
      <alignment horizontal="center" vertical="center"/>
    </xf>
    <xf numFmtId="0" fontId="0" fillId="0" borderId="21" xfId="0" applyBorder="1" applyAlignment="1">
      <alignment vertical="top" wrapText="1"/>
    </xf>
    <xf numFmtId="0" fontId="0" fillId="0" borderId="29" xfId="0" applyBorder="1" applyAlignment="1">
      <alignment vertical="top" wrapText="1"/>
    </xf>
    <xf numFmtId="0" fontId="10" fillId="0" borderId="21" xfId="0" applyFont="1" applyBorder="1" applyAlignment="1">
      <alignment vertical="center" wrapText="1"/>
    </xf>
    <xf numFmtId="0" fontId="22" fillId="0" borderId="22" xfId="0" applyFont="1" applyBorder="1" applyAlignment="1">
      <alignment horizontal="center" vertical="center" wrapText="1"/>
    </xf>
    <xf numFmtId="0" fontId="14" fillId="0" borderId="24" xfId="0" applyFont="1" applyBorder="1">
      <alignment vertical="center"/>
    </xf>
    <xf numFmtId="0" fontId="15" fillId="0" borderId="22" xfId="0" applyFont="1" applyBorder="1" applyAlignment="1">
      <alignment vertical="center"/>
    </xf>
    <xf numFmtId="0" fontId="15" fillId="0" borderId="22" xfId="0" applyFont="1" applyBorder="1" applyAlignment="1">
      <alignment horizontal="center" vertical="center"/>
    </xf>
    <xf numFmtId="0" fontId="14" fillId="0" borderId="23" xfId="0" applyFont="1" applyBorder="1" applyAlignment="1">
      <alignment vertical="top" wrapText="1"/>
    </xf>
    <xf numFmtId="0" fontId="15" fillId="0" borderId="27" xfId="0" applyFont="1" applyBorder="1" applyAlignment="1">
      <alignment vertical="center"/>
    </xf>
    <xf numFmtId="0" fontId="15" fillId="0" borderId="0" xfId="0" applyFont="1" applyBorder="1" applyAlignment="1">
      <alignment vertical="center"/>
    </xf>
    <xf numFmtId="0" fontId="15" fillId="0" borderId="19" xfId="0" applyFont="1" applyBorder="1" applyAlignment="1">
      <alignment horizontal="center" vertical="center" wrapText="1"/>
    </xf>
    <xf numFmtId="0" fontId="15" fillId="0" borderId="28" xfId="0" applyFont="1" applyBorder="1" applyAlignment="1">
      <alignment vertical="center"/>
    </xf>
    <xf numFmtId="0" fontId="15" fillId="0" borderId="29" xfId="0" applyFont="1" applyBorder="1" applyAlignment="1">
      <alignment vertical="center"/>
    </xf>
    <xf numFmtId="0" fontId="15" fillId="0" borderId="21" xfId="0" applyFont="1" applyBorder="1" applyAlignment="1">
      <alignment horizontal="center" vertical="center" wrapText="1"/>
    </xf>
    <xf numFmtId="0" fontId="11" fillId="0" borderId="0" xfId="0" applyFont="1" applyBorder="1" applyAlignment="1">
      <alignment vertical="center" wrapText="1"/>
    </xf>
    <xf numFmtId="0" fontId="11" fillId="0" borderId="19"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21" xfId="0" applyFont="1" applyBorder="1" applyAlignment="1">
      <alignment vertical="center" wrapText="1"/>
    </xf>
    <xf numFmtId="0" fontId="11" fillId="0" borderId="21" xfId="0" applyFont="1" applyBorder="1" applyAlignment="1">
      <alignment horizontal="center" vertical="center" wrapText="1"/>
    </xf>
    <xf numFmtId="0" fontId="23" fillId="0" borderId="0" xfId="0" applyFont="1" applyBorder="1" applyAlignment="1">
      <alignment horizontal="center" vertical="top" wrapText="1"/>
    </xf>
    <xf numFmtId="0" fontId="11" fillId="0" borderId="18" xfId="0" applyFont="1" applyBorder="1" applyAlignment="1">
      <alignment vertical="center" wrapText="1"/>
    </xf>
    <xf numFmtId="176" fontId="5" fillId="0" borderId="14" xfId="0" applyNumberFormat="1" applyFont="1" applyBorder="1" applyAlignment="1">
      <alignment horizontal="center" vertical="center"/>
    </xf>
    <xf numFmtId="49" fontId="4" fillId="4" borderId="4" xfId="0" applyNumberFormat="1" applyFont="1" applyFill="1" applyBorder="1" applyAlignment="1" applyProtection="1">
      <alignment horizontal="center"/>
    </xf>
    <xf numFmtId="49" fontId="4" fillId="4" borderId="9" xfId="0" applyNumberFormat="1" applyFont="1" applyFill="1" applyBorder="1" applyAlignment="1" applyProtection="1">
      <alignment horizontal="center" vertical="center"/>
    </xf>
    <xf numFmtId="49" fontId="4" fillId="4" borderId="0" xfId="0" applyNumberFormat="1" applyFont="1" applyFill="1" applyBorder="1" applyAlignment="1" applyProtection="1">
      <alignment horizontal="center" vertical="center"/>
    </xf>
    <xf numFmtId="49" fontId="5" fillId="6" borderId="14" xfId="0" applyNumberFormat="1" applyFont="1" applyFill="1" applyBorder="1" applyAlignment="1" applyProtection="1">
      <alignment horizontal="center" vertical="center"/>
      <protection locked="0"/>
    </xf>
    <xf numFmtId="49" fontId="0" fillId="0" borderId="0" xfId="0" applyNumberFormat="1" applyFill="1">
      <alignment vertical="center"/>
    </xf>
    <xf numFmtId="0" fontId="0" fillId="0" borderId="0" xfId="0" applyFill="1">
      <alignment vertical="center"/>
    </xf>
    <xf numFmtId="0" fontId="0" fillId="0" borderId="0" xfId="0" applyNumberFormat="1" applyFill="1">
      <alignment vertical="center"/>
    </xf>
    <xf numFmtId="38" fontId="0" fillId="0" borderId="0" xfId="1" applyFont="1" applyFill="1">
      <alignment vertical="center"/>
    </xf>
    <xf numFmtId="0" fontId="3" fillId="2" borderId="1" xfId="0" applyFont="1" applyFill="1" applyBorder="1" applyAlignment="1" applyProtection="1">
      <alignment horizontal="center"/>
    </xf>
    <xf numFmtId="0" fontId="5" fillId="6" borderId="0" xfId="0" applyFont="1" applyFill="1" applyAlignment="1" applyProtection="1">
      <alignment horizontal="center" vertical="center"/>
      <protection locked="0"/>
    </xf>
    <xf numFmtId="0" fontId="3" fillId="3" borderId="1" xfId="0" applyFont="1" applyFill="1" applyBorder="1" applyAlignment="1" applyProtection="1">
      <alignment horizontal="center"/>
    </xf>
    <xf numFmtId="0" fontId="5" fillId="7" borderId="0" xfId="0" applyFont="1" applyFill="1" applyAlignment="1" applyProtection="1">
      <alignment horizontal="center" vertical="center"/>
      <protection locked="0"/>
    </xf>
    <xf numFmtId="0" fontId="3" fillId="3" borderId="2" xfId="0" applyFont="1" applyFill="1" applyBorder="1" applyAlignment="1" applyProtection="1">
      <alignment horizontal="center"/>
    </xf>
    <xf numFmtId="0" fontId="4" fillId="3" borderId="6" xfId="0" applyFont="1" applyFill="1" applyBorder="1" applyAlignment="1" applyProtection="1">
      <alignment horizontal="left"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center"/>
    </xf>
    <xf numFmtId="0" fontId="4" fillId="3" borderId="5" xfId="0" applyFont="1" applyFill="1" applyBorder="1" applyAlignment="1" applyProtection="1">
      <alignment horizontal="center" vertical="top"/>
    </xf>
    <xf numFmtId="0" fontId="4" fillId="3" borderId="3" xfId="0" applyFont="1" applyFill="1" applyBorder="1" applyAlignment="1" applyProtection="1">
      <alignment horizontal="center" vertical="center"/>
    </xf>
    <xf numFmtId="0" fontId="7" fillId="7" borderId="0" xfId="0" applyFont="1" applyFill="1" applyAlignment="1" applyProtection="1">
      <alignment horizontal="center" vertical="center"/>
      <protection locked="0"/>
    </xf>
    <xf numFmtId="0" fontId="3" fillId="3" borderId="1" xfId="0" applyFont="1" applyFill="1" applyBorder="1" applyAlignment="1" applyProtection="1">
      <alignment horizontal="left"/>
    </xf>
    <xf numFmtId="0" fontId="3" fillId="5" borderId="1" xfId="0" applyFont="1" applyFill="1" applyBorder="1" applyAlignment="1" applyProtection="1">
      <alignment horizontal="left" vertical="center"/>
    </xf>
    <xf numFmtId="0" fontId="3" fillId="5" borderId="1" xfId="0" applyFont="1" applyFill="1" applyBorder="1" applyAlignment="1" applyProtection="1">
      <alignment horizontal="center"/>
    </xf>
    <xf numFmtId="0" fontId="4" fillId="5" borderId="4" xfId="0" applyFont="1" applyFill="1" applyBorder="1" applyAlignment="1" applyProtection="1">
      <alignment horizontal="center" vertical="center"/>
    </xf>
    <xf numFmtId="0" fontId="4" fillId="5" borderId="3" xfId="0" applyFont="1" applyFill="1" applyBorder="1" applyAlignment="1" applyProtection="1">
      <alignment horizontal="center" vertical="center"/>
    </xf>
    <xf numFmtId="49" fontId="5" fillId="6" borderId="0" xfId="0" applyNumberFormat="1" applyFont="1" applyFill="1" applyAlignment="1" applyProtection="1">
      <alignment horizontal="center" vertical="center"/>
      <protection locked="0"/>
    </xf>
    <xf numFmtId="0" fontId="4" fillId="5" borderId="2" xfId="0" applyFont="1" applyFill="1" applyBorder="1" applyAlignment="1" applyProtection="1">
      <alignment horizontal="center"/>
    </xf>
    <xf numFmtId="0" fontId="4" fillId="2" borderId="11" xfId="0" applyFont="1" applyFill="1" applyBorder="1" applyAlignment="1" applyProtection="1">
      <alignment horizontal="center" vertical="center"/>
    </xf>
    <xf numFmtId="0" fontId="4" fillId="2" borderId="13" xfId="0" applyFont="1" applyFill="1" applyBorder="1" applyAlignment="1" applyProtection="1">
      <alignment horizontal="center" vertical="center"/>
    </xf>
    <xf numFmtId="0" fontId="4" fillId="2" borderId="0" xfId="0" applyFont="1" applyFill="1" applyBorder="1" applyAlignment="1" applyProtection="1">
      <alignment horizontal="center" vertical="center"/>
    </xf>
    <xf numFmtId="0" fontId="4" fillId="2" borderId="4" xfId="0" applyFont="1" applyFill="1" applyBorder="1" applyAlignment="1" applyProtection="1">
      <alignment horizontal="center" vertical="center"/>
    </xf>
    <xf numFmtId="0" fontId="4" fillId="2" borderId="3" xfId="0" applyFont="1" applyFill="1" applyBorder="1" applyAlignment="1" applyProtection="1">
      <alignment horizontal="center" vertical="center"/>
    </xf>
    <xf numFmtId="0" fontId="4" fillId="2" borderId="7" xfId="0" applyFont="1" applyFill="1" applyBorder="1" applyAlignment="1" applyProtection="1">
      <alignment horizontal="left" vertical="center"/>
    </xf>
    <xf numFmtId="0" fontId="4" fillId="2" borderId="1" xfId="0" applyFont="1" applyFill="1" applyBorder="1" applyAlignment="1" applyProtection="1">
      <alignment horizontal="left" vertical="center"/>
    </xf>
    <xf numFmtId="0" fontId="8" fillId="7" borderId="14" xfId="0" applyFont="1" applyFill="1" applyBorder="1" applyAlignment="1" applyProtection="1">
      <alignment vertical="center"/>
      <protection locked="0"/>
    </xf>
    <xf numFmtId="0" fontId="8" fillId="7" borderId="0" xfId="0" applyFont="1" applyFill="1" applyAlignment="1" applyProtection="1">
      <alignment vertical="center"/>
      <protection locked="0"/>
    </xf>
    <xf numFmtId="0" fontId="3" fillId="2" borderId="12" xfId="0" applyFont="1" applyFill="1" applyBorder="1" applyAlignment="1" applyProtection="1">
      <alignment vertical="center"/>
    </xf>
    <xf numFmtId="0" fontId="3" fillId="2" borderId="11" xfId="0" applyFont="1" applyFill="1" applyBorder="1" applyAlignment="1" applyProtection="1">
      <alignment vertical="center"/>
    </xf>
    <xf numFmtId="0" fontId="3" fillId="2" borderId="6" xfId="0" applyFont="1" applyFill="1" applyBorder="1" applyAlignment="1" applyProtection="1">
      <alignment horizontal="center"/>
    </xf>
    <xf numFmtId="0" fontId="4" fillId="2" borderId="3" xfId="0" applyFont="1" applyFill="1" applyBorder="1" applyAlignment="1" applyProtection="1">
      <alignment horizontal="center"/>
    </xf>
    <xf numFmtId="0" fontId="3" fillId="2" borderId="8" xfId="0" applyFont="1" applyFill="1" applyBorder="1" applyAlignment="1" applyProtection="1">
      <alignment horizontal="left" vertical="center"/>
    </xf>
    <xf numFmtId="0" fontId="3" fillId="3" borderId="1" xfId="0" applyFont="1" applyFill="1" applyBorder="1" applyAlignment="1" applyProtection="1">
      <alignment horizontal="center" shrinkToFit="1"/>
    </xf>
    <xf numFmtId="0" fontId="4" fillId="3" borderId="8" xfId="0" applyFont="1" applyFill="1" applyBorder="1" applyAlignment="1" applyProtection="1">
      <alignment horizontal="center" vertical="center" shrinkToFit="1"/>
    </xf>
    <xf numFmtId="0" fontId="4" fillId="3" borderId="0" xfId="0" applyFont="1" applyFill="1" applyBorder="1" applyAlignment="1" applyProtection="1">
      <alignment horizontal="center" vertical="center" shrinkToFit="1"/>
    </xf>
    <xf numFmtId="0" fontId="4" fillId="3" borderId="0" xfId="0" applyFont="1" applyFill="1" applyBorder="1" applyAlignment="1" applyProtection="1">
      <alignment horizontal="center" vertical="top" shrinkToFit="1"/>
    </xf>
    <xf numFmtId="0" fontId="5" fillId="7" borderId="14" xfId="0" applyFont="1" applyFill="1" applyBorder="1" applyAlignment="1" applyProtection="1">
      <alignment horizontal="center" vertical="center" shrinkToFit="1"/>
      <protection locked="0"/>
    </xf>
    <xf numFmtId="0" fontId="5" fillId="7" borderId="0" xfId="0" applyFont="1" applyFill="1" applyAlignment="1" applyProtection="1">
      <alignment horizontal="center" vertical="center" shrinkToFit="1"/>
      <protection locked="0"/>
    </xf>
    <xf numFmtId="0" fontId="0" fillId="0" borderId="0" xfId="0" applyAlignment="1">
      <alignment horizontal="left" vertical="center"/>
    </xf>
    <xf numFmtId="0" fontId="25" fillId="5" borderId="7" xfId="0" applyFont="1" applyFill="1" applyBorder="1" applyAlignment="1" applyProtection="1">
      <alignment horizontal="left" vertical="center"/>
    </xf>
    <xf numFmtId="0" fontId="26" fillId="0" borderId="0" xfId="0" applyFont="1">
      <alignment vertical="center"/>
    </xf>
    <xf numFmtId="49" fontId="0" fillId="8" borderId="0" xfId="0" applyNumberFormat="1" applyFill="1">
      <alignment vertical="center"/>
    </xf>
    <xf numFmtId="0" fontId="28" fillId="0" borderId="15" xfId="2" applyFont="1" applyFill="1" applyBorder="1" applyAlignment="1">
      <alignment horizontal="center" vertical="center"/>
    </xf>
    <xf numFmtId="0" fontId="28" fillId="0" borderId="15" xfId="3" applyFont="1" applyFill="1" applyBorder="1" applyAlignment="1">
      <alignment horizontal="center" vertical="center"/>
    </xf>
    <xf numFmtId="0" fontId="0" fillId="9" borderId="20" xfId="0" applyFill="1" applyBorder="1" applyAlignment="1">
      <alignment vertical="top" wrapText="1"/>
    </xf>
    <xf numFmtId="0" fontId="0" fillId="9" borderId="0" xfId="0" applyFill="1" applyBorder="1" applyAlignment="1">
      <alignment vertical="top" wrapText="1"/>
    </xf>
    <xf numFmtId="0" fontId="20" fillId="9" borderId="15" xfId="0" applyFont="1" applyFill="1" applyBorder="1" applyAlignment="1">
      <alignment horizontal="center" vertical="center" wrapText="1"/>
    </xf>
    <xf numFmtId="0" fontId="20" fillId="9" borderId="15" xfId="0" applyFont="1" applyFill="1" applyBorder="1" applyAlignment="1">
      <alignment horizontal="right" vertical="center" wrapText="1"/>
    </xf>
    <xf numFmtId="0" fontId="0" fillId="9" borderId="0" xfId="0" applyFill="1" applyBorder="1" applyAlignment="1">
      <alignment horizontal="center" vertical="top" wrapText="1"/>
    </xf>
    <xf numFmtId="0" fontId="29" fillId="9" borderId="15" xfId="0" applyFont="1" applyFill="1" applyBorder="1" applyAlignment="1">
      <alignment horizontal="center" vertical="center" wrapText="1"/>
    </xf>
    <xf numFmtId="0" fontId="5" fillId="7" borderId="14" xfId="0" applyFont="1" applyFill="1" applyBorder="1" applyAlignment="1" applyProtection="1">
      <alignment vertical="center"/>
      <protection locked="0"/>
    </xf>
    <xf numFmtId="0" fontId="5" fillId="7" borderId="0" xfId="0" applyFont="1" applyFill="1" applyAlignment="1" applyProtection="1">
      <alignment vertical="center"/>
      <protection locked="0"/>
    </xf>
    <xf numFmtId="0" fontId="30" fillId="0" borderId="0" xfId="0" applyFont="1" applyAlignment="1" applyProtection="1">
      <alignment horizontal="center" vertical="center"/>
    </xf>
    <xf numFmtId="0" fontId="30" fillId="0" borderId="0" xfId="0" applyFont="1" applyAlignment="1">
      <alignment horizontal="center" vertical="center"/>
    </xf>
    <xf numFmtId="0" fontId="30" fillId="0" borderId="0" xfId="0" applyFont="1" applyAlignment="1">
      <alignment vertical="center"/>
    </xf>
    <xf numFmtId="0" fontId="31" fillId="0" borderId="0" xfId="0" applyFont="1" applyAlignment="1" applyProtection="1"/>
    <xf numFmtId="0" fontId="31" fillId="0" borderId="0" xfId="0" applyFont="1" applyAlignment="1" applyProtection="1">
      <alignment vertical="center"/>
    </xf>
    <xf numFmtId="0" fontId="31" fillId="0" borderId="0" xfId="0" applyFont="1" applyAlignment="1" applyProtection="1">
      <alignment horizontal="center" vertical="center"/>
    </xf>
    <xf numFmtId="0" fontId="32" fillId="0" borderId="0" xfId="0" applyFont="1" applyAlignment="1">
      <alignment horizontal="center" vertical="center"/>
    </xf>
    <xf numFmtId="0" fontId="32" fillId="0" borderId="0" xfId="0" applyFont="1" applyAlignment="1">
      <alignment vertical="center"/>
    </xf>
    <xf numFmtId="0" fontId="32" fillId="0" borderId="0" xfId="0" applyFont="1" applyAlignment="1" applyProtection="1">
      <alignment horizontal="center" vertical="center"/>
    </xf>
    <xf numFmtId="0" fontId="9" fillId="0" borderId="15" xfId="0" applyFont="1" applyBorder="1" applyAlignment="1">
      <alignment horizontal="center" vertical="center" wrapText="1"/>
    </xf>
    <xf numFmtId="0" fontId="17" fillId="0" borderId="15" xfId="0" applyFont="1" applyBorder="1" applyAlignment="1">
      <alignment horizontal="left" vertical="center" wrapText="1"/>
    </xf>
    <xf numFmtId="0" fontId="15" fillId="0" borderId="15" xfId="0" applyFont="1" applyBorder="1" applyAlignment="1">
      <alignment horizontal="left" vertical="center" wrapText="1"/>
    </xf>
    <xf numFmtId="0" fontId="15" fillId="0" borderId="15" xfId="0" applyFont="1" applyBorder="1" applyAlignment="1">
      <alignment horizontal="left" vertical="center"/>
    </xf>
    <xf numFmtId="0" fontId="15" fillId="0" borderId="19" xfId="0" applyFont="1" applyBorder="1" applyAlignment="1">
      <alignment horizontal="left" vertical="center"/>
    </xf>
    <xf numFmtId="0" fontId="15" fillId="0" borderId="15" xfId="0" applyFont="1" applyBorder="1" applyAlignment="1">
      <alignment horizontal="center" vertical="center"/>
    </xf>
    <xf numFmtId="0" fontId="15" fillId="0" borderId="19" xfId="0" applyFont="1" applyBorder="1" applyAlignment="1">
      <alignment horizontal="center" vertical="center"/>
    </xf>
    <xf numFmtId="0" fontId="17" fillId="0" borderId="15" xfId="0" applyFont="1" applyBorder="1" applyAlignment="1">
      <alignment horizontal="left" vertical="center"/>
    </xf>
    <xf numFmtId="0" fontId="15" fillId="0" borderId="24" xfId="0" applyFont="1" applyBorder="1" applyAlignment="1">
      <alignment vertical="center" wrapText="1"/>
    </xf>
    <xf numFmtId="0" fontId="15" fillId="0" borderId="25" xfId="0" applyFont="1" applyBorder="1" applyAlignment="1">
      <alignment vertical="center"/>
    </xf>
    <xf numFmtId="0" fontId="15" fillId="0" borderId="27" xfId="0" applyFont="1" applyBorder="1" applyAlignment="1">
      <alignment vertical="center" wrapText="1"/>
    </xf>
    <xf numFmtId="0" fontId="15" fillId="0" borderId="0" xfId="0" applyFont="1" applyBorder="1" applyAlignment="1">
      <alignment vertical="center" wrapText="1"/>
    </xf>
    <xf numFmtId="0" fontId="15" fillId="0" borderId="21" xfId="0" applyFont="1" applyBorder="1" applyAlignment="1">
      <alignment horizontal="center" vertical="center"/>
    </xf>
    <xf numFmtId="0" fontId="11" fillId="0" borderId="15" xfId="0" applyFont="1" applyBorder="1" applyAlignment="1">
      <alignment vertical="center" wrapText="1"/>
    </xf>
    <xf numFmtId="0" fontId="11" fillId="0" borderId="23" xfId="0" applyFont="1" applyBorder="1" applyAlignment="1">
      <alignment horizontal="center" vertical="center" wrapText="1"/>
    </xf>
    <xf numFmtId="0" fontId="11" fillId="0" borderId="26" xfId="0" applyFont="1" applyBorder="1" applyAlignment="1">
      <alignment horizontal="center" vertical="center" wrapText="1"/>
    </xf>
    <xf numFmtId="0" fontId="15" fillId="0" borderId="28" xfId="0" applyFont="1" applyBorder="1" applyAlignment="1">
      <alignment vertical="center" wrapText="1"/>
    </xf>
    <xf numFmtId="0" fontId="15" fillId="0" borderId="29" xfId="0" applyFont="1" applyBorder="1" applyAlignment="1">
      <alignment vertical="center" wrapText="1"/>
    </xf>
    <xf numFmtId="0" fontId="15" fillId="0" borderId="21" xfId="0" applyFont="1" applyBorder="1" applyAlignment="1">
      <alignment horizontal="left" vertical="center" wrapText="1"/>
    </xf>
  </cellXfs>
  <cellStyles count="4">
    <cellStyle name="桁区切り" xfId="1" builtinId="6"/>
    <cellStyle name="標準" xfId="0" builtinId="0"/>
    <cellStyle name="標準 2 2 2 2" xfId="3"/>
    <cellStyle name="標準 45" xfId="2"/>
  </cellStyles>
  <dxfs count="0"/>
  <tableStyles count="0" defaultTableStyle="TableStyleMedium2" defaultPivotStyle="PivotStyleLight16"/>
  <colors>
    <mruColors>
      <color rgb="FF99CC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P456"/>
  <sheetViews>
    <sheetView workbookViewId="0">
      <selection sqref="A1:P456"/>
    </sheetView>
  </sheetViews>
  <sheetFormatPr defaultRowHeight="13.2" x14ac:dyDescent="0.2"/>
  <cols>
    <col min="1" max="1" width="19" customWidth="1"/>
    <col min="2" max="2" width="16.44140625" customWidth="1"/>
    <col min="3" max="3" width="11.44140625" customWidth="1"/>
    <col min="4" max="4" width="7.6640625" customWidth="1"/>
    <col min="5" max="5" width="14.88671875" customWidth="1"/>
    <col min="6" max="6" width="8.109375" customWidth="1"/>
    <col min="7" max="7" width="6.44140625" customWidth="1"/>
    <col min="8" max="8" width="7.109375" customWidth="1"/>
    <col min="9" max="9" width="6.77734375" customWidth="1"/>
    <col min="10" max="10" width="7.44140625" customWidth="1"/>
    <col min="11" max="11" width="6.33203125" customWidth="1"/>
    <col min="12" max="12" width="5.77734375" customWidth="1"/>
    <col min="14" max="14" width="15.109375" bestFit="1" customWidth="1"/>
    <col min="15" max="15" width="16.21875" customWidth="1"/>
  </cols>
  <sheetData>
    <row r="1" spans="1:16" x14ac:dyDescent="0.2">
      <c r="B1">
        <v>24</v>
      </c>
      <c r="C1">
        <v>203</v>
      </c>
      <c r="D1">
        <v>1</v>
      </c>
      <c r="E1" t="s">
        <v>8519</v>
      </c>
      <c r="F1" t="s">
        <v>8664</v>
      </c>
      <c r="G1" t="s">
        <v>8665</v>
      </c>
      <c r="H1" t="s">
        <v>8666</v>
      </c>
      <c r="I1" t="s">
        <v>8667</v>
      </c>
      <c r="J1" t="s">
        <v>8519</v>
      </c>
      <c r="K1" t="s">
        <v>8519</v>
      </c>
      <c r="L1" t="s">
        <v>8519</v>
      </c>
      <c r="M1" t="s">
        <v>8664</v>
      </c>
      <c r="N1">
        <v>22</v>
      </c>
      <c r="O1" t="s">
        <v>8668</v>
      </c>
      <c r="P1" t="s">
        <v>8669</v>
      </c>
    </row>
    <row r="2" spans="1:16" x14ac:dyDescent="0.2">
      <c r="A2" t="s">
        <v>8519</v>
      </c>
      <c r="B2" t="s">
        <v>8519</v>
      </c>
      <c r="C2" t="s">
        <v>8519</v>
      </c>
      <c r="D2" t="s">
        <v>8519</v>
      </c>
      <c r="E2" t="s">
        <v>8519</v>
      </c>
      <c r="F2" t="s">
        <v>8519</v>
      </c>
    </row>
    <row r="3" spans="1:16" x14ac:dyDescent="0.2">
      <c r="A3" t="s">
        <v>8519</v>
      </c>
      <c r="B3" t="s">
        <v>8670</v>
      </c>
      <c r="C3" t="s">
        <v>8671</v>
      </c>
      <c r="D3" t="s">
        <v>8519</v>
      </c>
      <c r="E3" t="s">
        <v>8519</v>
      </c>
      <c r="F3" t="s">
        <v>8519</v>
      </c>
      <c r="G3" t="s">
        <v>8519</v>
      </c>
    </row>
    <row r="4" spans="1:16" x14ac:dyDescent="0.2">
      <c r="A4" t="s">
        <v>8519</v>
      </c>
      <c r="B4" t="s">
        <v>8519</v>
      </c>
      <c r="C4" t="s">
        <v>8519</v>
      </c>
      <c r="D4" t="s">
        <v>8519</v>
      </c>
      <c r="E4" t="s">
        <v>8519</v>
      </c>
      <c r="F4" t="s">
        <v>8519</v>
      </c>
      <c r="G4" t="s">
        <v>8519</v>
      </c>
    </row>
    <row r="5" spans="1:16" x14ac:dyDescent="0.2">
      <c r="A5" t="s">
        <v>8519</v>
      </c>
      <c r="B5" t="s">
        <v>8519</v>
      </c>
      <c r="C5" t="s">
        <v>8519</v>
      </c>
      <c r="D5" t="s">
        <v>8519</v>
      </c>
      <c r="E5" t="s">
        <v>8519</v>
      </c>
      <c r="F5" t="s">
        <v>8519</v>
      </c>
      <c r="G5" t="s">
        <v>8519</v>
      </c>
    </row>
    <row r="6" spans="1:16" x14ac:dyDescent="0.2">
      <c r="A6" t="s">
        <v>8519</v>
      </c>
      <c r="B6" t="s">
        <v>8519</v>
      </c>
      <c r="C6" t="s">
        <v>8519</v>
      </c>
      <c r="D6" t="s">
        <v>8519</v>
      </c>
      <c r="E6" t="s">
        <v>8519</v>
      </c>
      <c r="F6" t="s">
        <v>8519</v>
      </c>
      <c r="G6" t="s">
        <v>8519</v>
      </c>
    </row>
    <row r="7" spans="1:16" x14ac:dyDescent="0.2">
      <c r="A7" t="s">
        <v>8519</v>
      </c>
      <c r="B7" t="s">
        <v>8519</v>
      </c>
      <c r="C7" t="s">
        <v>8519</v>
      </c>
      <c r="D7" t="s">
        <v>8519</v>
      </c>
      <c r="E7" t="s">
        <v>8519</v>
      </c>
      <c r="F7" t="s">
        <v>8519</v>
      </c>
      <c r="G7" t="s">
        <v>8519</v>
      </c>
    </row>
    <row r="8" spans="1:16" x14ac:dyDescent="0.2">
      <c r="A8" t="s">
        <v>8670</v>
      </c>
      <c r="B8" t="s">
        <v>8672</v>
      </c>
    </row>
    <row r="9" spans="1:16" x14ac:dyDescent="0.2">
      <c r="A9">
        <v>0</v>
      </c>
      <c r="B9">
        <v>0</v>
      </c>
      <c r="C9">
        <v>0</v>
      </c>
      <c r="D9" t="s">
        <v>8673</v>
      </c>
      <c r="E9" t="s">
        <v>8674</v>
      </c>
    </row>
    <row r="10" spans="1:16" x14ac:dyDescent="0.2">
      <c r="A10" t="s">
        <v>8519</v>
      </c>
    </row>
    <row r="11" spans="1:16" x14ac:dyDescent="0.2">
      <c r="A11" t="s">
        <v>8519</v>
      </c>
    </row>
    <row r="12" spans="1:16" x14ac:dyDescent="0.2">
      <c r="A12" t="s">
        <v>8519</v>
      </c>
    </row>
    <row r="13" spans="1:16" x14ac:dyDescent="0.2">
      <c r="A13" t="s">
        <v>8519</v>
      </c>
    </row>
    <row r="14" spans="1:16" x14ac:dyDescent="0.2">
      <c r="A14" t="s">
        <v>8519</v>
      </c>
    </row>
    <row r="15" spans="1:16" x14ac:dyDescent="0.2">
      <c r="A15" t="s">
        <v>8675</v>
      </c>
      <c r="B15" t="s">
        <v>8676</v>
      </c>
      <c r="C15">
        <v>1</v>
      </c>
      <c r="D15">
        <v>0</v>
      </c>
      <c r="E15">
        <v>0</v>
      </c>
      <c r="F15">
        <v>0</v>
      </c>
    </row>
    <row r="16" spans="1:16" x14ac:dyDescent="0.2">
      <c r="A16" t="s">
        <v>8677</v>
      </c>
      <c r="B16" t="s">
        <v>8676</v>
      </c>
      <c r="C16" t="s">
        <v>8672</v>
      </c>
      <c r="D16" t="s">
        <v>8678</v>
      </c>
      <c r="E16" t="s">
        <v>8679</v>
      </c>
      <c r="F16" t="s">
        <v>8680</v>
      </c>
      <c r="G16" t="s">
        <v>8679</v>
      </c>
      <c r="H16" t="s">
        <v>8671</v>
      </c>
      <c r="I16" t="s">
        <v>8674</v>
      </c>
      <c r="J16" t="s">
        <v>8674</v>
      </c>
      <c r="K16" t="s">
        <v>8674</v>
      </c>
      <c r="L16" t="s">
        <v>8674</v>
      </c>
    </row>
    <row r="17" spans="1:16" x14ac:dyDescent="0.2">
      <c r="A17" t="s">
        <v>8681</v>
      </c>
      <c r="B17" t="s">
        <v>8682</v>
      </c>
      <c r="C17" t="s">
        <v>8519</v>
      </c>
      <c r="D17" t="s">
        <v>8683</v>
      </c>
      <c r="E17" t="s">
        <v>8519</v>
      </c>
      <c r="F17" t="s">
        <v>8674</v>
      </c>
      <c r="G17" t="s">
        <v>8684</v>
      </c>
      <c r="H17" t="s">
        <v>8519</v>
      </c>
      <c r="I17" t="s">
        <v>8685</v>
      </c>
    </row>
    <row r="18" spans="1:16" x14ac:dyDescent="0.2">
      <c r="A18" t="s">
        <v>8679</v>
      </c>
      <c r="B18" t="s">
        <v>8680</v>
      </c>
      <c r="C18" t="s">
        <v>8679</v>
      </c>
      <c r="D18" t="s">
        <v>8671</v>
      </c>
    </row>
    <row r="19" spans="1:16" x14ac:dyDescent="0.2">
      <c r="A19" t="s">
        <v>8671</v>
      </c>
      <c r="B19" t="s">
        <v>8686</v>
      </c>
      <c r="C19" t="s">
        <v>8679</v>
      </c>
      <c r="D19" t="s">
        <v>8133</v>
      </c>
      <c r="E19" t="s">
        <v>8679</v>
      </c>
      <c r="F19" t="s">
        <v>8679</v>
      </c>
      <c r="G19" t="s">
        <v>8687</v>
      </c>
      <c r="H19" t="s">
        <v>8678</v>
      </c>
    </row>
    <row r="20" spans="1:16" x14ac:dyDescent="0.2">
      <c r="B20">
        <v>24</v>
      </c>
      <c r="C20">
        <v>203</v>
      </c>
      <c r="D20">
        <v>2</v>
      </c>
      <c r="F20" t="s">
        <v>8550</v>
      </c>
      <c r="G20" t="s">
        <v>8535</v>
      </c>
      <c r="H20" t="s">
        <v>8536</v>
      </c>
      <c r="I20" t="s">
        <v>8537</v>
      </c>
      <c r="J20" t="s">
        <v>8551</v>
      </c>
      <c r="K20" t="s">
        <v>8552</v>
      </c>
      <c r="M20" t="s">
        <v>8550</v>
      </c>
      <c r="N20">
        <v>10</v>
      </c>
      <c r="O20" t="s">
        <v>8538</v>
      </c>
      <c r="P20" t="s">
        <v>8539</v>
      </c>
    </row>
    <row r="21" spans="1:16" x14ac:dyDescent="0.2">
      <c r="A21" t="s">
        <v>8553</v>
      </c>
      <c r="B21" t="s">
        <v>8554</v>
      </c>
    </row>
    <row r="22" spans="1:16" x14ac:dyDescent="0.2">
      <c r="A22">
        <v>20</v>
      </c>
      <c r="D22" t="s">
        <v>8555</v>
      </c>
      <c r="E22">
        <v>300</v>
      </c>
    </row>
    <row r="27" spans="1:16" x14ac:dyDescent="0.2">
      <c r="A27" t="s">
        <v>8556</v>
      </c>
      <c r="B27" t="s">
        <v>8540</v>
      </c>
    </row>
    <row r="28" spans="1:16" x14ac:dyDescent="0.2">
      <c r="A28">
        <v>0</v>
      </c>
      <c r="B28">
        <v>0</v>
      </c>
      <c r="C28">
        <v>0</v>
      </c>
      <c r="D28" t="s">
        <v>8557</v>
      </c>
      <c r="E28" t="s">
        <v>8531</v>
      </c>
    </row>
    <row r="29" spans="1:16" x14ac:dyDescent="0.2">
      <c r="A29" t="s">
        <v>8558</v>
      </c>
    </row>
    <row r="34" spans="1:16" x14ac:dyDescent="0.2">
      <c r="A34" t="s">
        <v>8543</v>
      </c>
      <c r="B34" t="s">
        <v>8532</v>
      </c>
      <c r="C34">
        <v>1</v>
      </c>
      <c r="D34">
        <v>0</v>
      </c>
      <c r="E34">
        <v>0</v>
      </c>
      <c r="F34">
        <v>0</v>
      </c>
    </row>
    <row r="35" spans="1:16" x14ac:dyDescent="0.2">
      <c r="A35" t="s">
        <v>8559</v>
      </c>
      <c r="B35" t="s">
        <v>8544</v>
      </c>
      <c r="C35" t="s">
        <v>8540</v>
      </c>
      <c r="D35" t="s">
        <v>8503</v>
      </c>
      <c r="E35">
        <v>0</v>
      </c>
      <c r="F35">
        <v>3</v>
      </c>
      <c r="G35">
        <v>0</v>
      </c>
      <c r="H35">
        <v>2</v>
      </c>
      <c r="I35" t="s">
        <v>8531</v>
      </c>
      <c r="J35" t="s">
        <v>8542</v>
      </c>
      <c r="K35" t="s">
        <v>8531</v>
      </c>
      <c r="L35" t="s">
        <v>8560</v>
      </c>
    </row>
    <row r="36" spans="1:16" x14ac:dyDescent="0.2">
      <c r="A36" t="s">
        <v>8545</v>
      </c>
      <c r="B36" t="s">
        <v>8546</v>
      </c>
      <c r="D36" t="s">
        <v>8547</v>
      </c>
      <c r="F36" t="s">
        <v>8531</v>
      </c>
      <c r="G36" t="s">
        <v>8561</v>
      </c>
      <c r="I36" t="s">
        <v>8549</v>
      </c>
    </row>
    <row r="37" spans="1:16" x14ac:dyDescent="0.2">
      <c r="A37">
        <v>0</v>
      </c>
      <c r="B37">
        <v>3</v>
      </c>
      <c r="C37">
        <v>0</v>
      </c>
      <c r="D37">
        <v>2</v>
      </c>
    </row>
    <row r="38" spans="1:16" x14ac:dyDescent="0.2">
      <c r="A38">
        <v>3</v>
      </c>
      <c r="B38">
        <v>57</v>
      </c>
      <c r="C38">
        <v>43</v>
      </c>
      <c r="D38">
        <v>20</v>
      </c>
      <c r="E38">
        <v>0</v>
      </c>
      <c r="F38">
        <v>0</v>
      </c>
      <c r="G38">
        <v>120</v>
      </c>
      <c r="H38" t="s">
        <v>8503</v>
      </c>
    </row>
    <row r="39" spans="1:16" x14ac:dyDescent="0.2">
      <c r="B39">
        <v>24</v>
      </c>
      <c r="C39">
        <v>203</v>
      </c>
      <c r="D39">
        <v>3</v>
      </c>
      <c r="F39" t="s">
        <v>8562</v>
      </c>
      <c r="G39" t="s">
        <v>8535</v>
      </c>
      <c r="H39" t="s">
        <v>8536</v>
      </c>
      <c r="I39" t="s">
        <v>8537</v>
      </c>
      <c r="J39" t="s">
        <v>8563</v>
      </c>
      <c r="K39" t="s">
        <v>8552</v>
      </c>
      <c r="M39" t="s">
        <v>8562</v>
      </c>
      <c r="N39">
        <v>28</v>
      </c>
      <c r="O39" t="s">
        <v>8538</v>
      </c>
      <c r="P39" t="s">
        <v>8539</v>
      </c>
    </row>
    <row r="41" spans="1:16" x14ac:dyDescent="0.2">
      <c r="A41">
        <v>15</v>
      </c>
      <c r="D41" t="s">
        <v>8555</v>
      </c>
      <c r="E41">
        <v>400</v>
      </c>
    </row>
    <row r="46" spans="1:16" x14ac:dyDescent="0.2">
      <c r="A46" t="s">
        <v>8556</v>
      </c>
      <c r="B46" t="s">
        <v>8540</v>
      </c>
    </row>
    <row r="47" spans="1:16" x14ac:dyDescent="0.2">
      <c r="A47">
        <v>0</v>
      </c>
      <c r="B47">
        <v>0</v>
      </c>
      <c r="C47">
        <v>0</v>
      </c>
      <c r="D47" t="s">
        <v>8541</v>
      </c>
      <c r="E47" t="s">
        <v>8542</v>
      </c>
    </row>
    <row r="53" spans="1:16" x14ac:dyDescent="0.2">
      <c r="A53" t="s">
        <v>8543</v>
      </c>
      <c r="B53" t="s">
        <v>8544</v>
      </c>
      <c r="C53">
        <v>1</v>
      </c>
      <c r="D53">
        <v>0</v>
      </c>
      <c r="E53">
        <v>0</v>
      </c>
      <c r="F53">
        <v>0</v>
      </c>
    </row>
    <row r="54" spans="1:16" x14ac:dyDescent="0.2">
      <c r="A54" t="s">
        <v>8564</v>
      </c>
      <c r="B54" t="s">
        <v>8565</v>
      </c>
      <c r="C54" t="s">
        <v>8540</v>
      </c>
      <c r="D54" t="s">
        <v>8565</v>
      </c>
      <c r="E54">
        <v>0</v>
      </c>
      <c r="F54">
        <v>4</v>
      </c>
      <c r="G54">
        <v>0</v>
      </c>
      <c r="H54">
        <v>0</v>
      </c>
      <c r="I54" t="s">
        <v>8542</v>
      </c>
      <c r="J54" t="s">
        <v>8542</v>
      </c>
      <c r="K54" t="s">
        <v>8542</v>
      </c>
      <c r="L54" t="s">
        <v>8542</v>
      </c>
    </row>
    <row r="55" spans="1:16" x14ac:dyDescent="0.2">
      <c r="A55" t="s">
        <v>8545</v>
      </c>
      <c r="B55" t="s">
        <v>8546</v>
      </c>
      <c r="D55" t="s">
        <v>8547</v>
      </c>
      <c r="F55" t="s">
        <v>8531</v>
      </c>
      <c r="G55" t="s">
        <v>8566</v>
      </c>
      <c r="I55" t="s">
        <v>8549</v>
      </c>
    </row>
    <row r="56" spans="1:16" x14ac:dyDescent="0.2">
      <c r="A56">
        <v>0</v>
      </c>
      <c r="B56">
        <v>4</v>
      </c>
      <c r="C56">
        <v>0</v>
      </c>
      <c r="D56">
        <v>0</v>
      </c>
    </row>
    <row r="57" spans="1:16" x14ac:dyDescent="0.2">
      <c r="A57">
        <v>3</v>
      </c>
      <c r="B57">
        <v>61</v>
      </c>
      <c r="C57">
        <v>0</v>
      </c>
      <c r="D57">
        <v>20</v>
      </c>
      <c r="E57">
        <v>0</v>
      </c>
      <c r="F57">
        <v>0</v>
      </c>
      <c r="G57">
        <v>81</v>
      </c>
      <c r="H57" t="s">
        <v>8565</v>
      </c>
    </row>
    <row r="58" spans="1:16" x14ac:dyDescent="0.2">
      <c r="B58">
        <v>24</v>
      </c>
      <c r="C58">
        <v>203</v>
      </c>
      <c r="D58">
        <v>4</v>
      </c>
      <c r="F58" t="s">
        <v>8567</v>
      </c>
      <c r="G58" t="s">
        <v>8535</v>
      </c>
      <c r="H58" t="s">
        <v>8536</v>
      </c>
      <c r="I58" t="s">
        <v>8537</v>
      </c>
      <c r="J58" t="s">
        <v>8568</v>
      </c>
      <c r="K58" t="s">
        <v>8552</v>
      </c>
      <c r="M58" t="s">
        <v>8567</v>
      </c>
      <c r="N58">
        <v>37</v>
      </c>
      <c r="O58" t="s">
        <v>8538</v>
      </c>
      <c r="P58" t="s">
        <v>8539</v>
      </c>
    </row>
    <row r="60" spans="1:16" x14ac:dyDescent="0.2">
      <c r="A60">
        <v>20</v>
      </c>
      <c r="B60" t="s">
        <v>8569</v>
      </c>
      <c r="C60">
        <v>1</v>
      </c>
      <c r="D60" t="s">
        <v>8555</v>
      </c>
      <c r="E60">
        <v>200</v>
      </c>
      <c r="F60" t="s">
        <v>8570</v>
      </c>
      <c r="G60" t="s">
        <v>8571</v>
      </c>
    </row>
    <row r="65" spans="1:16" x14ac:dyDescent="0.2">
      <c r="A65" t="s">
        <v>8556</v>
      </c>
      <c r="B65" t="s">
        <v>8540</v>
      </c>
    </row>
    <row r="66" spans="1:16" x14ac:dyDescent="0.2">
      <c r="A66">
        <v>0</v>
      </c>
      <c r="B66">
        <v>0</v>
      </c>
      <c r="C66">
        <v>0</v>
      </c>
      <c r="D66" t="s">
        <v>8557</v>
      </c>
      <c r="E66" t="s">
        <v>8542</v>
      </c>
    </row>
    <row r="72" spans="1:16" x14ac:dyDescent="0.2">
      <c r="A72" t="s">
        <v>8543</v>
      </c>
      <c r="B72" t="s">
        <v>8544</v>
      </c>
      <c r="C72">
        <v>1</v>
      </c>
      <c r="D72">
        <v>0</v>
      </c>
      <c r="E72">
        <v>0</v>
      </c>
      <c r="F72">
        <v>0</v>
      </c>
    </row>
    <row r="73" spans="1:16" x14ac:dyDescent="0.2">
      <c r="A73" t="s">
        <v>8572</v>
      </c>
      <c r="B73" t="s">
        <v>8565</v>
      </c>
      <c r="C73" t="s">
        <v>8540</v>
      </c>
      <c r="D73" t="s">
        <v>8565</v>
      </c>
      <c r="E73">
        <v>0</v>
      </c>
      <c r="F73">
        <v>2</v>
      </c>
      <c r="G73">
        <v>0</v>
      </c>
      <c r="H73">
        <v>0</v>
      </c>
      <c r="I73" t="s">
        <v>8542</v>
      </c>
      <c r="J73" t="s">
        <v>8542</v>
      </c>
      <c r="K73" t="s">
        <v>8542</v>
      </c>
      <c r="L73" t="s">
        <v>8560</v>
      </c>
    </row>
    <row r="74" spans="1:16" x14ac:dyDescent="0.2">
      <c r="A74" t="s">
        <v>8573</v>
      </c>
      <c r="B74" t="s">
        <v>8574</v>
      </c>
      <c r="D74" t="s">
        <v>8547</v>
      </c>
      <c r="F74" t="s">
        <v>8531</v>
      </c>
      <c r="G74" t="s">
        <v>8575</v>
      </c>
      <c r="H74" t="s">
        <v>8542</v>
      </c>
      <c r="I74" t="s">
        <v>8576</v>
      </c>
    </row>
    <row r="75" spans="1:16" x14ac:dyDescent="0.2">
      <c r="A75">
        <v>0</v>
      </c>
      <c r="B75">
        <v>2</v>
      </c>
      <c r="C75">
        <v>0</v>
      </c>
      <c r="D75">
        <v>0</v>
      </c>
    </row>
    <row r="76" spans="1:16" x14ac:dyDescent="0.2">
      <c r="A76">
        <v>2</v>
      </c>
      <c r="B76">
        <v>78</v>
      </c>
      <c r="C76">
        <v>0</v>
      </c>
      <c r="D76">
        <v>0</v>
      </c>
      <c r="E76">
        <v>0</v>
      </c>
      <c r="F76">
        <v>0</v>
      </c>
      <c r="G76">
        <v>78</v>
      </c>
      <c r="H76" t="s">
        <v>8565</v>
      </c>
    </row>
    <row r="77" spans="1:16" x14ac:dyDescent="0.2">
      <c r="B77">
        <v>24</v>
      </c>
      <c r="C77">
        <v>203</v>
      </c>
      <c r="D77">
        <v>5</v>
      </c>
      <c r="F77" t="s">
        <v>8577</v>
      </c>
      <c r="G77" t="s">
        <v>8535</v>
      </c>
      <c r="H77" t="s">
        <v>8536</v>
      </c>
      <c r="I77" t="s">
        <v>8537</v>
      </c>
      <c r="J77" t="s">
        <v>8578</v>
      </c>
      <c r="K77" t="s">
        <v>8552</v>
      </c>
      <c r="M77" t="s">
        <v>8577</v>
      </c>
      <c r="N77">
        <v>36</v>
      </c>
      <c r="O77" t="s">
        <v>8538</v>
      </c>
      <c r="P77" t="s">
        <v>8539</v>
      </c>
    </row>
    <row r="79" spans="1:16" x14ac:dyDescent="0.2">
      <c r="A79">
        <v>25</v>
      </c>
      <c r="D79" t="s">
        <v>8555</v>
      </c>
      <c r="E79">
        <v>100</v>
      </c>
    </row>
    <row r="84" spans="1:16" x14ac:dyDescent="0.2">
      <c r="A84" t="s">
        <v>8556</v>
      </c>
      <c r="B84" t="s">
        <v>8540</v>
      </c>
    </row>
    <row r="85" spans="1:16" x14ac:dyDescent="0.2">
      <c r="A85">
        <v>0</v>
      </c>
      <c r="B85">
        <v>0</v>
      </c>
      <c r="C85">
        <v>0</v>
      </c>
      <c r="D85" t="s">
        <v>8541</v>
      </c>
      <c r="E85" t="s">
        <v>8542</v>
      </c>
    </row>
    <row r="86" spans="1:16" x14ac:dyDescent="0.2">
      <c r="A86" t="s">
        <v>8579</v>
      </c>
    </row>
    <row r="91" spans="1:16" x14ac:dyDescent="0.2">
      <c r="A91" t="s">
        <v>8543</v>
      </c>
      <c r="B91" t="s">
        <v>8544</v>
      </c>
      <c r="C91">
        <v>1</v>
      </c>
      <c r="D91">
        <v>0</v>
      </c>
      <c r="E91">
        <v>0</v>
      </c>
      <c r="F91">
        <v>0</v>
      </c>
    </row>
    <row r="92" spans="1:16" x14ac:dyDescent="0.2">
      <c r="A92" t="s">
        <v>8580</v>
      </c>
      <c r="B92" t="s">
        <v>8565</v>
      </c>
      <c r="C92" t="s">
        <v>8540</v>
      </c>
      <c r="D92" t="s">
        <v>8565</v>
      </c>
      <c r="E92">
        <v>0</v>
      </c>
      <c r="F92">
        <v>1</v>
      </c>
      <c r="G92">
        <v>0</v>
      </c>
      <c r="H92">
        <v>0</v>
      </c>
      <c r="I92" t="s">
        <v>8542</v>
      </c>
      <c r="J92" t="s">
        <v>8542</v>
      </c>
      <c r="K92" t="s">
        <v>8542</v>
      </c>
      <c r="L92" t="s">
        <v>8542</v>
      </c>
    </row>
    <row r="93" spans="1:16" x14ac:dyDescent="0.2">
      <c r="A93" t="s">
        <v>8573</v>
      </c>
      <c r="B93" t="s">
        <v>8574</v>
      </c>
      <c r="D93" t="s">
        <v>8547</v>
      </c>
      <c r="F93" t="s">
        <v>8531</v>
      </c>
      <c r="H93" t="s">
        <v>8542</v>
      </c>
      <c r="I93" t="s">
        <v>8576</v>
      </c>
    </row>
    <row r="94" spans="1:16" x14ac:dyDescent="0.2">
      <c r="A94">
        <v>0</v>
      </c>
      <c r="B94">
        <v>1</v>
      </c>
      <c r="C94">
        <v>0</v>
      </c>
      <c r="D94">
        <v>0</v>
      </c>
    </row>
    <row r="95" spans="1:16" x14ac:dyDescent="0.2">
      <c r="A95">
        <v>1</v>
      </c>
      <c r="B95">
        <v>53</v>
      </c>
      <c r="C95">
        <v>0</v>
      </c>
      <c r="D95">
        <v>0</v>
      </c>
      <c r="E95">
        <v>0</v>
      </c>
      <c r="F95">
        <v>0</v>
      </c>
      <c r="G95">
        <v>53</v>
      </c>
      <c r="H95" t="s">
        <v>8565</v>
      </c>
    </row>
    <row r="96" spans="1:16" x14ac:dyDescent="0.2">
      <c r="B96">
        <v>24</v>
      </c>
      <c r="C96">
        <v>203</v>
      </c>
      <c r="D96">
        <v>6</v>
      </c>
      <c r="F96" t="s">
        <v>8581</v>
      </c>
      <c r="G96" t="s">
        <v>8535</v>
      </c>
      <c r="H96" t="s">
        <v>8536</v>
      </c>
      <c r="I96" t="s">
        <v>8537</v>
      </c>
      <c r="J96" t="s">
        <v>8582</v>
      </c>
      <c r="K96" t="s">
        <v>8552</v>
      </c>
      <c r="L96" t="s">
        <v>8583</v>
      </c>
      <c r="M96" t="s">
        <v>8584</v>
      </c>
      <c r="N96">
        <v>146</v>
      </c>
      <c r="O96" t="s">
        <v>8538</v>
      </c>
      <c r="P96" t="s">
        <v>8539</v>
      </c>
    </row>
    <row r="98" spans="1:12" x14ac:dyDescent="0.2">
      <c r="A98">
        <v>5</v>
      </c>
      <c r="D98" t="s">
        <v>8585</v>
      </c>
      <c r="E98">
        <v>300</v>
      </c>
    </row>
    <row r="103" spans="1:12" x14ac:dyDescent="0.2">
      <c r="A103" t="s">
        <v>8556</v>
      </c>
      <c r="B103" t="s">
        <v>8586</v>
      </c>
    </row>
    <row r="104" spans="1:12" x14ac:dyDescent="0.2">
      <c r="A104">
        <v>0</v>
      </c>
      <c r="B104">
        <v>0</v>
      </c>
      <c r="C104">
        <v>0</v>
      </c>
      <c r="D104" t="s">
        <v>8541</v>
      </c>
      <c r="E104" t="s">
        <v>8542</v>
      </c>
    </row>
    <row r="110" spans="1:12" x14ac:dyDescent="0.2">
      <c r="A110" t="s">
        <v>8543</v>
      </c>
      <c r="B110" t="s">
        <v>8544</v>
      </c>
      <c r="C110">
        <v>1</v>
      </c>
      <c r="D110">
        <v>0</v>
      </c>
      <c r="E110">
        <v>0</v>
      </c>
      <c r="F110">
        <v>0</v>
      </c>
    </row>
    <row r="111" spans="1:12" x14ac:dyDescent="0.2">
      <c r="A111" t="s">
        <v>8587</v>
      </c>
      <c r="B111" t="s">
        <v>8588</v>
      </c>
      <c r="C111" t="s">
        <v>8586</v>
      </c>
      <c r="D111" t="s">
        <v>8503</v>
      </c>
      <c r="E111">
        <v>0</v>
      </c>
      <c r="F111">
        <v>5</v>
      </c>
      <c r="G111">
        <v>0</v>
      </c>
      <c r="H111">
        <v>1</v>
      </c>
      <c r="I111" t="s">
        <v>8542</v>
      </c>
      <c r="J111" t="s">
        <v>8542</v>
      </c>
      <c r="K111" t="s">
        <v>8542</v>
      </c>
      <c r="L111" t="s">
        <v>8542</v>
      </c>
    </row>
    <row r="112" spans="1:12" x14ac:dyDescent="0.2">
      <c r="A112" t="s">
        <v>8589</v>
      </c>
      <c r="B112" t="s">
        <v>8590</v>
      </c>
      <c r="D112" t="s">
        <v>8547</v>
      </c>
      <c r="F112" t="s">
        <v>8542</v>
      </c>
      <c r="G112" t="s">
        <v>8575</v>
      </c>
      <c r="H112" t="s">
        <v>8542</v>
      </c>
      <c r="I112" t="s">
        <v>8591</v>
      </c>
    </row>
    <row r="113" spans="1:16" x14ac:dyDescent="0.2">
      <c r="A113">
        <v>0</v>
      </c>
      <c r="B113">
        <v>5</v>
      </c>
      <c r="C113">
        <v>0</v>
      </c>
      <c r="D113">
        <v>1</v>
      </c>
    </row>
    <row r="114" spans="1:16" x14ac:dyDescent="0.2">
      <c r="A114">
        <v>1</v>
      </c>
      <c r="B114">
        <v>107</v>
      </c>
      <c r="C114">
        <v>0</v>
      </c>
      <c r="D114">
        <v>0</v>
      </c>
      <c r="E114">
        <v>0</v>
      </c>
      <c r="F114">
        <v>0</v>
      </c>
      <c r="G114">
        <v>107</v>
      </c>
      <c r="H114" t="s">
        <v>8503</v>
      </c>
    </row>
    <row r="115" spans="1:16" x14ac:dyDescent="0.2">
      <c r="B115">
        <v>24</v>
      </c>
      <c r="C115">
        <v>203</v>
      </c>
      <c r="D115">
        <v>7</v>
      </c>
      <c r="F115" t="s">
        <v>8592</v>
      </c>
      <c r="G115" t="s">
        <v>8535</v>
      </c>
      <c r="H115" t="s">
        <v>8536</v>
      </c>
      <c r="I115" t="s">
        <v>8537</v>
      </c>
      <c r="J115" t="s">
        <v>8582</v>
      </c>
      <c r="K115" t="s">
        <v>8552</v>
      </c>
      <c r="L115" t="s">
        <v>8583</v>
      </c>
      <c r="M115" t="s">
        <v>8593</v>
      </c>
      <c r="N115">
        <v>139</v>
      </c>
      <c r="O115" t="s">
        <v>8538</v>
      </c>
      <c r="P115" t="s">
        <v>8539</v>
      </c>
    </row>
    <row r="117" spans="1:16" x14ac:dyDescent="0.2">
      <c r="A117">
        <v>5</v>
      </c>
      <c r="D117" t="s">
        <v>8585</v>
      </c>
      <c r="E117">
        <v>100</v>
      </c>
    </row>
    <row r="122" spans="1:16" x14ac:dyDescent="0.2">
      <c r="A122" t="s">
        <v>8556</v>
      </c>
      <c r="B122" t="s">
        <v>8586</v>
      </c>
    </row>
    <row r="123" spans="1:16" x14ac:dyDescent="0.2">
      <c r="A123">
        <v>0</v>
      </c>
      <c r="B123">
        <v>0</v>
      </c>
      <c r="C123">
        <v>0</v>
      </c>
      <c r="D123" t="s">
        <v>8541</v>
      </c>
      <c r="E123" t="s">
        <v>8542</v>
      </c>
    </row>
    <row r="129" spans="1:16" x14ac:dyDescent="0.2">
      <c r="A129" t="s">
        <v>8543</v>
      </c>
      <c r="B129" t="s">
        <v>8588</v>
      </c>
      <c r="C129">
        <v>1</v>
      </c>
      <c r="D129">
        <v>0</v>
      </c>
      <c r="E129">
        <v>0</v>
      </c>
      <c r="F129">
        <v>0</v>
      </c>
    </row>
    <row r="130" spans="1:16" x14ac:dyDescent="0.2">
      <c r="A130" t="s">
        <v>8594</v>
      </c>
      <c r="B130" t="s">
        <v>8565</v>
      </c>
      <c r="C130" t="s">
        <v>8586</v>
      </c>
      <c r="D130" t="s">
        <v>8565</v>
      </c>
      <c r="E130">
        <v>0</v>
      </c>
      <c r="F130">
        <v>1</v>
      </c>
      <c r="G130">
        <v>0</v>
      </c>
      <c r="H130">
        <v>0</v>
      </c>
      <c r="I130" t="s">
        <v>8542</v>
      </c>
      <c r="J130" t="s">
        <v>8542</v>
      </c>
      <c r="K130" t="s">
        <v>8542</v>
      </c>
      <c r="L130" t="s">
        <v>8542</v>
      </c>
    </row>
    <row r="131" spans="1:16" x14ac:dyDescent="0.2">
      <c r="A131" t="s">
        <v>8589</v>
      </c>
      <c r="B131" t="s">
        <v>8590</v>
      </c>
      <c r="D131" t="s">
        <v>8547</v>
      </c>
      <c r="F131" t="s">
        <v>8542</v>
      </c>
      <c r="G131" t="s">
        <v>8575</v>
      </c>
      <c r="H131" t="s">
        <v>8542</v>
      </c>
      <c r="I131" t="s">
        <v>8591</v>
      </c>
    </row>
    <row r="132" spans="1:16" x14ac:dyDescent="0.2">
      <c r="A132">
        <v>0</v>
      </c>
      <c r="B132">
        <v>1</v>
      </c>
      <c r="C132">
        <v>0</v>
      </c>
      <c r="D132">
        <v>0</v>
      </c>
    </row>
    <row r="133" spans="1:16" x14ac:dyDescent="0.2">
      <c r="A133">
        <v>1</v>
      </c>
      <c r="B133">
        <v>56</v>
      </c>
      <c r="C133">
        <v>0</v>
      </c>
      <c r="D133">
        <v>0</v>
      </c>
      <c r="E133">
        <v>0</v>
      </c>
      <c r="F133">
        <v>0</v>
      </c>
      <c r="G133">
        <v>56</v>
      </c>
      <c r="H133" t="s">
        <v>8565</v>
      </c>
    </row>
    <row r="134" spans="1:16" x14ac:dyDescent="0.2">
      <c r="B134">
        <v>24</v>
      </c>
      <c r="C134">
        <v>203</v>
      </c>
      <c r="D134">
        <v>8</v>
      </c>
      <c r="F134" t="s">
        <v>8595</v>
      </c>
      <c r="G134" t="s">
        <v>8535</v>
      </c>
      <c r="H134" t="s">
        <v>8536</v>
      </c>
      <c r="I134" t="s">
        <v>8537</v>
      </c>
      <c r="J134" t="s">
        <v>8582</v>
      </c>
      <c r="K134" t="s">
        <v>8552</v>
      </c>
      <c r="L134" t="s">
        <v>8583</v>
      </c>
      <c r="M134" t="s">
        <v>8593</v>
      </c>
      <c r="N134">
        <v>139</v>
      </c>
      <c r="O134" t="s">
        <v>8538</v>
      </c>
      <c r="P134" t="s">
        <v>8539</v>
      </c>
    </row>
    <row r="136" spans="1:16" x14ac:dyDescent="0.2">
      <c r="A136">
        <v>2</v>
      </c>
      <c r="B136" t="s">
        <v>8596</v>
      </c>
      <c r="C136">
        <v>1</v>
      </c>
      <c r="D136" t="s">
        <v>8585</v>
      </c>
      <c r="E136">
        <v>100</v>
      </c>
    </row>
    <row r="141" spans="1:16" x14ac:dyDescent="0.2">
      <c r="A141" t="s">
        <v>8596</v>
      </c>
      <c r="B141" t="s">
        <v>8540</v>
      </c>
    </row>
    <row r="142" spans="1:16" x14ac:dyDescent="0.2">
      <c r="A142">
        <v>0</v>
      </c>
      <c r="B142">
        <v>0</v>
      </c>
      <c r="C142">
        <v>0</v>
      </c>
      <c r="D142" t="s">
        <v>8541</v>
      </c>
      <c r="E142" t="s">
        <v>8542</v>
      </c>
    </row>
    <row r="148" spans="1:16" x14ac:dyDescent="0.2">
      <c r="A148" t="s">
        <v>8543</v>
      </c>
      <c r="B148" t="s">
        <v>8544</v>
      </c>
      <c r="C148">
        <v>1</v>
      </c>
      <c r="D148">
        <v>0</v>
      </c>
      <c r="E148">
        <v>0</v>
      </c>
      <c r="F148">
        <v>0</v>
      </c>
    </row>
    <row r="149" spans="1:16" x14ac:dyDescent="0.2">
      <c r="A149" t="s">
        <v>8597</v>
      </c>
      <c r="B149" t="s">
        <v>8565</v>
      </c>
      <c r="C149" t="s">
        <v>8540</v>
      </c>
      <c r="D149" t="s">
        <v>8565</v>
      </c>
      <c r="E149">
        <v>0</v>
      </c>
      <c r="F149">
        <v>1</v>
      </c>
      <c r="G149">
        <v>0</v>
      </c>
      <c r="H149">
        <v>0</v>
      </c>
      <c r="I149" t="s">
        <v>8542</v>
      </c>
      <c r="J149" t="s">
        <v>8542</v>
      </c>
      <c r="K149" t="s">
        <v>8542</v>
      </c>
      <c r="L149" t="s">
        <v>8542</v>
      </c>
    </row>
    <row r="150" spans="1:16" x14ac:dyDescent="0.2">
      <c r="A150" t="s">
        <v>8589</v>
      </c>
      <c r="B150" t="s">
        <v>8590</v>
      </c>
      <c r="D150" t="s">
        <v>8547</v>
      </c>
      <c r="F150" t="s">
        <v>8542</v>
      </c>
      <c r="G150" t="s">
        <v>8575</v>
      </c>
      <c r="H150" t="s">
        <v>8542</v>
      </c>
      <c r="I150" t="s">
        <v>8591</v>
      </c>
    </row>
    <row r="151" spans="1:16" x14ac:dyDescent="0.2">
      <c r="A151">
        <v>0</v>
      </c>
      <c r="B151">
        <v>1</v>
      </c>
      <c r="C151">
        <v>0</v>
      </c>
      <c r="D151">
        <v>0</v>
      </c>
    </row>
    <row r="152" spans="1:16" x14ac:dyDescent="0.2">
      <c r="A152">
        <v>1</v>
      </c>
      <c r="B152">
        <v>70</v>
      </c>
      <c r="C152">
        <v>0</v>
      </c>
      <c r="D152">
        <v>0</v>
      </c>
      <c r="E152">
        <v>0</v>
      </c>
      <c r="F152">
        <v>0</v>
      </c>
      <c r="G152">
        <v>70</v>
      </c>
      <c r="H152" t="s">
        <v>8565</v>
      </c>
    </row>
    <row r="153" spans="1:16" x14ac:dyDescent="0.2">
      <c r="B153">
        <v>24</v>
      </c>
      <c r="C153">
        <v>203</v>
      </c>
      <c r="D153">
        <v>9</v>
      </c>
      <c r="F153" t="s">
        <v>8598</v>
      </c>
      <c r="G153" t="s">
        <v>8535</v>
      </c>
      <c r="H153" t="s">
        <v>8536</v>
      </c>
      <c r="I153" t="s">
        <v>8537</v>
      </c>
      <c r="J153" t="s">
        <v>8582</v>
      </c>
      <c r="K153" t="s">
        <v>8552</v>
      </c>
      <c r="L153" t="s">
        <v>8583</v>
      </c>
      <c r="M153" t="s">
        <v>8599</v>
      </c>
      <c r="N153">
        <v>137</v>
      </c>
      <c r="O153" t="s">
        <v>8538</v>
      </c>
      <c r="P153" t="s">
        <v>8539</v>
      </c>
    </row>
    <row r="155" spans="1:16" x14ac:dyDescent="0.2">
      <c r="A155">
        <v>5</v>
      </c>
      <c r="D155" t="s">
        <v>8585</v>
      </c>
      <c r="E155">
        <v>200</v>
      </c>
    </row>
    <row r="160" spans="1:16" x14ac:dyDescent="0.2">
      <c r="A160" t="s">
        <v>8556</v>
      </c>
      <c r="B160" t="s">
        <v>8586</v>
      </c>
    </row>
    <row r="161" spans="1:16" x14ac:dyDescent="0.2">
      <c r="A161">
        <v>0</v>
      </c>
      <c r="B161">
        <v>0</v>
      </c>
      <c r="C161">
        <v>0</v>
      </c>
      <c r="D161" t="s">
        <v>8541</v>
      </c>
      <c r="E161" t="s">
        <v>8542</v>
      </c>
    </row>
    <row r="167" spans="1:16" x14ac:dyDescent="0.2">
      <c r="A167" t="s">
        <v>8543</v>
      </c>
      <c r="B167" t="s">
        <v>8588</v>
      </c>
      <c r="C167">
        <v>1</v>
      </c>
      <c r="D167">
        <v>0</v>
      </c>
      <c r="E167">
        <v>0</v>
      </c>
      <c r="F167">
        <v>0</v>
      </c>
    </row>
    <row r="168" spans="1:16" x14ac:dyDescent="0.2">
      <c r="A168" t="s">
        <v>8600</v>
      </c>
      <c r="B168" t="s">
        <v>8588</v>
      </c>
      <c r="C168" t="s">
        <v>8586</v>
      </c>
      <c r="D168" t="s">
        <v>8503</v>
      </c>
      <c r="E168">
        <v>0</v>
      </c>
      <c r="F168">
        <v>2</v>
      </c>
      <c r="G168">
        <v>0</v>
      </c>
      <c r="H168">
        <v>1</v>
      </c>
      <c r="I168" t="s">
        <v>8542</v>
      </c>
      <c r="J168" t="s">
        <v>8542</v>
      </c>
      <c r="K168" t="s">
        <v>8542</v>
      </c>
      <c r="L168" t="s">
        <v>8542</v>
      </c>
    </row>
    <row r="169" spans="1:16" x14ac:dyDescent="0.2">
      <c r="A169" t="s">
        <v>8589</v>
      </c>
      <c r="B169" t="s">
        <v>8590</v>
      </c>
      <c r="D169" t="s">
        <v>8547</v>
      </c>
      <c r="F169" t="s">
        <v>8542</v>
      </c>
      <c r="G169" t="s">
        <v>8575</v>
      </c>
      <c r="H169" t="s">
        <v>8542</v>
      </c>
      <c r="I169" t="s">
        <v>8591</v>
      </c>
    </row>
    <row r="170" spans="1:16" x14ac:dyDescent="0.2">
      <c r="A170">
        <v>0</v>
      </c>
      <c r="B170">
        <v>2</v>
      </c>
      <c r="C170">
        <v>0</v>
      </c>
      <c r="D170">
        <v>1</v>
      </c>
    </row>
    <row r="171" spans="1:16" x14ac:dyDescent="0.2">
      <c r="A171">
        <v>1</v>
      </c>
      <c r="B171">
        <v>121</v>
      </c>
      <c r="C171">
        <v>0</v>
      </c>
      <c r="D171">
        <v>0</v>
      </c>
      <c r="E171">
        <v>0</v>
      </c>
      <c r="F171">
        <v>0</v>
      </c>
      <c r="G171">
        <v>121</v>
      </c>
      <c r="H171" t="s">
        <v>8503</v>
      </c>
    </row>
    <row r="172" spans="1:16" x14ac:dyDescent="0.2">
      <c r="B172">
        <v>24</v>
      </c>
      <c r="C172">
        <v>203</v>
      </c>
      <c r="D172">
        <v>10</v>
      </c>
      <c r="F172" t="s">
        <v>8601</v>
      </c>
      <c r="G172" t="s">
        <v>8535</v>
      </c>
      <c r="H172" t="s">
        <v>8536</v>
      </c>
      <c r="I172" t="s">
        <v>8537</v>
      </c>
      <c r="J172" t="s">
        <v>8602</v>
      </c>
      <c r="K172" t="s">
        <v>8552</v>
      </c>
      <c r="M172" t="s">
        <v>8601</v>
      </c>
      <c r="N172">
        <v>42</v>
      </c>
      <c r="O172" t="s">
        <v>8538</v>
      </c>
      <c r="P172" t="s">
        <v>8539</v>
      </c>
    </row>
    <row r="174" spans="1:16" x14ac:dyDescent="0.2">
      <c r="A174">
        <v>14</v>
      </c>
      <c r="D174" t="s">
        <v>8555</v>
      </c>
      <c r="E174">
        <v>300</v>
      </c>
    </row>
    <row r="179" spans="1:16" x14ac:dyDescent="0.2">
      <c r="A179" t="s">
        <v>8556</v>
      </c>
      <c r="B179" t="s">
        <v>8540</v>
      </c>
    </row>
    <row r="180" spans="1:16" x14ac:dyDescent="0.2">
      <c r="A180">
        <v>0</v>
      </c>
      <c r="B180">
        <v>0</v>
      </c>
      <c r="C180">
        <v>0</v>
      </c>
      <c r="D180" t="s">
        <v>8603</v>
      </c>
      <c r="E180" t="s">
        <v>8542</v>
      </c>
    </row>
    <row r="186" spans="1:16" x14ac:dyDescent="0.2">
      <c r="A186" t="s">
        <v>8543</v>
      </c>
      <c r="B186" t="s">
        <v>8544</v>
      </c>
      <c r="C186">
        <v>1</v>
      </c>
      <c r="D186">
        <v>0</v>
      </c>
      <c r="E186">
        <v>0</v>
      </c>
      <c r="F186">
        <v>0</v>
      </c>
    </row>
    <row r="187" spans="1:16" x14ac:dyDescent="0.2">
      <c r="A187" t="s">
        <v>8604</v>
      </c>
      <c r="B187" t="s">
        <v>8565</v>
      </c>
      <c r="C187" t="s">
        <v>8540</v>
      </c>
      <c r="D187" t="s">
        <v>8565</v>
      </c>
      <c r="E187">
        <v>0</v>
      </c>
      <c r="F187">
        <v>2</v>
      </c>
      <c r="G187">
        <v>0</v>
      </c>
      <c r="H187">
        <v>0</v>
      </c>
      <c r="I187" t="s">
        <v>8542</v>
      </c>
      <c r="J187" t="s">
        <v>8542</v>
      </c>
      <c r="K187" t="s">
        <v>8542</v>
      </c>
      <c r="L187" t="s">
        <v>8605</v>
      </c>
    </row>
    <row r="188" spans="1:16" x14ac:dyDescent="0.2">
      <c r="A188" t="s">
        <v>8573</v>
      </c>
      <c r="B188" t="s">
        <v>8574</v>
      </c>
      <c r="D188" t="s">
        <v>8547</v>
      </c>
      <c r="F188" t="s">
        <v>8542</v>
      </c>
      <c r="G188" t="s">
        <v>8575</v>
      </c>
      <c r="I188" t="s">
        <v>8576</v>
      </c>
    </row>
    <row r="189" spans="1:16" x14ac:dyDescent="0.2">
      <c r="A189">
        <v>0</v>
      </c>
      <c r="B189">
        <v>2</v>
      </c>
      <c r="C189">
        <v>0</v>
      </c>
      <c r="D189">
        <v>0</v>
      </c>
    </row>
    <row r="190" spans="1:16" x14ac:dyDescent="0.2">
      <c r="A190">
        <v>1</v>
      </c>
      <c r="B190">
        <v>45</v>
      </c>
      <c r="C190">
        <v>0</v>
      </c>
      <c r="D190">
        <v>0</v>
      </c>
      <c r="E190">
        <v>0</v>
      </c>
      <c r="F190">
        <v>0</v>
      </c>
      <c r="G190">
        <v>45</v>
      </c>
      <c r="H190" t="s">
        <v>8565</v>
      </c>
    </row>
    <row r="191" spans="1:16" x14ac:dyDescent="0.2">
      <c r="B191">
        <v>24</v>
      </c>
      <c r="C191">
        <v>203</v>
      </c>
      <c r="D191">
        <v>11</v>
      </c>
      <c r="F191" t="s">
        <v>8606</v>
      </c>
      <c r="G191" t="s">
        <v>8535</v>
      </c>
      <c r="H191" t="s">
        <v>8536</v>
      </c>
      <c r="I191" t="s">
        <v>8537</v>
      </c>
      <c r="J191" t="s">
        <v>8607</v>
      </c>
      <c r="K191" t="s">
        <v>8552</v>
      </c>
      <c r="M191" t="s">
        <v>8606</v>
      </c>
      <c r="N191">
        <v>51</v>
      </c>
      <c r="O191" t="s">
        <v>8538</v>
      </c>
      <c r="P191" t="s">
        <v>8539</v>
      </c>
    </row>
    <row r="193" spans="1:12" x14ac:dyDescent="0.2">
      <c r="A193">
        <v>3</v>
      </c>
      <c r="D193" t="s">
        <v>8555</v>
      </c>
      <c r="E193">
        <v>100</v>
      </c>
    </row>
    <row r="198" spans="1:12" x14ac:dyDescent="0.2">
      <c r="A198" t="s">
        <v>8556</v>
      </c>
      <c r="B198" t="s">
        <v>8608</v>
      </c>
    </row>
    <row r="199" spans="1:12" x14ac:dyDescent="0.2">
      <c r="A199">
        <v>0</v>
      </c>
      <c r="B199">
        <v>0</v>
      </c>
      <c r="C199">
        <v>0</v>
      </c>
      <c r="D199" t="s">
        <v>8541</v>
      </c>
      <c r="E199" t="s">
        <v>8542</v>
      </c>
    </row>
    <row r="205" spans="1:12" x14ac:dyDescent="0.2">
      <c r="A205" t="s">
        <v>8543</v>
      </c>
      <c r="B205" t="s">
        <v>8588</v>
      </c>
      <c r="C205">
        <v>1</v>
      </c>
      <c r="D205">
        <v>0</v>
      </c>
      <c r="E205">
        <v>0</v>
      </c>
      <c r="F205">
        <v>0</v>
      </c>
    </row>
    <row r="206" spans="1:12" x14ac:dyDescent="0.2">
      <c r="A206" t="s">
        <v>8609</v>
      </c>
      <c r="B206" t="s">
        <v>8588</v>
      </c>
      <c r="C206" t="s">
        <v>8608</v>
      </c>
      <c r="D206" t="s">
        <v>8503</v>
      </c>
      <c r="E206">
        <v>0</v>
      </c>
      <c r="F206">
        <v>2</v>
      </c>
      <c r="G206">
        <v>0</v>
      </c>
      <c r="H206">
        <v>2</v>
      </c>
      <c r="I206" t="s">
        <v>8542</v>
      </c>
      <c r="J206" t="s">
        <v>8542</v>
      </c>
      <c r="K206" t="s">
        <v>8542</v>
      </c>
      <c r="L206" t="s">
        <v>8542</v>
      </c>
    </row>
    <row r="207" spans="1:12" x14ac:dyDescent="0.2">
      <c r="A207" t="s">
        <v>8545</v>
      </c>
      <c r="B207" t="s">
        <v>8546</v>
      </c>
      <c r="D207" t="s">
        <v>8547</v>
      </c>
      <c r="F207" t="s">
        <v>8542</v>
      </c>
      <c r="G207" t="s">
        <v>8610</v>
      </c>
      <c r="I207" t="s">
        <v>8549</v>
      </c>
    </row>
    <row r="208" spans="1:12" x14ac:dyDescent="0.2">
      <c r="A208">
        <v>0</v>
      </c>
      <c r="B208">
        <v>2</v>
      </c>
      <c r="C208">
        <v>0</v>
      </c>
      <c r="D208">
        <v>2</v>
      </c>
    </row>
    <row r="209" spans="1:16" x14ac:dyDescent="0.2">
      <c r="A209">
        <v>1</v>
      </c>
      <c r="B209">
        <v>102</v>
      </c>
      <c r="C209">
        <v>0</v>
      </c>
      <c r="D209">
        <v>0</v>
      </c>
      <c r="E209">
        <v>0</v>
      </c>
      <c r="F209">
        <v>0</v>
      </c>
      <c r="G209">
        <v>102</v>
      </c>
      <c r="H209" t="s">
        <v>8503</v>
      </c>
    </row>
    <row r="210" spans="1:16" x14ac:dyDescent="0.2">
      <c r="B210">
        <v>24</v>
      </c>
      <c r="C210">
        <v>203</v>
      </c>
      <c r="D210">
        <v>12</v>
      </c>
      <c r="F210" t="s">
        <v>8611</v>
      </c>
      <c r="G210" t="s">
        <v>8535</v>
      </c>
      <c r="H210" t="s">
        <v>8536</v>
      </c>
      <c r="I210" t="s">
        <v>8537</v>
      </c>
      <c r="J210" t="s">
        <v>8607</v>
      </c>
      <c r="K210" t="s">
        <v>8552</v>
      </c>
      <c r="M210" t="s">
        <v>8611</v>
      </c>
      <c r="N210">
        <v>113</v>
      </c>
      <c r="O210" t="s">
        <v>8538</v>
      </c>
      <c r="P210" t="s">
        <v>8539</v>
      </c>
    </row>
    <row r="212" spans="1:16" x14ac:dyDescent="0.2">
      <c r="A212">
        <v>40</v>
      </c>
      <c r="B212" t="s">
        <v>8596</v>
      </c>
      <c r="C212">
        <v>1</v>
      </c>
      <c r="F212" t="s">
        <v>8612</v>
      </c>
      <c r="G212" t="s">
        <v>8613</v>
      </c>
    </row>
    <row r="217" spans="1:16" x14ac:dyDescent="0.2">
      <c r="A217" t="s">
        <v>8556</v>
      </c>
      <c r="B217" t="s">
        <v>8540</v>
      </c>
    </row>
    <row r="218" spans="1:16" x14ac:dyDescent="0.2">
      <c r="A218">
        <v>0</v>
      </c>
      <c r="B218">
        <v>0</v>
      </c>
      <c r="C218">
        <v>0</v>
      </c>
      <c r="D218" t="s">
        <v>8541</v>
      </c>
      <c r="E218" t="s">
        <v>8542</v>
      </c>
    </row>
    <row r="224" spans="1:16" x14ac:dyDescent="0.2">
      <c r="A224" t="s">
        <v>8543</v>
      </c>
      <c r="B224" t="s">
        <v>8532</v>
      </c>
      <c r="C224">
        <v>1</v>
      </c>
      <c r="D224">
        <v>0</v>
      </c>
      <c r="E224">
        <v>0</v>
      </c>
      <c r="F224">
        <v>0</v>
      </c>
    </row>
    <row r="225" spans="1:16" x14ac:dyDescent="0.2">
      <c r="A225" t="s">
        <v>8614</v>
      </c>
      <c r="B225" t="s">
        <v>8532</v>
      </c>
      <c r="C225" t="s">
        <v>8540</v>
      </c>
      <c r="D225" t="s">
        <v>8499</v>
      </c>
      <c r="E225">
        <v>0</v>
      </c>
      <c r="F225">
        <v>2</v>
      </c>
      <c r="G225">
        <v>0</v>
      </c>
      <c r="H225">
        <v>2</v>
      </c>
      <c r="I225" t="s">
        <v>8542</v>
      </c>
      <c r="J225" t="s">
        <v>8542</v>
      </c>
      <c r="K225" t="s">
        <v>8542</v>
      </c>
      <c r="L225" t="s">
        <v>8542</v>
      </c>
    </row>
    <row r="226" spans="1:16" x14ac:dyDescent="0.2">
      <c r="A226" t="s">
        <v>8545</v>
      </c>
      <c r="B226" t="s">
        <v>8546</v>
      </c>
      <c r="D226" t="s">
        <v>8547</v>
      </c>
      <c r="F226" t="s">
        <v>8542</v>
      </c>
      <c r="G226" t="s">
        <v>8548</v>
      </c>
      <c r="I226" t="s">
        <v>8549</v>
      </c>
    </row>
    <row r="227" spans="1:16" x14ac:dyDescent="0.2">
      <c r="A227">
        <v>0</v>
      </c>
      <c r="B227">
        <v>2</v>
      </c>
      <c r="C227">
        <v>0</v>
      </c>
      <c r="D227">
        <v>2</v>
      </c>
    </row>
    <row r="228" spans="1:16" x14ac:dyDescent="0.2">
      <c r="A228">
        <v>2</v>
      </c>
      <c r="B228">
        <v>135</v>
      </c>
      <c r="C228">
        <v>0</v>
      </c>
      <c r="D228">
        <v>21</v>
      </c>
      <c r="E228">
        <v>0</v>
      </c>
      <c r="F228">
        <v>0</v>
      </c>
      <c r="G228">
        <v>156</v>
      </c>
      <c r="H228" t="s">
        <v>8499</v>
      </c>
    </row>
    <row r="229" spans="1:16" x14ac:dyDescent="0.2">
      <c r="B229">
        <v>24</v>
      </c>
      <c r="C229">
        <v>203</v>
      </c>
      <c r="D229">
        <v>13</v>
      </c>
      <c r="F229" t="s">
        <v>8615</v>
      </c>
      <c r="G229" t="s">
        <v>8535</v>
      </c>
      <c r="H229" t="s">
        <v>8536</v>
      </c>
      <c r="I229" t="s">
        <v>8537</v>
      </c>
      <c r="J229" t="s">
        <v>8616</v>
      </c>
      <c r="K229" t="s">
        <v>8552</v>
      </c>
      <c r="M229" t="s">
        <v>8615</v>
      </c>
      <c r="N229">
        <v>47</v>
      </c>
      <c r="O229" t="s">
        <v>8538</v>
      </c>
      <c r="P229" t="s">
        <v>8539</v>
      </c>
    </row>
    <row r="231" spans="1:16" x14ac:dyDescent="0.2">
      <c r="A231">
        <v>25</v>
      </c>
    </row>
    <row r="236" spans="1:16" x14ac:dyDescent="0.2">
      <c r="A236" t="s">
        <v>8556</v>
      </c>
      <c r="B236" t="s">
        <v>8540</v>
      </c>
    </row>
    <row r="237" spans="1:16" x14ac:dyDescent="0.2">
      <c r="A237">
        <v>0</v>
      </c>
      <c r="B237">
        <v>0</v>
      </c>
      <c r="C237">
        <v>0</v>
      </c>
      <c r="D237" t="s">
        <v>8541</v>
      </c>
      <c r="E237" t="s">
        <v>8542</v>
      </c>
    </row>
    <row r="243" spans="1:16" x14ac:dyDescent="0.2">
      <c r="A243" t="s">
        <v>8543</v>
      </c>
      <c r="B243" t="s">
        <v>8532</v>
      </c>
      <c r="C243">
        <v>1</v>
      </c>
      <c r="D243">
        <v>0</v>
      </c>
      <c r="E243">
        <v>0</v>
      </c>
      <c r="F243">
        <v>0</v>
      </c>
    </row>
    <row r="244" spans="1:16" x14ac:dyDescent="0.2">
      <c r="A244" t="s">
        <v>8617</v>
      </c>
      <c r="B244" t="s">
        <v>8544</v>
      </c>
      <c r="C244" t="s">
        <v>8540</v>
      </c>
      <c r="D244" t="s">
        <v>8503</v>
      </c>
      <c r="E244">
        <v>0</v>
      </c>
      <c r="F244">
        <v>2</v>
      </c>
      <c r="G244">
        <v>0</v>
      </c>
      <c r="H244">
        <v>2</v>
      </c>
      <c r="I244" t="s">
        <v>8542</v>
      </c>
      <c r="J244" t="s">
        <v>8542</v>
      </c>
      <c r="K244" t="s">
        <v>8542</v>
      </c>
      <c r="L244" t="s">
        <v>8542</v>
      </c>
    </row>
    <row r="245" spans="1:16" x14ac:dyDescent="0.2">
      <c r="A245" t="s">
        <v>8545</v>
      </c>
      <c r="B245" t="s">
        <v>8546</v>
      </c>
      <c r="D245" t="s">
        <v>8547</v>
      </c>
      <c r="F245" t="s">
        <v>8542</v>
      </c>
      <c r="G245" t="s">
        <v>8610</v>
      </c>
      <c r="I245" t="s">
        <v>8549</v>
      </c>
    </row>
    <row r="246" spans="1:16" x14ac:dyDescent="0.2">
      <c r="A246">
        <v>0</v>
      </c>
      <c r="B246">
        <v>2</v>
      </c>
      <c r="C246">
        <v>0</v>
      </c>
      <c r="D246">
        <v>2</v>
      </c>
    </row>
    <row r="247" spans="1:16" x14ac:dyDescent="0.2">
      <c r="A247">
        <v>1</v>
      </c>
      <c r="B247">
        <v>113</v>
      </c>
      <c r="C247">
        <v>0</v>
      </c>
      <c r="D247">
        <v>0</v>
      </c>
      <c r="E247">
        <v>0</v>
      </c>
      <c r="F247">
        <v>0</v>
      </c>
      <c r="G247">
        <v>113</v>
      </c>
      <c r="H247" t="s">
        <v>8503</v>
      </c>
    </row>
    <row r="248" spans="1:16" x14ac:dyDescent="0.2">
      <c r="B248">
        <v>24</v>
      </c>
      <c r="C248">
        <v>203</v>
      </c>
      <c r="D248">
        <v>14</v>
      </c>
      <c r="F248" t="s">
        <v>8618</v>
      </c>
      <c r="G248" t="s">
        <v>8535</v>
      </c>
      <c r="H248" t="s">
        <v>8536</v>
      </c>
      <c r="I248" t="s">
        <v>8537</v>
      </c>
      <c r="J248" t="s">
        <v>8619</v>
      </c>
      <c r="K248" t="s">
        <v>8552</v>
      </c>
      <c r="M248" t="s">
        <v>8618</v>
      </c>
      <c r="N248">
        <v>50</v>
      </c>
      <c r="O248" t="s">
        <v>8538</v>
      </c>
      <c r="P248" t="s">
        <v>8539</v>
      </c>
    </row>
    <row r="250" spans="1:16" x14ac:dyDescent="0.2">
      <c r="A250">
        <v>10</v>
      </c>
      <c r="B250" t="s">
        <v>8596</v>
      </c>
      <c r="C250">
        <v>1</v>
      </c>
      <c r="D250" t="s">
        <v>8555</v>
      </c>
      <c r="E250">
        <v>100</v>
      </c>
    </row>
    <row r="251" spans="1:16" x14ac:dyDescent="0.2">
      <c r="B251" t="s">
        <v>8620</v>
      </c>
      <c r="C251">
        <v>1</v>
      </c>
    </row>
    <row r="255" spans="1:16" x14ac:dyDescent="0.2">
      <c r="A255" t="s">
        <v>8556</v>
      </c>
      <c r="B255" t="s">
        <v>8540</v>
      </c>
    </row>
    <row r="256" spans="1:16" x14ac:dyDescent="0.2">
      <c r="A256">
        <v>0</v>
      </c>
      <c r="B256">
        <v>0</v>
      </c>
      <c r="C256">
        <v>0</v>
      </c>
      <c r="D256" t="s">
        <v>8541</v>
      </c>
      <c r="E256" t="s">
        <v>8542</v>
      </c>
    </row>
    <row r="262" spans="1:16" x14ac:dyDescent="0.2">
      <c r="A262" t="s">
        <v>8543</v>
      </c>
      <c r="B262" t="s">
        <v>8544</v>
      </c>
      <c r="C262">
        <v>1</v>
      </c>
      <c r="D262">
        <v>0</v>
      </c>
      <c r="E262">
        <v>0</v>
      </c>
      <c r="F262">
        <v>0</v>
      </c>
    </row>
    <row r="263" spans="1:16" x14ac:dyDescent="0.2">
      <c r="A263" t="s">
        <v>8621</v>
      </c>
      <c r="B263" t="s">
        <v>8565</v>
      </c>
      <c r="C263" t="s">
        <v>8540</v>
      </c>
      <c r="D263" t="s">
        <v>8565</v>
      </c>
      <c r="E263">
        <v>0</v>
      </c>
      <c r="F263">
        <v>2</v>
      </c>
      <c r="G263">
        <v>0</v>
      </c>
      <c r="H263">
        <v>0</v>
      </c>
      <c r="I263" t="s">
        <v>8542</v>
      </c>
      <c r="J263" t="s">
        <v>8542</v>
      </c>
      <c r="K263" t="s">
        <v>8542</v>
      </c>
      <c r="L263" t="s">
        <v>8542</v>
      </c>
    </row>
    <row r="264" spans="1:16" x14ac:dyDescent="0.2">
      <c r="A264" t="s">
        <v>8545</v>
      </c>
      <c r="B264" t="s">
        <v>8546</v>
      </c>
      <c r="D264" t="s">
        <v>8547</v>
      </c>
      <c r="F264" t="s">
        <v>8542</v>
      </c>
      <c r="G264" t="s">
        <v>8610</v>
      </c>
      <c r="I264" t="s">
        <v>8549</v>
      </c>
    </row>
    <row r="265" spans="1:16" x14ac:dyDescent="0.2">
      <c r="A265">
        <v>0</v>
      </c>
      <c r="B265">
        <v>2</v>
      </c>
      <c r="C265">
        <v>0</v>
      </c>
      <c r="D265">
        <v>0</v>
      </c>
    </row>
    <row r="266" spans="1:16" x14ac:dyDescent="0.2">
      <c r="A266">
        <v>1</v>
      </c>
      <c r="B266">
        <v>76</v>
      </c>
      <c r="C266">
        <v>0</v>
      </c>
      <c r="D266">
        <v>0</v>
      </c>
      <c r="E266">
        <v>0</v>
      </c>
      <c r="F266">
        <v>0</v>
      </c>
      <c r="G266">
        <v>76</v>
      </c>
      <c r="H266" t="s">
        <v>8565</v>
      </c>
    </row>
    <row r="267" spans="1:16" x14ac:dyDescent="0.2">
      <c r="B267">
        <v>24</v>
      </c>
      <c r="C267">
        <v>203</v>
      </c>
      <c r="D267">
        <v>15</v>
      </c>
      <c r="F267" t="s">
        <v>8622</v>
      </c>
      <c r="G267" t="s">
        <v>8535</v>
      </c>
      <c r="H267" t="s">
        <v>8536</v>
      </c>
      <c r="I267" t="s">
        <v>8537</v>
      </c>
      <c r="J267" t="s">
        <v>8623</v>
      </c>
      <c r="K267" t="s">
        <v>8552</v>
      </c>
      <c r="M267" t="s">
        <v>8622</v>
      </c>
      <c r="N267">
        <v>67</v>
      </c>
      <c r="O267" t="s">
        <v>8538</v>
      </c>
      <c r="P267" t="s">
        <v>8539</v>
      </c>
    </row>
    <row r="269" spans="1:16" x14ac:dyDescent="0.2">
      <c r="A269">
        <v>7</v>
      </c>
      <c r="D269" t="s">
        <v>8585</v>
      </c>
      <c r="E269">
        <v>150</v>
      </c>
    </row>
    <row r="270" spans="1:16" x14ac:dyDescent="0.2">
      <c r="D270" t="s">
        <v>8555</v>
      </c>
      <c r="E270">
        <v>150</v>
      </c>
    </row>
    <row r="274" spans="1:16" x14ac:dyDescent="0.2">
      <c r="A274" t="s">
        <v>8556</v>
      </c>
      <c r="B274" t="s">
        <v>8586</v>
      </c>
    </row>
    <row r="275" spans="1:16" x14ac:dyDescent="0.2">
      <c r="A275">
        <v>0</v>
      </c>
      <c r="B275">
        <v>0</v>
      </c>
      <c r="C275">
        <v>0</v>
      </c>
      <c r="D275" t="s">
        <v>8557</v>
      </c>
      <c r="E275" t="s">
        <v>8542</v>
      </c>
    </row>
    <row r="281" spans="1:16" x14ac:dyDescent="0.2">
      <c r="A281" t="s">
        <v>8543</v>
      </c>
      <c r="B281" t="s">
        <v>8588</v>
      </c>
      <c r="C281">
        <v>1</v>
      </c>
      <c r="D281">
        <v>0</v>
      </c>
      <c r="E281">
        <v>0</v>
      </c>
      <c r="F281">
        <v>0</v>
      </c>
    </row>
    <row r="282" spans="1:16" x14ac:dyDescent="0.2">
      <c r="A282" t="s">
        <v>8624</v>
      </c>
      <c r="B282" t="s">
        <v>8588</v>
      </c>
      <c r="C282" t="s">
        <v>8586</v>
      </c>
      <c r="D282" t="s">
        <v>8503</v>
      </c>
      <c r="E282">
        <v>0</v>
      </c>
      <c r="F282">
        <v>6</v>
      </c>
      <c r="G282">
        <v>0</v>
      </c>
      <c r="H282">
        <v>2</v>
      </c>
      <c r="I282" t="s">
        <v>8542</v>
      </c>
      <c r="J282" t="s">
        <v>8542</v>
      </c>
      <c r="K282" t="s">
        <v>8542</v>
      </c>
      <c r="L282" t="s">
        <v>8560</v>
      </c>
    </row>
    <row r="283" spans="1:16" x14ac:dyDescent="0.2">
      <c r="A283" t="s">
        <v>8589</v>
      </c>
      <c r="B283" t="s">
        <v>8590</v>
      </c>
      <c r="D283" t="s">
        <v>8547</v>
      </c>
      <c r="F283" t="s">
        <v>8542</v>
      </c>
      <c r="G283" t="s">
        <v>8610</v>
      </c>
      <c r="I283" t="s">
        <v>8591</v>
      </c>
    </row>
    <row r="284" spans="1:16" x14ac:dyDescent="0.2">
      <c r="A284">
        <v>0</v>
      </c>
      <c r="B284">
        <v>6</v>
      </c>
      <c r="C284">
        <v>0</v>
      </c>
      <c r="D284">
        <v>2</v>
      </c>
    </row>
    <row r="285" spans="1:16" x14ac:dyDescent="0.2">
      <c r="A285">
        <v>4</v>
      </c>
      <c r="B285">
        <v>112</v>
      </c>
      <c r="C285">
        <v>0</v>
      </c>
      <c r="D285">
        <v>0</v>
      </c>
      <c r="E285">
        <v>0</v>
      </c>
      <c r="F285">
        <v>0</v>
      </c>
      <c r="G285">
        <v>112</v>
      </c>
      <c r="H285" t="s">
        <v>8503</v>
      </c>
    </row>
    <row r="286" spans="1:16" x14ac:dyDescent="0.2">
      <c r="B286">
        <v>24</v>
      </c>
      <c r="C286">
        <v>203</v>
      </c>
      <c r="D286">
        <v>16</v>
      </c>
      <c r="F286" t="s">
        <v>8625</v>
      </c>
      <c r="G286" t="s">
        <v>8535</v>
      </c>
      <c r="H286" t="s">
        <v>8536</v>
      </c>
      <c r="I286" t="s">
        <v>8537</v>
      </c>
      <c r="J286" t="s">
        <v>8626</v>
      </c>
      <c r="K286" t="s">
        <v>8552</v>
      </c>
      <c r="L286" t="s">
        <v>8627</v>
      </c>
      <c r="M286" t="s">
        <v>8625</v>
      </c>
      <c r="N286">
        <v>73</v>
      </c>
      <c r="O286" t="s">
        <v>8538</v>
      </c>
      <c r="P286" t="s">
        <v>8539</v>
      </c>
    </row>
    <row r="288" spans="1:16" x14ac:dyDescent="0.2">
      <c r="A288">
        <v>10</v>
      </c>
      <c r="B288" t="s">
        <v>8628</v>
      </c>
      <c r="C288">
        <v>1</v>
      </c>
      <c r="D288" t="s">
        <v>8585</v>
      </c>
      <c r="E288">
        <v>300</v>
      </c>
    </row>
    <row r="293" spans="1:12" x14ac:dyDescent="0.2">
      <c r="A293" t="s">
        <v>8556</v>
      </c>
      <c r="B293" t="s">
        <v>8540</v>
      </c>
    </row>
    <row r="294" spans="1:12" x14ac:dyDescent="0.2">
      <c r="A294">
        <v>0</v>
      </c>
      <c r="B294">
        <v>0</v>
      </c>
      <c r="C294">
        <v>0</v>
      </c>
      <c r="D294" t="s">
        <v>8541</v>
      </c>
      <c r="E294" t="s">
        <v>8542</v>
      </c>
    </row>
    <row r="300" spans="1:12" x14ac:dyDescent="0.2">
      <c r="A300" t="s">
        <v>8543</v>
      </c>
      <c r="B300" t="s">
        <v>8544</v>
      </c>
      <c r="C300">
        <v>1</v>
      </c>
      <c r="D300">
        <v>0</v>
      </c>
      <c r="E300">
        <v>0</v>
      </c>
      <c r="F300">
        <v>0</v>
      </c>
    </row>
    <row r="301" spans="1:12" x14ac:dyDescent="0.2">
      <c r="A301" t="s">
        <v>8629</v>
      </c>
      <c r="B301" t="s">
        <v>8544</v>
      </c>
      <c r="C301" t="s">
        <v>8540</v>
      </c>
      <c r="D301" t="s">
        <v>8503</v>
      </c>
      <c r="E301">
        <v>0</v>
      </c>
      <c r="F301">
        <v>2</v>
      </c>
      <c r="G301">
        <v>0</v>
      </c>
      <c r="H301">
        <v>1</v>
      </c>
      <c r="I301" t="s">
        <v>8542</v>
      </c>
      <c r="J301" t="s">
        <v>8542</v>
      </c>
      <c r="K301" t="s">
        <v>8542</v>
      </c>
      <c r="L301" t="s">
        <v>8542</v>
      </c>
    </row>
    <row r="302" spans="1:12" x14ac:dyDescent="0.2">
      <c r="A302" t="s">
        <v>8589</v>
      </c>
      <c r="B302" t="s">
        <v>8590</v>
      </c>
      <c r="D302" t="s">
        <v>8547</v>
      </c>
      <c r="F302" t="s">
        <v>8542</v>
      </c>
      <c r="G302" t="s">
        <v>8610</v>
      </c>
      <c r="I302" t="s">
        <v>8591</v>
      </c>
    </row>
    <row r="303" spans="1:12" x14ac:dyDescent="0.2">
      <c r="A303">
        <v>0</v>
      </c>
      <c r="B303">
        <v>2</v>
      </c>
      <c r="C303">
        <v>0</v>
      </c>
      <c r="D303">
        <v>1</v>
      </c>
    </row>
    <row r="304" spans="1:12" x14ac:dyDescent="0.2">
      <c r="A304">
        <v>1</v>
      </c>
      <c r="B304">
        <v>100</v>
      </c>
      <c r="C304">
        <v>0</v>
      </c>
      <c r="D304">
        <v>0</v>
      </c>
      <c r="E304">
        <v>0</v>
      </c>
      <c r="F304">
        <v>0</v>
      </c>
      <c r="G304">
        <v>100</v>
      </c>
      <c r="H304" t="s">
        <v>8503</v>
      </c>
    </row>
    <row r="305" spans="1:16" x14ac:dyDescent="0.2">
      <c r="B305">
        <v>24</v>
      </c>
      <c r="C305">
        <v>203</v>
      </c>
      <c r="D305">
        <v>17</v>
      </c>
      <c r="F305" t="s">
        <v>8630</v>
      </c>
      <c r="G305" t="s">
        <v>8535</v>
      </c>
      <c r="H305" t="s">
        <v>8536</v>
      </c>
      <c r="I305" t="s">
        <v>8537</v>
      </c>
      <c r="J305" t="s">
        <v>8626</v>
      </c>
      <c r="K305" t="s">
        <v>8552</v>
      </c>
      <c r="L305" t="s">
        <v>8631</v>
      </c>
      <c r="M305" t="s">
        <v>8630</v>
      </c>
      <c r="N305">
        <v>73</v>
      </c>
      <c r="O305" t="s">
        <v>8538</v>
      </c>
      <c r="P305" t="s">
        <v>8539</v>
      </c>
    </row>
    <row r="307" spans="1:16" x14ac:dyDescent="0.2">
      <c r="A307">
        <v>9</v>
      </c>
      <c r="D307" t="s">
        <v>8555</v>
      </c>
      <c r="E307">
        <v>300</v>
      </c>
    </row>
    <row r="312" spans="1:16" x14ac:dyDescent="0.2">
      <c r="A312" t="s">
        <v>8556</v>
      </c>
      <c r="B312" t="s">
        <v>8586</v>
      </c>
    </row>
    <row r="313" spans="1:16" x14ac:dyDescent="0.2">
      <c r="A313">
        <v>0</v>
      </c>
      <c r="B313">
        <v>0</v>
      </c>
      <c r="C313">
        <v>0</v>
      </c>
      <c r="D313" t="s">
        <v>8557</v>
      </c>
      <c r="E313" t="s">
        <v>8542</v>
      </c>
    </row>
    <row r="314" spans="1:16" x14ac:dyDescent="0.2">
      <c r="A314" t="s">
        <v>8632</v>
      </c>
    </row>
    <row r="319" spans="1:16" x14ac:dyDescent="0.2">
      <c r="A319" t="s">
        <v>8543</v>
      </c>
      <c r="B319" t="s">
        <v>8544</v>
      </c>
      <c r="C319">
        <v>1</v>
      </c>
      <c r="D319">
        <v>0</v>
      </c>
      <c r="E319">
        <v>0</v>
      </c>
      <c r="F319">
        <v>0</v>
      </c>
    </row>
    <row r="320" spans="1:16" x14ac:dyDescent="0.2">
      <c r="A320" t="s">
        <v>8633</v>
      </c>
      <c r="B320" t="s">
        <v>8532</v>
      </c>
      <c r="C320" t="s">
        <v>8586</v>
      </c>
      <c r="D320" t="s">
        <v>8499</v>
      </c>
      <c r="E320">
        <v>0</v>
      </c>
      <c r="F320">
        <v>5</v>
      </c>
      <c r="G320">
        <v>0</v>
      </c>
      <c r="H320">
        <v>3</v>
      </c>
      <c r="I320" t="s">
        <v>8542</v>
      </c>
      <c r="J320" t="s">
        <v>8542</v>
      </c>
      <c r="K320" t="s">
        <v>8542</v>
      </c>
      <c r="L320" t="s">
        <v>8560</v>
      </c>
    </row>
    <row r="321" spans="1:16" x14ac:dyDescent="0.2">
      <c r="A321" t="s">
        <v>8589</v>
      </c>
      <c r="B321" t="s">
        <v>8590</v>
      </c>
      <c r="D321" t="s">
        <v>8547</v>
      </c>
      <c r="F321" t="s">
        <v>8542</v>
      </c>
      <c r="G321" t="s">
        <v>8575</v>
      </c>
      <c r="I321" t="s">
        <v>8591</v>
      </c>
    </row>
    <row r="322" spans="1:16" x14ac:dyDescent="0.2">
      <c r="A322">
        <v>0</v>
      </c>
      <c r="B322">
        <v>5</v>
      </c>
      <c r="C322">
        <v>0</v>
      </c>
      <c r="D322">
        <v>3</v>
      </c>
    </row>
    <row r="323" spans="1:16" x14ac:dyDescent="0.2">
      <c r="A323">
        <v>2</v>
      </c>
      <c r="B323">
        <v>135</v>
      </c>
      <c r="C323">
        <v>0</v>
      </c>
      <c r="D323">
        <v>0</v>
      </c>
      <c r="E323">
        <v>0</v>
      </c>
      <c r="F323">
        <v>0</v>
      </c>
      <c r="G323">
        <v>135</v>
      </c>
      <c r="H323" t="s">
        <v>8499</v>
      </c>
    </row>
    <row r="324" spans="1:16" x14ac:dyDescent="0.2">
      <c r="B324">
        <v>24</v>
      </c>
      <c r="C324">
        <v>203</v>
      </c>
      <c r="D324">
        <v>18</v>
      </c>
      <c r="F324" t="s">
        <v>8634</v>
      </c>
      <c r="G324" t="s">
        <v>8535</v>
      </c>
      <c r="H324" t="s">
        <v>8536</v>
      </c>
      <c r="I324" t="s">
        <v>8537</v>
      </c>
      <c r="J324" t="s">
        <v>8626</v>
      </c>
      <c r="K324" t="s">
        <v>8552</v>
      </c>
      <c r="L324" t="s">
        <v>8631</v>
      </c>
      <c r="M324" t="s">
        <v>8634</v>
      </c>
      <c r="N324">
        <v>77</v>
      </c>
      <c r="O324" t="s">
        <v>8538</v>
      </c>
      <c r="P324" t="s">
        <v>8539</v>
      </c>
    </row>
    <row r="326" spans="1:16" x14ac:dyDescent="0.2">
      <c r="A326">
        <v>9</v>
      </c>
      <c r="B326" t="s">
        <v>8620</v>
      </c>
      <c r="C326">
        <v>1</v>
      </c>
      <c r="D326" t="s">
        <v>8555</v>
      </c>
      <c r="E326">
        <v>300</v>
      </c>
    </row>
    <row r="331" spans="1:16" x14ac:dyDescent="0.2">
      <c r="A331" t="s">
        <v>8620</v>
      </c>
      <c r="B331" t="s">
        <v>8540</v>
      </c>
    </row>
    <row r="332" spans="1:16" x14ac:dyDescent="0.2">
      <c r="A332">
        <v>0</v>
      </c>
      <c r="B332">
        <v>0</v>
      </c>
      <c r="C332">
        <v>0</v>
      </c>
      <c r="D332" t="s">
        <v>8541</v>
      </c>
      <c r="E332" t="s">
        <v>8542</v>
      </c>
    </row>
    <row r="338" spans="1:16" x14ac:dyDescent="0.2">
      <c r="A338" t="s">
        <v>8543</v>
      </c>
      <c r="B338" t="s">
        <v>8544</v>
      </c>
      <c r="C338">
        <v>1</v>
      </c>
      <c r="D338">
        <v>0</v>
      </c>
      <c r="E338">
        <v>0</v>
      </c>
      <c r="F338">
        <v>0</v>
      </c>
    </row>
    <row r="339" spans="1:16" x14ac:dyDescent="0.2">
      <c r="A339" t="s">
        <v>8635</v>
      </c>
      <c r="B339" t="s">
        <v>8544</v>
      </c>
      <c r="C339" t="s">
        <v>8540</v>
      </c>
      <c r="D339" t="s">
        <v>8503</v>
      </c>
      <c r="E339">
        <v>0</v>
      </c>
      <c r="F339">
        <v>4</v>
      </c>
      <c r="G339">
        <v>0</v>
      </c>
      <c r="H339">
        <v>1</v>
      </c>
      <c r="I339" t="s">
        <v>8542</v>
      </c>
      <c r="J339" t="s">
        <v>8542</v>
      </c>
      <c r="K339" t="s">
        <v>8542</v>
      </c>
      <c r="L339" t="s">
        <v>8542</v>
      </c>
    </row>
    <row r="340" spans="1:16" x14ac:dyDescent="0.2">
      <c r="A340" t="s">
        <v>8589</v>
      </c>
      <c r="B340" t="s">
        <v>8590</v>
      </c>
      <c r="D340" t="s">
        <v>8547</v>
      </c>
      <c r="F340" t="s">
        <v>8542</v>
      </c>
      <c r="G340" t="s">
        <v>8575</v>
      </c>
      <c r="I340" t="s">
        <v>8591</v>
      </c>
    </row>
    <row r="341" spans="1:16" x14ac:dyDescent="0.2">
      <c r="A341">
        <v>0</v>
      </c>
      <c r="B341">
        <v>4</v>
      </c>
      <c r="C341">
        <v>0</v>
      </c>
      <c r="D341">
        <v>1</v>
      </c>
    </row>
    <row r="342" spans="1:16" x14ac:dyDescent="0.2">
      <c r="A342">
        <v>2</v>
      </c>
      <c r="B342">
        <v>105</v>
      </c>
      <c r="C342">
        <v>0</v>
      </c>
      <c r="D342">
        <v>0</v>
      </c>
      <c r="E342">
        <v>0</v>
      </c>
      <c r="F342">
        <v>0</v>
      </c>
      <c r="G342">
        <v>105</v>
      </c>
      <c r="H342" t="s">
        <v>8503</v>
      </c>
    </row>
    <row r="343" spans="1:16" x14ac:dyDescent="0.2">
      <c r="B343">
        <v>24</v>
      </c>
      <c r="C343">
        <v>203</v>
      </c>
      <c r="D343">
        <v>19</v>
      </c>
      <c r="F343" t="s">
        <v>8636</v>
      </c>
      <c r="G343" t="s">
        <v>8535</v>
      </c>
      <c r="H343" t="s">
        <v>8536</v>
      </c>
      <c r="I343" t="s">
        <v>8537</v>
      </c>
      <c r="J343" t="s">
        <v>8626</v>
      </c>
      <c r="K343" t="s">
        <v>8552</v>
      </c>
      <c r="L343" t="s">
        <v>8634</v>
      </c>
      <c r="M343" t="s">
        <v>8636</v>
      </c>
      <c r="N343">
        <v>78</v>
      </c>
      <c r="O343" t="s">
        <v>8538</v>
      </c>
      <c r="P343" t="s">
        <v>8539</v>
      </c>
    </row>
    <row r="345" spans="1:16" x14ac:dyDescent="0.2">
      <c r="A345">
        <v>7</v>
      </c>
      <c r="B345" t="s">
        <v>8620</v>
      </c>
      <c r="C345">
        <v>1</v>
      </c>
      <c r="D345" t="s">
        <v>8585</v>
      </c>
      <c r="E345">
        <v>100</v>
      </c>
    </row>
    <row r="350" spans="1:16" x14ac:dyDescent="0.2">
      <c r="A350" t="s">
        <v>8620</v>
      </c>
      <c r="B350" t="s">
        <v>8540</v>
      </c>
    </row>
    <row r="351" spans="1:16" x14ac:dyDescent="0.2">
      <c r="A351">
        <v>0</v>
      </c>
      <c r="B351">
        <v>0</v>
      </c>
      <c r="C351">
        <v>0</v>
      </c>
      <c r="D351" t="s">
        <v>8541</v>
      </c>
      <c r="E351" t="s">
        <v>8542</v>
      </c>
    </row>
    <row r="357" spans="1:16" x14ac:dyDescent="0.2">
      <c r="A357" t="s">
        <v>8543</v>
      </c>
      <c r="B357" t="s">
        <v>8532</v>
      </c>
      <c r="C357">
        <v>1</v>
      </c>
      <c r="D357">
        <v>0</v>
      </c>
      <c r="E357">
        <v>0</v>
      </c>
      <c r="F357">
        <v>0</v>
      </c>
    </row>
    <row r="358" spans="1:16" x14ac:dyDescent="0.2">
      <c r="A358" t="s">
        <v>8637</v>
      </c>
      <c r="B358" t="s">
        <v>8544</v>
      </c>
      <c r="C358" t="s">
        <v>8540</v>
      </c>
      <c r="D358" t="s">
        <v>8503</v>
      </c>
      <c r="E358">
        <v>0</v>
      </c>
      <c r="F358">
        <v>2</v>
      </c>
      <c r="G358">
        <v>0</v>
      </c>
      <c r="H358">
        <v>1</v>
      </c>
      <c r="I358" t="s">
        <v>8542</v>
      </c>
      <c r="J358" t="s">
        <v>8542</v>
      </c>
      <c r="K358" t="s">
        <v>8542</v>
      </c>
      <c r="L358" t="s">
        <v>8542</v>
      </c>
    </row>
    <row r="359" spans="1:16" x14ac:dyDescent="0.2">
      <c r="A359" t="s">
        <v>8589</v>
      </c>
      <c r="B359" t="s">
        <v>8590</v>
      </c>
      <c r="D359" t="s">
        <v>8547</v>
      </c>
      <c r="F359" t="s">
        <v>8542</v>
      </c>
      <c r="G359" t="s">
        <v>8575</v>
      </c>
      <c r="I359" t="s">
        <v>8591</v>
      </c>
    </row>
    <row r="360" spans="1:16" x14ac:dyDescent="0.2">
      <c r="A360">
        <v>0</v>
      </c>
      <c r="B360">
        <v>2</v>
      </c>
      <c r="C360">
        <v>0</v>
      </c>
      <c r="D360">
        <v>1</v>
      </c>
    </row>
    <row r="361" spans="1:16" x14ac:dyDescent="0.2">
      <c r="A361">
        <v>1</v>
      </c>
      <c r="B361">
        <v>100</v>
      </c>
      <c r="C361">
        <v>0</v>
      </c>
      <c r="D361">
        <v>0</v>
      </c>
      <c r="E361">
        <v>0</v>
      </c>
      <c r="F361">
        <v>0</v>
      </c>
      <c r="G361">
        <v>100</v>
      </c>
      <c r="H361" t="s">
        <v>8503</v>
      </c>
    </row>
    <row r="362" spans="1:16" x14ac:dyDescent="0.2">
      <c r="B362">
        <v>24</v>
      </c>
      <c r="C362">
        <v>203</v>
      </c>
      <c r="D362">
        <v>20</v>
      </c>
      <c r="F362" t="s">
        <v>8638</v>
      </c>
      <c r="G362" t="s">
        <v>8535</v>
      </c>
      <c r="H362" t="s">
        <v>8536</v>
      </c>
      <c r="I362" t="s">
        <v>8537</v>
      </c>
      <c r="J362" t="s">
        <v>8626</v>
      </c>
      <c r="K362" t="s">
        <v>8552</v>
      </c>
      <c r="L362" t="s">
        <v>8639</v>
      </c>
      <c r="M362" t="s">
        <v>8638</v>
      </c>
      <c r="N362">
        <v>80</v>
      </c>
      <c r="O362" t="s">
        <v>8538</v>
      </c>
      <c r="P362" t="s">
        <v>8539</v>
      </c>
    </row>
    <row r="364" spans="1:16" x14ac:dyDescent="0.2">
      <c r="A364">
        <v>11</v>
      </c>
      <c r="B364" t="s">
        <v>8620</v>
      </c>
      <c r="C364">
        <v>1</v>
      </c>
      <c r="D364" t="s">
        <v>8585</v>
      </c>
      <c r="E364">
        <v>100</v>
      </c>
    </row>
    <row r="365" spans="1:16" x14ac:dyDescent="0.2">
      <c r="D365" t="s">
        <v>8555</v>
      </c>
      <c r="E365">
        <v>300</v>
      </c>
    </row>
    <row r="369" spans="1:16" x14ac:dyDescent="0.2">
      <c r="A369" t="s">
        <v>8556</v>
      </c>
      <c r="B369" t="s">
        <v>8540</v>
      </c>
    </row>
    <row r="370" spans="1:16" x14ac:dyDescent="0.2">
      <c r="A370">
        <v>0</v>
      </c>
      <c r="B370">
        <v>0</v>
      </c>
      <c r="C370">
        <v>0</v>
      </c>
      <c r="D370" t="s">
        <v>8541</v>
      </c>
      <c r="E370" t="s">
        <v>8542</v>
      </c>
    </row>
    <row r="376" spans="1:16" x14ac:dyDescent="0.2">
      <c r="A376" t="s">
        <v>8543</v>
      </c>
      <c r="B376" t="s">
        <v>8544</v>
      </c>
      <c r="C376">
        <v>1</v>
      </c>
      <c r="D376">
        <v>0</v>
      </c>
      <c r="E376">
        <v>0</v>
      </c>
      <c r="F376">
        <v>0</v>
      </c>
    </row>
    <row r="377" spans="1:16" x14ac:dyDescent="0.2">
      <c r="A377" t="s">
        <v>8640</v>
      </c>
      <c r="B377" t="s">
        <v>8544</v>
      </c>
      <c r="C377" t="s">
        <v>8540</v>
      </c>
      <c r="D377" t="s">
        <v>8503</v>
      </c>
      <c r="E377">
        <v>0</v>
      </c>
      <c r="F377">
        <v>9</v>
      </c>
      <c r="G377">
        <v>0</v>
      </c>
      <c r="H377">
        <v>5</v>
      </c>
      <c r="I377" t="s">
        <v>8542</v>
      </c>
      <c r="J377" t="s">
        <v>8542</v>
      </c>
      <c r="K377" t="s">
        <v>8542</v>
      </c>
      <c r="L377" t="s">
        <v>8542</v>
      </c>
    </row>
    <row r="378" spans="1:16" x14ac:dyDescent="0.2">
      <c r="A378" t="s">
        <v>8589</v>
      </c>
      <c r="B378" t="s">
        <v>8590</v>
      </c>
      <c r="D378" t="s">
        <v>8547</v>
      </c>
      <c r="F378" t="s">
        <v>8542</v>
      </c>
      <c r="G378" t="s">
        <v>8575</v>
      </c>
      <c r="I378" t="s">
        <v>8591</v>
      </c>
    </row>
    <row r="379" spans="1:16" x14ac:dyDescent="0.2">
      <c r="A379">
        <v>0</v>
      </c>
      <c r="B379">
        <v>9</v>
      </c>
      <c r="C379">
        <v>0</v>
      </c>
      <c r="D379">
        <v>5</v>
      </c>
    </row>
    <row r="380" spans="1:16" x14ac:dyDescent="0.2">
      <c r="A380">
        <v>6</v>
      </c>
      <c r="B380">
        <v>121</v>
      </c>
      <c r="C380">
        <v>0</v>
      </c>
      <c r="D380">
        <v>0</v>
      </c>
      <c r="E380">
        <v>0</v>
      </c>
      <c r="F380">
        <v>0</v>
      </c>
      <c r="G380">
        <v>121</v>
      </c>
      <c r="H380" t="s">
        <v>8503</v>
      </c>
    </row>
    <row r="381" spans="1:16" x14ac:dyDescent="0.2">
      <c r="B381">
        <v>24</v>
      </c>
      <c r="C381">
        <v>203</v>
      </c>
      <c r="D381">
        <v>21</v>
      </c>
      <c r="F381" t="s">
        <v>8641</v>
      </c>
      <c r="G381" t="s">
        <v>8535</v>
      </c>
      <c r="H381" t="s">
        <v>8536</v>
      </c>
      <c r="I381" t="s">
        <v>8537</v>
      </c>
      <c r="J381" t="s">
        <v>8642</v>
      </c>
      <c r="L381" t="s">
        <v>8641</v>
      </c>
      <c r="M381" t="s">
        <v>8643</v>
      </c>
      <c r="N381">
        <v>40</v>
      </c>
      <c r="O381" t="s">
        <v>8538</v>
      </c>
      <c r="P381" t="s">
        <v>8539</v>
      </c>
    </row>
    <row r="382" spans="1:16" x14ac:dyDescent="0.2">
      <c r="A382" t="s">
        <v>8644</v>
      </c>
      <c r="B382" t="s">
        <v>8645</v>
      </c>
      <c r="C382">
        <v>0.39329999999999998</v>
      </c>
    </row>
    <row r="383" spans="1:16" x14ac:dyDescent="0.2">
      <c r="A383">
        <v>5</v>
      </c>
      <c r="B383" t="s">
        <v>8646</v>
      </c>
      <c r="C383">
        <v>1</v>
      </c>
      <c r="D383" t="s">
        <v>8585</v>
      </c>
      <c r="E383">
        <v>100</v>
      </c>
    </row>
    <row r="388" spans="1:16" x14ac:dyDescent="0.2">
      <c r="A388" t="s">
        <v>8646</v>
      </c>
      <c r="B388" t="s">
        <v>8540</v>
      </c>
    </row>
    <row r="389" spans="1:16" x14ac:dyDescent="0.2">
      <c r="A389">
        <v>0</v>
      </c>
      <c r="B389">
        <v>0</v>
      </c>
      <c r="C389">
        <v>0</v>
      </c>
      <c r="D389" t="s">
        <v>8557</v>
      </c>
      <c r="E389" t="s">
        <v>8542</v>
      </c>
    </row>
    <row r="395" spans="1:16" x14ac:dyDescent="0.2">
      <c r="A395" t="s">
        <v>8543</v>
      </c>
      <c r="B395" t="s">
        <v>8532</v>
      </c>
      <c r="C395">
        <v>1</v>
      </c>
      <c r="D395">
        <v>0</v>
      </c>
      <c r="E395">
        <v>0</v>
      </c>
      <c r="F395">
        <v>0</v>
      </c>
    </row>
    <row r="396" spans="1:16" x14ac:dyDescent="0.2">
      <c r="A396" t="s">
        <v>8647</v>
      </c>
      <c r="B396" t="s">
        <v>8532</v>
      </c>
      <c r="C396" t="s">
        <v>8540</v>
      </c>
      <c r="D396" t="s">
        <v>8499</v>
      </c>
      <c r="E396">
        <v>0</v>
      </c>
      <c r="F396">
        <v>5</v>
      </c>
      <c r="G396">
        <v>0</v>
      </c>
      <c r="H396">
        <v>3</v>
      </c>
      <c r="I396" t="s">
        <v>8531</v>
      </c>
      <c r="J396" t="s">
        <v>8542</v>
      </c>
      <c r="K396" t="s">
        <v>8542</v>
      </c>
      <c r="L396" t="s">
        <v>8560</v>
      </c>
    </row>
    <row r="397" spans="1:16" x14ac:dyDescent="0.2">
      <c r="A397" t="s">
        <v>8545</v>
      </c>
      <c r="B397" t="s">
        <v>8546</v>
      </c>
      <c r="D397" t="s">
        <v>8547</v>
      </c>
      <c r="E397" t="s">
        <v>8531</v>
      </c>
      <c r="F397" t="s">
        <v>8531</v>
      </c>
      <c r="G397" t="s">
        <v>8575</v>
      </c>
      <c r="I397" t="s">
        <v>8549</v>
      </c>
    </row>
    <row r="398" spans="1:16" x14ac:dyDescent="0.2">
      <c r="A398">
        <v>0</v>
      </c>
      <c r="B398">
        <v>5</v>
      </c>
      <c r="C398">
        <v>0</v>
      </c>
      <c r="D398">
        <v>3</v>
      </c>
    </row>
    <row r="399" spans="1:16" x14ac:dyDescent="0.2">
      <c r="A399">
        <v>2</v>
      </c>
      <c r="B399">
        <v>140</v>
      </c>
      <c r="C399">
        <v>0</v>
      </c>
      <c r="D399">
        <v>22</v>
      </c>
      <c r="E399">
        <v>0</v>
      </c>
      <c r="F399">
        <v>0</v>
      </c>
      <c r="G399">
        <v>162</v>
      </c>
      <c r="H399" t="s">
        <v>8499</v>
      </c>
    </row>
    <row r="400" spans="1:16" x14ac:dyDescent="0.2">
      <c r="B400">
        <v>24</v>
      </c>
      <c r="C400">
        <v>203</v>
      </c>
      <c r="D400">
        <v>22</v>
      </c>
      <c r="F400" t="s">
        <v>8648</v>
      </c>
      <c r="G400" t="s">
        <v>8535</v>
      </c>
      <c r="H400" t="s">
        <v>8536</v>
      </c>
      <c r="I400" t="s">
        <v>8537</v>
      </c>
      <c r="J400" t="s">
        <v>8649</v>
      </c>
      <c r="K400" t="s">
        <v>8552</v>
      </c>
      <c r="M400" t="s">
        <v>8648</v>
      </c>
      <c r="N400">
        <v>39</v>
      </c>
      <c r="O400" t="s">
        <v>8538</v>
      </c>
      <c r="P400" t="s">
        <v>8539</v>
      </c>
    </row>
    <row r="402" spans="1:12" x14ac:dyDescent="0.2">
      <c r="A402">
        <v>29</v>
      </c>
      <c r="D402" t="s">
        <v>8555</v>
      </c>
      <c r="E402">
        <v>200</v>
      </c>
    </row>
    <row r="407" spans="1:12" x14ac:dyDescent="0.2">
      <c r="A407" t="s">
        <v>8556</v>
      </c>
      <c r="B407" t="s">
        <v>8540</v>
      </c>
    </row>
    <row r="408" spans="1:12" x14ac:dyDescent="0.2">
      <c r="A408">
        <v>0</v>
      </c>
      <c r="B408">
        <v>0</v>
      </c>
      <c r="C408">
        <v>0</v>
      </c>
      <c r="D408" t="s">
        <v>8541</v>
      </c>
      <c r="E408" t="s">
        <v>8542</v>
      </c>
    </row>
    <row r="414" spans="1:12" x14ac:dyDescent="0.2">
      <c r="A414" t="s">
        <v>8543</v>
      </c>
      <c r="B414" t="s">
        <v>8532</v>
      </c>
      <c r="C414">
        <v>1</v>
      </c>
      <c r="D414">
        <v>0</v>
      </c>
      <c r="E414">
        <v>0</v>
      </c>
      <c r="F414">
        <v>0</v>
      </c>
    </row>
    <row r="415" spans="1:12" x14ac:dyDescent="0.2">
      <c r="A415" t="s">
        <v>8650</v>
      </c>
      <c r="B415" t="s">
        <v>8544</v>
      </c>
      <c r="C415" t="s">
        <v>8540</v>
      </c>
      <c r="D415" t="s">
        <v>8503</v>
      </c>
      <c r="E415">
        <v>0</v>
      </c>
      <c r="F415">
        <v>2</v>
      </c>
      <c r="G415">
        <v>0</v>
      </c>
      <c r="H415">
        <v>2</v>
      </c>
      <c r="I415" t="s">
        <v>8542</v>
      </c>
      <c r="J415" t="s">
        <v>8542</v>
      </c>
      <c r="K415" t="s">
        <v>8542</v>
      </c>
      <c r="L415" t="s">
        <v>8542</v>
      </c>
    </row>
    <row r="416" spans="1:12" x14ac:dyDescent="0.2">
      <c r="A416" t="s">
        <v>8573</v>
      </c>
      <c r="B416" t="s">
        <v>8574</v>
      </c>
      <c r="D416" t="s">
        <v>8547</v>
      </c>
      <c r="E416" t="s">
        <v>8542</v>
      </c>
      <c r="F416" t="s">
        <v>8542</v>
      </c>
      <c r="G416" t="s">
        <v>8575</v>
      </c>
      <c r="I416" t="s">
        <v>8576</v>
      </c>
    </row>
    <row r="417" spans="1:16" x14ac:dyDescent="0.2">
      <c r="A417">
        <v>0</v>
      </c>
      <c r="B417">
        <v>2</v>
      </c>
      <c r="C417">
        <v>0</v>
      </c>
      <c r="D417">
        <v>2</v>
      </c>
    </row>
    <row r="418" spans="1:16" x14ac:dyDescent="0.2">
      <c r="A418">
        <v>2</v>
      </c>
      <c r="B418">
        <v>104</v>
      </c>
      <c r="C418">
        <v>0</v>
      </c>
      <c r="D418">
        <v>0</v>
      </c>
      <c r="E418">
        <v>0</v>
      </c>
      <c r="F418">
        <v>0</v>
      </c>
      <c r="G418">
        <v>104</v>
      </c>
      <c r="H418" t="s">
        <v>8503</v>
      </c>
    </row>
    <row r="419" spans="1:16" x14ac:dyDescent="0.2">
      <c r="B419">
        <v>24</v>
      </c>
      <c r="C419">
        <v>203</v>
      </c>
      <c r="D419">
        <v>23</v>
      </c>
      <c r="F419" t="s">
        <v>8651</v>
      </c>
      <c r="G419" t="s">
        <v>8535</v>
      </c>
      <c r="H419" t="s">
        <v>8536</v>
      </c>
      <c r="I419" t="s">
        <v>8537</v>
      </c>
      <c r="J419" t="s">
        <v>8652</v>
      </c>
      <c r="K419" t="s">
        <v>8552</v>
      </c>
      <c r="M419" t="s">
        <v>8651</v>
      </c>
      <c r="N419">
        <v>36</v>
      </c>
      <c r="O419" t="s">
        <v>8538</v>
      </c>
      <c r="P419" t="s">
        <v>8539</v>
      </c>
    </row>
    <row r="421" spans="1:16" x14ac:dyDescent="0.2">
      <c r="A421">
        <v>16</v>
      </c>
      <c r="D421" t="s">
        <v>8555</v>
      </c>
      <c r="E421">
        <v>100</v>
      </c>
    </row>
    <row r="426" spans="1:16" x14ac:dyDescent="0.2">
      <c r="A426" t="s">
        <v>8556</v>
      </c>
      <c r="B426" t="s">
        <v>8540</v>
      </c>
    </row>
    <row r="427" spans="1:16" x14ac:dyDescent="0.2">
      <c r="A427">
        <v>0</v>
      </c>
      <c r="B427">
        <v>0</v>
      </c>
      <c r="C427">
        <v>0</v>
      </c>
      <c r="D427" t="s">
        <v>8653</v>
      </c>
      <c r="E427" t="s">
        <v>8542</v>
      </c>
    </row>
    <row r="433" spans="1:16" x14ac:dyDescent="0.2">
      <c r="A433" t="s">
        <v>8543</v>
      </c>
      <c r="B433" t="s">
        <v>8532</v>
      </c>
      <c r="C433">
        <v>1</v>
      </c>
      <c r="D433">
        <v>0</v>
      </c>
      <c r="E433">
        <v>0</v>
      </c>
      <c r="F433">
        <v>0</v>
      </c>
    </row>
    <row r="434" spans="1:16" x14ac:dyDescent="0.2">
      <c r="A434" t="s">
        <v>8654</v>
      </c>
      <c r="B434" t="s">
        <v>8565</v>
      </c>
      <c r="C434" t="s">
        <v>8540</v>
      </c>
      <c r="D434" t="s">
        <v>8565</v>
      </c>
      <c r="E434">
        <v>0</v>
      </c>
      <c r="F434">
        <v>1</v>
      </c>
      <c r="G434">
        <v>0</v>
      </c>
      <c r="H434">
        <v>0</v>
      </c>
      <c r="I434" t="s">
        <v>8542</v>
      </c>
      <c r="J434" t="s">
        <v>8542</v>
      </c>
      <c r="K434" t="s">
        <v>8542</v>
      </c>
      <c r="L434" t="s">
        <v>8655</v>
      </c>
    </row>
    <row r="435" spans="1:16" x14ac:dyDescent="0.2">
      <c r="A435" t="s">
        <v>8573</v>
      </c>
      <c r="B435" t="s">
        <v>8574</v>
      </c>
      <c r="C435" t="s">
        <v>8656</v>
      </c>
      <c r="D435" t="s">
        <v>8547</v>
      </c>
      <c r="E435" t="s">
        <v>8542</v>
      </c>
      <c r="F435" t="s">
        <v>8531</v>
      </c>
      <c r="I435" t="s">
        <v>8576</v>
      </c>
    </row>
    <row r="436" spans="1:16" x14ac:dyDescent="0.2">
      <c r="A436">
        <v>0</v>
      </c>
      <c r="B436">
        <v>1</v>
      </c>
      <c r="C436">
        <v>0</v>
      </c>
      <c r="D436">
        <v>0</v>
      </c>
    </row>
    <row r="437" spans="1:16" x14ac:dyDescent="0.2">
      <c r="A437">
        <v>1</v>
      </c>
      <c r="B437">
        <v>94</v>
      </c>
      <c r="C437">
        <v>0</v>
      </c>
      <c r="D437">
        <v>0</v>
      </c>
      <c r="E437">
        <v>0</v>
      </c>
      <c r="F437">
        <v>0</v>
      </c>
      <c r="G437">
        <v>94</v>
      </c>
      <c r="H437" t="s">
        <v>8565</v>
      </c>
    </row>
    <row r="438" spans="1:16" x14ac:dyDescent="0.2">
      <c r="B438">
        <v>24</v>
      </c>
      <c r="C438">
        <v>203</v>
      </c>
      <c r="D438">
        <v>24</v>
      </c>
      <c r="F438" t="s">
        <v>8657</v>
      </c>
      <c r="G438" t="s">
        <v>8535</v>
      </c>
      <c r="H438" t="s">
        <v>8536</v>
      </c>
      <c r="I438" t="s">
        <v>8537</v>
      </c>
      <c r="J438" t="s">
        <v>8658</v>
      </c>
      <c r="K438" t="s">
        <v>8552</v>
      </c>
      <c r="M438" t="s">
        <v>8657</v>
      </c>
      <c r="N438">
        <v>46</v>
      </c>
      <c r="O438" t="s">
        <v>8538</v>
      </c>
      <c r="P438" t="s">
        <v>8539</v>
      </c>
    </row>
    <row r="439" spans="1:16" x14ac:dyDescent="0.2">
      <c r="A439" t="s">
        <v>8659</v>
      </c>
      <c r="B439" t="s">
        <v>8554</v>
      </c>
      <c r="C439">
        <v>62.511000000000003</v>
      </c>
    </row>
    <row r="440" spans="1:16" x14ac:dyDescent="0.2">
      <c r="A440">
        <v>80</v>
      </c>
      <c r="B440" t="s">
        <v>8660</v>
      </c>
      <c r="C440">
        <v>1</v>
      </c>
      <c r="D440" t="s">
        <v>8585</v>
      </c>
      <c r="E440">
        <v>300</v>
      </c>
    </row>
    <row r="441" spans="1:16" x14ac:dyDescent="0.2">
      <c r="D441" t="s">
        <v>8555</v>
      </c>
      <c r="E441">
        <v>1000</v>
      </c>
    </row>
    <row r="445" spans="1:16" x14ac:dyDescent="0.2">
      <c r="A445" t="s">
        <v>8556</v>
      </c>
      <c r="B445" t="s">
        <v>8540</v>
      </c>
    </row>
    <row r="446" spans="1:16" x14ac:dyDescent="0.2">
      <c r="A446">
        <v>0</v>
      </c>
      <c r="B446">
        <v>0</v>
      </c>
      <c r="C446">
        <v>0</v>
      </c>
      <c r="D446" t="s">
        <v>8541</v>
      </c>
      <c r="E446" t="s">
        <v>8542</v>
      </c>
    </row>
    <row r="452" spans="1:12" x14ac:dyDescent="0.2">
      <c r="A452" t="s">
        <v>8543</v>
      </c>
      <c r="B452" t="s">
        <v>8544</v>
      </c>
      <c r="C452">
        <v>0</v>
      </c>
      <c r="D452">
        <v>0</v>
      </c>
      <c r="E452">
        <v>0</v>
      </c>
      <c r="F452">
        <v>1</v>
      </c>
    </row>
    <row r="453" spans="1:12" x14ac:dyDescent="0.2">
      <c r="A453" t="s">
        <v>8661</v>
      </c>
      <c r="B453" t="s">
        <v>8532</v>
      </c>
      <c r="C453" t="s">
        <v>8540</v>
      </c>
      <c r="D453" t="s">
        <v>8499</v>
      </c>
      <c r="E453">
        <v>0</v>
      </c>
      <c r="F453">
        <v>8</v>
      </c>
      <c r="G453">
        <v>0</v>
      </c>
      <c r="H453">
        <v>6</v>
      </c>
      <c r="I453" t="s">
        <v>8531</v>
      </c>
      <c r="J453" t="s">
        <v>8542</v>
      </c>
      <c r="K453" t="s">
        <v>8542</v>
      </c>
      <c r="L453" t="s">
        <v>8542</v>
      </c>
    </row>
    <row r="454" spans="1:12" x14ac:dyDescent="0.2">
      <c r="A454" t="s">
        <v>8545</v>
      </c>
      <c r="B454" t="s">
        <v>8546</v>
      </c>
      <c r="C454" t="s">
        <v>8656</v>
      </c>
      <c r="D454" t="s">
        <v>8662</v>
      </c>
      <c r="E454" t="s">
        <v>8542</v>
      </c>
      <c r="F454" t="s">
        <v>8531</v>
      </c>
      <c r="I454" t="s">
        <v>8549</v>
      </c>
    </row>
    <row r="455" spans="1:12" x14ac:dyDescent="0.2">
      <c r="A455">
        <v>0</v>
      </c>
      <c r="B455">
        <v>8</v>
      </c>
      <c r="C455">
        <v>0</v>
      </c>
      <c r="D455">
        <v>6</v>
      </c>
    </row>
    <row r="456" spans="1:12" x14ac:dyDescent="0.2">
      <c r="A456">
        <v>7</v>
      </c>
      <c r="B456">
        <v>119</v>
      </c>
      <c r="C456">
        <v>0</v>
      </c>
      <c r="D456">
        <v>0</v>
      </c>
      <c r="E456">
        <v>20</v>
      </c>
      <c r="F456">
        <v>0</v>
      </c>
      <c r="G456">
        <v>139</v>
      </c>
      <c r="H456" t="s">
        <v>8499</v>
      </c>
    </row>
  </sheetData>
  <sheetProtection sheet="1" objects="1" scenarios="1"/>
  <phoneticPr fontId="1"/>
  <printOptions gridLines="1"/>
  <pageMargins left="0.70866141732283472" right="0.70866141732283472" top="0.74803149606299213" bottom="0.74803149606299213" header="0.31496062992125984" footer="0.31496062992125984"/>
  <pageSetup paperSize="9" scale="76"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E22154"/>
  <sheetViews>
    <sheetView tabSelected="1" topLeftCell="Q1" workbookViewId="0">
      <selection activeCell="AQ6" sqref="AQ6"/>
    </sheetView>
  </sheetViews>
  <sheetFormatPr defaultColWidth="9" defaultRowHeight="13.2" x14ac:dyDescent="0.2"/>
  <cols>
    <col min="1" max="2" width="3" style="140" customWidth="1"/>
    <col min="3" max="3" width="4.77734375" style="190" customWidth="1"/>
    <col min="4" max="4" width="3.6640625" style="142" customWidth="1"/>
    <col min="5" max="5" width="3.6640625" style="59" customWidth="1"/>
    <col min="6" max="6" width="4.6640625" style="142" customWidth="1"/>
    <col min="7" max="7" width="3.6640625" style="59" customWidth="1"/>
    <col min="8" max="8" width="4.6640625" style="142" customWidth="1"/>
    <col min="9" max="9" width="3.6640625" style="59" customWidth="1"/>
    <col min="10" max="10" width="3.6640625" style="142" customWidth="1"/>
    <col min="11" max="11" width="3.6640625" style="59" customWidth="1"/>
    <col min="12" max="12" width="6.44140625" style="176" customWidth="1"/>
    <col min="13" max="13" width="4.88671875" style="142" customWidth="1"/>
    <col min="14" max="14" width="3.6640625" style="59" hidden="1" customWidth="1"/>
    <col min="15" max="15" width="4" style="142" customWidth="1"/>
    <col min="16" max="16" width="3.6640625" style="59" customWidth="1"/>
    <col min="17" max="17" width="4.6640625" style="59" customWidth="1"/>
    <col min="18" max="21" width="3.6640625" style="59" customWidth="1"/>
    <col min="22" max="22" width="9.33203125" style="59" customWidth="1"/>
    <col min="23" max="23" width="9.21875" style="59" customWidth="1"/>
    <col min="24" max="24" width="11.6640625" style="149" customWidth="1"/>
    <col min="25" max="25" width="3.6640625" style="155" customWidth="1"/>
    <col min="26" max="26" width="5.6640625" style="142" customWidth="1"/>
    <col min="27" max="27" width="5.6640625" style="59" customWidth="1"/>
    <col min="28" max="29" width="3.6640625" style="59" customWidth="1"/>
    <col min="30" max="30" width="4.6640625" style="59" customWidth="1"/>
    <col min="31" max="31" width="3.6640625" style="59" customWidth="1"/>
    <col min="32" max="32" width="3.6640625" style="142" customWidth="1"/>
    <col min="33" max="33" width="3.6640625" style="59" customWidth="1"/>
    <col min="34" max="34" width="3.6640625" style="142" customWidth="1"/>
    <col min="35" max="35" width="3.6640625" style="59" customWidth="1"/>
    <col min="36" max="36" width="18.88671875" style="61" customWidth="1"/>
    <col min="37" max="39" width="3.6640625" style="59" customWidth="1"/>
    <col min="40" max="40" width="4.6640625" style="59" customWidth="1"/>
    <col min="41" max="41" width="7.77734375" style="140" customWidth="1"/>
    <col min="42" max="42" width="3.6640625" style="59" customWidth="1"/>
    <col min="43" max="43" width="3.6640625" style="142" customWidth="1"/>
    <col min="44" max="44" width="3.6640625" style="59" customWidth="1"/>
    <col min="45" max="45" width="3.6640625" style="142" customWidth="1"/>
    <col min="46" max="46" width="3.6640625" style="59" customWidth="1"/>
    <col min="47" max="47" width="3.6640625" style="142" customWidth="1"/>
    <col min="48" max="48" width="4.6640625" style="59" customWidth="1"/>
    <col min="49" max="49" width="19.77734375" style="165" customWidth="1"/>
    <col min="50" max="50" width="3.6640625" style="59" customWidth="1"/>
    <col min="51" max="51" width="17.109375" style="165" customWidth="1"/>
    <col min="52" max="52" width="3.6640625" style="59" customWidth="1"/>
    <col min="53" max="53" width="7.21875" style="149" customWidth="1"/>
    <col min="54" max="54" width="3.6640625" style="59" customWidth="1"/>
    <col min="55" max="55" width="4.6640625" style="142" customWidth="1"/>
    <col min="56" max="56" width="3.6640625" style="59" customWidth="1"/>
    <col min="57" max="57" width="4.6640625" style="59" customWidth="1"/>
    <col min="58" max="58" width="5.77734375" style="140" customWidth="1"/>
    <col min="59" max="59" width="4.6640625" style="59" customWidth="1"/>
    <col min="60" max="64" width="9" style="60"/>
    <col min="65" max="65" width="9" style="198"/>
    <col min="66" max="66" width="9" style="193"/>
    <col min="67" max="67" width="9" style="198" customWidth="1"/>
    <col min="68" max="71" width="9" style="198"/>
    <col min="72" max="77" width="9" style="193"/>
    <col min="78" max="81" width="9" style="60"/>
    <col min="82" max="82" width="9" style="60" customWidth="1"/>
    <col min="83" max="83" width="8.77734375"/>
    <col min="84" max="84" width="9" style="60" customWidth="1"/>
    <col min="85" max="16384" width="9" style="60"/>
  </cols>
  <sheetData>
    <row r="1" spans="1:77" s="9" customFormat="1" ht="53.25" customHeight="1" x14ac:dyDescent="0.15">
      <c r="A1" s="139"/>
      <c r="B1" s="7" t="s">
        <v>8405</v>
      </c>
      <c r="C1" s="1"/>
      <c r="D1" s="141"/>
      <c r="E1" s="143"/>
      <c r="F1" s="143"/>
      <c r="G1" s="143" t="s">
        <v>8207</v>
      </c>
      <c r="H1" s="143"/>
      <c r="I1" s="143"/>
      <c r="J1" s="143"/>
      <c r="K1" s="146"/>
      <c r="L1" s="171"/>
      <c r="M1" s="2" t="s">
        <v>8208</v>
      </c>
      <c r="N1" s="143"/>
      <c r="O1" s="2"/>
      <c r="P1" s="146"/>
      <c r="Q1" s="3" t="s">
        <v>8209</v>
      </c>
      <c r="R1" s="150" t="s">
        <v>8210</v>
      </c>
      <c r="S1" s="143"/>
      <c r="T1" s="143"/>
      <c r="U1" s="5"/>
      <c r="V1" s="4" t="s">
        <v>8211</v>
      </c>
      <c r="W1" s="5"/>
      <c r="X1" s="5" t="s">
        <v>8212</v>
      </c>
      <c r="Y1" s="131" t="s">
        <v>8213</v>
      </c>
      <c r="Z1" s="152"/>
      <c r="AA1" s="6"/>
      <c r="AB1" s="6"/>
      <c r="AC1" s="6"/>
      <c r="AD1" s="6"/>
      <c r="AE1" s="6"/>
      <c r="AF1" s="6"/>
      <c r="AG1" s="6"/>
      <c r="AH1" s="6"/>
      <c r="AI1" s="6"/>
      <c r="AJ1" s="6" t="s">
        <v>8214</v>
      </c>
      <c r="AK1" s="6"/>
      <c r="AL1" s="6"/>
      <c r="AM1" s="6"/>
      <c r="AN1" s="6"/>
      <c r="AO1" s="6"/>
      <c r="AP1" s="156"/>
      <c r="AQ1" s="139"/>
      <c r="AR1" s="7"/>
      <c r="AS1" s="7"/>
      <c r="AT1" s="7"/>
      <c r="AU1" s="7"/>
      <c r="AV1" s="7"/>
      <c r="AW1" s="8" t="s">
        <v>8215</v>
      </c>
      <c r="AX1" s="7"/>
      <c r="AY1" s="8"/>
      <c r="AZ1" s="7"/>
      <c r="BA1" s="7"/>
      <c r="BB1" s="7"/>
      <c r="BC1" s="168"/>
      <c r="BD1" s="168"/>
      <c r="BE1" s="7"/>
      <c r="BF1" s="7"/>
      <c r="BG1" s="169"/>
      <c r="BM1" s="194"/>
      <c r="BO1" s="194"/>
      <c r="BP1" s="194"/>
      <c r="BQ1" s="194"/>
      <c r="BR1" s="194"/>
      <c r="BS1" s="194"/>
    </row>
    <row r="2" spans="1:77" s="28" customFormat="1" ht="12" x14ac:dyDescent="0.15">
      <c r="A2" s="41"/>
      <c r="B2" s="41"/>
      <c r="C2" s="10"/>
      <c r="D2" s="144" t="s">
        <v>8216</v>
      </c>
      <c r="E2" s="32"/>
      <c r="F2" s="11" t="s">
        <v>8217</v>
      </c>
      <c r="G2" s="32"/>
      <c r="H2" s="12" t="s">
        <v>8218</v>
      </c>
      <c r="I2" s="15"/>
      <c r="J2" s="11" t="s">
        <v>8219</v>
      </c>
      <c r="K2" s="32"/>
      <c r="L2" s="172"/>
      <c r="M2" s="145" t="s">
        <v>8487</v>
      </c>
      <c r="N2" s="148"/>
      <c r="O2" s="145" t="s">
        <v>8220</v>
      </c>
      <c r="P2" s="148" t="s">
        <v>8221</v>
      </c>
      <c r="Q2" s="14"/>
      <c r="R2" s="13" t="s">
        <v>8222</v>
      </c>
      <c r="S2" s="30"/>
      <c r="T2" s="15"/>
      <c r="U2" s="16"/>
      <c r="V2" s="15" t="s">
        <v>8223</v>
      </c>
      <c r="W2" s="16" t="s">
        <v>8224</v>
      </c>
      <c r="X2" s="16" t="s">
        <v>8225</v>
      </c>
      <c r="Y2" s="132" t="s">
        <v>8406</v>
      </c>
      <c r="Z2" s="178" t="s">
        <v>8226</v>
      </c>
      <c r="AA2" s="153"/>
      <c r="AB2" s="18" t="s">
        <v>8216</v>
      </c>
      <c r="AC2" s="19"/>
      <c r="AD2" s="17" t="s">
        <v>8218</v>
      </c>
      <c r="AE2" s="154"/>
      <c r="AF2" s="18" t="s">
        <v>8227</v>
      </c>
      <c r="AG2" s="18"/>
      <c r="AH2" s="151" t="s">
        <v>8228</v>
      </c>
      <c r="AI2" s="154"/>
      <c r="AJ2" s="18" t="s">
        <v>8229</v>
      </c>
      <c r="AK2" s="19"/>
      <c r="AL2" s="17" t="s">
        <v>8219</v>
      </c>
      <c r="AM2" s="154"/>
      <c r="AN2" s="20" t="s">
        <v>8224</v>
      </c>
      <c r="AO2" s="21" t="s">
        <v>8230</v>
      </c>
      <c r="AP2" s="22" t="s">
        <v>8211</v>
      </c>
      <c r="AQ2" s="157"/>
      <c r="AR2" s="24" t="s">
        <v>8231</v>
      </c>
      <c r="AS2" s="24"/>
      <c r="AT2" s="158"/>
      <c r="AU2" s="29"/>
      <c r="AV2" s="159"/>
      <c r="AW2" s="23"/>
      <c r="AX2" s="24" t="s">
        <v>8486</v>
      </c>
      <c r="AY2" s="166"/>
      <c r="AZ2" s="158"/>
      <c r="BA2" s="170" t="s">
        <v>8232</v>
      </c>
      <c r="BB2" s="159"/>
      <c r="BC2" s="162" t="s">
        <v>8233</v>
      </c>
      <c r="BD2" s="160"/>
      <c r="BE2" s="26" t="s">
        <v>8224</v>
      </c>
      <c r="BF2" s="27" t="s">
        <v>8234</v>
      </c>
      <c r="BG2" s="26" t="s">
        <v>8211</v>
      </c>
      <c r="BM2" s="195"/>
      <c r="BO2" s="195"/>
      <c r="BP2" s="195"/>
      <c r="BQ2" s="195"/>
      <c r="BR2" s="195"/>
      <c r="BS2" s="195"/>
    </row>
    <row r="3" spans="1:77" s="28" customFormat="1" ht="12" x14ac:dyDescent="0.15">
      <c r="A3" s="27"/>
      <c r="B3" s="27"/>
      <c r="C3" s="29" t="s">
        <v>8235</v>
      </c>
      <c r="D3" s="30"/>
      <c r="E3" s="30" t="s">
        <v>8209</v>
      </c>
      <c r="F3" s="30"/>
      <c r="G3" s="30" t="s">
        <v>8209</v>
      </c>
      <c r="H3" s="147"/>
      <c r="I3" s="30" t="s">
        <v>8209</v>
      </c>
      <c r="J3" s="147"/>
      <c r="K3" s="30" t="s">
        <v>8209</v>
      </c>
      <c r="L3" s="173" t="s">
        <v>8236</v>
      </c>
      <c r="M3" s="30" t="s">
        <v>8237</v>
      </c>
      <c r="N3" s="31" t="s">
        <v>8209</v>
      </c>
      <c r="O3" s="30" t="s">
        <v>8238</v>
      </c>
      <c r="P3" s="32" t="s">
        <v>8209</v>
      </c>
      <c r="Q3" s="14" t="s">
        <v>8239</v>
      </c>
      <c r="R3" s="13" t="s">
        <v>8240</v>
      </c>
      <c r="S3" s="16" t="s">
        <v>8241</v>
      </c>
      <c r="T3" s="15" t="s">
        <v>8242</v>
      </c>
      <c r="U3" s="16" t="s">
        <v>8243</v>
      </c>
      <c r="V3" s="15" t="s">
        <v>8244</v>
      </c>
      <c r="W3" s="16"/>
      <c r="X3" s="16" t="s">
        <v>8245</v>
      </c>
      <c r="Y3" s="133" t="s">
        <v>8241</v>
      </c>
      <c r="Z3" s="33"/>
      <c r="AA3" s="21" t="s">
        <v>8246</v>
      </c>
      <c r="AB3" s="33"/>
      <c r="AC3" s="21" t="s">
        <v>8246</v>
      </c>
      <c r="AD3" s="33"/>
      <c r="AE3" s="21" t="s">
        <v>8246</v>
      </c>
      <c r="AF3" s="33"/>
      <c r="AG3" s="21" t="s">
        <v>8246</v>
      </c>
      <c r="AH3" s="33"/>
      <c r="AI3" s="21" t="s">
        <v>8246</v>
      </c>
      <c r="AJ3" s="34"/>
      <c r="AK3" s="21" t="s">
        <v>8246</v>
      </c>
      <c r="AL3" s="33"/>
      <c r="AM3" s="21" t="s">
        <v>8246</v>
      </c>
      <c r="AN3" s="35" t="s">
        <v>8243</v>
      </c>
      <c r="AO3" s="36" t="s">
        <v>8247</v>
      </c>
      <c r="AP3" s="37" t="s">
        <v>8248</v>
      </c>
      <c r="AQ3" s="162" t="s">
        <v>8249</v>
      </c>
      <c r="AR3" s="160"/>
      <c r="AS3" s="163" t="s">
        <v>8250</v>
      </c>
      <c r="AT3" s="161"/>
      <c r="AU3" s="25" t="s">
        <v>8517</v>
      </c>
      <c r="AV3" s="158"/>
      <c r="AW3" s="23" t="s">
        <v>8251</v>
      </c>
      <c r="AX3" s="158"/>
      <c r="AY3" s="167" t="s">
        <v>8252</v>
      </c>
      <c r="AZ3" s="158"/>
      <c r="BA3" s="25" t="s">
        <v>8253</v>
      </c>
      <c r="BB3" s="24"/>
      <c r="BC3" s="25" t="s">
        <v>8254</v>
      </c>
      <c r="BD3" s="158"/>
      <c r="BE3" s="26" t="s">
        <v>8243</v>
      </c>
      <c r="BF3" s="27" t="s">
        <v>8247</v>
      </c>
      <c r="BG3" s="26" t="s">
        <v>8248</v>
      </c>
      <c r="BM3" s="195"/>
      <c r="BO3" s="195"/>
      <c r="BP3" s="195"/>
      <c r="BQ3" s="195"/>
      <c r="BR3" s="195"/>
      <c r="BS3" s="195"/>
    </row>
    <row r="4" spans="1:77" s="28" customFormat="1" ht="12" x14ac:dyDescent="0.15">
      <c r="A4" s="27" t="s">
        <v>8255</v>
      </c>
      <c r="B4" s="27" t="s">
        <v>8256</v>
      </c>
      <c r="C4" s="29"/>
      <c r="D4" s="16" t="s">
        <v>8257</v>
      </c>
      <c r="E4" s="16"/>
      <c r="F4" s="16" t="s">
        <v>8258</v>
      </c>
      <c r="G4" s="16"/>
      <c r="H4" s="38" t="s">
        <v>8259</v>
      </c>
      <c r="I4" s="16"/>
      <c r="J4" s="38" t="s">
        <v>8260</v>
      </c>
      <c r="K4" s="16"/>
      <c r="L4" s="173"/>
      <c r="M4" s="16" t="s">
        <v>8261</v>
      </c>
      <c r="N4" s="15"/>
      <c r="O4" s="16"/>
      <c r="P4" s="14"/>
      <c r="Q4" s="14"/>
      <c r="R4" s="13" t="s">
        <v>8241</v>
      </c>
      <c r="S4" s="16"/>
      <c r="T4" s="15"/>
      <c r="U4" s="16"/>
      <c r="V4" s="15" t="s">
        <v>8262</v>
      </c>
      <c r="W4" s="16"/>
      <c r="X4" s="16" t="s">
        <v>8263</v>
      </c>
      <c r="Y4" s="133" t="s">
        <v>8264</v>
      </c>
      <c r="Z4" s="39" t="s">
        <v>8407</v>
      </c>
      <c r="AA4" s="36"/>
      <c r="AB4" s="39" t="s">
        <v>8408</v>
      </c>
      <c r="AC4" s="36"/>
      <c r="AD4" s="39" t="s">
        <v>8259</v>
      </c>
      <c r="AE4" s="36"/>
      <c r="AF4" s="39" t="s">
        <v>8260</v>
      </c>
      <c r="AG4" s="36"/>
      <c r="AH4" s="39" t="s">
        <v>8408</v>
      </c>
      <c r="AI4" s="36"/>
      <c r="AJ4" s="36" t="s">
        <v>8409</v>
      </c>
      <c r="AK4" s="36"/>
      <c r="AL4" s="39" t="s">
        <v>8260</v>
      </c>
      <c r="AM4" s="36"/>
      <c r="AN4" s="35" t="s">
        <v>8246</v>
      </c>
      <c r="AO4" s="36" t="s">
        <v>8410</v>
      </c>
      <c r="AP4" s="40" t="s">
        <v>8246</v>
      </c>
      <c r="AQ4" s="42"/>
      <c r="AR4" s="41" t="s">
        <v>8246</v>
      </c>
      <c r="AS4" s="42"/>
      <c r="AT4" s="41" t="s">
        <v>8246</v>
      </c>
      <c r="AU4" s="42"/>
      <c r="AV4" s="41" t="s">
        <v>8246</v>
      </c>
      <c r="AW4" s="42" t="s">
        <v>8263</v>
      </c>
      <c r="AX4" s="41" t="s">
        <v>8246</v>
      </c>
      <c r="AY4" s="42" t="s">
        <v>8263</v>
      </c>
      <c r="AZ4" s="41" t="s">
        <v>8246</v>
      </c>
      <c r="BA4" s="42" t="s">
        <v>8263</v>
      </c>
      <c r="BB4" s="41" t="s">
        <v>8246</v>
      </c>
      <c r="BC4" s="29" t="s">
        <v>8263</v>
      </c>
      <c r="BD4" s="27" t="s">
        <v>8246</v>
      </c>
      <c r="BE4" s="26" t="s">
        <v>8246</v>
      </c>
      <c r="BF4" s="27" t="s">
        <v>8411</v>
      </c>
      <c r="BG4" s="26" t="s">
        <v>8246</v>
      </c>
      <c r="BM4" s="195"/>
      <c r="BO4" s="196"/>
      <c r="BP4" s="195"/>
      <c r="BQ4" s="195"/>
      <c r="BR4" s="195"/>
      <c r="BS4" s="195"/>
    </row>
    <row r="5" spans="1:77" s="53" customFormat="1" ht="12" customHeight="1" x14ac:dyDescent="0.15">
      <c r="A5" s="43"/>
      <c r="B5" s="43"/>
      <c r="C5" s="29" t="s">
        <v>8520</v>
      </c>
      <c r="D5" s="38"/>
      <c r="E5" s="16" t="s">
        <v>8521</v>
      </c>
      <c r="F5" s="38"/>
      <c r="G5" s="16" t="s">
        <v>8521</v>
      </c>
      <c r="H5" s="38"/>
      <c r="I5" s="16" t="s">
        <v>8521</v>
      </c>
      <c r="J5" s="38"/>
      <c r="K5" s="16" t="s">
        <v>8521</v>
      </c>
      <c r="L5" s="174" t="s">
        <v>8522</v>
      </c>
      <c r="M5" s="44" t="s">
        <v>8525</v>
      </c>
      <c r="N5" s="15"/>
      <c r="O5" s="16" t="s">
        <v>8523</v>
      </c>
      <c r="P5" s="14" t="s">
        <v>8521</v>
      </c>
      <c r="Q5" s="45" t="s">
        <v>8524</v>
      </c>
      <c r="R5" s="46" t="s">
        <v>8526</v>
      </c>
      <c r="S5" s="16" t="s">
        <v>8527</v>
      </c>
      <c r="T5" s="15" t="s">
        <v>8528</v>
      </c>
      <c r="U5" s="38"/>
      <c r="V5" s="15" t="s">
        <v>8529</v>
      </c>
      <c r="W5" s="16" t="s">
        <v>8524</v>
      </c>
      <c r="X5" s="38"/>
      <c r="Y5" s="133"/>
      <c r="Z5" s="47"/>
      <c r="AA5" s="36" t="s">
        <v>8521</v>
      </c>
      <c r="AB5" s="47"/>
      <c r="AC5" s="36" t="s">
        <v>8521</v>
      </c>
      <c r="AD5" s="47"/>
      <c r="AE5" s="36" t="s">
        <v>8521</v>
      </c>
      <c r="AF5" s="47"/>
      <c r="AG5" s="36" t="s">
        <v>8521</v>
      </c>
      <c r="AH5" s="47"/>
      <c r="AI5" s="36" t="s">
        <v>8521</v>
      </c>
      <c r="AJ5" s="48"/>
      <c r="AK5" s="36" t="s">
        <v>8521</v>
      </c>
      <c r="AL5" s="47"/>
      <c r="AM5" s="36" t="s">
        <v>8530</v>
      </c>
      <c r="AN5" s="35" t="s">
        <v>8530</v>
      </c>
      <c r="AO5" s="49"/>
      <c r="AP5" s="50" t="s">
        <v>8530</v>
      </c>
      <c r="AQ5" s="29" t="s">
        <v>8266</v>
      </c>
      <c r="AR5" s="27" t="s">
        <v>8239</v>
      </c>
      <c r="AS5" s="29" t="s">
        <v>8266</v>
      </c>
      <c r="AT5" s="27" t="s">
        <v>8239</v>
      </c>
      <c r="AU5" s="29" t="s">
        <v>8260</v>
      </c>
      <c r="AV5" s="27" t="s">
        <v>8239</v>
      </c>
      <c r="AW5" s="29" t="s">
        <v>8267</v>
      </c>
      <c r="AX5" s="27" t="s">
        <v>8239</v>
      </c>
      <c r="AY5" s="29" t="s">
        <v>8267</v>
      </c>
      <c r="AZ5" s="27" t="s">
        <v>8239</v>
      </c>
      <c r="BA5" s="29" t="s">
        <v>8267</v>
      </c>
      <c r="BB5" s="27" t="s">
        <v>8239</v>
      </c>
      <c r="BC5" s="29" t="s">
        <v>8267</v>
      </c>
      <c r="BD5" s="27" t="s">
        <v>8239</v>
      </c>
      <c r="BE5" s="51" t="s">
        <v>8239</v>
      </c>
      <c r="BF5" s="52" t="s">
        <v>8265</v>
      </c>
      <c r="BG5" s="51" t="s">
        <v>8239</v>
      </c>
      <c r="BM5" s="196"/>
      <c r="BO5" s="196" t="s">
        <v>8518</v>
      </c>
      <c r="BP5" s="196"/>
      <c r="BQ5" s="196"/>
      <c r="BR5" s="196"/>
      <c r="BS5" s="199"/>
      <c r="BT5" s="191"/>
      <c r="BU5" s="191"/>
      <c r="BV5" s="191"/>
      <c r="BW5" s="191"/>
      <c r="BX5" s="191"/>
      <c r="BY5" s="191"/>
    </row>
    <row r="6" spans="1:77" s="59" customFormat="1" ht="12" x14ac:dyDescent="0.2">
      <c r="A6" s="54"/>
      <c r="B6" s="54"/>
      <c r="C6" s="55">
        <v>1</v>
      </c>
      <c r="D6" s="55">
        <v>50</v>
      </c>
      <c r="E6" s="56">
        <v>20</v>
      </c>
      <c r="F6" s="55" t="s">
        <v>8534</v>
      </c>
      <c r="G6" s="56">
        <v>8</v>
      </c>
      <c r="H6" s="55">
        <v>180</v>
      </c>
      <c r="I6" s="56">
        <v>16</v>
      </c>
      <c r="J6" s="55">
        <v>1</v>
      </c>
      <c r="K6" s="56">
        <v>6</v>
      </c>
      <c r="L6" s="175" t="s">
        <v>8688</v>
      </c>
      <c r="M6" s="55" t="s">
        <v>8689</v>
      </c>
      <c r="N6" s="56">
        <v>0</v>
      </c>
      <c r="O6" s="55" t="s">
        <v>8426</v>
      </c>
      <c r="P6" s="56">
        <v>33</v>
      </c>
      <c r="Q6" s="56">
        <f>$E$6+$G$6+$I$6+$K$6+$N$6+$P$6</f>
        <v>83</v>
      </c>
      <c r="R6" s="56">
        <f xml:space="preserve"> IF(AND($Q$6&lt;100,$Y$6 = "有"), 100-$Q$6,0)</f>
        <v>0</v>
      </c>
      <c r="S6" s="56">
        <f>$AP$6</f>
        <v>0</v>
      </c>
      <c r="T6" s="56">
        <f>$BG$6</f>
        <v>0</v>
      </c>
      <c r="U6" s="56">
        <f xml:space="preserve"> $R$6+ IF($S$6&gt;=$T$6,$S$6,$T$6)</f>
        <v>0</v>
      </c>
      <c r="V6" s="130"/>
      <c r="W6" s="130">
        <f>$Q$6+$U$6+$V$6</f>
        <v>83</v>
      </c>
      <c r="X6" s="57"/>
      <c r="Y6" s="134"/>
      <c r="Z6" s="55" t="s">
        <v>8533</v>
      </c>
      <c r="AA6" s="56">
        <v>1</v>
      </c>
      <c r="AB6" s="56">
        <f>IF(ISBLANK($Z$6),0,$D$6)</f>
        <v>50</v>
      </c>
      <c r="AC6" s="56">
        <v>1</v>
      </c>
      <c r="AD6" s="56">
        <f>IF(ISBLANK($Z$6),0,$H$6)</f>
        <v>180</v>
      </c>
      <c r="AE6" s="56">
        <v>3</v>
      </c>
      <c r="AF6" s="55">
        <v>80</v>
      </c>
      <c r="AG6" s="56">
        <v>5</v>
      </c>
      <c r="AH6" s="55">
        <v>20</v>
      </c>
      <c r="AI6" s="56">
        <v>3</v>
      </c>
      <c r="AJ6" s="58" t="s">
        <v>8461</v>
      </c>
      <c r="AK6" s="56">
        <v>2</v>
      </c>
      <c r="AL6" s="56">
        <f>IF(ISBLANK($Z$6),0,$J$6)</f>
        <v>1</v>
      </c>
      <c r="AM6" s="56">
        <v>4</v>
      </c>
      <c r="AN6" s="56">
        <f>$AA$6+$AC$6+$AE$6+$AG$6+$AI$6+$AK$6+$AM$6</f>
        <v>19</v>
      </c>
      <c r="AO6" s="54"/>
      <c r="AP6" s="56">
        <f>IF($AN$6&gt;=20,$AN$6,IF($AO$6="有",20,0))</f>
        <v>0</v>
      </c>
      <c r="AQ6" s="55"/>
      <c r="AR6" s="56"/>
      <c r="AS6" s="55"/>
      <c r="AT6" s="56"/>
      <c r="AU6" s="55"/>
      <c r="AV6" s="56"/>
      <c r="AW6" s="164"/>
      <c r="AX6" s="56"/>
      <c r="AY6" s="164"/>
      <c r="AZ6" s="56"/>
      <c r="BA6" s="57"/>
      <c r="BB6" s="56"/>
      <c r="BC6" s="55"/>
      <c r="BD6" s="56"/>
      <c r="BE6" s="56"/>
      <c r="BF6" s="54"/>
      <c r="BG6" s="56"/>
      <c r="BM6" s="197"/>
      <c r="BN6" s="192"/>
      <c r="BO6" s="197">
        <f t="shared" ref="BO6:BO69" si="0">IF(C6="","",Q6+U6)</f>
        <v>83</v>
      </c>
      <c r="BP6" s="197">
        <f>IF(C6="","",IF(MAX($BO$6:$BO$506)-BO6=0,1,""))</f>
        <v>1</v>
      </c>
      <c r="BQ6" s="197">
        <f>IF(C6="","",IF(COUNTIF(BP$6:BP6,BP6)&gt;1,"",BP6))</f>
        <v>1</v>
      </c>
      <c r="BR6" s="197">
        <f>IF(F6="","",IF(BQ6=1,MAX($BO$6:$BO$506),0))</f>
        <v>83</v>
      </c>
      <c r="BS6" s="197"/>
      <c r="BT6" s="192"/>
      <c r="BU6" s="192"/>
      <c r="BV6" s="192"/>
      <c r="BW6" s="192"/>
      <c r="BX6" s="192"/>
      <c r="BY6" s="192"/>
    </row>
    <row r="7" spans="1:77" s="59" customFormat="1" ht="12" x14ac:dyDescent="0.2">
      <c r="A7" s="54"/>
      <c r="B7" s="54"/>
      <c r="C7" s="55">
        <v>2</v>
      </c>
      <c r="D7" s="55">
        <v>40</v>
      </c>
      <c r="E7" s="56">
        <v>20</v>
      </c>
      <c r="F7" s="55" t="s">
        <v>8534</v>
      </c>
      <c r="G7" s="56">
        <v>8</v>
      </c>
      <c r="H7" s="55">
        <v>190</v>
      </c>
      <c r="I7" s="56">
        <v>16</v>
      </c>
      <c r="J7" s="55">
        <v>1</v>
      </c>
      <c r="K7" s="56">
        <v>6</v>
      </c>
      <c r="L7" s="175" t="s">
        <v>8688</v>
      </c>
      <c r="M7" s="55" t="s">
        <v>8689</v>
      </c>
      <c r="N7" s="56">
        <v>0</v>
      </c>
      <c r="O7" s="55" t="s">
        <v>8426</v>
      </c>
      <c r="P7" s="56">
        <v>33</v>
      </c>
      <c r="Q7" s="56">
        <f>$E$7+$G$7+$I$7+$K$7+$N$7+$P$7</f>
        <v>83</v>
      </c>
      <c r="R7" s="56">
        <f xml:space="preserve"> IF(AND($Q$7&lt;100,$Y$7 = "有"), 100-$Q$7,0)</f>
        <v>0</v>
      </c>
      <c r="S7" s="56">
        <f>$AP$7</f>
        <v>0</v>
      </c>
      <c r="T7" s="56">
        <f>$BG$7</f>
        <v>0</v>
      </c>
      <c r="U7" s="56">
        <f xml:space="preserve"> $R$7+ IF($S$7&gt;=$T$7,$S$7,$T$7)</f>
        <v>0</v>
      </c>
      <c r="V7" s="130"/>
      <c r="W7" s="130">
        <f>$Q$7+$U$7+$V$7</f>
        <v>83</v>
      </c>
      <c r="X7" s="57"/>
      <c r="Y7" s="134"/>
      <c r="Z7" s="55" t="s">
        <v>8533</v>
      </c>
      <c r="AA7" s="56">
        <v>1</v>
      </c>
      <c r="AB7" s="56">
        <f>IF(ISBLANK($Z$7),0,$D$7)</f>
        <v>40</v>
      </c>
      <c r="AC7" s="56">
        <v>0</v>
      </c>
      <c r="AD7" s="56">
        <f>IF(ISBLANK($Z$7),0,$H$7)</f>
        <v>190</v>
      </c>
      <c r="AE7" s="56">
        <v>3</v>
      </c>
      <c r="AF7" s="55">
        <v>70</v>
      </c>
      <c r="AG7" s="56">
        <v>5</v>
      </c>
      <c r="AH7" s="55">
        <v>30</v>
      </c>
      <c r="AI7" s="56">
        <v>3</v>
      </c>
      <c r="AJ7" s="58" t="s">
        <v>8461</v>
      </c>
      <c r="AK7" s="56">
        <v>2</v>
      </c>
      <c r="AL7" s="56">
        <f>IF(ISBLANK($Z$7),0,$J$7)</f>
        <v>1</v>
      </c>
      <c r="AM7" s="56">
        <v>4</v>
      </c>
      <c r="AN7" s="56">
        <f>$AA$7+$AC$7+$AE$7+$AG$7+$AI$7+$AK$7+$AM$7</f>
        <v>18</v>
      </c>
      <c r="AO7" s="54"/>
      <c r="AP7" s="56">
        <f>IF($AN$7&gt;=20,$AN$7,IF($AO$7="有",20,0))</f>
        <v>0</v>
      </c>
      <c r="AQ7" s="55"/>
      <c r="AR7" s="56"/>
      <c r="AS7" s="55"/>
      <c r="AT7" s="56"/>
      <c r="AU7" s="55"/>
      <c r="AV7" s="56"/>
      <c r="AW7" s="164"/>
      <c r="AX7" s="56"/>
      <c r="AY7" s="164"/>
      <c r="AZ7" s="56"/>
      <c r="BA7" s="57"/>
      <c r="BB7" s="56"/>
      <c r="BC7" s="55"/>
      <c r="BD7" s="56"/>
      <c r="BE7" s="56"/>
      <c r="BF7" s="54"/>
      <c r="BG7" s="56"/>
      <c r="BM7" s="197"/>
      <c r="BN7" s="192"/>
      <c r="BO7" s="197">
        <f>IF(C7="","",Q7+U7)</f>
        <v>83</v>
      </c>
      <c r="BP7" s="197">
        <f t="shared" ref="BP7:BP70" si="1">IF(C7="","",IF(MAX($BO$6:$BO$506)-BO7=0,1,""))</f>
        <v>1</v>
      </c>
      <c r="BQ7" s="197" t="str">
        <f>IF(C7="","",IF(COUNTIF(BP$6:BP7,BP7)&gt;1,"",BP7))</f>
        <v/>
      </c>
      <c r="BR7" s="197">
        <f t="shared" ref="BR7:BR70" si="2">IF(F7="","",IF(BQ7=1,MAX($BO$6:$BO$506),0))</f>
        <v>0</v>
      </c>
      <c r="BS7" s="197"/>
      <c r="BT7" s="192"/>
      <c r="BU7" s="192"/>
      <c r="BV7" s="192"/>
      <c r="BW7" s="192"/>
      <c r="BX7" s="192"/>
      <c r="BY7" s="192"/>
    </row>
    <row r="8" spans="1:77" s="59" customFormat="1" ht="12" x14ac:dyDescent="0.2">
      <c r="A8" s="54"/>
      <c r="B8" s="54"/>
      <c r="C8" s="55"/>
      <c r="D8" s="55"/>
      <c r="E8" s="56"/>
      <c r="F8" s="55"/>
      <c r="G8" s="56"/>
      <c r="H8" s="55"/>
      <c r="I8" s="56"/>
      <c r="J8" s="55"/>
      <c r="K8" s="56"/>
      <c r="L8" s="175"/>
      <c r="M8" s="55"/>
      <c r="N8" s="56"/>
      <c r="O8" s="55"/>
      <c r="P8" s="56"/>
      <c r="Q8" s="56"/>
      <c r="R8" s="56"/>
      <c r="S8" s="56"/>
      <c r="T8" s="56"/>
      <c r="U8" s="56"/>
      <c r="V8" s="130"/>
      <c r="W8" s="130"/>
      <c r="X8" s="57"/>
      <c r="Y8" s="134"/>
      <c r="Z8" s="55"/>
      <c r="AA8" s="56"/>
      <c r="AB8" s="56"/>
      <c r="AC8" s="56"/>
      <c r="AD8" s="56"/>
      <c r="AE8" s="56"/>
      <c r="AF8" s="55"/>
      <c r="AG8" s="56"/>
      <c r="AH8" s="55"/>
      <c r="AI8" s="56"/>
      <c r="AJ8" s="58"/>
      <c r="AK8" s="56"/>
      <c r="AL8" s="56"/>
      <c r="AM8" s="56"/>
      <c r="AN8" s="56"/>
      <c r="AO8" s="54"/>
      <c r="AP8" s="56"/>
      <c r="AQ8" s="55"/>
      <c r="AR8" s="56"/>
      <c r="AS8" s="55"/>
      <c r="AT8" s="56"/>
      <c r="AU8" s="55"/>
      <c r="AV8" s="56"/>
      <c r="AW8" s="164"/>
      <c r="AX8" s="56"/>
      <c r="AY8" s="164"/>
      <c r="AZ8" s="56"/>
      <c r="BA8" s="57"/>
      <c r="BB8" s="56"/>
      <c r="BC8" s="55"/>
      <c r="BD8" s="56"/>
      <c r="BE8" s="56"/>
      <c r="BF8" s="54"/>
      <c r="BG8" s="56"/>
      <c r="BM8" s="197"/>
      <c r="BN8" s="192"/>
      <c r="BO8" s="197" t="str">
        <f t="shared" si="0"/>
        <v/>
      </c>
      <c r="BP8" s="197" t="str">
        <f t="shared" si="1"/>
        <v/>
      </c>
      <c r="BQ8" s="197" t="str">
        <f>IF(C8="","",IF(COUNTIF(BP$6:BP8,BP8)&gt;1,"",BP8))</f>
        <v/>
      </c>
      <c r="BR8" s="197" t="str">
        <f t="shared" si="2"/>
        <v/>
      </c>
      <c r="BS8" s="197"/>
      <c r="BT8" s="192"/>
      <c r="BU8" s="192"/>
      <c r="BV8" s="192"/>
      <c r="BW8" s="192"/>
      <c r="BX8" s="192"/>
      <c r="BY8" s="192"/>
    </row>
    <row r="9" spans="1:77" s="59" customFormat="1" ht="12" x14ac:dyDescent="0.15">
      <c r="A9" s="54"/>
      <c r="B9" s="54"/>
      <c r="C9" s="55"/>
      <c r="D9" s="55"/>
      <c r="E9" s="56"/>
      <c r="F9" s="55"/>
      <c r="G9" s="56"/>
      <c r="H9" s="55"/>
      <c r="I9" s="56"/>
      <c r="J9" s="55"/>
      <c r="K9" s="56"/>
      <c r="L9" s="175"/>
      <c r="M9" s="55"/>
      <c r="N9" s="56"/>
      <c r="O9" s="55"/>
      <c r="P9" s="56"/>
      <c r="Q9" s="56"/>
      <c r="R9" s="56"/>
      <c r="S9" s="56"/>
      <c r="T9" s="56"/>
      <c r="U9" s="56"/>
      <c r="V9" s="130"/>
      <c r="W9" s="130"/>
      <c r="X9" s="57"/>
      <c r="Y9" s="134"/>
      <c r="Z9" s="55"/>
      <c r="AA9" s="56"/>
      <c r="AB9" s="56"/>
      <c r="AC9" s="56"/>
      <c r="AD9" s="56"/>
      <c r="AE9" s="56"/>
      <c r="AF9" s="55"/>
      <c r="AG9" s="56"/>
      <c r="AH9" s="55"/>
      <c r="AI9" s="56"/>
      <c r="AJ9" s="58"/>
      <c r="AK9" s="56"/>
      <c r="AL9" s="56"/>
      <c r="AM9" s="56"/>
      <c r="AN9" s="56"/>
      <c r="AO9" s="54"/>
      <c r="AP9" s="56"/>
      <c r="AQ9" s="55"/>
      <c r="AR9" s="56"/>
      <c r="AS9" s="55"/>
      <c r="AT9" s="56"/>
      <c r="AU9" s="55"/>
      <c r="AV9" s="56"/>
      <c r="AW9" s="164"/>
      <c r="AX9" s="56"/>
      <c r="AY9" s="164"/>
      <c r="AZ9" s="56"/>
      <c r="BA9" s="57"/>
      <c r="BB9" s="56"/>
      <c r="BC9" s="55"/>
      <c r="BD9" s="56"/>
      <c r="BE9" s="56"/>
      <c r="BF9" s="54"/>
      <c r="BG9" s="56"/>
      <c r="BM9" s="197"/>
      <c r="BN9" s="192"/>
      <c r="BO9" s="197" t="str">
        <f t="shared" si="0"/>
        <v/>
      </c>
      <c r="BP9" s="197" t="str">
        <f t="shared" si="1"/>
        <v/>
      </c>
      <c r="BQ9" s="197" t="str">
        <f>IF(C9="","",IF(COUNTIF(BP$6:BP9,BP9)&gt;1,"",BP9))</f>
        <v/>
      </c>
      <c r="BR9" s="197" t="str">
        <f t="shared" si="2"/>
        <v/>
      </c>
      <c r="BS9" s="197"/>
      <c r="BT9" s="192"/>
      <c r="BU9" s="192"/>
      <c r="BV9" s="192"/>
      <c r="BW9" s="192"/>
      <c r="BX9" s="192"/>
      <c r="BY9" s="192"/>
    </row>
    <row r="10" spans="1:77" s="59" customFormat="1" ht="12" x14ac:dyDescent="0.15">
      <c r="A10" s="54"/>
      <c r="B10" s="54"/>
      <c r="C10" s="55"/>
      <c r="D10" s="55"/>
      <c r="E10" s="56"/>
      <c r="F10" s="55"/>
      <c r="G10" s="56"/>
      <c r="H10" s="55"/>
      <c r="I10" s="56"/>
      <c r="J10" s="55"/>
      <c r="K10" s="56"/>
      <c r="L10" s="175"/>
      <c r="M10" s="55"/>
      <c r="N10" s="56"/>
      <c r="O10" s="55"/>
      <c r="P10" s="56"/>
      <c r="Q10" s="56"/>
      <c r="R10" s="56"/>
      <c r="S10" s="56"/>
      <c r="T10" s="56"/>
      <c r="U10" s="56"/>
      <c r="V10" s="130"/>
      <c r="W10" s="130"/>
      <c r="X10" s="57"/>
      <c r="Y10" s="134"/>
      <c r="Z10" s="55"/>
      <c r="AA10" s="56"/>
      <c r="AB10" s="56"/>
      <c r="AC10" s="56"/>
      <c r="AD10" s="56"/>
      <c r="AE10" s="56"/>
      <c r="AF10" s="55"/>
      <c r="AG10" s="56"/>
      <c r="AH10" s="55"/>
      <c r="AI10" s="56"/>
      <c r="AJ10" s="58"/>
      <c r="AK10" s="56"/>
      <c r="AL10" s="56"/>
      <c r="AM10" s="56"/>
      <c r="AN10" s="56"/>
      <c r="AO10" s="54"/>
      <c r="AP10" s="56"/>
      <c r="AQ10" s="55"/>
      <c r="AR10" s="56"/>
      <c r="AS10" s="55"/>
      <c r="AT10" s="56"/>
      <c r="AU10" s="55"/>
      <c r="AV10" s="56"/>
      <c r="AW10" s="164"/>
      <c r="AX10" s="56"/>
      <c r="AY10" s="164"/>
      <c r="AZ10" s="56"/>
      <c r="BA10" s="57"/>
      <c r="BB10" s="56"/>
      <c r="BC10" s="55"/>
      <c r="BD10" s="56"/>
      <c r="BE10" s="56"/>
      <c r="BF10" s="54"/>
      <c r="BG10" s="56"/>
      <c r="BM10" s="197"/>
      <c r="BN10" s="192"/>
      <c r="BO10" s="197" t="str">
        <f t="shared" si="0"/>
        <v/>
      </c>
      <c r="BP10" s="197" t="str">
        <f t="shared" si="1"/>
        <v/>
      </c>
      <c r="BQ10" s="197" t="str">
        <f>IF(C10="","",IF(COUNTIF(BP$6:BP10,BP10)&gt;1,"",BP10))</f>
        <v/>
      </c>
      <c r="BR10" s="197" t="str">
        <f t="shared" si="2"/>
        <v/>
      </c>
      <c r="BS10" s="197"/>
      <c r="BT10" s="192"/>
      <c r="BU10" s="192"/>
      <c r="BV10" s="192"/>
      <c r="BW10" s="192"/>
      <c r="BX10" s="192"/>
      <c r="BY10" s="192"/>
    </row>
    <row r="11" spans="1:77" s="59" customFormat="1" ht="12" x14ac:dyDescent="0.15">
      <c r="A11" s="54"/>
      <c r="B11" s="54"/>
      <c r="C11" s="55"/>
      <c r="D11" s="55"/>
      <c r="E11" s="56"/>
      <c r="F11" s="55"/>
      <c r="G11" s="56"/>
      <c r="H11" s="55"/>
      <c r="I11" s="56"/>
      <c r="J11" s="55"/>
      <c r="K11" s="56"/>
      <c r="L11" s="175"/>
      <c r="M11" s="55"/>
      <c r="N11" s="56"/>
      <c r="O11" s="55"/>
      <c r="P11" s="56"/>
      <c r="Q11" s="56"/>
      <c r="R11" s="56"/>
      <c r="S11" s="56"/>
      <c r="T11" s="56"/>
      <c r="U11" s="56"/>
      <c r="V11" s="130"/>
      <c r="W11" s="130"/>
      <c r="X11" s="57"/>
      <c r="Y11" s="134"/>
      <c r="Z11" s="55"/>
      <c r="AA11" s="56"/>
      <c r="AB11" s="56"/>
      <c r="AC11" s="56"/>
      <c r="AD11" s="56"/>
      <c r="AE11" s="56"/>
      <c r="AF11" s="55"/>
      <c r="AG11" s="56"/>
      <c r="AH11" s="55"/>
      <c r="AI11" s="56"/>
      <c r="AJ11" s="58"/>
      <c r="AK11" s="56"/>
      <c r="AL11" s="56"/>
      <c r="AM11" s="56"/>
      <c r="AN11" s="56"/>
      <c r="AO11" s="54"/>
      <c r="AP11" s="56"/>
      <c r="AQ11" s="55"/>
      <c r="AR11" s="56"/>
      <c r="AS11" s="55"/>
      <c r="AT11" s="56"/>
      <c r="AU11" s="55"/>
      <c r="AV11" s="56"/>
      <c r="AW11" s="164"/>
      <c r="AX11" s="56"/>
      <c r="AY11" s="164"/>
      <c r="AZ11" s="56"/>
      <c r="BA11" s="57"/>
      <c r="BB11" s="56"/>
      <c r="BC11" s="55"/>
      <c r="BD11" s="56"/>
      <c r="BE11" s="56"/>
      <c r="BF11" s="54"/>
      <c r="BG11" s="56"/>
      <c r="BM11" s="197"/>
      <c r="BN11" s="192"/>
      <c r="BO11" s="197" t="str">
        <f t="shared" si="0"/>
        <v/>
      </c>
      <c r="BP11" s="197" t="str">
        <f t="shared" si="1"/>
        <v/>
      </c>
      <c r="BQ11" s="197" t="str">
        <f>IF(C11="","",IF(COUNTIF(BP$6:BP11,BP11)&gt;1,"",BP11))</f>
        <v/>
      </c>
      <c r="BR11" s="197" t="str">
        <f t="shared" si="2"/>
        <v/>
      </c>
      <c r="BS11" s="197"/>
      <c r="BT11" s="192"/>
      <c r="BU11" s="192"/>
      <c r="BV11" s="192"/>
      <c r="BW11" s="192"/>
      <c r="BX11" s="192"/>
      <c r="BY11" s="192"/>
    </row>
    <row r="12" spans="1:77" s="59" customFormat="1" ht="12" x14ac:dyDescent="0.15">
      <c r="A12" s="54"/>
      <c r="B12" s="54"/>
      <c r="C12" s="55"/>
      <c r="D12" s="55"/>
      <c r="E12" s="56"/>
      <c r="F12" s="55"/>
      <c r="G12" s="56"/>
      <c r="H12" s="55"/>
      <c r="I12" s="56"/>
      <c r="J12" s="55"/>
      <c r="K12" s="56"/>
      <c r="L12" s="175"/>
      <c r="M12" s="55"/>
      <c r="N12" s="56"/>
      <c r="O12" s="55"/>
      <c r="P12" s="56"/>
      <c r="Q12" s="56"/>
      <c r="R12" s="56"/>
      <c r="S12" s="56"/>
      <c r="T12" s="56"/>
      <c r="U12" s="56"/>
      <c r="V12" s="130"/>
      <c r="W12" s="130"/>
      <c r="X12" s="57"/>
      <c r="Y12" s="134"/>
      <c r="Z12" s="55"/>
      <c r="AA12" s="56"/>
      <c r="AB12" s="56"/>
      <c r="AC12" s="56"/>
      <c r="AD12" s="56"/>
      <c r="AE12" s="56"/>
      <c r="AF12" s="55"/>
      <c r="AG12" s="56"/>
      <c r="AH12" s="55"/>
      <c r="AI12" s="56"/>
      <c r="AJ12" s="58"/>
      <c r="AK12" s="56"/>
      <c r="AL12" s="56"/>
      <c r="AM12" s="56"/>
      <c r="AN12" s="56"/>
      <c r="AO12" s="54"/>
      <c r="AP12" s="56"/>
      <c r="AQ12" s="55"/>
      <c r="AR12" s="56"/>
      <c r="AS12" s="55"/>
      <c r="AT12" s="56"/>
      <c r="AU12" s="55"/>
      <c r="AV12" s="56"/>
      <c r="AW12" s="164"/>
      <c r="AX12" s="56"/>
      <c r="AY12" s="164"/>
      <c r="AZ12" s="56"/>
      <c r="BA12" s="57"/>
      <c r="BB12" s="56"/>
      <c r="BC12" s="55"/>
      <c r="BD12" s="56"/>
      <c r="BE12" s="56"/>
      <c r="BF12" s="54"/>
      <c r="BG12" s="56"/>
      <c r="BM12" s="197"/>
      <c r="BN12" s="192" t="str">
        <f t="shared" ref="BN12:BN70" si="3">IF(C12="","",1)</f>
        <v/>
      </c>
      <c r="BO12" s="197" t="str">
        <f t="shared" si="0"/>
        <v/>
      </c>
      <c r="BP12" s="197" t="str">
        <f t="shared" si="1"/>
        <v/>
      </c>
      <c r="BQ12" s="197" t="str">
        <f>IF(C12="","",IF(COUNTIF(BP$6:BP12,BP12)&gt;1,"",BP12))</f>
        <v/>
      </c>
      <c r="BR12" s="197" t="str">
        <f t="shared" si="2"/>
        <v/>
      </c>
      <c r="BS12" s="197"/>
      <c r="BT12" s="192"/>
      <c r="BU12" s="192"/>
      <c r="BV12" s="192"/>
      <c r="BW12" s="192"/>
      <c r="BX12" s="192"/>
      <c r="BY12" s="192"/>
    </row>
    <row r="13" spans="1:77" s="59" customFormat="1" ht="12" x14ac:dyDescent="0.15">
      <c r="A13" s="54"/>
      <c r="B13" s="54"/>
      <c r="C13" s="55"/>
      <c r="D13" s="55"/>
      <c r="E13" s="56"/>
      <c r="F13" s="55"/>
      <c r="G13" s="56"/>
      <c r="H13" s="55"/>
      <c r="I13" s="56"/>
      <c r="J13" s="55"/>
      <c r="K13" s="56"/>
      <c r="L13" s="175"/>
      <c r="M13" s="55"/>
      <c r="N13" s="56"/>
      <c r="O13" s="55"/>
      <c r="P13" s="56"/>
      <c r="Q13" s="56"/>
      <c r="R13" s="56"/>
      <c r="S13" s="56"/>
      <c r="T13" s="56"/>
      <c r="U13" s="56"/>
      <c r="V13" s="130"/>
      <c r="W13" s="130"/>
      <c r="X13" s="57"/>
      <c r="Y13" s="134"/>
      <c r="Z13" s="55"/>
      <c r="AA13" s="56"/>
      <c r="AB13" s="56"/>
      <c r="AC13" s="56"/>
      <c r="AD13" s="56"/>
      <c r="AE13" s="56"/>
      <c r="AF13" s="55"/>
      <c r="AG13" s="56"/>
      <c r="AH13" s="55"/>
      <c r="AI13" s="56"/>
      <c r="AJ13" s="58"/>
      <c r="AK13" s="56"/>
      <c r="AL13" s="56"/>
      <c r="AM13" s="56"/>
      <c r="AN13" s="56"/>
      <c r="AO13" s="54"/>
      <c r="AP13" s="56"/>
      <c r="AQ13" s="55"/>
      <c r="AR13" s="56"/>
      <c r="AS13" s="55"/>
      <c r="AT13" s="56"/>
      <c r="AU13" s="55"/>
      <c r="AV13" s="56"/>
      <c r="AW13" s="164"/>
      <c r="AX13" s="56"/>
      <c r="AY13" s="164"/>
      <c r="AZ13" s="56"/>
      <c r="BA13" s="57"/>
      <c r="BB13" s="56"/>
      <c r="BC13" s="55"/>
      <c r="BD13" s="56"/>
      <c r="BE13" s="56"/>
      <c r="BF13" s="54"/>
      <c r="BG13" s="56"/>
      <c r="BM13" s="197"/>
      <c r="BN13" s="192" t="str">
        <f t="shared" si="3"/>
        <v/>
      </c>
      <c r="BO13" s="197" t="str">
        <f t="shared" si="0"/>
        <v/>
      </c>
      <c r="BP13" s="197" t="str">
        <f t="shared" si="1"/>
        <v/>
      </c>
      <c r="BQ13" s="197" t="str">
        <f>IF(C13="","",IF(COUNTIF(BP$6:BP13,BP13)&gt;1,"",BP13))</f>
        <v/>
      </c>
      <c r="BR13" s="197" t="str">
        <f t="shared" si="2"/>
        <v/>
      </c>
      <c r="BS13" s="197"/>
      <c r="BT13" s="192"/>
      <c r="BU13" s="192"/>
      <c r="BV13" s="192"/>
      <c r="BW13" s="192"/>
      <c r="BX13" s="192"/>
      <c r="BY13" s="192"/>
    </row>
    <row r="14" spans="1:77" s="59" customFormat="1" ht="12" x14ac:dyDescent="0.15">
      <c r="A14" s="54"/>
      <c r="B14" s="54"/>
      <c r="C14" s="55"/>
      <c r="D14" s="55"/>
      <c r="E14" s="56"/>
      <c r="F14" s="55"/>
      <c r="G14" s="56"/>
      <c r="H14" s="55"/>
      <c r="I14" s="56"/>
      <c r="J14" s="55"/>
      <c r="K14" s="56"/>
      <c r="L14" s="175"/>
      <c r="M14" s="55"/>
      <c r="N14" s="56"/>
      <c r="O14" s="55"/>
      <c r="P14" s="56"/>
      <c r="Q14" s="56"/>
      <c r="R14" s="56"/>
      <c r="S14" s="56"/>
      <c r="T14" s="56"/>
      <c r="U14" s="56"/>
      <c r="V14" s="130"/>
      <c r="W14" s="130"/>
      <c r="X14" s="57"/>
      <c r="Y14" s="134"/>
      <c r="Z14" s="55"/>
      <c r="AA14" s="56"/>
      <c r="AB14" s="56"/>
      <c r="AC14" s="56"/>
      <c r="AD14" s="56"/>
      <c r="AE14" s="56"/>
      <c r="AF14" s="55"/>
      <c r="AG14" s="56"/>
      <c r="AH14" s="55"/>
      <c r="AI14" s="56"/>
      <c r="AJ14" s="58"/>
      <c r="AK14" s="56"/>
      <c r="AL14" s="56"/>
      <c r="AM14" s="56"/>
      <c r="AN14" s="56"/>
      <c r="AO14" s="54"/>
      <c r="AP14" s="56"/>
      <c r="AQ14" s="55"/>
      <c r="AR14" s="56"/>
      <c r="AS14" s="55"/>
      <c r="AT14" s="56"/>
      <c r="AU14" s="55"/>
      <c r="AV14" s="56"/>
      <c r="AW14" s="164"/>
      <c r="AX14" s="56"/>
      <c r="AY14" s="164"/>
      <c r="AZ14" s="56"/>
      <c r="BA14" s="57"/>
      <c r="BB14" s="56"/>
      <c r="BC14" s="55"/>
      <c r="BD14" s="56"/>
      <c r="BE14" s="56"/>
      <c r="BF14" s="54"/>
      <c r="BG14" s="56"/>
      <c r="BM14" s="197"/>
      <c r="BN14" s="192" t="str">
        <f t="shared" si="3"/>
        <v/>
      </c>
      <c r="BO14" s="197" t="str">
        <f t="shared" si="0"/>
        <v/>
      </c>
      <c r="BP14" s="197" t="str">
        <f t="shared" si="1"/>
        <v/>
      </c>
      <c r="BQ14" s="197" t="str">
        <f>IF(C14="","",IF(COUNTIF(BP$6:BP14,BP14)&gt;1,"",BP14))</f>
        <v/>
      </c>
      <c r="BR14" s="197" t="str">
        <f t="shared" si="2"/>
        <v/>
      </c>
      <c r="BS14" s="197"/>
      <c r="BT14" s="192"/>
      <c r="BU14" s="192"/>
      <c r="BV14" s="192"/>
      <c r="BW14" s="192"/>
      <c r="BX14" s="192"/>
      <c r="BY14" s="192"/>
    </row>
    <row r="15" spans="1:77" s="59" customFormat="1" ht="12" x14ac:dyDescent="0.15">
      <c r="A15" s="54"/>
      <c r="B15" s="54"/>
      <c r="C15" s="55"/>
      <c r="D15" s="55"/>
      <c r="E15" s="56"/>
      <c r="F15" s="55"/>
      <c r="G15" s="56"/>
      <c r="H15" s="55"/>
      <c r="I15" s="56"/>
      <c r="J15" s="55"/>
      <c r="K15" s="56"/>
      <c r="L15" s="175"/>
      <c r="M15" s="55"/>
      <c r="N15" s="56"/>
      <c r="O15" s="55"/>
      <c r="P15" s="56"/>
      <c r="Q15" s="56"/>
      <c r="R15" s="56"/>
      <c r="S15" s="56"/>
      <c r="T15" s="56"/>
      <c r="U15" s="56"/>
      <c r="V15" s="130"/>
      <c r="W15" s="130"/>
      <c r="X15" s="57"/>
      <c r="Y15" s="134"/>
      <c r="Z15" s="55"/>
      <c r="AA15" s="56"/>
      <c r="AB15" s="56"/>
      <c r="AC15" s="56"/>
      <c r="AD15" s="56"/>
      <c r="AE15" s="56"/>
      <c r="AF15" s="55"/>
      <c r="AG15" s="56"/>
      <c r="AH15" s="55"/>
      <c r="AI15" s="56"/>
      <c r="AJ15" s="58"/>
      <c r="AK15" s="56"/>
      <c r="AL15" s="56"/>
      <c r="AM15" s="56"/>
      <c r="AN15" s="56"/>
      <c r="AO15" s="54"/>
      <c r="AP15" s="56"/>
      <c r="AQ15" s="55"/>
      <c r="AR15" s="56"/>
      <c r="AS15" s="55"/>
      <c r="AT15" s="56"/>
      <c r="AU15" s="55"/>
      <c r="AV15" s="56"/>
      <c r="AW15" s="164"/>
      <c r="AX15" s="56"/>
      <c r="AY15" s="164"/>
      <c r="AZ15" s="56"/>
      <c r="BA15" s="57"/>
      <c r="BB15" s="56"/>
      <c r="BC15" s="55"/>
      <c r="BD15" s="56"/>
      <c r="BE15" s="56"/>
      <c r="BF15" s="54"/>
      <c r="BG15" s="56"/>
      <c r="BM15" s="197"/>
      <c r="BN15" s="192" t="str">
        <f t="shared" si="3"/>
        <v/>
      </c>
      <c r="BO15" s="197" t="str">
        <f t="shared" si="0"/>
        <v/>
      </c>
      <c r="BP15" s="197" t="str">
        <f t="shared" si="1"/>
        <v/>
      </c>
      <c r="BQ15" s="197" t="str">
        <f>IF(C15="","",IF(COUNTIF(BP$6:BP15,BP15)&gt;1,"",BP15))</f>
        <v/>
      </c>
      <c r="BR15" s="197" t="str">
        <f t="shared" si="2"/>
        <v/>
      </c>
      <c r="BS15" s="197"/>
      <c r="BT15" s="192"/>
      <c r="BU15" s="192"/>
      <c r="BV15" s="192"/>
      <c r="BW15" s="192"/>
      <c r="BX15" s="192"/>
      <c r="BY15" s="192"/>
    </row>
    <row r="16" spans="1:77" s="59" customFormat="1" ht="12" x14ac:dyDescent="0.15">
      <c r="A16" s="54"/>
      <c r="B16" s="54"/>
      <c r="C16" s="55"/>
      <c r="D16" s="55"/>
      <c r="E16" s="56"/>
      <c r="F16" s="55"/>
      <c r="G16" s="56"/>
      <c r="H16" s="55"/>
      <c r="I16" s="56"/>
      <c r="J16" s="55"/>
      <c r="K16" s="56"/>
      <c r="L16" s="175"/>
      <c r="M16" s="55"/>
      <c r="N16" s="56"/>
      <c r="O16" s="55"/>
      <c r="P16" s="56"/>
      <c r="Q16" s="56"/>
      <c r="R16" s="56"/>
      <c r="S16" s="56"/>
      <c r="T16" s="56"/>
      <c r="U16" s="56"/>
      <c r="V16" s="130"/>
      <c r="W16" s="130"/>
      <c r="X16" s="57"/>
      <c r="Y16" s="134"/>
      <c r="Z16" s="55"/>
      <c r="AA16" s="56"/>
      <c r="AB16" s="56"/>
      <c r="AC16" s="56"/>
      <c r="AD16" s="56"/>
      <c r="AE16" s="56"/>
      <c r="AF16" s="55"/>
      <c r="AG16" s="56"/>
      <c r="AH16" s="55"/>
      <c r="AI16" s="56"/>
      <c r="AJ16" s="58"/>
      <c r="AK16" s="56"/>
      <c r="AL16" s="56"/>
      <c r="AM16" s="56"/>
      <c r="AN16" s="56"/>
      <c r="AO16" s="54"/>
      <c r="AP16" s="56"/>
      <c r="AQ16" s="55"/>
      <c r="AR16" s="56"/>
      <c r="AS16" s="55"/>
      <c r="AT16" s="56"/>
      <c r="AU16" s="55"/>
      <c r="AV16" s="56"/>
      <c r="AW16" s="164"/>
      <c r="AX16" s="56"/>
      <c r="AY16" s="164"/>
      <c r="AZ16" s="56"/>
      <c r="BA16" s="57"/>
      <c r="BB16" s="56"/>
      <c r="BC16" s="55"/>
      <c r="BD16" s="56"/>
      <c r="BE16" s="56"/>
      <c r="BF16" s="54"/>
      <c r="BG16" s="56"/>
      <c r="BM16" s="197"/>
      <c r="BN16" s="192" t="str">
        <f t="shared" si="3"/>
        <v/>
      </c>
      <c r="BO16" s="197" t="str">
        <f t="shared" si="0"/>
        <v/>
      </c>
      <c r="BP16" s="197" t="str">
        <f t="shared" si="1"/>
        <v/>
      </c>
      <c r="BQ16" s="197" t="str">
        <f>IF(C16="","",IF(COUNTIF(BP$6:BP16,BP16)&gt;1,"",BP16))</f>
        <v/>
      </c>
      <c r="BR16" s="197" t="str">
        <f t="shared" si="2"/>
        <v/>
      </c>
      <c r="BS16" s="197"/>
      <c r="BT16" s="192"/>
      <c r="BU16" s="192"/>
      <c r="BV16" s="192"/>
      <c r="BW16" s="192"/>
      <c r="BX16" s="192"/>
      <c r="BY16" s="192"/>
    </row>
    <row r="17" spans="1:77" s="59" customFormat="1" ht="12" x14ac:dyDescent="0.15">
      <c r="A17" s="54"/>
      <c r="B17" s="54"/>
      <c r="C17" s="55"/>
      <c r="D17" s="55"/>
      <c r="E17" s="56"/>
      <c r="F17" s="55"/>
      <c r="G17" s="56"/>
      <c r="H17" s="55"/>
      <c r="I17" s="56"/>
      <c r="J17" s="55"/>
      <c r="K17" s="56"/>
      <c r="L17" s="175"/>
      <c r="M17" s="55"/>
      <c r="N17" s="56"/>
      <c r="O17" s="55"/>
      <c r="P17" s="56"/>
      <c r="Q17" s="56"/>
      <c r="R17" s="56"/>
      <c r="S17" s="56"/>
      <c r="T17" s="56"/>
      <c r="U17" s="56"/>
      <c r="V17" s="130"/>
      <c r="W17" s="130"/>
      <c r="X17" s="57"/>
      <c r="Y17" s="134"/>
      <c r="Z17" s="55"/>
      <c r="AA17" s="56"/>
      <c r="AB17" s="56"/>
      <c r="AC17" s="56"/>
      <c r="AD17" s="56"/>
      <c r="AE17" s="56"/>
      <c r="AF17" s="55"/>
      <c r="AG17" s="56"/>
      <c r="AH17" s="55"/>
      <c r="AI17" s="56"/>
      <c r="AJ17" s="58"/>
      <c r="AK17" s="56"/>
      <c r="AL17" s="56"/>
      <c r="AM17" s="56"/>
      <c r="AN17" s="56"/>
      <c r="AO17" s="54"/>
      <c r="AP17" s="56"/>
      <c r="AQ17" s="55"/>
      <c r="AR17" s="56"/>
      <c r="AS17" s="55"/>
      <c r="AT17" s="56"/>
      <c r="AU17" s="55"/>
      <c r="AV17" s="56"/>
      <c r="AW17" s="164"/>
      <c r="AX17" s="56"/>
      <c r="AY17" s="164"/>
      <c r="AZ17" s="56"/>
      <c r="BA17" s="57"/>
      <c r="BB17" s="56"/>
      <c r="BC17" s="55"/>
      <c r="BD17" s="56"/>
      <c r="BE17" s="56"/>
      <c r="BF17" s="54"/>
      <c r="BG17" s="56"/>
      <c r="BM17" s="197"/>
      <c r="BN17" s="192" t="str">
        <f t="shared" si="3"/>
        <v/>
      </c>
      <c r="BO17" s="197" t="str">
        <f t="shared" si="0"/>
        <v/>
      </c>
      <c r="BP17" s="197" t="str">
        <f t="shared" si="1"/>
        <v/>
      </c>
      <c r="BQ17" s="197" t="str">
        <f>IF(C17="","",IF(COUNTIF(BP$6:BP17,BP17)&gt;1,"",BP17))</f>
        <v/>
      </c>
      <c r="BR17" s="197" t="str">
        <f t="shared" si="2"/>
        <v/>
      </c>
      <c r="BS17" s="197"/>
      <c r="BT17" s="192"/>
      <c r="BU17" s="192"/>
      <c r="BV17" s="192"/>
      <c r="BW17" s="192"/>
      <c r="BX17" s="192"/>
      <c r="BY17" s="192"/>
    </row>
    <row r="18" spans="1:77" s="59" customFormat="1" ht="12" x14ac:dyDescent="0.15">
      <c r="A18" s="54"/>
      <c r="B18" s="54"/>
      <c r="C18" s="55"/>
      <c r="D18" s="55"/>
      <c r="E18" s="56"/>
      <c r="F18" s="55"/>
      <c r="G18" s="56"/>
      <c r="H18" s="55"/>
      <c r="I18" s="56"/>
      <c r="J18" s="55"/>
      <c r="K18" s="56"/>
      <c r="L18" s="175"/>
      <c r="M18" s="55"/>
      <c r="N18" s="56"/>
      <c r="O18" s="55"/>
      <c r="P18" s="56"/>
      <c r="Q18" s="56"/>
      <c r="R18" s="56"/>
      <c r="S18" s="56"/>
      <c r="T18" s="56"/>
      <c r="U18" s="56"/>
      <c r="V18" s="130"/>
      <c r="W18" s="130"/>
      <c r="X18" s="57"/>
      <c r="Y18" s="134"/>
      <c r="Z18" s="55"/>
      <c r="AA18" s="56"/>
      <c r="AB18" s="56"/>
      <c r="AC18" s="56"/>
      <c r="AD18" s="56"/>
      <c r="AE18" s="56"/>
      <c r="AF18" s="55"/>
      <c r="AG18" s="56"/>
      <c r="AH18" s="55"/>
      <c r="AI18" s="56"/>
      <c r="AJ18" s="58"/>
      <c r="AK18" s="56"/>
      <c r="AL18" s="56"/>
      <c r="AM18" s="56"/>
      <c r="AN18" s="56"/>
      <c r="AO18" s="54"/>
      <c r="AP18" s="56"/>
      <c r="AQ18" s="55"/>
      <c r="AR18" s="56"/>
      <c r="AS18" s="55"/>
      <c r="AT18" s="56"/>
      <c r="AU18" s="55"/>
      <c r="AV18" s="56"/>
      <c r="AW18" s="164"/>
      <c r="AX18" s="56"/>
      <c r="AY18" s="164"/>
      <c r="AZ18" s="56"/>
      <c r="BA18" s="57"/>
      <c r="BB18" s="56"/>
      <c r="BC18" s="55"/>
      <c r="BD18" s="56"/>
      <c r="BE18" s="56"/>
      <c r="BF18" s="54"/>
      <c r="BG18" s="56"/>
      <c r="BM18" s="197"/>
      <c r="BN18" s="192" t="str">
        <f t="shared" si="3"/>
        <v/>
      </c>
      <c r="BO18" s="197" t="str">
        <f t="shared" si="0"/>
        <v/>
      </c>
      <c r="BP18" s="197" t="str">
        <f t="shared" si="1"/>
        <v/>
      </c>
      <c r="BQ18" s="197" t="str">
        <f>IF(C18="","",IF(COUNTIF(BP$6:BP18,BP18)&gt;1,"",BP18))</f>
        <v/>
      </c>
      <c r="BR18" s="197" t="str">
        <f t="shared" si="2"/>
        <v/>
      </c>
      <c r="BS18" s="197"/>
      <c r="BT18" s="192"/>
      <c r="BU18" s="192"/>
      <c r="BV18" s="192"/>
      <c r="BW18" s="192"/>
      <c r="BX18" s="192"/>
      <c r="BY18" s="192"/>
    </row>
    <row r="19" spans="1:77" s="59" customFormat="1" ht="12" x14ac:dyDescent="0.15">
      <c r="A19" s="54"/>
      <c r="B19" s="54"/>
      <c r="C19" s="55"/>
      <c r="D19" s="55"/>
      <c r="E19" s="56"/>
      <c r="F19" s="55"/>
      <c r="G19" s="56"/>
      <c r="H19" s="55"/>
      <c r="I19" s="56"/>
      <c r="J19" s="55"/>
      <c r="K19" s="56"/>
      <c r="L19" s="175"/>
      <c r="M19" s="55"/>
      <c r="N19" s="56"/>
      <c r="O19" s="55"/>
      <c r="P19" s="56"/>
      <c r="Q19" s="56"/>
      <c r="R19" s="56"/>
      <c r="S19" s="56"/>
      <c r="T19" s="56"/>
      <c r="U19" s="56"/>
      <c r="V19" s="130"/>
      <c r="W19" s="130"/>
      <c r="X19" s="57"/>
      <c r="Y19" s="134"/>
      <c r="Z19" s="55"/>
      <c r="AA19" s="56"/>
      <c r="AB19" s="56"/>
      <c r="AC19" s="56"/>
      <c r="AD19" s="56"/>
      <c r="AE19" s="56"/>
      <c r="AF19" s="55"/>
      <c r="AG19" s="56"/>
      <c r="AH19" s="55"/>
      <c r="AI19" s="56"/>
      <c r="AJ19" s="58"/>
      <c r="AK19" s="56"/>
      <c r="AL19" s="56"/>
      <c r="AM19" s="56"/>
      <c r="AN19" s="56"/>
      <c r="AO19" s="54"/>
      <c r="AP19" s="56"/>
      <c r="AQ19" s="55"/>
      <c r="AR19" s="56"/>
      <c r="AS19" s="55"/>
      <c r="AT19" s="56"/>
      <c r="AU19" s="55"/>
      <c r="AV19" s="56"/>
      <c r="AW19" s="164"/>
      <c r="AX19" s="56"/>
      <c r="AY19" s="164"/>
      <c r="AZ19" s="56"/>
      <c r="BA19" s="57"/>
      <c r="BB19" s="56"/>
      <c r="BC19" s="55"/>
      <c r="BD19" s="56"/>
      <c r="BE19" s="56"/>
      <c r="BF19" s="54"/>
      <c r="BG19" s="56"/>
      <c r="BM19" s="197"/>
      <c r="BN19" s="192" t="str">
        <f t="shared" si="3"/>
        <v/>
      </c>
      <c r="BO19" s="197" t="str">
        <f t="shared" si="0"/>
        <v/>
      </c>
      <c r="BP19" s="197" t="str">
        <f t="shared" si="1"/>
        <v/>
      </c>
      <c r="BQ19" s="197" t="str">
        <f>IF(C19="","",IF(COUNTIF(BP$6:BP19,BP19)&gt;1,"",BP19))</f>
        <v/>
      </c>
      <c r="BR19" s="197" t="str">
        <f t="shared" si="2"/>
        <v/>
      </c>
      <c r="BS19" s="197"/>
      <c r="BT19" s="192"/>
      <c r="BU19" s="192"/>
      <c r="BV19" s="192"/>
      <c r="BW19" s="192"/>
      <c r="BX19" s="192"/>
      <c r="BY19" s="192"/>
    </row>
    <row r="20" spans="1:77" s="59" customFormat="1" ht="12" x14ac:dyDescent="0.15">
      <c r="A20" s="54"/>
      <c r="B20" s="54"/>
      <c r="C20" s="55"/>
      <c r="D20" s="55"/>
      <c r="E20" s="56"/>
      <c r="F20" s="55"/>
      <c r="G20" s="56"/>
      <c r="H20" s="55"/>
      <c r="I20" s="56"/>
      <c r="J20" s="55"/>
      <c r="K20" s="56"/>
      <c r="L20" s="175"/>
      <c r="M20" s="55"/>
      <c r="N20" s="56"/>
      <c r="O20" s="55"/>
      <c r="P20" s="56"/>
      <c r="Q20" s="56"/>
      <c r="R20" s="56"/>
      <c r="S20" s="56"/>
      <c r="T20" s="56"/>
      <c r="U20" s="56"/>
      <c r="V20" s="130"/>
      <c r="W20" s="130"/>
      <c r="X20" s="57"/>
      <c r="Y20" s="134"/>
      <c r="Z20" s="55"/>
      <c r="AA20" s="56"/>
      <c r="AB20" s="56"/>
      <c r="AC20" s="56"/>
      <c r="AD20" s="56"/>
      <c r="AE20" s="56"/>
      <c r="AF20" s="55"/>
      <c r="AG20" s="56"/>
      <c r="AH20" s="55"/>
      <c r="AI20" s="56"/>
      <c r="AJ20" s="58"/>
      <c r="AK20" s="56"/>
      <c r="AL20" s="56"/>
      <c r="AM20" s="56"/>
      <c r="AN20" s="56"/>
      <c r="AO20" s="54"/>
      <c r="AP20" s="56"/>
      <c r="AQ20" s="55"/>
      <c r="AR20" s="56"/>
      <c r="AS20" s="55"/>
      <c r="AT20" s="56"/>
      <c r="AU20" s="55"/>
      <c r="AV20" s="56"/>
      <c r="AW20" s="164"/>
      <c r="AX20" s="56"/>
      <c r="AY20" s="164"/>
      <c r="AZ20" s="56"/>
      <c r="BA20" s="57"/>
      <c r="BB20" s="56"/>
      <c r="BC20" s="55"/>
      <c r="BD20" s="56"/>
      <c r="BE20" s="56"/>
      <c r="BF20" s="54"/>
      <c r="BG20" s="56"/>
      <c r="BM20" s="197"/>
      <c r="BN20" s="192" t="str">
        <f t="shared" si="3"/>
        <v/>
      </c>
      <c r="BO20" s="197" t="str">
        <f t="shared" si="0"/>
        <v/>
      </c>
      <c r="BP20" s="197" t="str">
        <f t="shared" si="1"/>
        <v/>
      </c>
      <c r="BQ20" s="197" t="str">
        <f>IF(C20="","",IF(COUNTIF(BP$6:BP20,BP20)&gt;1,"",BP20))</f>
        <v/>
      </c>
      <c r="BR20" s="197" t="str">
        <f t="shared" si="2"/>
        <v/>
      </c>
      <c r="BS20" s="197"/>
      <c r="BT20" s="192"/>
      <c r="BU20" s="192"/>
      <c r="BV20" s="192"/>
      <c r="BW20" s="192"/>
      <c r="BX20" s="192"/>
      <c r="BY20" s="192"/>
    </row>
    <row r="21" spans="1:77" s="59" customFormat="1" ht="12" x14ac:dyDescent="0.15">
      <c r="A21" s="54"/>
      <c r="B21" s="54"/>
      <c r="C21" s="55"/>
      <c r="D21" s="55"/>
      <c r="E21" s="56"/>
      <c r="F21" s="55"/>
      <c r="G21" s="56"/>
      <c r="H21" s="55"/>
      <c r="I21" s="56"/>
      <c r="J21" s="55"/>
      <c r="K21" s="56"/>
      <c r="L21" s="175"/>
      <c r="M21" s="55"/>
      <c r="N21" s="56"/>
      <c r="O21" s="55"/>
      <c r="P21" s="56"/>
      <c r="Q21" s="56"/>
      <c r="R21" s="56"/>
      <c r="S21" s="56"/>
      <c r="T21" s="56"/>
      <c r="U21" s="56"/>
      <c r="V21" s="130"/>
      <c r="W21" s="130"/>
      <c r="X21" s="57"/>
      <c r="Y21" s="134"/>
      <c r="Z21" s="55"/>
      <c r="AA21" s="56"/>
      <c r="AB21" s="56"/>
      <c r="AC21" s="56"/>
      <c r="AD21" s="56"/>
      <c r="AE21" s="56"/>
      <c r="AF21" s="55"/>
      <c r="AG21" s="56"/>
      <c r="AH21" s="55"/>
      <c r="AI21" s="56"/>
      <c r="AJ21" s="58"/>
      <c r="AK21" s="56"/>
      <c r="AL21" s="56"/>
      <c r="AM21" s="56"/>
      <c r="AN21" s="56"/>
      <c r="AO21" s="54"/>
      <c r="AP21" s="56"/>
      <c r="AQ21" s="55"/>
      <c r="AR21" s="56"/>
      <c r="AS21" s="55"/>
      <c r="AT21" s="56"/>
      <c r="AU21" s="55"/>
      <c r="AV21" s="56"/>
      <c r="AW21" s="164"/>
      <c r="AX21" s="56"/>
      <c r="AY21" s="164"/>
      <c r="AZ21" s="56"/>
      <c r="BA21" s="57"/>
      <c r="BB21" s="56"/>
      <c r="BC21" s="55"/>
      <c r="BD21" s="56"/>
      <c r="BE21" s="56"/>
      <c r="BF21" s="54"/>
      <c r="BG21" s="56"/>
      <c r="BM21" s="197"/>
      <c r="BN21" s="192" t="str">
        <f t="shared" si="3"/>
        <v/>
      </c>
      <c r="BO21" s="197" t="str">
        <f>IF(C21="","",Q21+U21)</f>
        <v/>
      </c>
      <c r="BP21" s="197" t="str">
        <f t="shared" si="1"/>
        <v/>
      </c>
      <c r="BQ21" s="197" t="str">
        <f>IF(C21="","",IF(COUNTIF(BP$6:BP21,BP21)&gt;1,"",BP21))</f>
        <v/>
      </c>
      <c r="BR21" s="197" t="str">
        <f t="shared" si="2"/>
        <v/>
      </c>
      <c r="BS21" s="197"/>
      <c r="BT21" s="192"/>
      <c r="BU21" s="192"/>
      <c r="BV21" s="192"/>
      <c r="BW21" s="192"/>
      <c r="BX21" s="192"/>
      <c r="BY21" s="192"/>
    </row>
    <row r="22" spans="1:77" s="59" customFormat="1" ht="12" x14ac:dyDescent="0.15">
      <c r="A22" s="54"/>
      <c r="B22" s="54"/>
      <c r="C22" s="55"/>
      <c r="D22" s="55"/>
      <c r="E22" s="56"/>
      <c r="F22" s="55"/>
      <c r="G22" s="56"/>
      <c r="H22" s="55"/>
      <c r="I22" s="56"/>
      <c r="J22" s="55"/>
      <c r="K22" s="56"/>
      <c r="L22" s="175"/>
      <c r="M22" s="55"/>
      <c r="N22" s="56"/>
      <c r="O22" s="55"/>
      <c r="P22" s="56"/>
      <c r="Q22" s="56"/>
      <c r="R22" s="56"/>
      <c r="S22" s="56"/>
      <c r="T22" s="56"/>
      <c r="U22" s="56"/>
      <c r="V22" s="130"/>
      <c r="W22" s="130"/>
      <c r="X22" s="57"/>
      <c r="Y22" s="134"/>
      <c r="Z22" s="55"/>
      <c r="AA22" s="56"/>
      <c r="AB22" s="56"/>
      <c r="AC22" s="56"/>
      <c r="AD22" s="56"/>
      <c r="AE22" s="56"/>
      <c r="AF22" s="55"/>
      <c r="AG22" s="56"/>
      <c r="AH22" s="55"/>
      <c r="AI22" s="56"/>
      <c r="AJ22" s="58"/>
      <c r="AK22" s="56"/>
      <c r="AL22" s="56"/>
      <c r="AM22" s="56"/>
      <c r="AN22" s="56"/>
      <c r="AO22" s="54"/>
      <c r="AP22" s="56"/>
      <c r="AQ22" s="55"/>
      <c r="AR22" s="56"/>
      <c r="AS22" s="55"/>
      <c r="AT22" s="56"/>
      <c r="AU22" s="55"/>
      <c r="AV22" s="56"/>
      <c r="AW22" s="164"/>
      <c r="AX22" s="56"/>
      <c r="AY22" s="164"/>
      <c r="AZ22" s="56"/>
      <c r="BA22" s="57"/>
      <c r="BB22" s="56"/>
      <c r="BC22" s="55"/>
      <c r="BD22" s="56"/>
      <c r="BE22" s="56"/>
      <c r="BF22" s="54"/>
      <c r="BG22" s="56"/>
      <c r="BM22" s="197"/>
      <c r="BN22" s="192" t="str">
        <f t="shared" si="3"/>
        <v/>
      </c>
      <c r="BO22" s="197" t="str">
        <f t="shared" si="0"/>
        <v/>
      </c>
      <c r="BP22" s="197" t="str">
        <f t="shared" si="1"/>
        <v/>
      </c>
      <c r="BQ22" s="197" t="str">
        <f>IF(C22="","",IF(COUNTIF(BP$6:BP22,BP22)&gt;1,"",BP22))</f>
        <v/>
      </c>
      <c r="BR22" s="197" t="str">
        <f t="shared" si="2"/>
        <v/>
      </c>
      <c r="BS22" s="197"/>
      <c r="BT22" s="192"/>
      <c r="BU22" s="192"/>
      <c r="BV22" s="192"/>
      <c r="BW22" s="192"/>
      <c r="BX22" s="192"/>
      <c r="BY22" s="192"/>
    </row>
    <row r="23" spans="1:77" ht="13.5" x14ac:dyDescent="0.15">
      <c r="A23" s="54"/>
      <c r="B23" s="54"/>
      <c r="C23" s="55"/>
      <c r="D23" s="55"/>
      <c r="E23" s="56"/>
      <c r="F23" s="55"/>
      <c r="G23" s="56"/>
      <c r="H23" s="55"/>
      <c r="I23" s="56"/>
      <c r="J23" s="55"/>
      <c r="K23" s="56"/>
      <c r="L23" s="175"/>
      <c r="M23" s="55"/>
      <c r="N23" s="56"/>
      <c r="O23" s="55"/>
      <c r="P23" s="56"/>
      <c r="Q23" s="56"/>
      <c r="R23" s="56"/>
      <c r="S23" s="56"/>
      <c r="T23" s="56"/>
      <c r="U23" s="56"/>
      <c r="V23" s="130"/>
      <c r="W23" s="130"/>
      <c r="X23" s="57"/>
      <c r="Y23" s="134"/>
      <c r="Z23" s="55"/>
      <c r="AA23" s="56"/>
      <c r="AB23" s="56"/>
      <c r="AC23" s="56"/>
      <c r="AD23" s="56"/>
      <c r="AE23" s="56"/>
      <c r="AF23" s="55"/>
      <c r="AG23" s="56"/>
      <c r="AH23" s="55"/>
      <c r="AI23" s="56"/>
      <c r="AJ23" s="58"/>
      <c r="AK23" s="56"/>
      <c r="AL23" s="56"/>
      <c r="AM23" s="56"/>
      <c r="AN23" s="56"/>
      <c r="AO23" s="54"/>
      <c r="AP23" s="56"/>
      <c r="AQ23" s="55"/>
      <c r="AR23" s="56"/>
      <c r="AS23" s="55"/>
      <c r="AT23" s="56"/>
      <c r="AU23" s="55"/>
      <c r="AV23" s="56"/>
      <c r="AW23" s="164"/>
      <c r="AX23" s="56"/>
      <c r="AY23" s="164"/>
      <c r="AZ23" s="56"/>
      <c r="BA23" s="57"/>
      <c r="BB23" s="56"/>
      <c r="BC23" s="55"/>
      <c r="BD23" s="56"/>
      <c r="BE23" s="56"/>
      <c r="BF23" s="54"/>
      <c r="BG23" s="56"/>
      <c r="BN23" s="192" t="str">
        <f t="shared" si="3"/>
        <v/>
      </c>
      <c r="BO23" s="197" t="str">
        <f t="shared" si="0"/>
        <v/>
      </c>
      <c r="BP23" s="197" t="str">
        <f t="shared" si="1"/>
        <v/>
      </c>
      <c r="BQ23" s="197" t="str">
        <f>IF(C23="","",IF(COUNTIF(BP$6:BP23,BP23)&gt;1,"",BP23))</f>
        <v/>
      </c>
      <c r="BR23" s="197" t="str">
        <f t="shared" si="2"/>
        <v/>
      </c>
    </row>
    <row r="24" spans="1:77" ht="13.5" x14ac:dyDescent="0.15">
      <c r="A24" s="54"/>
      <c r="B24" s="54"/>
      <c r="C24" s="55"/>
      <c r="D24" s="55"/>
      <c r="E24" s="56"/>
      <c r="F24" s="55"/>
      <c r="G24" s="56"/>
      <c r="H24" s="55"/>
      <c r="I24" s="56"/>
      <c r="J24" s="55"/>
      <c r="K24" s="56"/>
      <c r="L24" s="175"/>
      <c r="M24" s="55"/>
      <c r="N24" s="56"/>
      <c r="O24" s="55"/>
      <c r="P24" s="56"/>
      <c r="Q24" s="56"/>
      <c r="R24" s="56"/>
      <c r="S24" s="56"/>
      <c r="T24" s="56"/>
      <c r="U24" s="56"/>
      <c r="V24" s="130"/>
      <c r="W24" s="130"/>
      <c r="X24" s="57"/>
      <c r="Y24" s="134"/>
      <c r="Z24" s="55"/>
      <c r="AA24" s="56"/>
      <c r="AB24" s="56"/>
      <c r="AC24" s="56"/>
      <c r="AD24" s="56"/>
      <c r="AE24" s="56"/>
      <c r="AF24" s="55"/>
      <c r="AG24" s="56"/>
      <c r="AH24" s="55"/>
      <c r="AI24" s="56"/>
      <c r="AJ24" s="58"/>
      <c r="AK24" s="56"/>
      <c r="AL24" s="56"/>
      <c r="AM24" s="56"/>
      <c r="AN24" s="56"/>
      <c r="AO24" s="54"/>
      <c r="AP24" s="56"/>
      <c r="AQ24" s="55"/>
      <c r="AR24" s="56"/>
      <c r="AS24" s="55"/>
      <c r="AT24" s="56"/>
      <c r="AU24" s="55"/>
      <c r="AV24" s="56"/>
      <c r="AW24" s="164"/>
      <c r="AX24" s="56"/>
      <c r="AY24" s="164"/>
      <c r="AZ24" s="56"/>
      <c r="BA24" s="57"/>
      <c r="BB24" s="56"/>
      <c r="BC24" s="55"/>
      <c r="BD24" s="56"/>
      <c r="BE24" s="56"/>
      <c r="BF24" s="54"/>
      <c r="BG24" s="56"/>
      <c r="BN24" s="192" t="str">
        <f t="shared" si="3"/>
        <v/>
      </c>
      <c r="BO24" s="197" t="str">
        <f t="shared" si="0"/>
        <v/>
      </c>
      <c r="BP24" s="197" t="str">
        <f t="shared" si="1"/>
        <v/>
      </c>
      <c r="BQ24" s="197" t="str">
        <f>IF(C24="","",IF(COUNTIF(BP$6:BP24,BP24)&gt;1,"",BP24))</f>
        <v/>
      </c>
      <c r="BR24" s="197" t="str">
        <f t="shared" si="2"/>
        <v/>
      </c>
    </row>
    <row r="25" spans="1:77" ht="13.5" x14ac:dyDescent="0.15">
      <c r="A25" s="54"/>
      <c r="B25" s="54"/>
      <c r="C25" s="55"/>
      <c r="D25" s="55"/>
      <c r="E25" s="56"/>
      <c r="F25" s="55"/>
      <c r="G25" s="56"/>
      <c r="H25" s="55"/>
      <c r="I25" s="56"/>
      <c r="J25" s="55"/>
      <c r="K25" s="56"/>
      <c r="L25" s="175"/>
      <c r="M25" s="55"/>
      <c r="N25" s="56"/>
      <c r="O25" s="55"/>
      <c r="P25" s="56"/>
      <c r="Q25" s="56"/>
      <c r="R25" s="56"/>
      <c r="S25" s="56"/>
      <c r="T25" s="56"/>
      <c r="U25" s="56"/>
      <c r="V25" s="130"/>
      <c r="W25" s="130"/>
      <c r="X25" s="57"/>
      <c r="Y25" s="134"/>
      <c r="Z25" s="55"/>
      <c r="AA25" s="56"/>
      <c r="AB25" s="56"/>
      <c r="AC25" s="56"/>
      <c r="AD25" s="56"/>
      <c r="AE25" s="56"/>
      <c r="AF25" s="55"/>
      <c r="AG25" s="56"/>
      <c r="AH25" s="55"/>
      <c r="AI25" s="56"/>
      <c r="AJ25" s="58"/>
      <c r="AK25" s="56"/>
      <c r="AL25" s="56"/>
      <c r="AM25" s="56"/>
      <c r="AN25" s="56"/>
      <c r="AO25" s="54"/>
      <c r="AP25" s="56"/>
      <c r="AQ25" s="55"/>
      <c r="AR25" s="56"/>
      <c r="AS25" s="55"/>
      <c r="AT25" s="56"/>
      <c r="AU25" s="55"/>
      <c r="AV25" s="56"/>
      <c r="AW25" s="164"/>
      <c r="AX25" s="56"/>
      <c r="AY25" s="164"/>
      <c r="AZ25" s="56"/>
      <c r="BA25" s="57"/>
      <c r="BB25" s="56"/>
      <c r="BC25" s="55"/>
      <c r="BD25" s="56"/>
      <c r="BE25" s="56"/>
      <c r="BF25" s="54"/>
      <c r="BG25" s="56"/>
      <c r="BN25" s="192" t="str">
        <f t="shared" si="3"/>
        <v/>
      </c>
      <c r="BO25" s="197" t="str">
        <f t="shared" si="0"/>
        <v/>
      </c>
      <c r="BP25" s="197" t="str">
        <f t="shared" si="1"/>
        <v/>
      </c>
      <c r="BQ25" s="197" t="str">
        <f>IF(C25="","",IF(COUNTIF(BP$6:BP25,BP25)&gt;1,"",BP25))</f>
        <v/>
      </c>
      <c r="BR25" s="197" t="str">
        <f t="shared" si="2"/>
        <v/>
      </c>
    </row>
    <row r="26" spans="1:77" ht="13.5" x14ac:dyDescent="0.15">
      <c r="A26" s="54"/>
      <c r="B26" s="54"/>
      <c r="C26" s="55"/>
      <c r="D26" s="55"/>
      <c r="E26" s="56"/>
      <c r="F26" s="55"/>
      <c r="G26" s="56"/>
      <c r="H26" s="55"/>
      <c r="I26" s="56"/>
      <c r="J26" s="55"/>
      <c r="K26" s="56"/>
      <c r="L26" s="175"/>
      <c r="M26" s="55"/>
      <c r="N26" s="56"/>
      <c r="O26" s="55"/>
      <c r="P26" s="56"/>
      <c r="Q26" s="56"/>
      <c r="R26" s="56"/>
      <c r="S26" s="56"/>
      <c r="T26" s="56"/>
      <c r="U26" s="56"/>
      <c r="V26" s="130"/>
      <c r="W26" s="130"/>
      <c r="X26" s="57"/>
      <c r="Y26" s="134"/>
      <c r="Z26" s="55"/>
      <c r="AA26" s="56"/>
      <c r="AB26" s="56"/>
      <c r="AC26" s="56"/>
      <c r="AD26" s="56"/>
      <c r="AE26" s="56"/>
      <c r="AF26" s="55"/>
      <c r="AG26" s="56"/>
      <c r="AH26" s="55"/>
      <c r="AI26" s="56"/>
      <c r="AJ26" s="58"/>
      <c r="AK26" s="56"/>
      <c r="AL26" s="56"/>
      <c r="AM26" s="56"/>
      <c r="AN26" s="56"/>
      <c r="AO26" s="54"/>
      <c r="AP26" s="56"/>
      <c r="AQ26" s="55"/>
      <c r="AR26" s="56"/>
      <c r="AS26" s="55"/>
      <c r="AT26" s="56"/>
      <c r="AU26" s="55"/>
      <c r="AV26" s="56"/>
      <c r="AW26" s="164"/>
      <c r="AX26" s="56"/>
      <c r="AY26" s="164"/>
      <c r="AZ26" s="56"/>
      <c r="BA26" s="57"/>
      <c r="BB26" s="56"/>
      <c r="BC26" s="55"/>
      <c r="BD26" s="56"/>
      <c r="BE26" s="56"/>
      <c r="BF26" s="54"/>
      <c r="BG26" s="56"/>
      <c r="BN26" s="192" t="str">
        <f t="shared" si="3"/>
        <v/>
      </c>
      <c r="BO26" s="197" t="str">
        <f t="shared" si="0"/>
        <v/>
      </c>
      <c r="BP26" s="197" t="str">
        <f t="shared" si="1"/>
        <v/>
      </c>
      <c r="BQ26" s="197" t="str">
        <f>IF(C26="","",IF(COUNTIF(BP$6:BP26,BP26)&gt;1,"",BP26))</f>
        <v/>
      </c>
      <c r="BR26" s="197" t="str">
        <f t="shared" si="2"/>
        <v/>
      </c>
    </row>
    <row r="27" spans="1:77" ht="13.5" x14ac:dyDescent="0.15">
      <c r="A27" s="54"/>
      <c r="B27" s="54"/>
      <c r="C27" s="55"/>
      <c r="D27" s="55"/>
      <c r="E27" s="56"/>
      <c r="F27" s="55"/>
      <c r="G27" s="56"/>
      <c r="H27" s="55"/>
      <c r="I27" s="56"/>
      <c r="J27" s="55"/>
      <c r="K27" s="56"/>
      <c r="L27" s="175"/>
      <c r="M27" s="55"/>
      <c r="N27" s="56"/>
      <c r="O27" s="55"/>
      <c r="P27" s="56"/>
      <c r="Q27" s="56"/>
      <c r="R27" s="56"/>
      <c r="S27" s="56"/>
      <c r="T27" s="56"/>
      <c r="U27" s="56"/>
      <c r="V27" s="130"/>
      <c r="W27" s="130"/>
      <c r="X27" s="57"/>
      <c r="Y27" s="134"/>
      <c r="Z27" s="55"/>
      <c r="AA27" s="56"/>
      <c r="AB27" s="56"/>
      <c r="AC27" s="56"/>
      <c r="AD27" s="56"/>
      <c r="AE27" s="56"/>
      <c r="AF27" s="55"/>
      <c r="AG27" s="56"/>
      <c r="AH27" s="55"/>
      <c r="AI27" s="56"/>
      <c r="AJ27" s="58"/>
      <c r="AK27" s="56"/>
      <c r="AL27" s="56"/>
      <c r="AM27" s="56"/>
      <c r="AN27" s="56"/>
      <c r="AO27" s="54"/>
      <c r="AP27" s="56"/>
      <c r="AQ27" s="55"/>
      <c r="AR27" s="56"/>
      <c r="AS27" s="55"/>
      <c r="AT27" s="56"/>
      <c r="AU27" s="55"/>
      <c r="AV27" s="56"/>
      <c r="AW27" s="164"/>
      <c r="AX27" s="56"/>
      <c r="AY27" s="164"/>
      <c r="AZ27" s="56"/>
      <c r="BA27" s="57"/>
      <c r="BB27" s="56"/>
      <c r="BC27" s="55"/>
      <c r="BD27" s="56"/>
      <c r="BE27" s="56"/>
      <c r="BF27" s="54"/>
      <c r="BG27" s="56"/>
      <c r="BN27" s="192" t="str">
        <f t="shared" si="3"/>
        <v/>
      </c>
      <c r="BO27" s="197" t="str">
        <f t="shared" si="0"/>
        <v/>
      </c>
      <c r="BP27" s="197" t="str">
        <f t="shared" si="1"/>
        <v/>
      </c>
      <c r="BQ27" s="197" t="str">
        <f>IF(C27="","",IF(COUNTIF(BP$6:BP27,BP27)&gt;1,"",BP27))</f>
        <v/>
      </c>
      <c r="BR27" s="197" t="str">
        <f t="shared" si="2"/>
        <v/>
      </c>
    </row>
    <row r="28" spans="1:77" ht="13.5" x14ac:dyDescent="0.15">
      <c r="A28" s="54"/>
      <c r="B28" s="54"/>
      <c r="C28" s="55"/>
      <c r="D28" s="55"/>
      <c r="E28" s="56"/>
      <c r="F28" s="55"/>
      <c r="G28" s="56"/>
      <c r="H28" s="55"/>
      <c r="I28" s="56"/>
      <c r="J28" s="55"/>
      <c r="K28" s="56"/>
      <c r="L28" s="175"/>
      <c r="M28" s="55"/>
      <c r="N28" s="56"/>
      <c r="O28" s="55"/>
      <c r="P28" s="56"/>
      <c r="Q28" s="56"/>
      <c r="R28" s="56"/>
      <c r="S28" s="56"/>
      <c r="T28" s="56"/>
      <c r="U28" s="56"/>
      <c r="V28" s="130"/>
      <c r="W28" s="130"/>
      <c r="X28" s="57"/>
      <c r="Y28" s="134"/>
      <c r="Z28" s="55"/>
      <c r="AA28" s="56"/>
      <c r="AB28" s="56"/>
      <c r="AC28" s="56"/>
      <c r="AD28" s="56"/>
      <c r="AE28" s="56"/>
      <c r="AF28" s="55"/>
      <c r="AG28" s="56"/>
      <c r="AH28" s="55"/>
      <c r="AI28" s="56"/>
      <c r="AJ28" s="58"/>
      <c r="AK28" s="56"/>
      <c r="AL28" s="56"/>
      <c r="AM28" s="56"/>
      <c r="AN28" s="56"/>
      <c r="AO28" s="54"/>
      <c r="AP28" s="56"/>
      <c r="AQ28" s="55"/>
      <c r="AR28" s="56"/>
      <c r="AS28" s="55"/>
      <c r="AT28" s="56"/>
      <c r="AU28" s="55"/>
      <c r="AV28" s="56"/>
      <c r="AW28" s="164"/>
      <c r="AX28" s="56"/>
      <c r="AY28" s="164"/>
      <c r="AZ28" s="56"/>
      <c r="BA28" s="57"/>
      <c r="BB28" s="56"/>
      <c r="BC28" s="55"/>
      <c r="BD28" s="56"/>
      <c r="BE28" s="56"/>
      <c r="BF28" s="54"/>
      <c r="BG28" s="56"/>
      <c r="BN28" s="192" t="str">
        <f t="shared" si="3"/>
        <v/>
      </c>
      <c r="BO28" s="197" t="str">
        <f t="shared" si="0"/>
        <v/>
      </c>
      <c r="BP28" s="197" t="str">
        <f t="shared" si="1"/>
        <v/>
      </c>
      <c r="BQ28" s="197" t="str">
        <f>IF(C28="","",IF(COUNTIF(BP$6:BP28,BP28)&gt;1,"",BP28))</f>
        <v/>
      </c>
      <c r="BR28" s="197" t="str">
        <f t="shared" si="2"/>
        <v/>
      </c>
    </row>
    <row r="29" spans="1:77" ht="13.5" x14ac:dyDescent="0.15">
      <c r="A29" s="54"/>
      <c r="B29" s="54"/>
      <c r="C29" s="55"/>
      <c r="D29" s="55"/>
      <c r="E29" s="56"/>
      <c r="F29" s="55"/>
      <c r="G29" s="56"/>
      <c r="H29" s="55"/>
      <c r="I29" s="56"/>
      <c r="J29" s="55"/>
      <c r="K29" s="56"/>
      <c r="L29" s="175"/>
      <c r="M29" s="55"/>
      <c r="N29" s="56"/>
      <c r="O29" s="55"/>
      <c r="P29" s="56"/>
      <c r="Q29" s="56"/>
      <c r="R29" s="56"/>
      <c r="S29" s="56"/>
      <c r="T29" s="56"/>
      <c r="U29" s="56"/>
      <c r="V29" s="130"/>
      <c r="W29" s="130"/>
      <c r="X29" s="57"/>
      <c r="Y29" s="134"/>
      <c r="Z29" s="55"/>
      <c r="AA29" s="56"/>
      <c r="AB29" s="56"/>
      <c r="AC29" s="56"/>
      <c r="AD29" s="56"/>
      <c r="AE29" s="56"/>
      <c r="AF29" s="55"/>
      <c r="AG29" s="56"/>
      <c r="AH29" s="55"/>
      <c r="AI29" s="56"/>
      <c r="AJ29" s="58"/>
      <c r="AK29" s="56"/>
      <c r="AL29" s="56"/>
      <c r="AM29" s="56"/>
      <c r="AN29" s="56"/>
      <c r="AO29" s="54"/>
      <c r="AP29" s="56"/>
      <c r="AQ29" s="55"/>
      <c r="AR29" s="56"/>
      <c r="AS29" s="55"/>
      <c r="AT29" s="56"/>
      <c r="AU29" s="55"/>
      <c r="AV29" s="56"/>
      <c r="AW29" s="164"/>
      <c r="AX29" s="56"/>
      <c r="AY29" s="164"/>
      <c r="AZ29" s="56"/>
      <c r="BA29" s="57"/>
      <c r="BB29" s="56"/>
      <c r="BC29" s="55"/>
      <c r="BD29" s="56"/>
      <c r="BE29" s="56"/>
      <c r="BF29" s="54"/>
      <c r="BG29" s="56"/>
      <c r="BN29" s="192" t="str">
        <f t="shared" si="3"/>
        <v/>
      </c>
      <c r="BO29" s="197" t="str">
        <f t="shared" si="0"/>
        <v/>
      </c>
      <c r="BP29" s="197" t="str">
        <f t="shared" si="1"/>
        <v/>
      </c>
      <c r="BQ29" s="197" t="str">
        <f>IF(C29="","",IF(COUNTIF(BP$6:BP29,BP29)&gt;1,"",BP29))</f>
        <v/>
      </c>
      <c r="BR29" s="197" t="str">
        <f t="shared" si="2"/>
        <v/>
      </c>
    </row>
    <row r="30" spans="1:77" ht="13.5" x14ac:dyDescent="0.15">
      <c r="A30" s="54"/>
      <c r="B30" s="54"/>
      <c r="C30" s="55"/>
      <c r="D30" s="55"/>
      <c r="E30" s="56"/>
      <c r="F30" s="55"/>
      <c r="G30" s="56"/>
      <c r="H30" s="55"/>
      <c r="I30" s="56"/>
      <c r="J30" s="55"/>
      <c r="K30" s="56"/>
      <c r="L30" s="175"/>
      <c r="M30" s="55"/>
      <c r="N30" s="56"/>
      <c r="O30" s="55"/>
      <c r="P30" s="56"/>
      <c r="Q30" s="56"/>
      <c r="R30" s="56"/>
      <c r="S30" s="56"/>
      <c r="T30" s="56"/>
      <c r="U30" s="56"/>
      <c r="V30" s="130"/>
      <c r="W30" s="130"/>
      <c r="X30" s="57"/>
      <c r="Y30" s="134"/>
      <c r="Z30" s="55"/>
      <c r="AA30" s="56"/>
      <c r="AB30" s="56"/>
      <c r="AC30" s="56"/>
      <c r="AD30" s="56"/>
      <c r="AE30" s="56"/>
      <c r="AF30" s="55"/>
      <c r="AG30" s="56"/>
      <c r="AH30" s="55"/>
      <c r="AI30" s="56"/>
      <c r="AJ30" s="58"/>
      <c r="AK30" s="56"/>
      <c r="AL30" s="56"/>
      <c r="AM30" s="56"/>
      <c r="AN30" s="56"/>
      <c r="AO30" s="54"/>
      <c r="AP30" s="56"/>
      <c r="AQ30" s="55"/>
      <c r="AR30" s="56"/>
      <c r="AS30" s="55"/>
      <c r="AT30" s="56"/>
      <c r="AU30" s="55"/>
      <c r="AV30" s="56"/>
      <c r="AW30" s="164"/>
      <c r="AX30" s="56"/>
      <c r="AY30" s="164"/>
      <c r="AZ30" s="56"/>
      <c r="BA30" s="57"/>
      <c r="BB30" s="56"/>
      <c r="BC30" s="55"/>
      <c r="BD30" s="56"/>
      <c r="BE30" s="56"/>
      <c r="BF30" s="54"/>
      <c r="BG30" s="56"/>
      <c r="BN30" s="192" t="str">
        <f t="shared" si="3"/>
        <v/>
      </c>
      <c r="BO30" s="197" t="str">
        <f t="shared" si="0"/>
        <v/>
      </c>
      <c r="BP30" s="197" t="str">
        <f t="shared" si="1"/>
        <v/>
      </c>
      <c r="BQ30" s="197" t="str">
        <f>IF(C30="","",IF(COUNTIF(BP$6:BP30,BP30)&gt;1,"",BP30))</f>
        <v/>
      </c>
      <c r="BR30" s="197" t="str">
        <f t="shared" si="2"/>
        <v/>
      </c>
    </row>
    <row r="31" spans="1:77" x14ac:dyDescent="0.2">
      <c r="A31" s="54"/>
      <c r="B31" s="54"/>
      <c r="C31" s="55"/>
      <c r="D31" s="55"/>
      <c r="E31" s="56"/>
      <c r="F31" s="55"/>
      <c r="G31" s="56"/>
      <c r="H31" s="55"/>
      <c r="I31" s="56"/>
      <c r="J31" s="55"/>
      <c r="K31" s="56"/>
      <c r="L31" s="175"/>
      <c r="M31" s="55"/>
      <c r="N31" s="56"/>
      <c r="O31" s="55"/>
      <c r="P31" s="56"/>
      <c r="Q31" s="56"/>
      <c r="R31" s="56"/>
      <c r="S31" s="56"/>
      <c r="T31" s="56"/>
      <c r="U31" s="56"/>
      <c r="V31" s="130"/>
      <c r="W31" s="130"/>
      <c r="X31" s="57"/>
      <c r="Y31" s="134"/>
      <c r="Z31" s="55"/>
      <c r="AA31" s="56"/>
      <c r="AB31" s="56"/>
      <c r="AC31" s="56"/>
      <c r="AD31" s="56"/>
      <c r="AE31" s="56"/>
      <c r="AF31" s="55"/>
      <c r="AG31" s="56"/>
      <c r="AH31" s="55"/>
      <c r="AI31" s="56"/>
      <c r="AJ31" s="58"/>
      <c r="AK31" s="56"/>
      <c r="AL31" s="56"/>
      <c r="AM31" s="56"/>
      <c r="AN31" s="56"/>
      <c r="AO31" s="54"/>
      <c r="AP31" s="56"/>
      <c r="AQ31" s="55"/>
      <c r="AR31" s="56"/>
      <c r="AS31" s="55"/>
      <c r="AT31" s="56"/>
      <c r="AU31" s="55"/>
      <c r="AV31" s="56"/>
      <c r="AW31" s="164"/>
      <c r="AX31" s="56"/>
      <c r="AY31" s="164"/>
      <c r="AZ31" s="56"/>
      <c r="BA31" s="57"/>
      <c r="BB31" s="56"/>
      <c r="BC31" s="55"/>
      <c r="BD31" s="56"/>
      <c r="BE31" s="56"/>
      <c r="BF31" s="54"/>
      <c r="BG31" s="56"/>
      <c r="BN31" s="192" t="str">
        <f t="shared" si="3"/>
        <v/>
      </c>
      <c r="BO31" s="197" t="str">
        <f t="shared" si="0"/>
        <v/>
      </c>
      <c r="BP31" s="197" t="str">
        <f t="shared" si="1"/>
        <v/>
      </c>
      <c r="BQ31" s="197" t="str">
        <f>IF(C31="","",IF(COUNTIF(BP$6:BP31,BP31)&gt;1,"",BP31))</f>
        <v/>
      </c>
      <c r="BR31" s="197" t="str">
        <f t="shared" si="2"/>
        <v/>
      </c>
    </row>
    <row r="32" spans="1:77" x14ac:dyDescent="0.2">
      <c r="A32" s="54"/>
      <c r="B32" s="54"/>
      <c r="C32" s="55"/>
      <c r="D32" s="55"/>
      <c r="E32" s="56"/>
      <c r="F32" s="55"/>
      <c r="G32" s="56"/>
      <c r="H32" s="55"/>
      <c r="I32" s="56"/>
      <c r="J32" s="55"/>
      <c r="K32" s="56"/>
      <c r="L32" s="175"/>
      <c r="M32" s="55"/>
      <c r="N32" s="56"/>
      <c r="O32" s="55"/>
      <c r="P32" s="56"/>
      <c r="Q32" s="56"/>
      <c r="R32" s="56"/>
      <c r="S32" s="56"/>
      <c r="T32" s="56"/>
      <c r="U32" s="56"/>
      <c r="V32" s="130"/>
      <c r="W32" s="130"/>
      <c r="X32" s="57"/>
      <c r="Y32" s="134"/>
      <c r="Z32" s="55"/>
      <c r="AA32" s="56"/>
      <c r="AB32" s="56"/>
      <c r="AC32" s="56"/>
      <c r="AD32" s="56"/>
      <c r="AE32" s="56"/>
      <c r="AF32" s="55"/>
      <c r="AG32" s="56"/>
      <c r="AH32" s="55"/>
      <c r="AI32" s="56"/>
      <c r="AJ32" s="58"/>
      <c r="AK32" s="56"/>
      <c r="AL32" s="56"/>
      <c r="AM32" s="56"/>
      <c r="AN32" s="56"/>
      <c r="AO32" s="54"/>
      <c r="AP32" s="56"/>
      <c r="AQ32" s="55"/>
      <c r="AR32" s="56"/>
      <c r="AS32" s="55"/>
      <c r="AT32" s="56"/>
      <c r="AU32" s="55"/>
      <c r="AV32" s="56"/>
      <c r="AW32" s="164"/>
      <c r="AX32" s="56"/>
      <c r="AY32" s="164"/>
      <c r="AZ32" s="56"/>
      <c r="BA32" s="57"/>
      <c r="BB32" s="56"/>
      <c r="BC32" s="55"/>
      <c r="BD32" s="56"/>
      <c r="BE32" s="56"/>
      <c r="BF32" s="54"/>
      <c r="BG32" s="56"/>
      <c r="BN32" s="192" t="str">
        <f t="shared" si="3"/>
        <v/>
      </c>
      <c r="BO32" s="197" t="str">
        <f t="shared" si="0"/>
        <v/>
      </c>
      <c r="BP32" s="197" t="str">
        <f t="shared" si="1"/>
        <v/>
      </c>
      <c r="BQ32" s="197" t="str">
        <f>IF(C32="","",IF(COUNTIF(BP$6:BP32,BP32)&gt;1,"",BP32))</f>
        <v/>
      </c>
      <c r="BR32" s="197" t="str">
        <f t="shared" si="2"/>
        <v/>
      </c>
    </row>
    <row r="33" spans="1:70" x14ac:dyDescent="0.2">
      <c r="A33" s="54"/>
      <c r="B33" s="54"/>
      <c r="C33" s="55"/>
      <c r="D33" s="55"/>
      <c r="E33" s="56"/>
      <c r="F33" s="55"/>
      <c r="G33" s="56"/>
      <c r="H33" s="55"/>
      <c r="I33" s="56"/>
      <c r="J33" s="55"/>
      <c r="K33" s="56"/>
      <c r="L33" s="175"/>
      <c r="M33" s="55"/>
      <c r="N33" s="56"/>
      <c r="O33" s="55"/>
      <c r="P33" s="56"/>
      <c r="Q33" s="56"/>
      <c r="R33" s="56"/>
      <c r="S33" s="56"/>
      <c r="T33" s="56"/>
      <c r="U33" s="56"/>
      <c r="V33" s="130"/>
      <c r="W33" s="130"/>
      <c r="X33" s="57"/>
      <c r="Y33" s="134"/>
      <c r="Z33" s="55"/>
      <c r="AA33" s="56"/>
      <c r="AB33" s="56"/>
      <c r="AC33" s="56"/>
      <c r="AD33" s="56"/>
      <c r="AE33" s="56"/>
      <c r="AF33" s="55"/>
      <c r="AG33" s="56"/>
      <c r="AH33" s="55"/>
      <c r="AI33" s="56"/>
      <c r="AJ33" s="58"/>
      <c r="AK33" s="56"/>
      <c r="AL33" s="56"/>
      <c r="AM33" s="56"/>
      <c r="AN33" s="56"/>
      <c r="AO33" s="54"/>
      <c r="AP33" s="56"/>
      <c r="AQ33" s="55"/>
      <c r="AR33" s="56"/>
      <c r="AS33" s="55"/>
      <c r="AT33" s="56"/>
      <c r="AU33" s="55"/>
      <c r="AV33" s="56"/>
      <c r="AW33" s="164"/>
      <c r="AX33" s="56"/>
      <c r="AY33" s="164"/>
      <c r="AZ33" s="56"/>
      <c r="BA33" s="57"/>
      <c r="BB33" s="56"/>
      <c r="BC33" s="55"/>
      <c r="BD33" s="56"/>
      <c r="BE33" s="56"/>
      <c r="BF33" s="54"/>
      <c r="BG33" s="56"/>
      <c r="BN33" s="192" t="str">
        <f t="shared" si="3"/>
        <v/>
      </c>
      <c r="BO33" s="197" t="str">
        <f t="shared" si="0"/>
        <v/>
      </c>
      <c r="BP33" s="197" t="str">
        <f t="shared" si="1"/>
        <v/>
      </c>
      <c r="BQ33" s="197" t="str">
        <f>IF(C33="","",IF(COUNTIF(BP$6:BP33,BP33)&gt;1,"",BP33))</f>
        <v/>
      </c>
      <c r="BR33" s="197" t="str">
        <f t="shared" si="2"/>
        <v/>
      </c>
    </row>
    <row r="34" spans="1:70" x14ac:dyDescent="0.2">
      <c r="A34" s="54"/>
      <c r="B34" s="54"/>
      <c r="C34" s="55"/>
      <c r="D34" s="55"/>
      <c r="E34" s="56"/>
      <c r="F34" s="55"/>
      <c r="G34" s="56"/>
      <c r="H34" s="55"/>
      <c r="I34" s="56"/>
      <c r="J34" s="55"/>
      <c r="K34" s="56"/>
      <c r="L34" s="175"/>
      <c r="M34" s="55"/>
      <c r="N34" s="56"/>
      <c r="O34" s="55"/>
      <c r="P34" s="56"/>
      <c r="Q34" s="56"/>
      <c r="R34" s="56"/>
      <c r="S34" s="56"/>
      <c r="T34" s="56"/>
      <c r="U34" s="56"/>
      <c r="V34" s="130"/>
      <c r="W34" s="130"/>
      <c r="X34" s="57"/>
      <c r="Y34" s="134"/>
      <c r="Z34" s="55"/>
      <c r="AA34" s="56"/>
      <c r="AB34" s="56"/>
      <c r="AC34" s="56"/>
      <c r="AD34" s="56"/>
      <c r="AE34" s="56"/>
      <c r="AF34" s="55"/>
      <c r="AG34" s="56"/>
      <c r="AH34" s="55"/>
      <c r="AI34" s="56"/>
      <c r="AJ34" s="58"/>
      <c r="AK34" s="56"/>
      <c r="AL34" s="56"/>
      <c r="AM34" s="56"/>
      <c r="AN34" s="56"/>
      <c r="AO34" s="54"/>
      <c r="AP34" s="56"/>
      <c r="AQ34" s="55"/>
      <c r="AR34" s="56"/>
      <c r="AS34" s="55"/>
      <c r="AT34" s="56"/>
      <c r="AU34" s="55"/>
      <c r="AV34" s="56"/>
      <c r="AW34" s="164"/>
      <c r="AX34" s="56"/>
      <c r="AY34" s="164"/>
      <c r="AZ34" s="56"/>
      <c r="BA34" s="57"/>
      <c r="BB34" s="56"/>
      <c r="BC34" s="55"/>
      <c r="BD34" s="56"/>
      <c r="BE34" s="56"/>
      <c r="BF34" s="54"/>
      <c r="BG34" s="56"/>
      <c r="BN34" s="192" t="str">
        <f t="shared" si="3"/>
        <v/>
      </c>
      <c r="BO34" s="197" t="str">
        <f t="shared" si="0"/>
        <v/>
      </c>
      <c r="BP34" s="197" t="str">
        <f t="shared" si="1"/>
        <v/>
      </c>
      <c r="BQ34" s="197" t="str">
        <f>IF(C34="","",IF(COUNTIF(BP$6:BP34,BP34)&gt;1,"",BP34))</f>
        <v/>
      </c>
      <c r="BR34" s="197" t="str">
        <f t="shared" si="2"/>
        <v/>
      </c>
    </row>
    <row r="35" spans="1:70" x14ac:dyDescent="0.2">
      <c r="A35" s="54"/>
      <c r="B35" s="54"/>
      <c r="C35" s="55"/>
      <c r="D35" s="55"/>
      <c r="E35" s="56"/>
      <c r="F35" s="55"/>
      <c r="G35" s="56"/>
      <c r="H35" s="55"/>
      <c r="I35" s="56"/>
      <c r="J35" s="55"/>
      <c r="K35" s="56"/>
      <c r="M35" s="55"/>
      <c r="N35" s="56"/>
      <c r="O35" s="55"/>
      <c r="P35" s="56"/>
      <c r="Q35" s="56"/>
      <c r="R35" s="56"/>
      <c r="S35" s="56"/>
      <c r="T35" s="56"/>
      <c r="U35" s="56"/>
      <c r="V35" s="130"/>
      <c r="W35" s="130"/>
      <c r="X35" s="57"/>
      <c r="Y35" s="134"/>
      <c r="Z35" s="55"/>
      <c r="AA35" s="56"/>
      <c r="AB35" s="56"/>
      <c r="AC35" s="56"/>
      <c r="AD35" s="56"/>
      <c r="AE35" s="56"/>
      <c r="AF35" s="55"/>
      <c r="AG35" s="56"/>
      <c r="AH35" s="55"/>
      <c r="AI35" s="56"/>
      <c r="AJ35" s="58"/>
      <c r="AK35" s="56"/>
      <c r="AL35" s="56"/>
      <c r="AM35" s="56"/>
      <c r="AN35" s="56"/>
      <c r="AO35" s="54"/>
      <c r="AP35" s="56"/>
      <c r="AQ35" s="55"/>
      <c r="AR35" s="56"/>
      <c r="AS35" s="55"/>
      <c r="AT35" s="56"/>
      <c r="AU35" s="55"/>
      <c r="AV35" s="56"/>
      <c r="AW35" s="164"/>
      <c r="AX35" s="56"/>
      <c r="AY35" s="164"/>
      <c r="AZ35" s="56"/>
      <c r="BA35" s="57"/>
      <c r="BB35" s="56"/>
      <c r="BC35" s="55"/>
      <c r="BD35" s="56"/>
      <c r="BE35" s="56"/>
      <c r="BF35" s="54"/>
      <c r="BG35" s="56"/>
      <c r="BN35" s="192" t="str">
        <f t="shared" si="3"/>
        <v/>
      </c>
      <c r="BO35" s="197" t="str">
        <f t="shared" si="0"/>
        <v/>
      </c>
      <c r="BP35" s="197" t="str">
        <f t="shared" si="1"/>
        <v/>
      </c>
      <c r="BQ35" s="197" t="str">
        <f>IF(C35="","",IF(COUNTIF(BP$6:BP35,BP35)&gt;1,"",BP35))</f>
        <v/>
      </c>
      <c r="BR35" s="197" t="str">
        <f t="shared" si="2"/>
        <v/>
      </c>
    </row>
    <row r="36" spans="1:70" x14ac:dyDescent="0.2">
      <c r="A36" s="54"/>
      <c r="B36" s="54"/>
      <c r="C36" s="55"/>
      <c r="D36" s="55"/>
      <c r="E36" s="56"/>
      <c r="F36" s="55"/>
      <c r="G36" s="56"/>
      <c r="H36" s="55"/>
      <c r="I36" s="56"/>
      <c r="J36" s="55"/>
      <c r="K36" s="56"/>
      <c r="L36" s="175"/>
      <c r="M36" s="55"/>
      <c r="N36" s="56"/>
      <c r="O36" s="55"/>
      <c r="P36" s="56"/>
      <c r="Q36" s="56"/>
      <c r="R36" s="56"/>
      <c r="S36" s="56"/>
      <c r="T36" s="56"/>
      <c r="U36" s="56"/>
      <c r="V36" s="130"/>
      <c r="W36" s="130"/>
      <c r="X36" s="57"/>
      <c r="Y36" s="134"/>
      <c r="Z36" s="55"/>
      <c r="AA36" s="56"/>
      <c r="AB36" s="56"/>
      <c r="AC36" s="56"/>
      <c r="AD36" s="56"/>
      <c r="AE36" s="56"/>
      <c r="AF36" s="55"/>
      <c r="AG36" s="56"/>
      <c r="AH36" s="55"/>
      <c r="AI36" s="56"/>
      <c r="AJ36" s="58"/>
      <c r="AK36" s="56"/>
      <c r="AL36" s="56"/>
      <c r="AM36" s="56"/>
      <c r="AN36" s="56"/>
      <c r="AO36" s="54"/>
      <c r="AP36" s="56"/>
      <c r="AQ36" s="55"/>
      <c r="AR36" s="56"/>
      <c r="AS36" s="55"/>
      <c r="AT36" s="56"/>
      <c r="AU36" s="55"/>
      <c r="AV36" s="56"/>
      <c r="AW36" s="164"/>
      <c r="AX36" s="56"/>
      <c r="AY36" s="164"/>
      <c r="AZ36" s="56"/>
      <c r="BA36" s="57"/>
      <c r="BB36" s="56"/>
      <c r="BC36" s="55"/>
      <c r="BD36" s="56"/>
      <c r="BE36" s="56"/>
      <c r="BF36" s="54"/>
      <c r="BG36" s="56"/>
      <c r="BN36" s="192" t="str">
        <f t="shared" si="3"/>
        <v/>
      </c>
      <c r="BO36" s="197" t="str">
        <f t="shared" si="0"/>
        <v/>
      </c>
      <c r="BP36" s="197" t="str">
        <f t="shared" si="1"/>
        <v/>
      </c>
      <c r="BQ36" s="197" t="str">
        <f>IF(C36="","",IF(COUNTIF(BP$6:BP36,BP36)&gt;1,"",BP36))</f>
        <v/>
      </c>
      <c r="BR36" s="197" t="str">
        <f t="shared" si="2"/>
        <v/>
      </c>
    </row>
    <row r="37" spans="1:70" x14ac:dyDescent="0.2">
      <c r="A37" s="54"/>
      <c r="B37" s="54"/>
      <c r="C37" s="55"/>
      <c r="D37" s="55"/>
      <c r="E37" s="56"/>
      <c r="F37" s="55"/>
      <c r="G37" s="56"/>
      <c r="H37" s="55"/>
      <c r="I37" s="56"/>
      <c r="J37" s="55"/>
      <c r="K37" s="56"/>
      <c r="L37" s="175"/>
      <c r="M37" s="55"/>
      <c r="N37" s="56"/>
      <c r="O37" s="55"/>
      <c r="P37" s="56"/>
      <c r="Q37" s="56"/>
      <c r="R37" s="56"/>
      <c r="S37" s="56"/>
      <c r="T37" s="56"/>
      <c r="U37" s="56"/>
      <c r="V37" s="130"/>
      <c r="W37" s="130"/>
      <c r="X37" s="57"/>
      <c r="Y37" s="134"/>
      <c r="Z37" s="55"/>
      <c r="AA37" s="56"/>
      <c r="AB37" s="56"/>
      <c r="AC37" s="56"/>
      <c r="AD37" s="56"/>
      <c r="AE37" s="56"/>
      <c r="AF37" s="55"/>
      <c r="AG37" s="56"/>
      <c r="AH37" s="55"/>
      <c r="AI37" s="56"/>
      <c r="AJ37" s="58"/>
      <c r="AK37" s="56"/>
      <c r="AL37" s="56"/>
      <c r="AM37" s="56"/>
      <c r="AN37" s="56"/>
      <c r="AO37" s="54"/>
      <c r="AP37" s="56"/>
      <c r="AQ37" s="55"/>
      <c r="AR37" s="56"/>
      <c r="AS37" s="55"/>
      <c r="AT37" s="56"/>
      <c r="AU37" s="55"/>
      <c r="AV37" s="56"/>
      <c r="AW37" s="164"/>
      <c r="AX37" s="56"/>
      <c r="AY37" s="164"/>
      <c r="AZ37" s="56"/>
      <c r="BA37" s="57"/>
      <c r="BB37" s="56"/>
      <c r="BC37" s="55"/>
      <c r="BD37" s="56"/>
      <c r="BE37" s="56"/>
      <c r="BF37" s="54"/>
      <c r="BG37" s="56"/>
      <c r="BN37" s="192" t="str">
        <f t="shared" si="3"/>
        <v/>
      </c>
      <c r="BO37" s="197" t="str">
        <f t="shared" si="0"/>
        <v/>
      </c>
      <c r="BP37" s="197" t="str">
        <f t="shared" si="1"/>
        <v/>
      </c>
      <c r="BQ37" s="197" t="str">
        <f>IF(C37="","",IF(COUNTIF(BP$6:BP37,BP37)&gt;1,"",BP37))</f>
        <v/>
      </c>
      <c r="BR37" s="197" t="str">
        <f t="shared" si="2"/>
        <v/>
      </c>
    </row>
    <row r="38" spans="1:70" x14ac:dyDescent="0.2">
      <c r="A38" s="54"/>
      <c r="B38" s="54"/>
      <c r="C38" s="55"/>
      <c r="D38" s="55"/>
      <c r="E38" s="56"/>
      <c r="F38" s="55"/>
      <c r="G38" s="56"/>
      <c r="H38" s="55"/>
      <c r="I38" s="56"/>
      <c r="J38" s="55"/>
      <c r="K38" s="56"/>
      <c r="L38" s="175"/>
      <c r="M38" s="55"/>
      <c r="N38" s="56"/>
      <c r="O38" s="55"/>
      <c r="P38" s="56"/>
      <c r="Q38" s="56"/>
      <c r="R38" s="56"/>
      <c r="S38" s="56"/>
      <c r="T38" s="56"/>
      <c r="U38" s="56"/>
      <c r="V38" s="130"/>
      <c r="W38" s="130"/>
      <c r="X38" s="57"/>
      <c r="Y38" s="134"/>
      <c r="Z38" s="55"/>
      <c r="AA38" s="56"/>
      <c r="AB38" s="56"/>
      <c r="AC38" s="56"/>
      <c r="AD38" s="56"/>
      <c r="AE38" s="56"/>
      <c r="AF38" s="55"/>
      <c r="AG38" s="56"/>
      <c r="AH38" s="55"/>
      <c r="AI38" s="56"/>
      <c r="AJ38" s="58"/>
      <c r="AK38" s="56"/>
      <c r="AL38" s="56"/>
      <c r="AM38" s="56"/>
      <c r="AN38" s="56"/>
      <c r="AO38" s="54"/>
      <c r="AP38" s="56"/>
      <c r="AQ38" s="55"/>
      <c r="AR38" s="56"/>
      <c r="AS38" s="55"/>
      <c r="AT38" s="56"/>
      <c r="AU38" s="55"/>
      <c r="AV38" s="56"/>
      <c r="AW38" s="164"/>
      <c r="AX38" s="56"/>
      <c r="AY38" s="164"/>
      <c r="AZ38" s="56"/>
      <c r="BA38" s="57"/>
      <c r="BB38" s="56"/>
      <c r="BC38" s="55"/>
      <c r="BD38" s="56"/>
      <c r="BE38" s="56"/>
      <c r="BF38" s="54"/>
      <c r="BG38" s="56"/>
      <c r="BN38" s="192" t="str">
        <f t="shared" si="3"/>
        <v/>
      </c>
      <c r="BO38" s="197" t="str">
        <f t="shared" si="0"/>
        <v/>
      </c>
      <c r="BP38" s="197" t="str">
        <f t="shared" si="1"/>
        <v/>
      </c>
      <c r="BQ38" s="197" t="str">
        <f>IF(C38="","",IF(COUNTIF(BP$6:BP38,BP38)&gt;1,"",BP38))</f>
        <v/>
      </c>
      <c r="BR38" s="197" t="str">
        <f t="shared" si="2"/>
        <v/>
      </c>
    </row>
    <row r="39" spans="1:70" x14ac:dyDescent="0.2">
      <c r="A39" s="54"/>
      <c r="B39" s="54"/>
      <c r="C39" s="55"/>
      <c r="D39" s="55"/>
      <c r="E39" s="56"/>
      <c r="F39" s="55"/>
      <c r="G39" s="56"/>
      <c r="H39" s="55"/>
      <c r="I39" s="56"/>
      <c r="J39" s="55"/>
      <c r="K39" s="56"/>
      <c r="L39" s="175"/>
      <c r="M39" s="55"/>
      <c r="N39" s="56"/>
      <c r="O39" s="55"/>
      <c r="P39" s="56"/>
      <c r="Q39" s="56"/>
      <c r="R39" s="56"/>
      <c r="S39" s="56"/>
      <c r="T39" s="56"/>
      <c r="U39" s="56"/>
      <c r="V39" s="130"/>
      <c r="W39" s="130"/>
      <c r="X39" s="57"/>
      <c r="Y39" s="134"/>
      <c r="Z39" s="55"/>
      <c r="AA39" s="56"/>
      <c r="AB39" s="56"/>
      <c r="AC39" s="56"/>
      <c r="AD39" s="56"/>
      <c r="AE39" s="56"/>
      <c r="AF39" s="55"/>
      <c r="AG39" s="56"/>
      <c r="AH39" s="55"/>
      <c r="AI39" s="56"/>
      <c r="AJ39" s="58"/>
      <c r="AK39" s="56"/>
      <c r="AL39" s="56"/>
      <c r="AM39" s="56"/>
      <c r="AN39" s="56"/>
      <c r="AO39" s="54"/>
      <c r="AP39" s="56"/>
      <c r="AQ39" s="55"/>
      <c r="AR39" s="56"/>
      <c r="AS39" s="55"/>
      <c r="AT39" s="56"/>
      <c r="AU39" s="55"/>
      <c r="AV39" s="56"/>
      <c r="AW39" s="164"/>
      <c r="AX39" s="56"/>
      <c r="AY39" s="164"/>
      <c r="AZ39" s="56"/>
      <c r="BA39" s="57"/>
      <c r="BB39" s="56"/>
      <c r="BC39" s="55"/>
      <c r="BD39" s="56"/>
      <c r="BE39" s="56"/>
      <c r="BF39" s="54"/>
      <c r="BG39" s="56"/>
      <c r="BN39" s="192" t="str">
        <f t="shared" si="3"/>
        <v/>
      </c>
      <c r="BO39" s="197" t="str">
        <f t="shared" si="0"/>
        <v/>
      </c>
      <c r="BP39" s="197" t="str">
        <f t="shared" si="1"/>
        <v/>
      </c>
      <c r="BQ39" s="197" t="str">
        <f>IF(C39="","",IF(COUNTIF(BP$6:BP39,BP39)&gt;1,"",BP39))</f>
        <v/>
      </c>
      <c r="BR39" s="197" t="str">
        <f t="shared" si="2"/>
        <v/>
      </c>
    </row>
    <row r="40" spans="1:70" x14ac:dyDescent="0.2">
      <c r="A40" s="54"/>
      <c r="B40" s="54"/>
      <c r="C40" s="55"/>
      <c r="D40" s="55"/>
      <c r="E40" s="56"/>
      <c r="F40" s="55"/>
      <c r="G40" s="56"/>
      <c r="H40" s="55"/>
      <c r="I40" s="56"/>
      <c r="J40" s="55"/>
      <c r="K40" s="56"/>
      <c r="L40" s="175"/>
      <c r="M40" s="55"/>
      <c r="N40" s="56"/>
      <c r="O40" s="55"/>
      <c r="P40" s="56"/>
      <c r="Q40" s="56"/>
      <c r="R40" s="56"/>
      <c r="S40" s="56"/>
      <c r="T40" s="56"/>
      <c r="U40" s="56"/>
      <c r="V40" s="130"/>
      <c r="W40" s="130"/>
      <c r="X40" s="57"/>
      <c r="Y40" s="134"/>
      <c r="Z40" s="55"/>
      <c r="AA40" s="56"/>
      <c r="AB40" s="56"/>
      <c r="AC40" s="56"/>
      <c r="AD40" s="56"/>
      <c r="AE40" s="56"/>
      <c r="AF40" s="55"/>
      <c r="AG40" s="56"/>
      <c r="AH40" s="55"/>
      <c r="AI40" s="56"/>
      <c r="AJ40" s="58"/>
      <c r="AK40" s="56"/>
      <c r="AL40" s="56"/>
      <c r="AM40" s="56"/>
      <c r="AN40" s="56"/>
      <c r="AO40" s="54"/>
      <c r="AP40" s="56"/>
      <c r="AQ40" s="55"/>
      <c r="AR40" s="56"/>
      <c r="AS40" s="55"/>
      <c r="AT40" s="56"/>
      <c r="AU40" s="55"/>
      <c r="AV40" s="56"/>
      <c r="AW40" s="164"/>
      <c r="AX40" s="56"/>
      <c r="AY40" s="164"/>
      <c r="AZ40" s="56"/>
      <c r="BA40" s="57"/>
      <c r="BB40" s="56"/>
      <c r="BC40" s="55"/>
      <c r="BD40" s="56"/>
      <c r="BE40" s="56"/>
      <c r="BF40" s="54"/>
      <c r="BG40" s="56"/>
      <c r="BN40" s="192" t="str">
        <f t="shared" si="3"/>
        <v/>
      </c>
      <c r="BO40" s="197" t="str">
        <f t="shared" si="0"/>
        <v/>
      </c>
      <c r="BP40" s="197" t="str">
        <f t="shared" si="1"/>
        <v/>
      </c>
      <c r="BQ40" s="197" t="str">
        <f>IF(C40="","",IF(COUNTIF(BP$6:BP40,BP40)&gt;1,"",BP40))</f>
        <v/>
      </c>
      <c r="BR40" s="197" t="str">
        <f t="shared" si="2"/>
        <v/>
      </c>
    </row>
    <row r="41" spans="1:70" x14ac:dyDescent="0.2">
      <c r="A41" s="54"/>
      <c r="B41" s="54"/>
      <c r="C41" s="55"/>
      <c r="D41" s="55"/>
      <c r="E41" s="56"/>
      <c r="F41" s="55"/>
      <c r="G41" s="56"/>
      <c r="H41" s="55"/>
      <c r="I41" s="56"/>
      <c r="J41" s="55"/>
      <c r="K41" s="56"/>
      <c r="L41" s="175"/>
      <c r="M41" s="55"/>
      <c r="N41" s="56"/>
      <c r="O41" s="55"/>
      <c r="P41" s="56"/>
      <c r="Q41" s="56"/>
      <c r="R41" s="56"/>
      <c r="S41" s="56"/>
      <c r="T41" s="56"/>
      <c r="U41" s="56"/>
      <c r="V41" s="130"/>
      <c r="W41" s="130"/>
      <c r="X41" s="57"/>
      <c r="Y41" s="134"/>
      <c r="Z41" s="55"/>
      <c r="AA41" s="56"/>
      <c r="AB41" s="56"/>
      <c r="AC41" s="56"/>
      <c r="AD41" s="56"/>
      <c r="AE41" s="56"/>
      <c r="AF41" s="55"/>
      <c r="AG41" s="56"/>
      <c r="AH41" s="55"/>
      <c r="AI41" s="56"/>
      <c r="AJ41" s="58"/>
      <c r="AK41" s="56"/>
      <c r="AL41" s="56"/>
      <c r="AM41" s="56"/>
      <c r="AN41" s="56"/>
      <c r="AO41" s="54"/>
      <c r="AP41" s="56"/>
      <c r="AQ41" s="55"/>
      <c r="AR41" s="56"/>
      <c r="AS41" s="55"/>
      <c r="AT41" s="56"/>
      <c r="AU41" s="55"/>
      <c r="AV41" s="56"/>
      <c r="AW41" s="164"/>
      <c r="AX41" s="56"/>
      <c r="AY41" s="164"/>
      <c r="AZ41" s="56"/>
      <c r="BA41" s="57"/>
      <c r="BB41" s="56"/>
      <c r="BC41" s="55"/>
      <c r="BD41" s="56"/>
      <c r="BE41" s="56"/>
      <c r="BF41" s="54"/>
      <c r="BG41" s="56"/>
      <c r="BN41" s="192" t="str">
        <f t="shared" si="3"/>
        <v/>
      </c>
      <c r="BO41" s="197" t="str">
        <f t="shared" si="0"/>
        <v/>
      </c>
      <c r="BP41" s="197" t="str">
        <f t="shared" si="1"/>
        <v/>
      </c>
      <c r="BQ41" s="197" t="str">
        <f>IF(C41="","",IF(COUNTIF(BP$6:BP41,BP41)&gt;1,"",BP41))</f>
        <v/>
      </c>
      <c r="BR41" s="197" t="str">
        <f t="shared" si="2"/>
        <v/>
      </c>
    </row>
    <row r="42" spans="1:70" x14ac:dyDescent="0.2">
      <c r="A42" s="54"/>
      <c r="B42" s="54"/>
      <c r="C42" s="55"/>
      <c r="D42" s="55"/>
      <c r="E42" s="56"/>
      <c r="F42" s="55"/>
      <c r="G42" s="56"/>
      <c r="H42" s="55"/>
      <c r="I42" s="56"/>
      <c r="J42" s="55"/>
      <c r="K42" s="56"/>
      <c r="L42" s="175"/>
      <c r="M42" s="55"/>
      <c r="N42" s="56"/>
      <c r="O42" s="55"/>
      <c r="P42" s="56"/>
      <c r="Q42" s="56"/>
      <c r="R42" s="56"/>
      <c r="S42" s="56"/>
      <c r="T42" s="56"/>
      <c r="U42" s="56"/>
      <c r="V42" s="130"/>
      <c r="W42" s="130"/>
      <c r="X42" s="57"/>
      <c r="Y42" s="134"/>
      <c r="Z42" s="55"/>
      <c r="AA42" s="56"/>
      <c r="AB42" s="56"/>
      <c r="AC42" s="56"/>
      <c r="AD42" s="56"/>
      <c r="AE42" s="56"/>
      <c r="AF42" s="55"/>
      <c r="AG42" s="56"/>
      <c r="AH42" s="55"/>
      <c r="AI42" s="56"/>
      <c r="AJ42" s="58"/>
      <c r="AK42" s="56"/>
      <c r="AL42" s="56"/>
      <c r="AM42" s="56"/>
      <c r="AN42" s="56"/>
      <c r="AO42" s="54"/>
      <c r="AP42" s="56"/>
      <c r="AQ42" s="55"/>
      <c r="AR42" s="56"/>
      <c r="AS42" s="55"/>
      <c r="AT42" s="56"/>
      <c r="AU42" s="55"/>
      <c r="AV42" s="56"/>
      <c r="AW42" s="164"/>
      <c r="AX42" s="56"/>
      <c r="AY42" s="164"/>
      <c r="AZ42" s="56"/>
      <c r="BA42" s="57"/>
      <c r="BB42" s="56"/>
      <c r="BC42" s="55"/>
      <c r="BD42" s="56"/>
      <c r="BE42" s="56"/>
      <c r="BF42" s="54"/>
      <c r="BG42" s="56"/>
      <c r="BN42" s="192" t="str">
        <f t="shared" si="3"/>
        <v/>
      </c>
      <c r="BO42" s="197" t="str">
        <f t="shared" si="0"/>
        <v/>
      </c>
      <c r="BP42" s="197" t="str">
        <f t="shared" si="1"/>
        <v/>
      </c>
      <c r="BQ42" s="197" t="str">
        <f>IF(C42="","",IF(COUNTIF(BP$6:BP42,BP42)&gt;1,"",BP42))</f>
        <v/>
      </c>
      <c r="BR42" s="197" t="str">
        <f t="shared" si="2"/>
        <v/>
      </c>
    </row>
    <row r="43" spans="1:70" x14ac:dyDescent="0.2">
      <c r="A43" s="54"/>
      <c r="B43" s="54"/>
      <c r="C43" s="55"/>
      <c r="D43" s="55"/>
      <c r="E43" s="56"/>
      <c r="F43" s="55"/>
      <c r="G43" s="56"/>
      <c r="H43" s="55"/>
      <c r="I43" s="56"/>
      <c r="J43" s="55"/>
      <c r="K43" s="56"/>
      <c r="L43" s="175"/>
      <c r="M43" s="55"/>
      <c r="N43" s="56"/>
      <c r="O43" s="55"/>
      <c r="P43" s="56"/>
      <c r="Q43" s="56"/>
      <c r="R43" s="56"/>
      <c r="S43" s="56"/>
      <c r="T43" s="56"/>
      <c r="U43" s="56"/>
      <c r="V43" s="130"/>
      <c r="W43" s="130"/>
      <c r="X43" s="57"/>
      <c r="Y43" s="134"/>
      <c r="Z43" s="55"/>
      <c r="AA43" s="56"/>
      <c r="AB43" s="56"/>
      <c r="AC43" s="56"/>
      <c r="AD43" s="56"/>
      <c r="AE43" s="56"/>
      <c r="AF43" s="55"/>
      <c r="AG43" s="56"/>
      <c r="AH43" s="55"/>
      <c r="AI43" s="56"/>
      <c r="AJ43" s="58"/>
      <c r="AK43" s="56"/>
      <c r="AL43" s="56"/>
      <c r="AM43" s="56"/>
      <c r="AN43" s="56"/>
      <c r="AO43" s="54"/>
      <c r="AP43" s="56"/>
      <c r="AQ43" s="55"/>
      <c r="AR43" s="56"/>
      <c r="AS43" s="55"/>
      <c r="AT43" s="56"/>
      <c r="AU43" s="55"/>
      <c r="AV43" s="56"/>
      <c r="AW43" s="164"/>
      <c r="AX43" s="56"/>
      <c r="AY43" s="164"/>
      <c r="AZ43" s="56"/>
      <c r="BA43" s="57"/>
      <c r="BB43" s="56"/>
      <c r="BC43" s="55"/>
      <c r="BD43" s="56"/>
      <c r="BE43" s="56"/>
      <c r="BF43" s="54"/>
      <c r="BG43" s="56"/>
      <c r="BN43" s="192" t="str">
        <f t="shared" si="3"/>
        <v/>
      </c>
      <c r="BO43" s="197" t="str">
        <f t="shared" si="0"/>
        <v/>
      </c>
      <c r="BP43" s="197" t="str">
        <f t="shared" si="1"/>
        <v/>
      </c>
      <c r="BQ43" s="197" t="str">
        <f>IF(C43="","",IF(COUNTIF(BP$6:BP43,BP43)&gt;1,"",BP43))</f>
        <v/>
      </c>
      <c r="BR43" s="197" t="str">
        <f t="shared" si="2"/>
        <v/>
      </c>
    </row>
    <row r="44" spans="1:70" x14ac:dyDescent="0.2">
      <c r="A44" s="54"/>
      <c r="B44" s="54"/>
      <c r="C44" s="55"/>
      <c r="D44" s="55"/>
      <c r="E44" s="56"/>
      <c r="F44" s="55"/>
      <c r="G44" s="56"/>
      <c r="H44" s="55"/>
      <c r="I44" s="56"/>
      <c r="J44" s="55"/>
      <c r="K44" s="56"/>
      <c r="L44" s="175"/>
      <c r="M44" s="55"/>
      <c r="N44" s="56"/>
      <c r="O44" s="55"/>
      <c r="P44" s="56"/>
      <c r="Q44" s="56"/>
      <c r="R44" s="56"/>
      <c r="S44" s="56"/>
      <c r="T44" s="56"/>
      <c r="U44" s="56"/>
      <c r="V44" s="130"/>
      <c r="W44" s="130"/>
      <c r="X44" s="57"/>
      <c r="Y44" s="134"/>
      <c r="Z44" s="55"/>
      <c r="AA44" s="56"/>
      <c r="AB44" s="56"/>
      <c r="AC44" s="56"/>
      <c r="AD44" s="56"/>
      <c r="AE44" s="56"/>
      <c r="AF44" s="55"/>
      <c r="AG44" s="56"/>
      <c r="AH44" s="55"/>
      <c r="AI44" s="56"/>
      <c r="AJ44" s="58"/>
      <c r="AK44" s="56"/>
      <c r="AL44" s="56"/>
      <c r="AM44" s="56"/>
      <c r="AN44" s="56"/>
      <c r="AO44" s="54"/>
      <c r="AP44" s="56"/>
      <c r="AQ44" s="55"/>
      <c r="AR44" s="56"/>
      <c r="AS44" s="55"/>
      <c r="AT44" s="56"/>
      <c r="AU44" s="55"/>
      <c r="AV44" s="56"/>
      <c r="AW44" s="164"/>
      <c r="AX44" s="56"/>
      <c r="AY44" s="164"/>
      <c r="AZ44" s="56"/>
      <c r="BA44" s="57"/>
      <c r="BB44" s="56"/>
      <c r="BC44" s="55"/>
      <c r="BD44" s="56"/>
      <c r="BE44" s="56"/>
      <c r="BF44" s="54"/>
      <c r="BG44" s="56"/>
      <c r="BN44" s="192" t="str">
        <f t="shared" si="3"/>
        <v/>
      </c>
      <c r="BO44" s="197" t="str">
        <f t="shared" si="0"/>
        <v/>
      </c>
      <c r="BP44" s="197" t="str">
        <f t="shared" si="1"/>
        <v/>
      </c>
      <c r="BQ44" s="197" t="str">
        <f>IF(C44="","",IF(COUNTIF(BP$6:BP44,BP44)&gt;1,"",BP44))</f>
        <v/>
      </c>
      <c r="BR44" s="197" t="str">
        <f t="shared" si="2"/>
        <v/>
      </c>
    </row>
    <row r="45" spans="1:70" x14ac:dyDescent="0.2">
      <c r="A45" s="54"/>
      <c r="B45" s="54"/>
      <c r="C45" s="55"/>
      <c r="D45" s="55"/>
      <c r="E45" s="56"/>
      <c r="F45" s="55"/>
      <c r="G45" s="56"/>
      <c r="H45" s="55"/>
      <c r="I45" s="56"/>
      <c r="J45" s="55"/>
      <c r="K45" s="56"/>
      <c r="L45" s="175"/>
      <c r="M45" s="55"/>
      <c r="N45" s="56"/>
      <c r="O45" s="55"/>
      <c r="P45" s="56"/>
      <c r="Q45" s="56"/>
      <c r="R45" s="56"/>
      <c r="S45" s="56"/>
      <c r="T45" s="56"/>
      <c r="U45" s="56"/>
      <c r="V45" s="130"/>
      <c r="W45" s="130"/>
      <c r="X45" s="57"/>
      <c r="Y45" s="134"/>
      <c r="Z45" s="55"/>
      <c r="AA45" s="56"/>
      <c r="AB45" s="56"/>
      <c r="AC45" s="56"/>
      <c r="AD45" s="56"/>
      <c r="AE45" s="56"/>
      <c r="AF45" s="55"/>
      <c r="AG45" s="56"/>
      <c r="AH45" s="55"/>
      <c r="AI45" s="56"/>
      <c r="AJ45" s="58"/>
      <c r="AK45" s="56"/>
      <c r="AL45" s="56"/>
      <c r="AM45" s="56"/>
      <c r="AN45" s="56"/>
      <c r="AO45" s="54"/>
      <c r="AP45" s="56"/>
      <c r="AQ45" s="55"/>
      <c r="AR45" s="56"/>
      <c r="AS45" s="55"/>
      <c r="AT45" s="56"/>
      <c r="AU45" s="55"/>
      <c r="AV45" s="56"/>
      <c r="AW45" s="164"/>
      <c r="AX45" s="56"/>
      <c r="AY45" s="164"/>
      <c r="AZ45" s="56"/>
      <c r="BA45" s="57"/>
      <c r="BB45" s="56"/>
      <c r="BC45" s="55"/>
      <c r="BD45" s="56"/>
      <c r="BE45" s="56"/>
      <c r="BF45" s="54"/>
      <c r="BG45" s="56"/>
      <c r="BN45" s="192" t="str">
        <f t="shared" si="3"/>
        <v/>
      </c>
      <c r="BO45" s="197" t="str">
        <f t="shared" si="0"/>
        <v/>
      </c>
      <c r="BP45" s="197" t="str">
        <f t="shared" si="1"/>
        <v/>
      </c>
      <c r="BQ45" s="197" t="str">
        <f>IF(C45="","",IF(COUNTIF(BP$6:BP45,BP45)&gt;1,"",BP45))</f>
        <v/>
      </c>
      <c r="BR45" s="197" t="str">
        <f t="shared" si="2"/>
        <v/>
      </c>
    </row>
    <row r="46" spans="1:70" x14ac:dyDescent="0.2">
      <c r="A46" s="54"/>
      <c r="B46" s="54"/>
      <c r="C46" s="189"/>
      <c r="D46" s="55"/>
      <c r="E46" s="56"/>
      <c r="F46" s="55"/>
      <c r="G46" s="56"/>
      <c r="H46" s="55"/>
      <c r="I46" s="56"/>
      <c r="J46" s="55"/>
      <c r="K46" s="56"/>
      <c r="L46" s="175"/>
      <c r="M46" s="55"/>
      <c r="N46" s="56"/>
      <c r="O46" s="55"/>
      <c r="P46" s="56"/>
      <c r="Q46" s="56"/>
      <c r="R46" s="56"/>
      <c r="S46" s="56"/>
      <c r="T46" s="56"/>
      <c r="U46" s="56"/>
      <c r="V46" s="130"/>
      <c r="W46" s="130"/>
      <c r="X46" s="57"/>
      <c r="Y46" s="134"/>
      <c r="Z46" s="55"/>
      <c r="AA46" s="56"/>
      <c r="AB46" s="56"/>
      <c r="AC46" s="56"/>
      <c r="AD46" s="56"/>
      <c r="AE46" s="56"/>
      <c r="AF46" s="55"/>
      <c r="AG46" s="56"/>
      <c r="AH46" s="55"/>
      <c r="AI46" s="56"/>
      <c r="AJ46" s="58"/>
      <c r="AK46" s="56"/>
      <c r="AL46" s="56"/>
      <c r="AM46" s="56"/>
      <c r="AN46" s="56"/>
      <c r="AO46" s="54"/>
      <c r="AP46" s="56"/>
      <c r="AQ46" s="55"/>
      <c r="AR46" s="56"/>
      <c r="AS46" s="55"/>
      <c r="AT46" s="56"/>
      <c r="AU46" s="55"/>
      <c r="AV46" s="56"/>
      <c r="AW46" s="164"/>
      <c r="AX46" s="56"/>
      <c r="AY46" s="164"/>
      <c r="AZ46" s="56"/>
      <c r="BA46" s="57"/>
      <c r="BB46" s="56"/>
      <c r="BC46" s="55"/>
      <c r="BD46" s="56"/>
      <c r="BE46" s="56"/>
      <c r="BF46" s="54"/>
      <c r="BG46" s="56"/>
      <c r="BN46" s="192" t="str">
        <f t="shared" si="3"/>
        <v/>
      </c>
      <c r="BO46" s="197" t="str">
        <f t="shared" si="0"/>
        <v/>
      </c>
      <c r="BP46" s="197" t="str">
        <f t="shared" si="1"/>
        <v/>
      </c>
      <c r="BQ46" s="197" t="str">
        <f>IF(C46="","",IF(COUNTIF(BP$6:BP46,BP46)&gt;1,"",BP46))</f>
        <v/>
      </c>
      <c r="BR46" s="197" t="str">
        <f t="shared" si="2"/>
        <v/>
      </c>
    </row>
    <row r="47" spans="1:70" x14ac:dyDescent="0.2">
      <c r="A47" s="54"/>
      <c r="B47" s="54"/>
      <c r="C47" s="189"/>
      <c r="D47" s="55"/>
      <c r="E47" s="56"/>
      <c r="F47" s="55"/>
      <c r="G47" s="56"/>
      <c r="H47" s="55"/>
      <c r="I47" s="56"/>
      <c r="J47" s="55"/>
      <c r="K47" s="56"/>
      <c r="L47" s="175"/>
      <c r="M47" s="55"/>
      <c r="N47" s="56"/>
      <c r="O47" s="55"/>
      <c r="P47" s="56"/>
      <c r="Q47" s="56"/>
      <c r="R47" s="56"/>
      <c r="S47" s="56"/>
      <c r="T47" s="56"/>
      <c r="U47" s="56"/>
      <c r="V47" s="130"/>
      <c r="W47" s="130"/>
      <c r="X47" s="57"/>
      <c r="Y47" s="134"/>
      <c r="Z47" s="55"/>
      <c r="AA47" s="56"/>
      <c r="AB47" s="56"/>
      <c r="AC47" s="56"/>
      <c r="AD47" s="56"/>
      <c r="AE47" s="56"/>
      <c r="AF47" s="55"/>
      <c r="AG47" s="56"/>
      <c r="AH47" s="55"/>
      <c r="AI47" s="56"/>
      <c r="AJ47" s="58"/>
      <c r="AK47" s="56"/>
      <c r="AL47" s="56"/>
      <c r="AM47" s="56"/>
      <c r="AN47" s="56"/>
      <c r="AO47" s="54"/>
      <c r="AP47" s="56"/>
      <c r="AQ47" s="55"/>
      <c r="AR47" s="56"/>
      <c r="AS47" s="55"/>
      <c r="AT47" s="56"/>
      <c r="AU47" s="55"/>
      <c r="AV47" s="56"/>
      <c r="AW47" s="164"/>
      <c r="AX47" s="56"/>
      <c r="AY47" s="164"/>
      <c r="AZ47" s="56"/>
      <c r="BA47" s="57"/>
      <c r="BB47" s="56"/>
      <c r="BC47" s="55"/>
      <c r="BD47" s="56"/>
      <c r="BE47" s="56"/>
      <c r="BF47" s="54"/>
      <c r="BG47" s="56"/>
      <c r="BN47" s="192" t="str">
        <f t="shared" si="3"/>
        <v/>
      </c>
      <c r="BO47" s="197" t="str">
        <f t="shared" si="0"/>
        <v/>
      </c>
      <c r="BP47" s="197" t="str">
        <f t="shared" si="1"/>
        <v/>
      </c>
      <c r="BQ47" s="197" t="str">
        <f>IF(C47="","",IF(COUNTIF(BP$6:BP47,BP47)&gt;1,"",BP47))</f>
        <v/>
      </c>
      <c r="BR47" s="197" t="str">
        <f t="shared" si="2"/>
        <v/>
      </c>
    </row>
    <row r="48" spans="1:70" x14ac:dyDescent="0.2">
      <c r="A48" s="54"/>
      <c r="B48" s="54"/>
      <c r="C48" s="189"/>
      <c r="D48" s="55"/>
      <c r="E48" s="56"/>
      <c r="F48" s="55"/>
      <c r="G48" s="56"/>
      <c r="H48" s="55"/>
      <c r="I48" s="56"/>
      <c r="J48" s="55"/>
      <c r="K48" s="56"/>
      <c r="L48" s="175"/>
      <c r="M48" s="55"/>
      <c r="N48" s="56"/>
      <c r="O48" s="55"/>
      <c r="P48" s="56"/>
      <c r="Q48" s="56"/>
      <c r="R48" s="56"/>
      <c r="S48" s="56"/>
      <c r="T48" s="56"/>
      <c r="U48" s="56"/>
      <c r="V48" s="130"/>
      <c r="W48" s="130"/>
      <c r="X48" s="57"/>
      <c r="Y48" s="134"/>
      <c r="Z48" s="55"/>
      <c r="AA48" s="56"/>
      <c r="AB48" s="56"/>
      <c r="AC48" s="56"/>
      <c r="AD48" s="56"/>
      <c r="AE48" s="56"/>
      <c r="AF48" s="55"/>
      <c r="AG48" s="56"/>
      <c r="AH48" s="55"/>
      <c r="AI48" s="56"/>
      <c r="AJ48" s="58"/>
      <c r="AK48" s="56"/>
      <c r="AL48" s="56"/>
      <c r="AM48" s="56"/>
      <c r="AN48" s="56"/>
      <c r="AO48" s="54"/>
      <c r="AP48" s="56"/>
      <c r="AQ48" s="55"/>
      <c r="AR48" s="56"/>
      <c r="AS48" s="55"/>
      <c r="AT48" s="56"/>
      <c r="AU48" s="55"/>
      <c r="AV48" s="56"/>
      <c r="AW48" s="164"/>
      <c r="AX48" s="56"/>
      <c r="AY48" s="164"/>
      <c r="AZ48" s="56"/>
      <c r="BA48" s="57"/>
      <c r="BB48" s="56"/>
      <c r="BC48" s="55"/>
      <c r="BD48" s="56"/>
      <c r="BE48" s="56"/>
      <c r="BF48" s="54"/>
      <c r="BG48" s="56"/>
      <c r="BN48" s="192" t="str">
        <f t="shared" si="3"/>
        <v/>
      </c>
      <c r="BO48" s="197" t="str">
        <f t="shared" si="0"/>
        <v/>
      </c>
      <c r="BP48" s="197" t="str">
        <f t="shared" si="1"/>
        <v/>
      </c>
      <c r="BQ48" s="197" t="str">
        <f>IF(C48="","",IF(COUNTIF(BP$6:BP48,BP48)&gt;1,"",BP48))</f>
        <v/>
      </c>
      <c r="BR48" s="197" t="str">
        <f t="shared" si="2"/>
        <v/>
      </c>
    </row>
    <row r="49" spans="1:70" x14ac:dyDescent="0.2">
      <c r="A49" s="54"/>
      <c r="B49" s="54"/>
      <c r="C49" s="189"/>
      <c r="D49" s="55"/>
      <c r="E49" s="56"/>
      <c r="F49" s="55"/>
      <c r="G49" s="56"/>
      <c r="H49" s="55"/>
      <c r="I49" s="56"/>
      <c r="J49" s="55"/>
      <c r="K49" s="56"/>
      <c r="L49" s="175"/>
      <c r="M49" s="55"/>
      <c r="N49" s="56"/>
      <c r="O49" s="55"/>
      <c r="P49" s="56"/>
      <c r="Q49" s="56"/>
      <c r="R49" s="56"/>
      <c r="S49" s="56"/>
      <c r="T49" s="56"/>
      <c r="U49" s="56"/>
      <c r="V49" s="130"/>
      <c r="W49" s="130"/>
      <c r="X49" s="57"/>
      <c r="Y49" s="134"/>
      <c r="Z49" s="55"/>
      <c r="AA49" s="56"/>
      <c r="AB49" s="56"/>
      <c r="AC49" s="56"/>
      <c r="AD49" s="56"/>
      <c r="AE49" s="56"/>
      <c r="AF49" s="55"/>
      <c r="AG49" s="56"/>
      <c r="AH49" s="55"/>
      <c r="AI49" s="56"/>
      <c r="AJ49" s="58"/>
      <c r="AK49" s="56"/>
      <c r="AL49" s="56"/>
      <c r="AM49" s="56"/>
      <c r="AN49" s="56"/>
      <c r="AO49" s="54"/>
      <c r="AP49" s="56"/>
      <c r="AQ49" s="55"/>
      <c r="AR49" s="56"/>
      <c r="AS49" s="55"/>
      <c r="AT49" s="56"/>
      <c r="AU49" s="55"/>
      <c r="AV49" s="56"/>
      <c r="AW49" s="164"/>
      <c r="AX49" s="56"/>
      <c r="AY49" s="164"/>
      <c r="AZ49" s="56"/>
      <c r="BA49" s="57"/>
      <c r="BB49" s="56"/>
      <c r="BC49" s="55"/>
      <c r="BD49" s="56"/>
      <c r="BE49" s="56"/>
      <c r="BF49" s="54"/>
      <c r="BG49" s="56"/>
      <c r="BN49" s="192" t="str">
        <f t="shared" si="3"/>
        <v/>
      </c>
      <c r="BO49" s="197" t="str">
        <f t="shared" si="0"/>
        <v/>
      </c>
      <c r="BP49" s="197" t="str">
        <f t="shared" si="1"/>
        <v/>
      </c>
      <c r="BQ49" s="197" t="str">
        <f>IF(C49="","",IF(COUNTIF(BP$6:BP49,BP49)&gt;1,"",BP49))</f>
        <v/>
      </c>
      <c r="BR49" s="197" t="str">
        <f t="shared" si="2"/>
        <v/>
      </c>
    </row>
    <row r="50" spans="1:70" x14ac:dyDescent="0.2">
      <c r="A50" s="54"/>
      <c r="B50" s="54"/>
      <c r="C50" s="189"/>
      <c r="D50" s="55"/>
      <c r="E50" s="56"/>
      <c r="F50" s="55"/>
      <c r="G50" s="56"/>
      <c r="H50" s="55"/>
      <c r="I50" s="56"/>
      <c r="J50" s="55"/>
      <c r="K50" s="56"/>
      <c r="L50" s="175"/>
      <c r="M50" s="55"/>
      <c r="N50" s="56"/>
      <c r="O50" s="55"/>
      <c r="P50" s="56"/>
      <c r="Q50" s="56"/>
      <c r="R50" s="56"/>
      <c r="S50" s="56"/>
      <c r="T50" s="56"/>
      <c r="U50" s="56"/>
      <c r="V50" s="130"/>
      <c r="W50" s="130"/>
      <c r="X50" s="57"/>
      <c r="Y50" s="134"/>
      <c r="Z50" s="55"/>
      <c r="AA50" s="56"/>
      <c r="AB50" s="56"/>
      <c r="AC50" s="56"/>
      <c r="AD50" s="56"/>
      <c r="AE50" s="56"/>
      <c r="AF50" s="55"/>
      <c r="AG50" s="56"/>
      <c r="AH50" s="55"/>
      <c r="AI50" s="56"/>
      <c r="AJ50" s="58"/>
      <c r="AK50" s="56"/>
      <c r="AL50" s="56"/>
      <c r="AM50" s="56"/>
      <c r="AN50" s="56"/>
      <c r="AO50" s="54"/>
      <c r="AP50" s="56"/>
      <c r="AQ50" s="55"/>
      <c r="AR50" s="56"/>
      <c r="AS50" s="55"/>
      <c r="AT50" s="56"/>
      <c r="AU50" s="55"/>
      <c r="AV50" s="56"/>
      <c r="AW50" s="164"/>
      <c r="AX50" s="56"/>
      <c r="AY50" s="164"/>
      <c r="AZ50" s="56"/>
      <c r="BA50" s="57"/>
      <c r="BB50" s="56"/>
      <c r="BC50" s="55"/>
      <c r="BD50" s="56"/>
      <c r="BE50" s="56"/>
      <c r="BF50" s="54"/>
      <c r="BG50" s="56"/>
      <c r="BN50" s="192" t="str">
        <f t="shared" si="3"/>
        <v/>
      </c>
      <c r="BO50" s="197" t="str">
        <f t="shared" si="0"/>
        <v/>
      </c>
      <c r="BP50" s="197" t="str">
        <f t="shared" si="1"/>
        <v/>
      </c>
      <c r="BQ50" s="197" t="str">
        <f>IF(C50="","",IF(COUNTIF(BP$6:BP50,BP50)&gt;1,"",BP50))</f>
        <v/>
      </c>
      <c r="BR50" s="197" t="str">
        <f t="shared" si="2"/>
        <v/>
      </c>
    </row>
    <row r="51" spans="1:70" x14ac:dyDescent="0.2">
      <c r="A51" s="54"/>
      <c r="B51" s="54"/>
      <c r="C51" s="189"/>
      <c r="D51" s="55"/>
      <c r="E51" s="56"/>
      <c r="F51" s="55"/>
      <c r="G51" s="56"/>
      <c r="H51" s="55"/>
      <c r="I51" s="56"/>
      <c r="J51" s="55"/>
      <c r="K51" s="56"/>
      <c r="L51" s="175"/>
      <c r="M51" s="55"/>
      <c r="N51" s="56"/>
      <c r="O51" s="55"/>
      <c r="P51" s="56"/>
      <c r="Q51" s="56"/>
      <c r="R51" s="56"/>
      <c r="S51" s="56"/>
      <c r="T51" s="56"/>
      <c r="U51" s="56"/>
      <c r="V51" s="56"/>
      <c r="W51" s="56"/>
      <c r="X51" s="57"/>
      <c r="Y51" s="134"/>
      <c r="Z51" s="55"/>
      <c r="AA51" s="56"/>
      <c r="AB51" s="56"/>
      <c r="AC51" s="56"/>
      <c r="AD51" s="56"/>
      <c r="AE51" s="56"/>
      <c r="AF51" s="55"/>
      <c r="AG51" s="56"/>
      <c r="AH51" s="55"/>
      <c r="AI51" s="56"/>
      <c r="AJ51" s="58"/>
      <c r="AK51" s="56"/>
      <c r="AL51" s="56"/>
      <c r="AM51" s="56"/>
      <c r="AN51" s="56"/>
      <c r="AO51" s="54"/>
      <c r="AP51" s="56"/>
      <c r="AQ51" s="55"/>
      <c r="AR51" s="56"/>
      <c r="AS51" s="55"/>
      <c r="AT51" s="56"/>
      <c r="AU51" s="55"/>
      <c r="AV51" s="56"/>
      <c r="AW51" s="164"/>
      <c r="AX51" s="56"/>
      <c r="AY51" s="164"/>
      <c r="AZ51" s="56"/>
      <c r="BA51" s="57"/>
      <c r="BB51" s="56"/>
      <c r="BC51" s="55"/>
      <c r="BD51" s="56"/>
      <c r="BE51" s="56"/>
      <c r="BF51" s="54"/>
      <c r="BG51" s="56"/>
      <c r="BN51" s="192" t="str">
        <f t="shared" si="3"/>
        <v/>
      </c>
      <c r="BO51" s="197" t="str">
        <f t="shared" si="0"/>
        <v/>
      </c>
      <c r="BP51" s="197" t="str">
        <f t="shared" si="1"/>
        <v/>
      </c>
      <c r="BQ51" s="197" t="str">
        <f>IF(C51="","",IF(COUNTIF(BP$6:BP51,BP51)&gt;1,"",BP51))</f>
        <v/>
      </c>
      <c r="BR51" s="197" t="str">
        <f t="shared" si="2"/>
        <v/>
      </c>
    </row>
    <row r="52" spans="1:70" x14ac:dyDescent="0.2">
      <c r="A52" s="54"/>
      <c r="B52" s="54"/>
      <c r="C52" s="189"/>
      <c r="D52" s="55"/>
      <c r="E52" s="56"/>
      <c r="F52" s="55"/>
      <c r="G52" s="56"/>
      <c r="H52" s="55"/>
      <c r="I52" s="56"/>
      <c r="J52" s="55"/>
      <c r="K52" s="56"/>
      <c r="L52" s="175"/>
      <c r="M52" s="55"/>
      <c r="N52" s="56"/>
      <c r="O52" s="55"/>
      <c r="P52" s="56"/>
      <c r="Q52" s="56"/>
      <c r="R52" s="56"/>
      <c r="S52" s="56"/>
      <c r="T52" s="56"/>
      <c r="U52" s="56"/>
      <c r="V52" s="56"/>
      <c r="W52" s="56"/>
      <c r="X52" s="57"/>
      <c r="Y52" s="134"/>
      <c r="Z52" s="55"/>
      <c r="AA52" s="56"/>
      <c r="AB52" s="56"/>
      <c r="AC52" s="56"/>
      <c r="AD52" s="56"/>
      <c r="AE52" s="56"/>
      <c r="AF52" s="55"/>
      <c r="AG52" s="56"/>
      <c r="AH52" s="55"/>
      <c r="AI52" s="56"/>
      <c r="AJ52" s="58"/>
      <c r="AK52" s="56"/>
      <c r="AL52" s="56"/>
      <c r="AM52" s="56"/>
      <c r="AN52" s="56"/>
      <c r="AO52" s="54"/>
      <c r="AP52" s="56"/>
      <c r="AQ52" s="55"/>
      <c r="AR52" s="56"/>
      <c r="AS52" s="55"/>
      <c r="AT52" s="56"/>
      <c r="AU52" s="55"/>
      <c r="AV52" s="56"/>
      <c r="AW52" s="164"/>
      <c r="AX52" s="56"/>
      <c r="AY52" s="164"/>
      <c r="AZ52" s="56"/>
      <c r="BA52" s="57"/>
      <c r="BB52" s="56"/>
      <c r="BC52" s="55"/>
      <c r="BD52" s="56"/>
      <c r="BE52" s="56"/>
      <c r="BF52" s="54"/>
      <c r="BG52" s="56"/>
      <c r="BN52" s="192" t="str">
        <f t="shared" si="3"/>
        <v/>
      </c>
      <c r="BO52" s="197" t="str">
        <f t="shared" si="0"/>
        <v/>
      </c>
      <c r="BP52" s="197" t="str">
        <f t="shared" si="1"/>
        <v/>
      </c>
      <c r="BQ52" s="197" t="str">
        <f>IF(C52="","",IF(COUNTIF(BP$6:BP52,BP52)&gt;1,"",BP52))</f>
        <v/>
      </c>
      <c r="BR52" s="197" t="str">
        <f t="shared" si="2"/>
        <v/>
      </c>
    </row>
    <row r="53" spans="1:70" x14ac:dyDescent="0.2">
      <c r="A53" s="54"/>
      <c r="B53" s="54"/>
      <c r="C53" s="189"/>
      <c r="D53" s="55"/>
      <c r="E53" s="56"/>
      <c r="F53" s="55"/>
      <c r="G53" s="56"/>
      <c r="H53" s="55"/>
      <c r="I53" s="56"/>
      <c r="J53" s="55"/>
      <c r="K53" s="56"/>
      <c r="L53" s="175"/>
      <c r="M53" s="55"/>
      <c r="N53" s="56"/>
      <c r="O53" s="55"/>
      <c r="P53" s="56"/>
      <c r="Q53" s="56"/>
      <c r="R53" s="56"/>
      <c r="S53" s="56"/>
      <c r="T53" s="56"/>
      <c r="U53" s="56"/>
      <c r="V53" s="56"/>
      <c r="W53" s="56"/>
      <c r="X53" s="57"/>
      <c r="Y53" s="134"/>
      <c r="Z53" s="55"/>
      <c r="AA53" s="56"/>
      <c r="AB53" s="56"/>
      <c r="AC53" s="56"/>
      <c r="AD53" s="56"/>
      <c r="AE53" s="56"/>
      <c r="AF53" s="55"/>
      <c r="AG53" s="56"/>
      <c r="AH53" s="55"/>
      <c r="AI53" s="56"/>
      <c r="AJ53" s="58"/>
      <c r="AK53" s="56"/>
      <c r="AL53" s="56"/>
      <c r="AM53" s="56"/>
      <c r="AN53" s="56"/>
      <c r="AO53" s="54"/>
      <c r="AP53" s="56"/>
      <c r="AQ53" s="55"/>
      <c r="AR53" s="56"/>
      <c r="AS53" s="55"/>
      <c r="AT53" s="56"/>
      <c r="AU53" s="55"/>
      <c r="AV53" s="56"/>
      <c r="AW53" s="164"/>
      <c r="AX53" s="56"/>
      <c r="AY53" s="164"/>
      <c r="AZ53" s="56"/>
      <c r="BA53" s="57"/>
      <c r="BB53" s="56"/>
      <c r="BC53" s="55"/>
      <c r="BD53" s="56"/>
      <c r="BE53" s="56"/>
      <c r="BF53" s="54"/>
      <c r="BG53" s="56"/>
      <c r="BN53" s="192" t="str">
        <f t="shared" si="3"/>
        <v/>
      </c>
      <c r="BO53" s="197" t="str">
        <f t="shared" si="0"/>
        <v/>
      </c>
      <c r="BP53" s="197" t="str">
        <f t="shared" si="1"/>
        <v/>
      </c>
      <c r="BQ53" s="197" t="str">
        <f>IF(C53="","",IF(COUNTIF(BP$6:BP53,BP53)&gt;1,"",BP53))</f>
        <v/>
      </c>
      <c r="BR53" s="197" t="str">
        <f t="shared" si="2"/>
        <v/>
      </c>
    </row>
    <row r="54" spans="1:70" x14ac:dyDescent="0.2">
      <c r="A54" s="54"/>
      <c r="B54" s="54"/>
      <c r="C54" s="189"/>
      <c r="D54" s="55"/>
      <c r="E54" s="56"/>
      <c r="F54" s="55"/>
      <c r="G54" s="56"/>
      <c r="H54" s="55"/>
      <c r="I54" s="56"/>
      <c r="J54" s="55"/>
      <c r="K54" s="56"/>
      <c r="L54" s="175"/>
      <c r="M54" s="55"/>
      <c r="N54" s="56"/>
      <c r="O54" s="55"/>
      <c r="P54" s="56"/>
      <c r="Q54" s="56"/>
      <c r="R54" s="56"/>
      <c r="S54" s="56"/>
      <c r="T54" s="56"/>
      <c r="U54" s="56"/>
      <c r="V54" s="56"/>
      <c r="W54" s="56"/>
      <c r="X54" s="57"/>
      <c r="Y54" s="134"/>
      <c r="Z54" s="55"/>
      <c r="AA54" s="56"/>
      <c r="AB54" s="56"/>
      <c r="AC54" s="56"/>
      <c r="AD54" s="56"/>
      <c r="AE54" s="56"/>
      <c r="AF54" s="55"/>
      <c r="AG54" s="56"/>
      <c r="AH54" s="55"/>
      <c r="AI54" s="56"/>
      <c r="AJ54" s="58"/>
      <c r="AK54" s="56"/>
      <c r="AL54" s="56"/>
      <c r="AM54" s="56"/>
      <c r="AN54" s="56"/>
      <c r="AO54" s="54"/>
      <c r="AP54" s="56"/>
      <c r="AQ54" s="55"/>
      <c r="AR54" s="56"/>
      <c r="AS54" s="55"/>
      <c r="AT54" s="56"/>
      <c r="AU54" s="55"/>
      <c r="AV54" s="56"/>
      <c r="AW54" s="164"/>
      <c r="AX54" s="56"/>
      <c r="AY54" s="164"/>
      <c r="AZ54" s="56"/>
      <c r="BA54" s="57"/>
      <c r="BB54" s="56"/>
      <c r="BC54" s="55"/>
      <c r="BD54" s="56"/>
      <c r="BE54" s="56"/>
      <c r="BF54" s="54"/>
      <c r="BG54" s="56"/>
      <c r="BN54" s="192" t="str">
        <f t="shared" si="3"/>
        <v/>
      </c>
      <c r="BO54" s="197" t="str">
        <f t="shared" si="0"/>
        <v/>
      </c>
      <c r="BP54" s="197" t="str">
        <f t="shared" si="1"/>
        <v/>
      </c>
      <c r="BQ54" s="197" t="str">
        <f>IF(C54="","",IF(COUNTIF(BP$6:BP54,BP54)&gt;1,"",BP54))</f>
        <v/>
      </c>
      <c r="BR54" s="197" t="str">
        <f t="shared" si="2"/>
        <v/>
      </c>
    </row>
    <row r="55" spans="1:70" x14ac:dyDescent="0.2">
      <c r="A55" s="54"/>
      <c r="B55" s="54"/>
      <c r="C55" s="189"/>
      <c r="D55" s="55"/>
      <c r="E55" s="56"/>
      <c r="F55" s="55"/>
      <c r="G55" s="56"/>
      <c r="H55" s="55"/>
      <c r="I55" s="56"/>
      <c r="J55" s="55"/>
      <c r="K55" s="56"/>
      <c r="L55" s="175"/>
      <c r="M55" s="55"/>
      <c r="N55" s="56"/>
      <c r="O55" s="55"/>
      <c r="P55" s="56"/>
      <c r="Q55" s="56"/>
      <c r="R55" s="56"/>
      <c r="S55" s="56"/>
      <c r="T55" s="56"/>
      <c r="U55" s="56"/>
      <c r="V55" s="56"/>
      <c r="W55" s="56"/>
      <c r="X55" s="57"/>
      <c r="Y55" s="134"/>
      <c r="Z55" s="55"/>
      <c r="AA55" s="56"/>
      <c r="AB55" s="56"/>
      <c r="AC55" s="56"/>
      <c r="AD55" s="56"/>
      <c r="AE55" s="56"/>
      <c r="AF55" s="55"/>
      <c r="AG55" s="56"/>
      <c r="AH55" s="55"/>
      <c r="AI55" s="56"/>
      <c r="AJ55" s="58"/>
      <c r="AK55" s="56"/>
      <c r="AL55" s="56"/>
      <c r="AM55" s="56"/>
      <c r="AN55" s="56"/>
      <c r="AO55" s="54"/>
      <c r="AP55" s="56"/>
      <c r="AQ55" s="55"/>
      <c r="AR55" s="56"/>
      <c r="AS55" s="55"/>
      <c r="AT55" s="56"/>
      <c r="AU55" s="55"/>
      <c r="AV55" s="56"/>
      <c r="AW55" s="164"/>
      <c r="AX55" s="56"/>
      <c r="AY55" s="164"/>
      <c r="AZ55" s="56"/>
      <c r="BA55" s="57"/>
      <c r="BB55" s="56"/>
      <c r="BC55" s="55"/>
      <c r="BD55" s="56"/>
      <c r="BE55" s="56"/>
      <c r="BF55" s="54"/>
      <c r="BG55" s="56"/>
      <c r="BN55" s="192" t="str">
        <f t="shared" si="3"/>
        <v/>
      </c>
      <c r="BO55" s="197" t="str">
        <f t="shared" si="0"/>
        <v/>
      </c>
      <c r="BP55" s="197" t="str">
        <f t="shared" si="1"/>
        <v/>
      </c>
      <c r="BQ55" s="197" t="str">
        <f>IF(C55="","",IF(COUNTIF(BP$6:BP55,BP55)&gt;1,"",BP55))</f>
        <v/>
      </c>
      <c r="BR55" s="197" t="str">
        <f t="shared" si="2"/>
        <v/>
      </c>
    </row>
    <row r="56" spans="1:70" x14ac:dyDescent="0.2">
      <c r="A56" s="54"/>
      <c r="B56" s="54"/>
      <c r="C56" s="189"/>
      <c r="D56" s="55"/>
      <c r="E56" s="56"/>
      <c r="F56" s="55"/>
      <c r="G56" s="56"/>
      <c r="H56" s="55"/>
      <c r="I56" s="56"/>
      <c r="J56" s="55"/>
      <c r="K56" s="56"/>
      <c r="L56" s="175"/>
      <c r="M56" s="55"/>
      <c r="N56" s="56"/>
      <c r="O56" s="55"/>
      <c r="P56" s="56"/>
      <c r="Q56" s="56"/>
      <c r="R56" s="56"/>
      <c r="S56" s="56"/>
      <c r="T56" s="56"/>
      <c r="U56" s="56"/>
      <c r="V56" s="56"/>
      <c r="W56" s="56"/>
      <c r="X56" s="57"/>
      <c r="Y56" s="134"/>
      <c r="Z56" s="55"/>
      <c r="AA56" s="56"/>
      <c r="AB56" s="56"/>
      <c r="AC56" s="56"/>
      <c r="AD56" s="56"/>
      <c r="AE56" s="56"/>
      <c r="AF56" s="55"/>
      <c r="AG56" s="56"/>
      <c r="AH56" s="55"/>
      <c r="AI56" s="56"/>
      <c r="AJ56" s="58"/>
      <c r="AK56" s="56"/>
      <c r="AL56" s="56"/>
      <c r="AM56" s="56"/>
      <c r="AN56" s="56"/>
      <c r="AO56" s="54"/>
      <c r="AP56" s="56"/>
      <c r="AQ56" s="55"/>
      <c r="AR56" s="56"/>
      <c r="AS56" s="55"/>
      <c r="AT56" s="56"/>
      <c r="AU56" s="55"/>
      <c r="AV56" s="56"/>
      <c r="AW56" s="164"/>
      <c r="AX56" s="56"/>
      <c r="AY56" s="164"/>
      <c r="AZ56" s="56"/>
      <c r="BA56" s="57"/>
      <c r="BB56" s="56"/>
      <c r="BC56" s="55"/>
      <c r="BD56" s="56"/>
      <c r="BE56" s="56"/>
      <c r="BF56" s="54"/>
      <c r="BG56" s="56"/>
      <c r="BN56" s="192" t="str">
        <f t="shared" si="3"/>
        <v/>
      </c>
      <c r="BO56" s="197" t="str">
        <f t="shared" si="0"/>
        <v/>
      </c>
      <c r="BP56" s="197" t="str">
        <f t="shared" si="1"/>
        <v/>
      </c>
      <c r="BQ56" s="197" t="str">
        <f>IF(C56="","",IF(COUNTIF(BP$6:BP56,BP56)&gt;1,"",BP56))</f>
        <v/>
      </c>
      <c r="BR56" s="197" t="str">
        <f t="shared" si="2"/>
        <v/>
      </c>
    </row>
    <row r="57" spans="1:70" x14ac:dyDescent="0.2">
      <c r="A57" s="54"/>
      <c r="B57" s="54"/>
      <c r="C57" s="189"/>
      <c r="D57" s="55"/>
      <c r="E57" s="56"/>
      <c r="F57" s="55"/>
      <c r="G57" s="56"/>
      <c r="H57" s="55"/>
      <c r="I57" s="56"/>
      <c r="J57" s="55"/>
      <c r="K57" s="56"/>
      <c r="L57" s="175"/>
      <c r="M57" s="55"/>
      <c r="N57" s="56"/>
      <c r="O57" s="55"/>
      <c r="P57" s="56"/>
      <c r="Q57" s="56"/>
      <c r="R57" s="56"/>
      <c r="S57" s="56"/>
      <c r="T57" s="56"/>
      <c r="U57" s="56"/>
      <c r="V57" s="56"/>
      <c r="W57" s="56"/>
      <c r="X57" s="57"/>
      <c r="Y57" s="134"/>
      <c r="Z57" s="55"/>
      <c r="AA57" s="56"/>
      <c r="AB57" s="56"/>
      <c r="AC57" s="56"/>
      <c r="AD57" s="56"/>
      <c r="AE57" s="56"/>
      <c r="AF57" s="55"/>
      <c r="AG57" s="56"/>
      <c r="AH57" s="55"/>
      <c r="AI57" s="56"/>
      <c r="AJ57" s="58"/>
      <c r="AK57" s="56"/>
      <c r="AL57" s="56"/>
      <c r="AM57" s="56"/>
      <c r="AN57" s="56"/>
      <c r="AO57" s="54"/>
      <c r="AP57" s="56"/>
      <c r="AQ57" s="55"/>
      <c r="AR57" s="56"/>
      <c r="AS57" s="55"/>
      <c r="AT57" s="56"/>
      <c r="AU57" s="55"/>
      <c r="AV57" s="56"/>
      <c r="AW57" s="164"/>
      <c r="AX57" s="56"/>
      <c r="AY57" s="164"/>
      <c r="AZ57" s="56"/>
      <c r="BA57" s="57"/>
      <c r="BB57" s="56"/>
      <c r="BC57" s="55"/>
      <c r="BD57" s="56"/>
      <c r="BE57" s="56"/>
      <c r="BF57" s="54"/>
      <c r="BG57" s="56"/>
      <c r="BN57" s="192" t="str">
        <f t="shared" si="3"/>
        <v/>
      </c>
      <c r="BO57" s="197" t="str">
        <f t="shared" si="0"/>
        <v/>
      </c>
      <c r="BP57" s="197" t="str">
        <f t="shared" si="1"/>
        <v/>
      </c>
      <c r="BQ57" s="197" t="str">
        <f>IF(C57="","",IF(COUNTIF(BP$6:BP57,BP57)&gt;1,"",BP57))</f>
        <v/>
      </c>
      <c r="BR57" s="197" t="str">
        <f t="shared" si="2"/>
        <v/>
      </c>
    </row>
    <row r="58" spans="1:70" x14ac:dyDescent="0.2">
      <c r="A58" s="54"/>
      <c r="B58" s="54"/>
      <c r="C58" s="189"/>
      <c r="D58" s="55"/>
      <c r="E58" s="56"/>
      <c r="F58" s="55"/>
      <c r="G58" s="56"/>
      <c r="H58" s="55"/>
      <c r="I58" s="56"/>
      <c r="J58" s="55"/>
      <c r="K58" s="56"/>
      <c r="L58" s="175"/>
      <c r="M58" s="55"/>
      <c r="N58" s="56"/>
      <c r="O58" s="55"/>
      <c r="P58" s="56"/>
      <c r="Q58" s="56"/>
      <c r="R58" s="56"/>
      <c r="S58" s="56"/>
      <c r="T58" s="56"/>
      <c r="U58" s="56"/>
      <c r="V58" s="56"/>
      <c r="W58" s="56"/>
      <c r="X58" s="57"/>
      <c r="Y58" s="134"/>
      <c r="Z58" s="55"/>
      <c r="AA58" s="56"/>
      <c r="AB58" s="56"/>
      <c r="AC58" s="56"/>
      <c r="AD58" s="56"/>
      <c r="AE58" s="56"/>
      <c r="AF58" s="55"/>
      <c r="AG58" s="56"/>
      <c r="AH58" s="55"/>
      <c r="AI58" s="56"/>
      <c r="AJ58" s="58"/>
      <c r="AK58" s="56"/>
      <c r="AL58" s="56"/>
      <c r="AM58" s="56"/>
      <c r="AN58" s="56"/>
      <c r="AO58" s="54"/>
      <c r="AP58" s="56"/>
      <c r="AQ58" s="55"/>
      <c r="AR58" s="56"/>
      <c r="AS58" s="55"/>
      <c r="AT58" s="56"/>
      <c r="AU58" s="55"/>
      <c r="AV58" s="56"/>
      <c r="AW58" s="164"/>
      <c r="AX58" s="56"/>
      <c r="AY58" s="164"/>
      <c r="AZ58" s="56"/>
      <c r="BA58" s="57"/>
      <c r="BB58" s="56"/>
      <c r="BC58" s="55"/>
      <c r="BD58" s="56"/>
      <c r="BE58" s="56"/>
      <c r="BF58" s="54"/>
      <c r="BG58" s="56"/>
      <c r="BN58" s="192" t="str">
        <f t="shared" si="3"/>
        <v/>
      </c>
      <c r="BO58" s="197" t="str">
        <f t="shared" si="0"/>
        <v/>
      </c>
      <c r="BP58" s="197" t="str">
        <f t="shared" si="1"/>
        <v/>
      </c>
      <c r="BQ58" s="197" t="str">
        <f>IF(C58="","",IF(COUNTIF(BP$6:BP58,BP58)&gt;1,"",BP58))</f>
        <v/>
      </c>
      <c r="BR58" s="197" t="str">
        <f t="shared" si="2"/>
        <v/>
      </c>
    </row>
    <row r="59" spans="1:70" x14ac:dyDescent="0.2">
      <c r="A59" s="54"/>
      <c r="B59" s="54"/>
      <c r="C59" s="189"/>
      <c r="D59" s="55"/>
      <c r="E59" s="56"/>
      <c r="F59" s="55"/>
      <c r="G59" s="56"/>
      <c r="H59" s="55"/>
      <c r="I59" s="56"/>
      <c r="J59" s="55"/>
      <c r="K59" s="56"/>
      <c r="L59" s="175"/>
      <c r="M59" s="55"/>
      <c r="N59" s="56"/>
      <c r="O59" s="55"/>
      <c r="P59" s="56"/>
      <c r="Q59" s="56"/>
      <c r="R59" s="56"/>
      <c r="S59" s="56"/>
      <c r="T59" s="56"/>
      <c r="U59" s="56"/>
      <c r="V59" s="56"/>
      <c r="W59" s="56"/>
      <c r="X59" s="57"/>
      <c r="Y59" s="134"/>
      <c r="Z59" s="55"/>
      <c r="AA59" s="56"/>
      <c r="AB59" s="56"/>
      <c r="AC59" s="56"/>
      <c r="AD59" s="56"/>
      <c r="AE59" s="56"/>
      <c r="AF59" s="55"/>
      <c r="AG59" s="56"/>
      <c r="AH59" s="55"/>
      <c r="AI59" s="56"/>
      <c r="AJ59" s="58"/>
      <c r="AK59" s="56"/>
      <c r="AL59" s="56"/>
      <c r="AM59" s="56"/>
      <c r="AN59" s="56"/>
      <c r="AO59" s="54"/>
      <c r="AP59" s="56"/>
      <c r="AQ59" s="55"/>
      <c r="AR59" s="56"/>
      <c r="AS59" s="55"/>
      <c r="AT59" s="56"/>
      <c r="AU59" s="55"/>
      <c r="AV59" s="56"/>
      <c r="AW59" s="164"/>
      <c r="AX59" s="56"/>
      <c r="AY59" s="164"/>
      <c r="AZ59" s="56"/>
      <c r="BA59" s="57"/>
      <c r="BB59" s="56"/>
      <c r="BC59" s="55"/>
      <c r="BD59" s="56"/>
      <c r="BE59" s="56"/>
      <c r="BF59" s="54"/>
      <c r="BG59" s="56"/>
      <c r="BN59" s="192" t="str">
        <f t="shared" si="3"/>
        <v/>
      </c>
      <c r="BO59" s="197" t="str">
        <f t="shared" si="0"/>
        <v/>
      </c>
      <c r="BP59" s="197" t="str">
        <f t="shared" si="1"/>
        <v/>
      </c>
      <c r="BQ59" s="197" t="str">
        <f>IF(C59="","",IF(COUNTIF(BP$6:BP59,BP59)&gt;1,"",BP59))</f>
        <v/>
      </c>
      <c r="BR59" s="197" t="str">
        <f t="shared" si="2"/>
        <v/>
      </c>
    </row>
    <row r="60" spans="1:70" x14ac:dyDescent="0.2">
      <c r="A60" s="54"/>
      <c r="B60" s="54"/>
      <c r="C60" s="189"/>
      <c r="D60" s="55"/>
      <c r="E60" s="56"/>
      <c r="F60" s="55"/>
      <c r="G60" s="56"/>
      <c r="H60" s="55"/>
      <c r="I60" s="56"/>
      <c r="J60" s="55"/>
      <c r="K60" s="56"/>
      <c r="L60" s="175"/>
      <c r="M60" s="55"/>
      <c r="N60" s="56"/>
      <c r="O60" s="55"/>
      <c r="P60" s="56"/>
      <c r="Q60" s="56"/>
      <c r="R60" s="56"/>
      <c r="S60" s="56"/>
      <c r="T60" s="56"/>
      <c r="U60" s="56"/>
      <c r="V60" s="56"/>
      <c r="W60" s="56"/>
      <c r="X60" s="57"/>
      <c r="Y60" s="134"/>
      <c r="Z60" s="55"/>
      <c r="AA60" s="56"/>
      <c r="AB60" s="56"/>
      <c r="AC60" s="56"/>
      <c r="AD60" s="56"/>
      <c r="AE60" s="56"/>
      <c r="AF60" s="55"/>
      <c r="AG60" s="56"/>
      <c r="AH60" s="55"/>
      <c r="AI60" s="56"/>
      <c r="AJ60" s="58"/>
      <c r="AK60" s="56"/>
      <c r="AL60" s="56"/>
      <c r="AM60" s="56"/>
      <c r="AN60" s="56"/>
      <c r="AO60" s="54"/>
      <c r="AP60" s="56"/>
      <c r="AQ60" s="55"/>
      <c r="AR60" s="56"/>
      <c r="AS60" s="55"/>
      <c r="AT60" s="56"/>
      <c r="AU60" s="55"/>
      <c r="AV60" s="56"/>
      <c r="AW60" s="164"/>
      <c r="AX60" s="56"/>
      <c r="AY60" s="164"/>
      <c r="AZ60" s="56"/>
      <c r="BA60" s="57"/>
      <c r="BB60" s="56"/>
      <c r="BC60" s="55"/>
      <c r="BD60" s="56"/>
      <c r="BE60" s="56"/>
      <c r="BF60" s="54"/>
      <c r="BG60" s="56"/>
      <c r="BN60" s="192" t="str">
        <f t="shared" si="3"/>
        <v/>
      </c>
      <c r="BO60" s="197" t="str">
        <f t="shared" si="0"/>
        <v/>
      </c>
      <c r="BP60" s="197" t="str">
        <f t="shared" si="1"/>
        <v/>
      </c>
      <c r="BQ60" s="197" t="str">
        <f>IF(C60="","",IF(COUNTIF(BP$6:BP60,BP60)&gt;1,"",BP60))</f>
        <v/>
      </c>
      <c r="BR60" s="197" t="str">
        <f t="shared" si="2"/>
        <v/>
      </c>
    </row>
    <row r="61" spans="1:70" x14ac:dyDescent="0.2">
      <c r="A61" s="54"/>
      <c r="B61" s="54"/>
      <c r="C61" s="189"/>
      <c r="D61" s="55"/>
      <c r="E61" s="56"/>
      <c r="F61" s="55"/>
      <c r="G61" s="56"/>
      <c r="H61" s="55"/>
      <c r="I61" s="56"/>
      <c r="J61" s="55"/>
      <c r="K61" s="56"/>
      <c r="L61" s="175"/>
      <c r="M61" s="55"/>
      <c r="N61" s="56"/>
      <c r="O61" s="55"/>
      <c r="P61" s="56"/>
      <c r="Q61" s="56"/>
      <c r="R61" s="56"/>
      <c r="S61" s="56"/>
      <c r="T61" s="56"/>
      <c r="U61" s="56"/>
      <c r="V61" s="56"/>
      <c r="W61" s="56"/>
      <c r="X61" s="57"/>
      <c r="Y61" s="134"/>
      <c r="Z61" s="55"/>
      <c r="AA61" s="56"/>
      <c r="AB61" s="56"/>
      <c r="AC61" s="56"/>
      <c r="AD61" s="56"/>
      <c r="AE61" s="56"/>
      <c r="AF61" s="55"/>
      <c r="AG61" s="56"/>
      <c r="AH61" s="55"/>
      <c r="AI61" s="56"/>
      <c r="AJ61" s="58"/>
      <c r="AK61" s="56"/>
      <c r="AL61" s="56"/>
      <c r="AM61" s="56"/>
      <c r="AN61" s="56"/>
      <c r="AO61" s="54"/>
      <c r="AP61" s="56"/>
      <c r="AQ61" s="55"/>
      <c r="AR61" s="56"/>
      <c r="AS61" s="55"/>
      <c r="AT61" s="56"/>
      <c r="AU61" s="55"/>
      <c r="AV61" s="56"/>
      <c r="AW61" s="164"/>
      <c r="AX61" s="56"/>
      <c r="AY61" s="164"/>
      <c r="AZ61" s="56"/>
      <c r="BA61" s="57"/>
      <c r="BB61" s="56"/>
      <c r="BC61" s="55"/>
      <c r="BD61" s="56"/>
      <c r="BE61" s="56"/>
      <c r="BF61" s="54"/>
      <c r="BG61" s="56"/>
      <c r="BN61" s="192" t="str">
        <f t="shared" si="3"/>
        <v/>
      </c>
      <c r="BO61" s="197" t="str">
        <f t="shared" si="0"/>
        <v/>
      </c>
      <c r="BP61" s="197" t="str">
        <f t="shared" si="1"/>
        <v/>
      </c>
      <c r="BQ61" s="197" t="str">
        <f>IF(C61="","",IF(COUNTIF(BP$6:BP61,BP61)&gt;1,"",BP61))</f>
        <v/>
      </c>
      <c r="BR61" s="197" t="str">
        <f t="shared" si="2"/>
        <v/>
      </c>
    </row>
    <row r="62" spans="1:70" x14ac:dyDescent="0.2">
      <c r="A62" s="54"/>
      <c r="B62" s="54"/>
      <c r="C62" s="189"/>
      <c r="D62" s="55"/>
      <c r="E62" s="56"/>
      <c r="F62" s="55"/>
      <c r="G62" s="56"/>
      <c r="H62" s="55"/>
      <c r="I62" s="56"/>
      <c r="J62" s="55"/>
      <c r="K62" s="56"/>
      <c r="L62" s="175"/>
      <c r="M62" s="55"/>
      <c r="N62" s="56"/>
      <c r="O62" s="55"/>
      <c r="P62" s="56"/>
      <c r="Q62" s="56"/>
      <c r="R62" s="56"/>
      <c r="S62" s="56"/>
      <c r="T62" s="56"/>
      <c r="U62" s="56"/>
      <c r="V62" s="56"/>
      <c r="W62" s="56"/>
      <c r="X62" s="57"/>
      <c r="Y62" s="134"/>
      <c r="Z62" s="55"/>
      <c r="AA62" s="56"/>
      <c r="AB62" s="56"/>
      <c r="AC62" s="56"/>
      <c r="AD62" s="56"/>
      <c r="AE62" s="56"/>
      <c r="AF62" s="55"/>
      <c r="AG62" s="56"/>
      <c r="AH62" s="55"/>
      <c r="AI62" s="56"/>
      <c r="AJ62" s="58"/>
      <c r="AK62" s="56"/>
      <c r="AL62" s="56"/>
      <c r="AM62" s="56"/>
      <c r="AN62" s="56"/>
      <c r="AO62" s="54"/>
      <c r="AP62" s="56"/>
      <c r="AQ62" s="55"/>
      <c r="AR62" s="56"/>
      <c r="AS62" s="55"/>
      <c r="AT62" s="56"/>
      <c r="AU62" s="55"/>
      <c r="AV62" s="56"/>
      <c r="AW62" s="164"/>
      <c r="AX62" s="56"/>
      <c r="AY62" s="164"/>
      <c r="AZ62" s="56"/>
      <c r="BA62" s="57"/>
      <c r="BB62" s="56"/>
      <c r="BC62" s="55"/>
      <c r="BD62" s="56"/>
      <c r="BE62" s="56"/>
      <c r="BF62" s="54"/>
      <c r="BG62" s="56"/>
      <c r="BN62" s="192" t="str">
        <f t="shared" si="3"/>
        <v/>
      </c>
      <c r="BO62" s="197" t="str">
        <f t="shared" si="0"/>
        <v/>
      </c>
      <c r="BP62" s="197" t="str">
        <f t="shared" si="1"/>
        <v/>
      </c>
      <c r="BQ62" s="197" t="str">
        <f>IF(C62="","",IF(COUNTIF(BP$6:BP62,BP62)&gt;1,"",BP62))</f>
        <v/>
      </c>
      <c r="BR62" s="197" t="str">
        <f t="shared" si="2"/>
        <v/>
      </c>
    </row>
    <row r="63" spans="1:70" x14ac:dyDescent="0.2">
      <c r="A63" s="54"/>
      <c r="B63" s="54"/>
      <c r="C63" s="189"/>
      <c r="D63" s="55"/>
      <c r="E63" s="56"/>
      <c r="F63" s="55"/>
      <c r="G63" s="56"/>
      <c r="H63" s="55"/>
      <c r="I63" s="56"/>
      <c r="J63" s="55"/>
      <c r="K63" s="56"/>
      <c r="L63" s="175"/>
      <c r="M63" s="55"/>
      <c r="N63" s="56"/>
      <c r="O63" s="55"/>
      <c r="P63" s="56"/>
      <c r="Q63" s="56"/>
      <c r="R63" s="56"/>
      <c r="S63" s="56"/>
      <c r="T63" s="56"/>
      <c r="U63" s="56"/>
      <c r="V63" s="56"/>
      <c r="W63" s="56"/>
      <c r="X63" s="57"/>
      <c r="Y63" s="134"/>
      <c r="Z63" s="55"/>
      <c r="AA63" s="56"/>
      <c r="AB63" s="56"/>
      <c r="AC63" s="56"/>
      <c r="AD63" s="56"/>
      <c r="AE63" s="56"/>
      <c r="AF63" s="55"/>
      <c r="AG63" s="56"/>
      <c r="AH63" s="55"/>
      <c r="AI63" s="56"/>
      <c r="AJ63" s="58"/>
      <c r="AK63" s="56"/>
      <c r="AL63" s="56"/>
      <c r="AM63" s="56"/>
      <c r="AN63" s="56"/>
      <c r="AO63" s="54"/>
      <c r="AP63" s="56"/>
      <c r="AQ63" s="55"/>
      <c r="AR63" s="56"/>
      <c r="AS63" s="55"/>
      <c r="AT63" s="56"/>
      <c r="AU63" s="55"/>
      <c r="AV63" s="56"/>
      <c r="AW63" s="164"/>
      <c r="AX63" s="56"/>
      <c r="AY63" s="164"/>
      <c r="AZ63" s="56"/>
      <c r="BA63" s="57"/>
      <c r="BB63" s="56"/>
      <c r="BC63" s="55"/>
      <c r="BD63" s="56"/>
      <c r="BE63" s="56"/>
      <c r="BF63" s="54"/>
      <c r="BG63" s="56"/>
      <c r="BN63" s="192" t="str">
        <f t="shared" si="3"/>
        <v/>
      </c>
      <c r="BO63" s="197" t="str">
        <f t="shared" si="0"/>
        <v/>
      </c>
      <c r="BP63" s="197" t="str">
        <f t="shared" si="1"/>
        <v/>
      </c>
      <c r="BQ63" s="197" t="str">
        <f>IF(C63="","",IF(COUNTIF(BP$6:BP63,BP63)&gt;1,"",BP63))</f>
        <v/>
      </c>
      <c r="BR63" s="197" t="str">
        <f t="shared" si="2"/>
        <v/>
      </c>
    </row>
    <row r="64" spans="1:70" x14ac:dyDescent="0.2">
      <c r="A64" s="54"/>
      <c r="B64" s="54"/>
      <c r="C64" s="189"/>
      <c r="D64" s="55"/>
      <c r="E64" s="56"/>
      <c r="F64" s="55"/>
      <c r="G64" s="56"/>
      <c r="H64" s="55"/>
      <c r="I64" s="56"/>
      <c r="J64" s="55"/>
      <c r="K64" s="56"/>
      <c r="L64" s="175"/>
      <c r="M64" s="55"/>
      <c r="N64" s="56"/>
      <c r="O64" s="55"/>
      <c r="P64" s="56"/>
      <c r="Q64" s="56"/>
      <c r="R64" s="56"/>
      <c r="S64" s="56"/>
      <c r="T64" s="56"/>
      <c r="U64" s="56"/>
      <c r="V64" s="56"/>
      <c r="W64" s="56"/>
      <c r="X64" s="57"/>
      <c r="Y64" s="134"/>
      <c r="Z64" s="55"/>
      <c r="AA64" s="56"/>
      <c r="AB64" s="56"/>
      <c r="AC64" s="56"/>
      <c r="AD64" s="56"/>
      <c r="AE64" s="56"/>
      <c r="AF64" s="55"/>
      <c r="AG64" s="56"/>
      <c r="AH64" s="55"/>
      <c r="AI64" s="56"/>
      <c r="AJ64" s="58"/>
      <c r="AK64" s="56"/>
      <c r="AL64" s="56"/>
      <c r="AM64" s="56"/>
      <c r="AN64" s="56"/>
      <c r="AO64" s="54"/>
      <c r="AP64" s="56"/>
      <c r="AQ64" s="55"/>
      <c r="AR64" s="56"/>
      <c r="AS64" s="55"/>
      <c r="AT64" s="56"/>
      <c r="AU64" s="55"/>
      <c r="AV64" s="56"/>
      <c r="AW64" s="164"/>
      <c r="AX64" s="56"/>
      <c r="AY64" s="164"/>
      <c r="AZ64" s="56"/>
      <c r="BA64" s="57"/>
      <c r="BB64" s="56"/>
      <c r="BC64" s="55"/>
      <c r="BD64" s="56"/>
      <c r="BE64" s="56"/>
      <c r="BF64" s="54"/>
      <c r="BG64" s="56"/>
      <c r="BN64" s="192" t="str">
        <f t="shared" si="3"/>
        <v/>
      </c>
      <c r="BO64" s="197" t="str">
        <f t="shared" si="0"/>
        <v/>
      </c>
      <c r="BP64" s="197" t="str">
        <f t="shared" si="1"/>
        <v/>
      </c>
      <c r="BQ64" s="197" t="str">
        <f>IF(C64="","",IF(COUNTIF(BP$6:BP64,BP64)&gt;1,"",BP64))</f>
        <v/>
      </c>
      <c r="BR64" s="197" t="str">
        <f t="shared" si="2"/>
        <v/>
      </c>
    </row>
    <row r="65" spans="1:70" x14ac:dyDescent="0.2">
      <c r="A65" s="54"/>
      <c r="B65" s="54"/>
      <c r="C65" s="189"/>
      <c r="D65" s="55"/>
      <c r="E65" s="56"/>
      <c r="F65" s="55"/>
      <c r="G65" s="56"/>
      <c r="H65" s="55"/>
      <c r="I65" s="56"/>
      <c r="J65" s="55"/>
      <c r="K65" s="56"/>
      <c r="L65" s="175"/>
      <c r="M65" s="55"/>
      <c r="N65" s="56"/>
      <c r="O65" s="55"/>
      <c r="P65" s="56"/>
      <c r="Q65" s="56"/>
      <c r="R65" s="56"/>
      <c r="S65" s="56"/>
      <c r="T65" s="56"/>
      <c r="U65" s="56"/>
      <c r="V65" s="56"/>
      <c r="W65" s="56"/>
      <c r="X65" s="57"/>
      <c r="Y65" s="134"/>
      <c r="Z65" s="55"/>
      <c r="AA65" s="56"/>
      <c r="AB65" s="56"/>
      <c r="AC65" s="56"/>
      <c r="AD65" s="56"/>
      <c r="AE65" s="56"/>
      <c r="AF65" s="55"/>
      <c r="AG65" s="56"/>
      <c r="AH65" s="55"/>
      <c r="AI65" s="56"/>
      <c r="AJ65" s="58"/>
      <c r="AK65" s="56"/>
      <c r="AL65" s="56"/>
      <c r="AM65" s="56"/>
      <c r="AN65" s="56"/>
      <c r="AO65" s="54"/>
      <c r="AP65" s="56"/>
      <c r="AQ65" s="55"/>
      <c r="AR65" s="56"/>
      <c r="AS65" s="55"/>
      <c r="AT65" s="56"/>
      <c r="AU65" s="55"/>
      <c r="AV65" s="56"/>
      <c r="AW65" s="164"/>
      <c r="AX65" s="56"/>
      <c r="AY65" s="164"/>
      <c r="AZ65" s="56"/>
      <c r="BA65" s="57"/>
      <c r="BB65" s="56"/>
      <c r="BC65" s="55"/>
      <c r="BD65" s="56"/>
      <c r="BE65" s="56"/>
      <c r="BF65" s="54"/>
      <c r="BG65" s="56"/>
      <c r="BN65" s="192" t="str">
        <f t="shared" si="3"/>
        <v/>
      </c>
      <c r="BO65" s="197" t="str">
        <f t="shared" si="0"/>
        <v/>
      </c>
      <c r="BP65" s="197" t="str">
        <f t="shared" si="1"/>
        <v/>
      </c>
      <c r="BQ65" s="197" t="str">
        <f>IF(C65="","",IF(COUNTIF(BP$6:BP65,BP65)&gt;1,"",BP65))</f>
        <v/>
      </c>
      <c r="BR65" s="197" t="str">
        <f t="shared" si="2"/>
        <v/>
      </c>
    </row>
    <row r="66" spans="1:70" x14ac:dyDescent="0.2">
      <c r="A66" s="54"/>
      <c r="B66" s="54"/>
      <c r="C66" s="189"/>
      <c r="D66" s="55"/>
      <c r="E66" s="56"/>
      <c r="F66" s="55"/>
      <c r="G66" s="56"/>
      <c r="H66" s="55"/>
      <c r="I66" s="56"/>
      <c r="J66" s="55"/>
      <c r="K66" s="56"/>
      <c r="L66" s="175"/>
      <c r="M66" s="55"/>
      <c r="N66" s="56"/>
      <c r="O66" s="55"/>
      <c r="P66" s="56"/>
      <c r="Q66" s="56"/>
      <c r="R66" s="56"/>
      <c r="S66" s="56"/>
      <c r="T66" s="56"/>
      <c r="U66" s="56"/>
      <c r="V66" s="56"/>
      <c r="W66" s="56"/>
      <c r="X66" s="57"/>
      <c r="Y66" s="134"/>
      <c r="Z66" s="55"/>
      <c r="AA66" s="56"/>
      <c r="AB66" s="56"/>
      <c r="AC66" s="56"/>
      <c r="AD66" s="56"/>
      <c r="AE66" s="56"/>
      <c r="AF66" s="55"/>
      <c r="AG66" s="56"/>
      <c r="AH66" s="55"/>
      <c r="AI66" s="56"/>
      <c r="AJ66" s="58"/>
      <c r="AK66" s="56"/>
      <c r="AL66" s="56"/>
      <c r="AM66" s="56"/>
      <c r="AN66" s="56"/>
      <c r="AO66" s="54"/>
      <c r="AP66" s="56"/>
      <c r="AQ66" s="55"/>
      <c r="AR66" s="56"/>
      <c r="AS66" s="55"/>
      <c r="AT66" s="56"/>
      <c r="AU66" s="55"/>
      <c r="AV66" s="56"/>
      <c r="AW66" s="164"/>
      <c r="AX66" s="56"/>
      <c r="AY66" s="164"/>
      <c r="AZ66" s="56"/>
      <c r="BA66" s="57"/>
      <c r="BB66" s="56"/>
      <c r="BC66" s="55"/>
      <c r="BD66" s="56"/>
      <c r="BE66" s="56"/>
      <c r="BF66" s="54"/>
      <c r="BG66" s="56"/>
      <c r="BN66" s="192" t="str">
        <f t="shared" si="3"/>
        <v/>
      </c>
      <c r="BO66" s="197" t="str">
        <f t="shared" si="0"/>
        <v/>
      </c>
      <c r="BP66" s="197" t="str">
        <f t="shared" si="1"/>
        <v/>
      </c>
      <c r="BQ66" s="197" t="str">
        <f>IF(C66="","",IF(COUNTIF(BP$6:BP66,BP66)&gt;1,"",BP66))</f>
        <v/>
      </c>
      <c r="BR66" s="197" t="str">
        <f t="shared" si="2"/>
        <v/>
      </c>
    </row>
    <row r="67" spans="1:70" x14ac:dyDescent="0.2">
      <c r="A67" s="54"/>
      <c r="B67" s="54"/>
      <c r="C67" s="189"/>
      <c r="D67" s="55"/>
      <c r="E67" s="56"/>
      <c r="F67" s="55"/>
      <c r="G67" s="56"/>
      <c r="H67" s="55"/>
      <c r="I67" s="56"/>
      <c r="J67" s="55"/>
      <c r="K67" s="56"/>
      <c r="L67" s="175"/>
      <c r="M67" s="55"/>
      <c r="N67" s="56"/>
      <c r="O67" s="55"/>
      <c r="P67" s="56"/>
      <c r="Q67" s="56"/>
      <c r="R67" s="56"/>
      <c r="S67" s="56"/>
      <c r="T67" s="56"/>
      <c r="U67" s="56"/>
      <c r="V67" s="56"/>
      <c r="W67" s="56"/>
      <c r="X67" s="57"/>
      <c r="Y67" s="134"/>
      <c r="Z67" s="55"/>
      <c r="AA67" s="56"/>
      <c r="AB67" s="56"/>
      <c r="AC67" s="56"/>
      <c r="AD67" s="56"/>
      <c r="AE67" s="56"/>
      <c r="AF67" s="55"/>
      <c r="AG67" s="56"/>
      <c r="AH67" s="55"/>
      <c r="AI67" s="56"/>
      <c r="AJ67" s="58"/>
      <c r="AK67" s="56"/>
      <c r="AL67" s="56"/>
      <c r="AM67" s="56"/>
      <c r="AN67" s="56"/>
      <c r="AO67" s="54"/>
      <c r="AP67" s="56"/>
      <c r="AQ67" s="55"/>
      <c r="AR67" s="56"/>
      <c r="AS67" s="55"/>
      <c r="AT67" s="56"/>
      <c r="AU67" s="55"/>
      <c r="AV67" s="56"/>
      <c r="AW67" s="164"/>
      <c r="AX67" s="56"/>
      <c r="AY67" s="164"/>
      <c r="AZ67" s="56"/>
      <c r="BA67" s="57"/>
      <c r="BB67" s="56"/>
      <c r="BC67" s="55"/>
      <c r="BD67" s="56"/>
      <c r="BE67" s="56"/>
      <c r="BF67" s="54"/>
      <c r="BG67" s="56"/>
      <c r="BN67" s="192" t="str">
        <f t="shared" si="3"/>
        <v/>
      </c>
      <c r="BO67" s="197" t="str">
        <f t="shared" si="0"/>
        <v/>
      </c>
      <c r="BP67" s="197" t="str">
        <f t="shared" si="1"/>
        <v/>
      </c>
      <c r="BQ67" s="197" t="str">
        <f>IF(C67="","",IF(COUNTIF(BP$6:BP67,BP67)&gt;1,"",BP67))</f>
        <v/>
      </c>
      <c r="BR67" s="197" t="str">
        <f t="shared" si="2"/>
        <v/>
      </c>
    </row>
    <row r="68" spans="1:70" x14ac:dyDescent="0.2">
      <c r="A68" s="54"/>
      <c r="B68" s="54"/>
      <c r="C68" s="189"/>
      <c r="D68" s="55"/>
      <c r="E68" s="56"/>
      <c r="F68" s="55"/>
      <c r="G68" s="56"/>
      <c r="H68" s="55"/>
      <c r="I68" s="56"/>
      <c r="J68" s="55"/>
      <c r="K68" s="56"/>
      <c r="L68" s="175"/>
      <c r="M68" s="55"/>
      <c r="N68" s="56"/>
      <c r="O68" s="55"/>
      <c r="P68" s="56"/>
      <c r="Q68" s="56"/>
      <c r="R68" s="56"/>
      <c r="S68" s="56"/>
      <c r="T68" s="56"/>
      <c r="U68" s="56"/>
      <c r="V68" s="56"/>
      <c r="W68" s="56"/>
      <c r="X68" s="57"/>
      <c r="Y68" s="134"/>
      <c r="Z68" s="55"/>
      <c r="AA68" s="56"/>
      <c r="AB68" s="56"/>
      <c r="AC68" s="56"/>
      <c r="AD68" s="56"/>
      <c r="AE68" s="56"/>
      <c r="AF68" s="55"/>
      <c r="AG68" s="56"/>
      <c r="AH68" s="55"/>
      <c r="AI68" s="56"/>
      <c r="AJ68" s="58"/>
      <c r="AK68" s="56"/>
      <c r="AL68" s="56"/>
      <c r="AM68" s="56"/>
      <c r="AN68" s="56"/>
      <c r="AO68" s="54"/>
      <c r="AP68" s="56"/>
      <c r="AQ68" s="55"/>
      <c r="AR68" s="56"/>
      <c r="AS68" s="55"/>
      <c r="AT68" s="56"/>
      <c r="AU68" s="55"/>
      <c r="AV68" s="56"/>
      <c r="AW68" s="164"/>
      <c r="AX68" s="56"/>
      <c r="AY68" s="164"/>
      <c r="AZ68" s="56"/>
      <c r="BA68" s="57"/>
      <c r="BB68" s="56"/>
      <c r="BC68" s="55"/>
      <c r="BD68" s="56"/>
      <c r="BE68" s="56"/>
      <c r="BF68" s="54"/>
      <c r="BG68" s="56"/>
      <c r="BN68" s="192" t="str">
        <f t="shared" si="3"/>
        <v/>
      </c>
      <c r="BO68" s="197" t="str">
        <f t="shared" si="0"/>
        <v/>
      </c>
      <c r="BP68" s="197" t="str">
        <f t="shared" si="1"/>
        <v/>
      </c>
      <c r="BQ68" s="197" t="str">
        <f>IF(C68="","",IF(COUNTIF(BP$6:BP68,BP68)&gt;1,"",BP68))</f>
        <v/>
      </c>
      <c r="BR68" s="197" t="str">
        <f t="shared" si="2"/>
        <v/>
      </c>
    </row>
    <row r="69" spans="1:70" x14ac:dyDescent="0.2">
      <c r="A69" s="54"/>
      <c r="B69" s="54"/>
      <c r="C69" s="189"/>
      <c r="D69" s="55"/>
      <c r="E69" s="56"/>
      <c r="F69" s="55"/>
      <c r="G69" s="56"/>
      <c r="H69" s="55"/>
      <c r="I69" s="56"/>
      <c r="J69" s="55"/>
      <c r="K69" s="56"/>
      <c r="L69" s="175"/>
      <c r="M69" s="55"/>
      <c r="N69" s="56"/>
      <c r="O69" s="55"/>
      <c r="P69" s="56"/>
      <c r="Q69" s="56"/>
      <c r="R69" s="56"/>
      <c r="S69" s="56"/>
      <c r="T69" s="56"/>
      <c r="U69" s="56"/>
      <c r="V69" s="56"/>
      <c r="W69" s="56"/>
      <c r="X69" s="57"/>
      <c r="Y69" s="134"/>
      <c r="Z69" s="55"/>
      <c r="AA69" s="56"/>
      <c r="AB69" s="56"/>
      <c r="AC69" s="56"/>
      <c r="AD69" s="56"/>
      <c r="AE69" s="56"/>
      <c r="AF69" s="55"/>
      <c r="AG69" s="56"/>
      <c r="AH69" s="55"/>
      <c r="AI69" s="56"/>
      <c r="AJ69" s="58"/>
      <c r="AK69" s="56"/>
      <c r="AL69" s="56"/>
      <c r="AM69" s="56"/>
      <c r="AN69" s="56"/>
      <c r="AO69" s="54"/>
      <c r="AP69" s="56"/>
      <c r="AQ69" s="55"/>
      <c r="AR69" s="56"/>
      <c r="AS69" s="55"/>
      <c r="AT69" s="56"/>
      <c r="AU69" s="55"/>
      <c r="AV69" s="56"/>
      <c r="AW69" s="164"/>
      <c r="AX69" s="56"/>
      <c r="AY69" s="164"/>
      <c r="AZ69" s="56"/>
      <c r="BA69" s="57"/>
      <c r="BB69" s="56"/>
      <c r="BC69" s="55"/>
      <c r="BD69" s="56"/>
      <c r="BE69" s="56"/>
      <c r="BF69" s="54"/>
      <c r="BG69" s="56"/>
      <c r="BN69" s="192" t="str">
        <f t="shared" si="3"/>
        <v/>
      </c>
      <c r="BO69" s="197" t="str">
        <f t="shared" si="0"/>
        <v/>
      </c>
      <c r="BP69" s="197" t="str">
        <f t="shared" si="1"/>
        <v/>
      </c>
      <c r="BQ69" s="197" t="str">
        <f>IF(C69="","",IF(COUNTIF(BP$6:BP69,BP69)&gt;1,"",BP69))</f>
        <v/>
      </c>
      <c r="BR69" s="197" t="str">
        <f t="shared" si="2"/>
        <v/>
      </c>
    </row>
    <row r="70" spans="1:70" x14ac:dyDescent="0.2">
      <c r="A70" s="54"/>
      <c r="B70" s="54"/>
      <c r="C70" s="189"/>
      <c r="D70" s="55"/>
      <c r="E70" s="56"/>
      <c r="F70" s="55"/>
      <c r="G70" s="56"/>
      <c r="H70" s="55"/>
      <c r="I70" s="56"/>
      <c r="J70" s="55"/>
      <c r="K70" s="56"/>
      <c r="L70" s="175"/>
      <c r="M70" s="55"/>
      <c r="N70" s="56"/>
      <c r="O70" s="55"/>
      <c r="P70" s="56"/>
      <c r="Q70" s="56"/>
      <c r="R70" s="56"/>
      <c r="S70" s="56"/>
      <c r="T70" s="56"/>
      <c r="U70" s="56"/>
      <c r="V70" s="56"/>
      <c r="W70" s="56"/>
      <c r="X70" s="57"/>
      <c r="Y70" s="134"/>
      <c r="Z70" s="55"/>
      <c r="AA70" s="56"/>
      <c r="AB70" s="56"/>
      <c r="AC70" s="56"/>
      <c r="AD70" s="56"/>
      <c r="AE70" s="56"/>
      <c r="AF70" s="55"/>
      <c r="AG70" s="56"/>
      <c r="AH70" s="55"/>
      <c r="AI70" s="56"/>
      <c r="AJ70" s="58"/>
      <c r="AK70" s="56"/>
      <c r="AL70" s="56"/>
      <c r="AM70" s="56"/>
      <c r="AN70" s="56"/>
      <c r="AO70" s="54"/>
      <c r="AP70" s="56"/>
      <c r="AQ70" s="55"/>
      <c r="AR70" s="56"/>
      <c r="AS70" s="55"/>
      <c r="AT70" s="56"/>
      <c r="AU70" s="55"/>
      <c r="AV70" s="56"/>
      <c r="AW70" s="164"/>
      <c r="AX70" s="56"/>
      <c r="AY70" s="164"/>
      <c r="AZ70" s="56"/>
      <c r="BA70" s="57"/>
      <c r="BB70" s="56"/>
      <c r="BC70" s="55"/>
      <c r="BD70" s="56"/>
      <c r="BE70" s="56"/>
      <c r="BF70" s="54"/>
      <c r="BG70" s="56"/>
      <c r="BN70" s="192" t="str">
        <f t="shared" si="3"/>
        <v/>
      </c>
      <c r="BO70" s="197" t="str">
        <f t="shared" ref="BO70:BO133" si="4">IF(C70="","",Q70+U70)</f>
        <v/>
      </c>
      <c r="BP70" s="197" t="str">
        <f t="shared" si="1"/>
        <v/>
      </c>
      <c r="BQ70" s="197" t="str">
        <f>IF(C70="","",IF(COUNTIF(BP$6:BP70,BP70)&gt;1,"",BP70))</f>
        <v/>
      </c>
      <c r="BR70" s="197" t="str">
        <f t="shared" si="2"/>
        <v/>
      </c>
    </row>
    <row r="71" spans="1:70" x14ac:dyDescent="0.2">
      <c r="A71" s="54"/>
      <c r="B71" s="54"/>
      <c r="C71" s="189"/>
      <c r="D71" s="55"/>
      <c r="E71" s="56"/>
      <c r="F71" s="55"/>
      <c r="G71" s="56"/>
      <c r="H71" s="55"/>
      <c r="I71" s="56"/>
      <c r="J71" s="55"/>
      <c r="K71" s="56"/>
      <c r="L71" s="175"/>
      <c r="M71" s="55"/>
      <c r="N71" s="56"/>
      <c r="O71" s="55"/>
      <c r="P71" s="56"/>
      <c r="Q71" s="56"/>
      <c r="R71" s="56"/>
      <c r="S71" s="56"/>
      <c r="T71" s="56"/>
      <c r="U71" s="56"/>
      <c r="V71" s="56"/>
      <c r="W71" s="56"/>
      <c r="X71" s="57"/>
      <c r="Y71" s="134"/>
      <c r="Z71" s="55"/>
      <c r="AA71" s="56"/>
      <c r="AB71" s="56"/>
      <c r="AC71" s="56"/>
      <c r="AD71" s="56"/>
      <c r="AE71" s="56"/>
      <c r="AF71" s="55"/>
      <c r="AG71" s="56"/>
      <c r="AH71" s="55"/>
      <c r="AI71" s="56"/>
      <c r="AJ71" s="58"/>
      <c r="AK71" s="56"/>
      <c r="AL71" s="56"/>
      <c r="AM71" s="56"/>
      <c r="AN71" s="56"/>
      <c r="AO71" s="54"/>
      <c r="AP71" s="56"/>
      <c r="AQ71" s="55"/>
      <c r="AR71" s="56"/>
      <c r="AS71" s="55"/>
      <c r="AT71" s="56"/>
      <c r="AU71" s="55"/>
      <c r="AV71" s="56"/>
      <c r="AW71" s="164"/>
      <c r="AX71" s="56"/>
      <c r="AY71" s="164"/>
      <c r="AZ71" s="56"/>
      <c r="BA71" s="57"/>
      <c r="BB71" s="56"/>
      <c r="BC71" s="55"/>
      <c r="BD71" s="56"/>
      <c r="BE71" s="56"/>
      <c r="BF71" s="54"/>
      <c r="BG71" s="56"/>
      <c r="BN71" s="192" t="str">
        <f t="shared" ref="BN71:BN134" si="5">IF(C71="","",1)</f>
        <v/>
      </c>
      <c r="BO71" s="197" t="str">
        <f t="shared" si="4"/>
        <v/>
      </c>
      <c r="BP71" s="197" t="str">
        <f t="shared" ref="BP71:BP134" si="6">IF(C71="","",IF(MAX($BO$6:$BO$506)-BO71=0,1,""))</f>
        <v/>
      </c>
      <c r="BQ71" s="197" t="str">
        <f>IF(C71="","",IF(COUNTIF(BP$6:BP71,BP71)&gt;1,"",BP71))</f>
        <v/>
      </c>
      <c r="BR71" s="197" t="str">
        <f t="shared" ref="BR71:BR134" si="7">IF(F71="","",IF(BQ71=1,MAX($BO$6:$BO$506),0))</f>
        <v/>
      </c>
    </row>
    <row r="72" spans="1:70" x14ac:dyDescent="0.2">
      <c r="A72" s="54"/>
      <c r="B72" s="54"/>
      <c r="C72" s="189"/>
      <c r="D72" s="55"/>
      <c r="E72" s="56"/>
      <c r="F72" s="55"/>
      <c r="G72" s="56"/>
      <c r="H72" s="55"/>
      <c r="I72" s="56"/>
      <c r="J72" s="55"/>
      <c r="K72" s="56"/>
      <c r="L72" s="175"/>
      <c r="M72" s="55"/>
      <c r="N72" s="56"/>
      <c r="O72" s="55"/>
      <c r="P72" s="56"/>
      <c r="Q72" s="56"/>
      <c r="R72" s="56"/>
      <c r="S72" s="56"/>
      <c r="T72" s="56"/>
      <c r="U72" s="56"/>
      <c r="V72" s="56"/>
      <c r="W72" s="56"/>
      <c r="X72" s="57"/>
      <c r="Y72" s="134"/>
      <c r="Z72" s="55"/>
      <c r="AA72" s="56"/>
      <c r="AB72" s="56"/>
      <c r="AC72" s="56"/>
      <c r="AD72" s="56"/>
      <c r="AE72" s="56"/>
      <c r="AF72" s="55"/>
      <c r="AG72" s="56"/>
      <c r="AH72" s="55"/>
      <c r="AI72" s="56"/>
      <c r="AJ72" s="58"/>
      <c r="AK72" s="56"/>
      <c r="AL72" s="56"/>
      <c r="AM72" s="56"/>
      <c r="AN72" s="56"/>
      <c r="AO72" s="54"/>
      <c r="AP72" s="56"/>
      <c r="AQ72" s="55"/>
      <c r="AR72" s="56"/>
      <c r="AS72" s="55"/>
      <c r="AT72" s="56"/>
      <c r="AU72" s="55"/>
      <c r="AV72" s="56"/>
      <c r="AW72" s="164"/>
      <c r="AX72" s="56"/>
      <c r="AY72" s="164"/>
      <c r="AZ72" s="56"/>
      <c r="BA72" s="57"/>
      <c r="BB72" s="56"/>
      <c r="BC72" s="55"/>
      <c r="BD72" s="56"/>
      <c r="BE72" s="56"/>
      <c r="BF72" s="54"/>
      <c r="BG72" s="56"/>
      <c r="BN72" s="192" t="str">
        <f t="shared" si="5"/>
        <v/>
      </c>
      <c r="BO72" s="197" t="str">
        <f t="shared" si="4"/>
        <v/>
      </c>
      <c r="BP72" s="197" t="str">
        <f t="shared" si="6"/>
        <v/>
      </c>
      <c r="BQ72" s="197" t="str">
        <f>IF(C72="","",IF(COUNTIF(BP$6:BP72,BP72)&gt;1,"",BP72))</f>
        <v/>
      </c>
      <c r="BR72" s="197" t="str">
        <f t="shared" si="7"/>
        <v/>
      </c>
    </row>
    <row r="73" spans="1:70" x14ac:dyDescent="0.2">
      <c r="A73" s="54"/>
      <c r="B73" s="54"/>
      <c r="C73" s="189"/>
      <c r="D73" s="55"/>
      <c r="E73" s="56"/>
      <c r="F73" s="55"/>
      <c r="G73" s="56"/>
      <c r="H73" s="55"/>
      <c r="I73" s="56"/>
      <c r="J73" s="55"/>
      <c r="K73" s="56"/>
      <c r="L73" s="175"/>
      <c r="M73" s="55"/>
      <c r="N73" s="56"/>
      <c r="O73" s="55"/>
      <c r="P73" s="56"/>
      <c r="Q73" s="56"/>
      <c r="R73" s="56"/>
      <c r="S73" s="56"/>
      <c r="T73" s="56"/>
      <c r="U73" s="56"/>
      <c r="V73" s="56"/>
      <c r="W73" s="56"/>
      <c r="X73" s="57"/>
      <c r="Y73" s="134"/>
      <c r="Z73" s="55"/>
      <c r="AA73" s="56"/>
      <c r="AB73" s="56"/>
      <c r="AC73" s="56"/>
      <c r="AD73" s="56"/>
      <c r="AE73" s="56"/>
      <c r="AF73" s="55"/>
      <c r="AG73" s="56"/>
      <c r="AH73" s="55"/>
      <c r="AI73" s="56"/>
      <c r="AJ73" s="58"/>
      <c r="AK73" s="56"/>
      <c r="AL73" s="56"/>
      <c r="AM73" s="56"/>
      <c r="AN73" s="56"/>
      <c r="AO73" s="54"/>
      <c r="AP73" s="56"/>
      <c r="AQ73" s="55"/>
      <c r="AR73" s="56"/>
      <c r="AS73" s="55"/>
      <c r="AT73" s="56"/>
      <c r="AU73" s="55"/>
      <c r="AV73" s="56"/>
      <c r="AW73" s="164"/>
      <c r="AX73" s="56"/>
      <c r="AY73" s="164"/>
      <c r="AZ73" s="56"/>
      <c r="BA73" s="57"/>
      <c r="BB73" s="56"/>
      <c r="BC73" s="55"/>
      <c r="BD73" s="56"/>
      <c r="BE73" s="56"/>
      <c r="BF73" s="54"/>
      <c r="BG73" s="56"/>
      <c r="BN73" s="192" t="str">
        <f t="shared" si="5"/>
        <v/>
      </c>
      <c r="BO73" s="197" t="str">
        <f t="shared" si="4"/>
        <v/>
      </c>
      <c r="BP73" s="197" t="str">
        <f t="shared" si="6"/>
        <v/>
      </c>
      <c r="BQ73" s="197" t="str">
        <f>IF(C73="","",IF(COUNTIF(BP$6:BP73,BP73)&gt;1,"",BP73))</f>
        <v/>
      </c>
      <c r="BR73" s="197" t="str">
        <f t="shared" si="7"/>
        <v/>
      </c>
    </row>
    <row r="74" spans="1:70" x14ac:dyDescent="0.2">
      <c r="A74" s="54"/>
      <c r="B74" s="54"/>
      <c r="C74" s="189"/>
      <c r="D74" s="55"/>
      <c r="E74" s="56"/>
      <c r="F74" s="55"/>
      <c r="G74" s="56"/>
      <c r="H74" s="55"/>
      <c r="I74" s="56"/>
      <c r="J74" s="55"/>
      <c r="K74" s="56"/>
      <c r="L74" s="175"/>
      <c r="M74" s="55"/>
      <c r="N74" s="56"/>
      <c r="O74" s="55"/>
      <c r="P74" s="56"/>
      <c r="Q74" s="56"/>
      <c r="R74" s="56"/>
      <c r="S74" s="56"/>
      <c r="T74" s="56"/>
      <c r="U74" s="56"/>
      <c r="V74" s="56"/>
      <c r="W74" s="56"/>
      <c r="X74" s="57"/>
      <c r="Y74" s="134"/>
      <c r="Z74" s="55"/>
      <c r="AA74" s="56"/>
      <c r="AB74" s="56"/>
      <c r="AC74" s="56"/>
      <c r="AD74" s="56"/>
      <c r="AE74" s="56"/>
      <c r="AF74" s="55"/>
      <c r="AG74" s="56"/>
      <c r="AH74" s="55"/>
      <c r="AI74" s="56"/>
      <c r="AJ74" s="58"/>
      <c r="AK74" s="56"/>
      <c r="AL74" s="56"/>
      <c r="AM74" s="56"/>
      <c r="AN74" s="56"/>
      <c r="AO74" s="54"/>
      <c r="AP74" s="56"/>
      <c r="AQ74" s="55"/>
      <c r="AR74" s="56"/>
      <c r="AS74" s="55"/>
      <c r="AT74" s="56"/>
      <c r="AU74" s="55"/>
      <c r="AV74" s="56"/>
      <c r="AW74" s="164"/>
      <c r="AX74" s="56"/>
      <c r="AY74" s="164"/>
      <c r="AZ74" s="56"/>
      <c r="BA74" s="57"/>
      <c r="BB74" s="56"/>
      <c r="BC74" s="55"/>
      <c r="BD74" s="56"/>
      <c r="BE74" s="56"/>
      <c r="BF74" s="54"/>
      <c r="BG74" s="56"/>
      <c r="BN74" s="192" t="str">
        <f t="shared" si="5"/>
        <v/>
      </c>
      <c r="BO74" s="197" t="str">
        <f t="shared" si="4"/>
        <v/>
      </c>
      <c r="BP74" s="197" t="str">
        <f t="shared" si="6"/>
        <v/>
      </c>
      <c r="BQ74" s="197" t="str">
        <f>IF(C74="","",IF(COUNTIF(BP$6:BP74,BP74)&gt;1,"",BP74))</f>
        <v/>
      </c>
      <c r="BR74" s="197" t="str">
        <f t="shared" si="7"/>
        <v/>
      </c>
    </row>
    <row r="75" spans="1:70" x14ac:dyDescent="0.2">
      <c r="A75" s="54"/>
      <c r="B75" s="54"/>
      <c r="C75" s="189"/>
      <c r="D75" s="55"/>
      <c r="E75" s="56"/>
      <c r="F75" s="55"/>
      <c r="G75" s="56"/>
      <c r="H75" s="55"/>
      <c r="I75" s="56"/>
      <c r="J75" s="55"/>
      <c r="K75" s="56"/>
      <c r="L75" s="175"/>
      <c r="M75" s="55"/>
      <c r="N75" s="56"/>
      <c r="O75" s="55"/>
      <c r="P75" s="56"/>
      <c r="Q75" s="56"/>
      <c r="R75" s="56"/>
      <c r="S75" s="56"/>
      <c r="T75" s="56"/>
      <c r="U75" s="56"/>
      <c r="V75" s="56"/>
      <c r="W75" s="56"/>
      <c r="X75" s="57"/>
      <c r="Y75" s="134"/>
      <c r="Z75" s="55"/>
      <c r="AA75" s="56"/>
      <c r="AB75" s="56"/>
      <c r="AC75" s="56"/>
      <c r="AD75" s="56"/>
      <c r="AE75" s="56"/>
      <c r="AF75" s="55"/>
      <c r="AG75" s="56"/>
      <c r="AH75" s="55"/>
      <c r="AI75" s="56"/>
      <c r="AJ75" s="58"/>
      <c r="AK75" s="56"/>
      <c r="AL75" s="56"/>
      <c r="AM75" s="56"/>
      <c r="AN75" s="56"/>
      <c r="AO75" s="54"/>
      <c r="AP75" s="56"/>
      <c r="AQ75" s="55"/>
      <c r="AR75" s="56"/>
      <c r="AS75" s="55"/>
      <c r="AT75" s="56"/>
      <c r="AU75" s="55"/>
      <c r="AV75" s="56"/>
      <c r="AW75" s="164"/>
      <c r="AX75" s="56"/>
      <c r="AY75" s="164"/>
      <c r="AZ75" s="56"/>
      <c r="BA75" s="57"/>
      <c r="BB75" s="56"/>
      <c r="BC75" s="55"/>
      <c r="BD75" s="56"/>
      <c r="BE75" s="56"/>
      <c r="BF75" s="54"/>
      <c r="BG75" s="56"/>
      <c r="BN75" s="192" t="str">
        <f t="shared" si="5"/>
        <v/>
      </c>
      <c r="BO75" s="197" t="str">
        <f t="shared" si="4"/>
        <v/>
      </c>
      <c r="BP75" s="197" t="str">
        <f t="shared" si="6"/>
        <v/>
      </c>
      <c r="BQ75" s="197" t="str">
        <f>IF(C75="","",IF(COUNTIF(BP$6:BP75,BP75)&gt;1,"",BP75))</f>
        <v/>
      </c>
      <c r="BR75" s="197" t="str">
        <f t="shared" si="7"/>
        <v/>
      </c>
    </row>
    <row r="76" spans="1:70" x14ac:dyDescent="0.2">
      <c r="A76" s="54"/>
      <c r="B76" s="54"/>
      <c r="C76" s="189"/>
      <c r="D76" s="55"/>
      <c r="E76" s="56"/>
      <c r="F76" s="55"/>
      <c r="G76" s="56"/>
      <c r="H76" s="55"/>
      <c r="I76" s="56"/>
      <c r="J76" s="55"/>
      <c r="K76" s="56"/>
      <c r="L76" s="175"/>
      <c r="M76" s="55"/>
      <c r="N76" s="56"/>
      <c r="O76" s="55"/>
      <c r="P76" s="56"/>
      <c r="Q76" s="56"/>
      <c r="R76" s="56"/>
      <c r="S76" s="56"/>
      <c r="T76" s="56"/>
      <c r="U76" s="56"/>
      <c r="V76" s="56"/>
      <c r="W76" s="56"/>
      <c r="X76" s="57"/>
      <c r="Y76" s="134"/>
      <c r="Z76" s="55"/>
      <c r="AA76" s="56"/>
      <c r="AB76" s="56"/>
      <c r="AC76" s="56"/>
      <c r="AD76" s="56"/>
      <c r="AE76" s="56"/>
      <c r="AF76" s="55"/>
      <c r="AG76" s="56"/>
      <c r="AH76" s="55"/>
      <c r="AI76" s="56"/>
      <c r="AJ76" s="58"/>
      <c r="AK76" s="56"/>
      <c r="AL76" s="56"/>
      <c r="AM76" s="56"/>
      <c r="AN76" s="56"/>
      <c r="AO76" s="54"/>
      <c r="AP76" s="56"/>
      <c r="AQ76" s="55"/>
      <c r="AR76" s="56"/>
      <c r="AS76" s="55"/>
      <c r="AT76" s="56"/>
      <c r="AU76" s="55"/>
      <c r="AV76" s="56"/>
      <c r="AW76" s="164"/>
      <c r="AX76" s="56"/>
      <c r="AY76" s="164"/>
      <c r="AZ76" s="56"/>
      <c r="BA76" s="57"/>
      <c r="BB76" s="56"/>
      <c r="BC76" s="55"/>
      <c r="BD76" s="56"/>
      <c r="BE76" s="56"/>
      <c r="BF76" s="54"/>
      <c r="BG76" s="56"/>
      <c r="BN76" s="192" t="str">
        <f t="shared" si="5"/>
        <v/>
      </c>
      <c r="BO76" s="197" t="str">
        <f t="shared" si="4"/>
        <v/>
      </c>
      <c r="BP76" s="197" t="str">
        <f t="shared" si="6"/>
        <v/>
      </c>
      <c r="BQ76" s="197" t="str">
        <f>IF(C76="","",IF(COUNTIF(BP$6:BP76,BP76)&gt;1,"",BP76))</f>
        <v/>
      </c>
      <c r="BR76" s="197" t="str">
        <f t="shared" si="7"/>
        <v/>
      </c>
    </row>
    <row r="77" spans="1:70" x14ac:dyDescent="0.2">
      <c r="A77" s="54"/>
      <c r="B77" s="54"/>
      <c r="C77" s="189"/>
      <c r="D77" s="55"/>
      <c r="E77" s="56"/>
      <c r="F77" s="55"/>
      <c r="G77" s="56"/>
      <c r="H77" s="55"/>
      <c r="I77" s="56"/>
      <c r="J77" s="55"/>
      <c r="K77" s="56"/>
      <c r="L77" s="175"/>
      <c r="M77" s="55"/>
      <c r="N77" s="56"/>
      <c r="O77" s="55"/>
      <c r="P77" s="56"/>
      <c r="Q77" s="56"/>
      <c r="R77" s="56"/>
      <c r="S77" s="56"/>
      <c r="T77" s="56"/>
      <c r="U77" s="56"/>
      <c r="V77" s="56"/>
      <c r="W77" s="56"/>
      <c r="X77" s="57"/>
      <c r="Y77" s="134"/>
      <c r="Z77" s="55"/>
      <c r="AA77" s="56"/>
      <c r="AB77" s="56"/>
      <c r="AC77" s="56"/>
      <c r="AD77" s="56"/>
      <c r="AE77" s="56"/>
      <c r="AF77" s="55"/>
      <c r="AG77" s="56"/>
      <c r="AH77" s="55"/>
      <c r="AI77" s="56"/>
      <c r="AJ77" s="58"/>
      <c r="AK77" s="56"/>
      <c r="AL77" s="56"/>
      <c r="AM77" s="56"/>
      <c r="AN77" s="56"/>
      <c r="AO77" s="54"/>
      <c r="AP77" s="56"/>
      <c r="AQ77" s="55"/>
      <c r="AR77" s="56"/>
      <c r="AS77" s="55"/>
      <c r="AT77" s="56"/>
      <c r="AU77" s="55"/>
      <c r="AV77" s="56"/>
      <c r="AW77" s="164"/>
      <c r="AX77" s="56"/>
      <c r="AY77" s="164"/>
      <c r="AZ77" s="56"/>
      <c r="BA77" s="57"/>
      <c r="BB77" s="56"/>
      <c r="BC77" s="55"/>
      <c r="BD77" s="56"/>
      <c r="BE77" s="56"/>
      <c r="BF77" s="54"/>
      <c r="BG77" s="56"/>
      <c r="BN77" s="192" t="str">
        <f t="shared" si="5"/>
        <v/>
      </c>
      <c r="BO77" s="197" t="str">
        <f t="shared" si="4"/>
        <v/>
      </c>
      <c r="BP77" s="197" t="str">
        <f t="shared" si="6"/>
        <v/>
      </c>
      <c r="BQ77" s="197" t="str">
        <f>IF(C77="","",IF(COUNTIF(BP$6:BP77,BP77)&gt;1,"",BP77))</f>
        <v/>
      </c>
      <c r="BR77" s="197" t="str">
        <f t="shared" si="7"/>
        <v/>
      </c>
    </row>
    <row r="78" spans="1:70" x14ac:dyDescent="0.2">
      <c r="A78" s="54"/>
      <c r="B78" s="54"/>
      <c r="C78" s="189"/>
      <c r="D78" s="55"/>
      <c r="E78" s="56"/>
      <c r="F78" s="55"/>
      <c r="G78" s="56"/>
      <c r="H78" s="55"/>
      <c r="I78" s="56"/>
      <c r="J78" s="55"/>
      <c r="K78" s="56"/>
      <c r="L78" s="175"/>
      <c r="M78" s="55"/>
      <c r="N78" s="56"/>
      <c r="O78" s="55"/>
      <c r="P78" s="56"/>
      <c r="Q78" s="56"/>
      <c r="R78" s="56"/>
      <c r="S78" s="56"/>
      <c r="T78" s="56"/>
      <c r="U78" s="56"/>
      <c r="V78" s="56"/>
      <c r="W78" s="56"/>
      <c r="X78" s="57"/>
      <c r="Y78" s="134"/>
      <c r="Z78" s="55"/>
      <c r="AA78" s="56"/>
      <c r="AB78" s="56"/>
      <c r="AC78" s="56"/>
      <c r="AD78" s="56"/>
      <c r="AE78" s="56"/>
      <c r="AF78" s="55"/>
      <c r="AG78" s="56"/>
      <c r="AH78" s="55"/>
      <c r="AI78" s="56"/>
      <c r="AJ78" s="58"/>
      <c r="AK78" s="56"/>
      <c r="AL78" s="56"/>
      <c r="AM78" s="56"/>
      <c r="AN78" s="56"/>
      <c r="AO78" s="54"/>
      <c r="AP78" s="56"/>
      <c r="AQ78" s="55"/>
      <c r="AR78" s="56"/>
      <c r="AS78" s="55"/>
      <c r="AT78" s="56"/>
      <c r="AU78" s="55"/>
      <c r="AV78" s="56"/>
      <c r="AW78" s="164"/>
      <c r="AX78" s="56"/>
      <c r="AY78" s="164"/>
      <c r="AZ78" s="56"/>
      <c r="BA78" s="57"/>
      <c r="BB78" s="56"/>
      <c r="BC78" s="55"/>
      <c r="BD78" s="56"/>
      <c r="BE78" s="56"/>
      <c r="BF78" s="54"/>
      <c r="BG78" s="56"/>
      <c r="BN78" s="192" t="str">
        <f t="shared" si="5"/>
        <v/>
      </c>
      <c r="BO78" s="197" t="str">
        <f t="shared" si="4"/>
        <v/>
      </c>
      <c r="BP78" s="197" t="str">
        <f t="shared" si="6"/>
        <v/>
      </c>
      <c r="BQ78" s="197" t="str">
        <f>IF(C78="","",IF(COUNTIF(BP$6:BP78,BP78)&gt;1,"",BP78))</f>
        <v/>
      </c>
      <c r="BR78" s="197" t="str">
        <f t="shared" si="7"/>
        <v/>
      </c>
    </row>
    <row r="79" spans="1:70" x14ac:dyDescent="0.2">
      <c r="A79" s="54"/>
      <c r="B79" s="54"/>
      <c r="C79" s="189"/>
      <c r="D79" s="55"/>
      <c r="E79" s="56"/>
      <c r="F79" s="55"/>
      <c r="G79" s="56"/>
      <c r="H79" s="55"/>
      <c r="I79" s="56"/>
      <c r="J79" s="55"/>
      <c r="K79" s="56"/>
      <c r="L79" s="175"/>
      <c r="M79" s="55"/>
      <c r="N79" s="56"/>
      <c r="O79" s="55"/>
      <c r="P79" s="56"/>
      <c r="Q79" s="56"/>
      <c r="R79" s="56"/>
      <c r="S79" s="56"/>
      <c r="T79" s="56"/>
      <c r="U79" s="56"/>
      <c r="V79" s="56"/>
      <c r="W79" s="56"/>
      <c r="X79" s="57"/>
      <c r="Y79" s="134"/>
      <c r="Z79" s="55"/>
      <c r="AA79" s="56"/>
      <c r="AB79" s="56"/>
      <c r="AC79" s="56"/>
      <c r="AD79" s="56"/>
      <c r="AE79" s="56"/>
      <c r="AF79" s="55"/>
      <c r="AG79" s="56"/>
      <c r="AH79" s="55"/>
      <c r="AI79" s="56"/>
      <c r="AJ79" s="58"/>
      <c r="AK79" s="56"/>
      <c r="AL79" s="56"/>
      <c r="AM79" s="56"/>
      <c r="AN79" s="56"/>
      <c r="AO79" s="54"/>
      <c r="AP79" s="56"/>
      <c r="AQ79" s="55"/>
      <c r="AR79" s="56"/>
      <c r="AS79" s="55"/>
      <c r="AT79" s="56"/>
      <c r="AU79" s="55"/>
      <c r="AV79" s="56"/>
      <c r="AW79" s="164"/>
      <c r="AX79" s="56"/>
      <c r="AY79" s="164"/>
      <c r="AZ79" s="56"/>
      <c r="BA79" s="57"/>
      <c r="BB79" s="56"/>
      <c r="BC79" s="55"/>
      <c r="BD79" s="56"/>
      <c r="BE79" s="56"/>
      <c r="BF79" s="54"/>
      <c r="BG79" s="56"/>
      <c r="BN79" s="192" t="str">
        <f t="shared" si="5"/>
        <v/>
      </c>
      <c r="BO79" s="197" t="str">
        <f t="shared" si="4"/>
        <v/>
      </c>
      <c r="BP79" s="197" t="str">
        <f t="shared" si="6"/>
        <v/>
      </c>
      <c r="BQ79" s="197" t="str">
        <f>IF(C79="","",IF(COUNTIF(BP$6:BP79,BP79)&gt;1,"",BP79))</f>
        <v/>
      </c>
      <c r="BR79" s="197" t="str">
        <f t="shared" si="7"/>
        <v/>
      </c>
    </row>
    <row r="80" spans="1:70" x14ac:dyDescent="0.2">
      <c r="A80" s="54"/>
      <c r="B80" s="54"/>
      <c r="C80" s="189"/>
      <c r="D80" s="55"/>
      <c r="E80" s="56"/>
      <c r="F80" s="55"/>
      <c r="G80" s="56"/>
      <c r="H80" s="55"/>
      <c r="I80" s="56"/>
      <c r="J80" s="55"/>
      <c r="K80" s="56"/>
      <c r="L80" s="175"/>
      <c r="M80" s="55"/>
      <c r="N80" s="56"/>
      <c r="O80" s="55"/>
      <c r="P80" s="56"/>
      <c r="Q80" s="56"/>
      <c r="R80" s="56"/>
      <c r="S80" s="56"/>
      <c r="T80" s="56"/>
      <c r="U80" s="56"/>
      <c r="V80" s="56"/>
      <c r="W80" s="56"/>
      <c r="X80" s="57"/>
      <c r="Y80" s="134"/>
      <c r="Z80" s="55"/>
      <c r="AA80" s="56"/>
      <c r="AB80" s="56"/>
      <c r="AC80" s="56"/>
      <c r="AD80" s="56"/>
      <c r="AE80" s="56"/>
      <c r="AF80" s="55"/>
      <c r="AG80" s="56"/>
      <c r="AH80" s="55"/>
      <c r="AI80" s="56"/>
      <c r="AJ80" s="58"/>
      <c r="AK80" s="56"/>
      <c r="AL80" s="56"/>
      <c r="AM80" s="56"/>
      <c r="AN80" s="56"/>
      <c r="AO80" s="54"/>
      <c r="AP80" s="56"/>
      <c r="AQ80" s="55"/>
      <c r="AR80" s="56"/>
      <c r="AS80" s="55"/>
      <c r="AT80" s="56"/>
      <c r="AU80" s="55"/>
      <c r="AV80" s="56"/>
      <c r="AW80" s="164"/>
      <c r="AX80" s="56"/>
      <c r="AY80" s="164"/>
      <c r="AZ80" s="56"/>
      <c r="BA80" s="57"/>
      <c r="BB80" s="56"/>
      <c r="BC80" s="55"/>
      <c r="BD80" s="56"/>
      <c r="BE80" s="56"/>
      <c r="BF80" s="54"/>
      <c r="BG80" s="56"/>
      <c r="BN80" s="192" t="str">
        <f t="shared" si="5"/>
        <v/>
      </c>
      <c r="BO80" s="197" t="str">
        <f t="shared" si="4"/>
        <v/>
      </c>
      <c r="BP80" s="197" t="str">
        <f t="shared" si="6"/>
        <v/>
      </c>
      <c r="BQ80" s="197" t="str">
        <f>IF(C80="","",IF(COUNTIF(BP$6:BP80,BP80)&gt;1,"",BP80))</f>
        <v/>
      </c>
      <c r="BR80" s="197" t="str">
        <f t="shared" si="7"/>
        <v/>
      </c>
    </row>
    <row r="81" spans="1:70" x14ac:dyDescent="0.2">
      <c r="A81" s="54"/>
      <c r="B81" s="54"/>
      <c r="C81" s="189"/>
      <c r="D81" s="55"/>
      <c r="E81" s="56"/>
      <c r="F81" s="55"/>
      <c r="G81" s="56"/>
      <c r="H81" s="55"/>
      <c r="I81" s="56"/>
      <c r="J81" s="55"/>
      <c r="K81" s="56"/>
      <c r="L81" s="175"/>
      <c r="M81" s="55"/>
      <c r="N81" s="56"/>
      <c r="O81" s="55"/>
      <c r="P81" s="56"/>
      <c r="Q81" s="56"/>
      <c r="R81" s="56"/>
      <c r="S81" s="56"/>
      <c r="T81" s="56"/>
      <c r="U81" s="56"/>
      <c r="V81" s="56"/>
      <c r="W81" s="56"/>
      <c r="X81" s="57"/>
      <c r="Y81" s="134"/>
      <c r="Z81" s="55"/>
      <c r="AA81" s="56"/>
      <c r="AB81" s="56"/>
      <c r="AC81" s="56"/>
      <c r="AD81" s="56"/>
      <c r="AE81" s="56"/>
      <c r="AF81" s="55"/>
      <c r="AG81" s="56"/>
      <c r="AH81" s="55"/>
      <c r="AI81" s="56"/>
      <c r="AJ81" s="58"/>
      <c r="AK81" s="56"/>
      <c r="AL81" s="56"/>
      <c r="AM81" s="56"/>
      <c r="AN81" s="56"/>
      <c r="AO81" s="54"/>
      <c r="AP81" s="56"/>
      <c r="AQ81" s="55"/>
      <c r="AR81" s="56"/>
      <c r="AS81" s="55"/>
      <c r="AT81" s="56"/>
      <c r="AU81" s="55"/>
      <c r="AV81" s="56"/>
      <c r="AW81" s="164"/>
      <c r="AX81" s="56"/>
      <c r="AY81" s="164"/>
      <c r="AZ81" s="56"/>
      <c r="BA81" s="57"/>
      <c r="BB81" s="56"/>
      <c r="BC81" s="55"/>
      <c r="BD81" s="56"/>
      <c r="BE81" s="56"/>
      <c r="BF81" s="54"/>
      <c r="BG81" s="56"/>
      <c r="BN81" s="192" t="str">
        <f t="shared" si="5"/>
        <v/>
      </c>
      <c r="BO81" s="197" t="str">
        <f t="shared" si="4"/>
        <v/>
      </c>
      <c r="BP81" s="197" t="str">
        <f t="shared" si="6"/>
        <v/>
      </c>
      <c r="BQ81" s="197" t="str">
        <f>IF(C81="","",IF(COUNTIF(BP$6:BP81,BP81)&gt;1,"",BP81))</f>
        <v/>
      </c>
      <c r="BR81" s="197" t="str">
        <f t="shared" si="7"/>
        <v/>
      </c>
    </row>
    <row r="82" spans="1:70" x14ac:dyDescent="0.2">
      <c r="A82" s="54"/>
      <c r="B82" s="54"/>
      <c r="C82" s="189"/>
      <c r="D82" s="55"/>
      <c r="E82" s="56"/>
      <c r="F82" s="55"/>
      <c r="G82" s="56"/>
      <c r="H82" s="55"/>
      <c r="I82" s="56"/>
      <c r="J82" s="55"/>
      <c r="K82" s="56"/>
      <c r="L82" s="175"/>
      <c r="M82" s="55"/>
      <c r="N82" s="56"/>
      <c r="O82" s="55"/>
      <c r="P82" s="56"/>
      <c r="Q82" s="56"/>
      <c r="R82" s="56"/>
      <c r="S82" s="56"/>
      <c r="T82" s="56"/>
      <c r="U82" s="56"/>
      <c r="V82" s="56"/>
      <c r="W82" s="56"/>
      <c r="X82" s="57"/>
      <c r="Y82" s="134"/>
      <c r="Z82" s="55"/>
      <c r="AA82" s="56"/>
      <c r="AB82" s="56"/>
      <c r="AC82" s="56"/>
      <c r="AD82" s="56"/>
      <c r="AE82" s="56"/>
      <c r="AF82" s="55"/>
      <c r="AG82" s="56"/>
      <c r="AH82" s="55"/>
      <c r="AI82" s="56"/>
      <c r="AJ82" s="58"/>
      <c r="AK82" s="56"/>
      <c r="AL82" s="56"/>
      <c r="AM82" s="56"/>
      <c r="AN82" s="56"/>
      <c r="AO82" s="54"/>
      <c r="AP82" s="56"/>
      <c r="AQ82" s="55"/>
      <c r="AR82" s="56"/>
      <c r="AS82" s="55"/>
      <c r="AT82" s="56"/>
      <c r="AU82" s="55"/>
      <c r="AV82" s="56"/>
      <c r="AW82" s="164"/>
      <c r="AX82" s="56"/>
      <c r="AY82" s="164"/>
      <c r="AZ82" s="56"/>
      <c r="BA82" s="57"/>
      <c r="BB82" s="56"/>
      <c r="BC82" s="55"/>
      <c r="BD82" s="56"/>
      <c r="BE82" s="56"/>
      <c r="BF82" s="54"/>
      <c r="BG82" s="56"/>
      <c r="BN82" s="192" t="str">
        <f t="shared" si="5"/>
        <v/>
      </c>
      <c r="BO82" s="197" t="str">
        <f t="shared" si="4"/>
        <v/>
      </c>
      <c r="BP82" s="197" t="str">
        <f t="shared" si="6"/>
        <v/>
      </c>
      <c r="BQ82" s="197" t="str">
        <f>IF(C82="","",IF(COUNTIF(BP$6:BP82,BP82)&gt;1,"",BP82))</f>
        <v/>
      </c>
      <c r="BR82" s="197" t="str">
        <f t="shared" si="7"/>
        <v/>
      </c>
    </row>
    <row r="83" spans="1:70" x14ac:dyDescent="0.2">
      <c r="A83" s="54"/>
      <c r="B83" s="54"/>
      <c r="C83" s="189"/>
      <c r="D83" s="55"/>
      <c r="E83" s="56"/>
      <c r="F83" s="55"/>
      <c r="G83" s="56"/>
      <c r="H83" s="55"/>
      <c r="I83" s="56"/>
      <c r="J83" s="55"/>
      <c r="K83" s="56"/>
      <c r="L83" s="175"/>
      <c r="M83" s="55"/>
      <c r="N83" s="56"/>
      <c r="O83" s="55"/>
      <c r="P83" s="56"/>
      <c r="Q83" s="56"/>
      <c r="R83" s="56"/>
      <c r="S83" s="56"/>
      <c r="T83" s="56"/>
      <c r="U83" s="56"/>
      <c r="V83" s="56"/>
      <c r="W83" s="56"/>
      <c r="X83" s="57"/>
      <c r="Y83" s="134"/>
      <c r="Z83" s="55"/>
      <c r="AA83" s="56"/>
      <c r="AB83" s="56"/>
      <c r="AC83" s="56"/>
      <c r="AD83" s="56"/>
      <c r="AE83" s="56"/>
      <c r="AF83" s="55"/>
      <c r="AG83" s="56"/>
      <c r="AH83" s="55"/>
      <c r="AI83" s="56"/>
      <c r="AJ83" s="58"/>
      <c r="AK83" s="56"/>
      <c r="AL83" s="56"/>
      <c r="AM83" s="56"/>
      <c r="AN83" s="56"/>
      <c r="AO83" s="54"/>
      <c r="AP83" s="56"/>
      <c r="AQ83" s="55"/>
      <c r="AR83" s="56"/>
      <c r="AS83" s="55"/>
      <c r="AT83" s="56"/>
      <c r="AU83" s="55"/>
      <c r="AV83" s="56"/>
      <c r="AW83" s="164"/>
      <c r="AX83" s="56"/>
      <c r="AY83" s="164"/>
      <c r="AZ83" s="56"/>
      <c r="BA83" s="57"/>
      <c r="BB83" s="56"/>
      <c r="BC83" s="55"/>
      <c r="BD83" s="56"/>
      <c r="BE83" s="56"/>
      <c r="BF83" s="54"/>
      <c r="BG83" s="56"/>
      <c r="BN83" s="192" t="str">
        <f t="shared" si="5"/>
        <v/>
      </c>
      <c r="BO83" s="197" t="str">
        <f t="shared" si="4"/>
        <v/>
      </c>
      <c r="BP83" s="197" t="str">
        <f t="shared" si="6"/>
        <v/>
      </c>
      <c r="BQ83" s="197" t="str">
        <f>IF(C83="","",IF(COUNTIF(BP$6:BP83,BP83)&gt;1,"",BP83))</f>
        <v/>
      </c>
      <c r="BR83" s="197" t="str">
        <f t="shared" si="7"/>
        <v/>
      </c>
    </row>
    <row r="84" spans="1:70" x14ac:dyDescent="0.2">
      <c r="A84" s="54"/>
      <c r="B84" s="54"/>
      <c r="C84" s="189"/>
      <c r="D84" s="55"/>
      <c r="E84" s="56"/>
      <c r="F84" s="55"/>
      <c r="G84" s="56"/>
      <c r="H84" s="55"/>
      <c r="I84" s="56"/>
      <c r="J84" s="55"/>
      <c r="K84" s="56"/>
      <c r="L84" s="175"/>
      <c r="M84" s="55"/>
      <c r="N84" s="56"/>
      <c r="O84" s="55"/>
      <c r="P84" s="56"/>
      <c r="Q84" s="56"/>
      <c r="R84" s="56"/>
      <c r="S84" s="56"/>
      <c r="T84" s="56"/>
      <c r="U84" s="56"/>
      <c r="V84" s="56"/>
      <c r="W84" s="56"/>
      <c r="X84" s="57"/>
      <c r="Y84" s="134"/>
      <c r="Z84" s="55"/>
      <c r="AA84" s="56"/>
      <c r="AB84" s="56"/>
      <c r="AC84" s="56"/>
      <c r="AD84" s="56"/>
      <c r="AE84" s="56"/>
      <c r="AF84" s="55"/>
      <c r="AG84" s="56"/>
      <c r="AH84" s="55"/>
      <c r="AI84" s="56"/>
      <c r="AJ84" s="58"/>
      <c r="AK84" s="56"/>
      <c r="AL84" s="56"/>
      <c r="AM84" s="56"/>
      <c r="AN84" s="56"/>
      <c r="AO84" s="54"/>
      <c r="AP84" s="56"/>
      <c r="AQ84" s="55"/>
      <c r="AR84" s="56"/>
      <c r="AS84" s="55"/>
      <c r="AT84" s="56"/>
      <c r="AU84" s="55"/>
      <c r="AV84" s="56"/>
      <c r="AW84" s="164"/>
      <c r="AX84" s="56"/>
      <c r="AY84" s="164"/>
      <c r="AZ84" s="56"/>
      <c r="BA84" s="57"/>
      <c r="BB84" s="56"/>
      <c r="BC84" s="55"/>
      <c r="BD84" s="56"/>
      <c r="BE84" s="56"/>
      <c r="BF84" s="54"/>
      <c r="BG84" s="56"/>
      <c r="BN84" s="192" t="str">
        <f t="shared" si="5"/>
        <v/>
      </c>
      <c r="BO84" s="197" t="str">
        <f t="shared" si="4"/>
        <v/>
      </c>
      <c r="BP84" s="197" t="str">
        <f t="shared" si="6"/>
        <v/>
      </c>
      <c r="BQ84" s="197" t="str">
        <f>IF(C84="","",IF(COUNTIF(BP$6:BP84,BP84)&gt;1,"",BP84))</f>
        <v/>
      </c>
      <c r="BR84" s="197" t="str">
        <f t="shared" si="7"/>
        <v/>
      </c>
    </row>
    <row r="85" spans="1:70" x14ac:dyDescent="0.2">
      <c r="A85" s="54"/>
      <c r="B85" s="54"/>
      <c r="C85" s="189"/>
      <c r="D85" s="55"/>
      <c r="E85" s="56"/>
      <c r="F85" s="55"/>
      <c r="G85" s="56"/>
      <c r="H85" s="55"/>
      <c r="I85" s="56"/>
      <c r="J85" s="55"/>
      <c r="K85" s="56"/>
      <c r="L85" s="175"/>
      <c r="M85" s="55"/>
      <c r="N85" s="56"/>
      <c r="O85" s="55"/>
      <c r="P85" s="56"/>
      <c r="Q85" s="56"/>
      <c r="R85" s="56"/>
      <c r="S85" s="56"/>
      <c r="T85" s="56"/>
      <c r="U85" s="56"/>
      <c r="V85" s="56"/>
      <c r="W85" s="56"/>
      <c r="X85" s="57"/>
      <c r="Y85" s="134"/>
      <c r="Z85" s="55"/>
      <c r="AA85" s="56"/>
      <c r="AB85" s="56"/>
      <c r="AC85" s="56"/>
      <c r="AD85" s="56"/>
      <c r="AE85" s="56"/>
      <c r="AF85" s="55"/>
      <c r="AG85" s="56"/>
      <c r="AH85" s="55"/>
      <c r="AI85" s="56"/>
      <c r="AJ85" s="58"/>
      <c r="AK85" s="56"/>
      <c r="AL85" s="56"/>
      <c r="AM85" s="56"/>
      <c r="AN85" s="56"/>
      <c r="AO85" s="54"/>
      <c r="AP85" s="56"/>
      <c r="AQ85" s="55"/>
      <c r="AR85" s="56"/>
      <c r="AS85" s="55"/>
      <c r="AT85" s="56"/>
      <c r="AU85" s="55"/>
      <c r="AV85" s="56"/>
      <c r="AW85" s="164"/>
      <c r="AX85" s="56"/>
      <c r="AY85" s="164"/>
      <c r="AZ85" s="56"/>
      <c r="BA85" s="57"/>
      <c r="BB85" s="56"/>
      <c r="BC85" s="55"/>
      <c r="BD85" s="56"/>
      <c r="BE85" s="56"/>
      <c r="BF85" s="54"/>
      <c r="BG85" s="56"/>
      <c r="BN85" s="192" t="str">
        <f t="shared" si="5"/>
        <v/>
      </c>
      <c r="BO85" s="197" t="str">
        <f t="shared" si="4"/>
        <v/>
      </c>
      <c r="BP85" s="197" t="str">
        <f t="shared" si="6"/>
        <v/>
      </c>
      <c r="BQ85" s="197" t="str">
        <f>IF(C85="","",IF(COUNTIF(BP$6:BP85,BP85)&gt;1,"",BP85))</f>
        <v/>
      </c>
      <c r="BR85" s="197" t="str">
        <f t="shared" si="7"/>
        <v/>
      </c>
    </row>
    <row r="86" spans="1:70" x14ac:dyDescent="0.2">
      <c r="A86" s="54"/>
      <c r="B86" s="54"/>
      <c r="C86" s="189"/>
      <c r="D86" s="55"/>
      <c r="E86" s="56"/>
      <c r="F86" s="55"/>
      <c r="G86" s="56"/>
      <c r="H86" s="55"/>
      <c r="I86" s="56"/>
      <c r="J86" s="55"/>
      <c r="K86" s="56"/>
      <c r="L86" s="175"/>
      <c r="M86" s="55"/>
      <c r="N86" s="56"/>
      <c r="O86" s="55"/>
      <c r="P86" s="56"/>
      <c r="Q86" s="56"/>
      <c r="R86" s="56"/>
      <c r="S86" s="56"/>
      <c r="T86" s="56"/>
      <c r="U86" s="56"/>
      <c r="V86" s="56"/>
      <c r="W86" s="56"/>
      <c r="X86" s="57"/>
      <c r="Y86" s="134"/>
      <c r="Z86" s="55"/>
      <c r="AA86" s="56"/>
      <c r="AB86" s="56"/>
      <c r="AC86" s="56"/>
      <c r="AD86" s="56"/>
      <c r="AE86" s="56"/>
      <c r="AF86" s="55"/>
      <c r="AG86" s="56"/>
      <c r="AH86" s="55"/>
      <c r="AI86" s="56"/>
      <c r="AJ86" s="58"/>
      <c r="AK86" s="56"/>
      <c r="AL86" s="56"/>
      <c r="AM86" s="56"/>
      <c r="AN86" s="56"/>
      <c r="AO86" s="54"/>
      <c r="AP86" s="56"/>
      <c r="AQ86" s="55"/>
      <c r="AR86" s="56"/>
      <c r="AS86" s="55"/>
      <c r="AT86" s="56"/>
      <c r="AU86" s="55"/>
      <c r="AV86" s="56"/>
      <c r="AW86" s="164"/>
      <c r="AX86" s="56"/>
      <c r="AY86" s="164"/>
      <c r="AZ86" s="56"/>
      <c r="BA86" s="57"/>
      <c r="BB86" s="56"/>
      <c r="BC86" s="55"/>
      <c r="BD86" s="56"/>
      <c r="BE86" s="56"/>
      <c r="BF86" s="54"/>
      <c r="BG86" s="56"/>
      <c r="BN86" s="192" t="str">
        <f t="shared" si="5"/>
        <v/>
      </c>
      <c r="BO86" s="197" t="str">
        <f t="shared" si="4"/>
        <v/>
      </c>
      <c r="BP86" s="197" t="str">
        <f t="shared" si="6"/>
        <v/>
      </c>
      <c r="BQ86" s="197" t="str">
        <f>IF(C86="","",IF(COUNTIF(BP$6:BP86,BP86)&gt;1,"",BP86))</f>
        <v/>
      </c>
      <c r="BR86" s="197" t="str">
        <f t="shared" si="7"/>
        <v/>
      </c>
    </row>
    <row r="87" spans="1:70" x14ac:dyDescent="0.2">
      <c r="A87" s="54"/>
      <c r="B87" s="54"/>
      <c r="C87" s="189"/>
      <c r="D87" s="55"/>
      <c r="E87" s="56"/>
      <c r="F87" s="55"/>
      <c r="G87" s="56"/>
      <c r="H87" s="55"/>
      <c r="I87" s="56"/>
      <c r="J87" s="55"/>
      <c r="K87" s="56"/>
      <c r="L87" s="175"/>
      <c r="M87" s="55"/>
      <c r="N87" s="56"/>
      <c r="O87" s="55"/>
      <c r="P87" s="56"/>
      <c r="Q87" s="56"/>
      <c r="R87" s="56"/>
      <c r="S87" s="56"/>
      <c r="T87" s="56"/>
      <c r="U87" s="56"/>
      <c r="V87" s="56"/>
      <c r="W87" s="56"/>
      <c r="X87" s="57"/>
      <c r="Y87" s="134"/>
      <c r="Z87" s="55"/>
      <c r="AA87" s="56"/>
      <c r="AB87" s="56"/>
      <c r="AC87" s="56"/>
      <c r="AD87" s="56"/>
      <c r="AE87" s="56"/>
      <c r="AF87" s="55"/>
      <c r="AG87" s="56"/>
      <c r="AH87" s="55"/>
      <c r="AI87" s="56"/>
      <c r="AJ87" s="58"/>
      <c r="AK87" s="56"/>
      <c r="AL87" s="56"/>
      <c r="AM87" s="56"/>
      <c r="AN87" s="56"/>
      <c r="AO87" s="54"/>
      <c r="AP87" s="56"/>
      <c r="AQ87" s="55"/>
      <c r="AR87" s="56"/>
      <c r="AS87" s="55"/>
      <c r="AT87" s="56"/>
      <c r="AU87" s="55"/>
      <c r="AV87" s="56"/>
      <c r="AW87" s="164"/>
      <c r="AX87" s="56"/>
      <c r="AY87" s="164"/>
      <c r="AZ87" s="56"/>
      <c r="BA87" s="57"/>
      <c r="BB87" s="56"/>
      <c r="BC87" s="55"/>
      <c r="BD87" s="56"/>
      <c r="BE87" s="56"/>
      <c r="BF87" s="54"/>
      <c r="BG87" s="56"/>
      <c r="BN87" s="192" t="str">
        <f t="shared" si="5"/>
        <v/>
      </c>
      <c r="BO87" s="197" t="str">
        <f t="shared" si="4"/>
        <v/>
      </c>
      <c r="BP87" s="197" t="str">
        <f t="shared" si="6"/>
        <v/>
      </c>
      <c r="BQ87" s="197" t="str">
        <f>IF(C87="","",IF(COUNTIF(BP$6:BP87,BP87)&gt;1,"",BP87))</f>
        <v/>
      </c>
      <c r="BR87" s="197" t="str">
        <f t="shared" si="7"/>
        <v/>
      </c>
    </row>
    <row r="88" spans="1:70" x14ac:dyDescent="0.2">
      <c r="A88" s="54"/>
      <c r="B88" s="54"/>
      <c r="C88" s="189"/>
      <c r="D88" s="55"/>
      <c r="E88" s="56"/>
      <c r="F88" s="55"/>
      <c r="G88" s="56"/>
      <c r="H88" s="55"/>
      <c r="I88" s="56"/>
      <c r="J88" s="55"/>
      <c r="K88" s="56"/>
      <c r="L88" s="175"/>
      <c r="M88" s="55"/>
      <c r="N88" s="56"/>
      <c r="O88" s="55"/>
      <c r="P88" s="56"/>
      <c r="Q88" s="56"/>
      <c r="R88" s="56"/>
      <c r="S88" s="56"/>
      <c r="T88" s="56"/>
      <c r="U88" s="56"/>
      <c r="V88" s="56"/>
      <c r="W88" s="56"/>
      <c r="X88" s="57"/>
      <c r="Y88" s="134"/>
      <c r="Z88" s="55"/>
      <c r="AA88" s="56"/>
      <c r="AB88" s="56"/>
      <c r="AC88" s="56"/>
      <c r="AD88" s="56"/>
      <c r="AE88" s="56"/>
      <c r="AF88" s="55"/>
      <c r="AG88" s="56"/>
      <c r="AH88" s="55"/>
      <c r="AI88" s="56"/>
      <c r="AJ88" s="58"/>
      <c r="AK88" s="56"/>
      <c r="AL88" s="56"/>
      <c r="AM88" s="56"/>
      <c r="AN88" s="56"/>
      <c r="AO88" s="54"/>
      <c r="AP88" s="56"/>
      <c r="AQ88" s="55"/>
      <c r="AR88" s="56"/>
      <c r="AS88" s="55"/>
      <c r="AT88" s="56"/>
      <c r="AU88" s="55"/>
      <c r="AV88" s="56"/>
      <c r="AW88" s="164"/>
      <c r="AX88" s="56"/>
      <c r="AY88" s="164"/>
      <c r="AZ88" s="56"/>
      <c r="BA88" s="57"/>
      <c r="BB88" s="56"/>
      <c r="BC88" s="55"/>
      <c r="BD88" s="56"/>
      <c r="BE88" s="56"/>
      <c r="BF88" s="54"/>
      <c r="BG88" s="56"/>
      <c r="BN88" s="192" t="str">
        <f t="shared" si="5"/>
        <v/>
      </c>
      <c r="BO88" s="197" t="str">
        <f t="shared" si="4"/>
        <v/>
      </c>
      <c r="BP88" s="197" t="str">
        <f t="shared" si="6"/>
        <v/>
      </c>
      <c r="BQ88" s="197" t="str">
        <f>IF(C88="","",IF(COUNTIF(BP$6:BP88,BP88)&gt;1,"",BP88))</f>
        <v/>
      </c>
      <c r="BR88" s="197" t="str">
        <f t="shared" si="7"/>
        <v/>
      </c>
    </row>
    <row r="89" spans="1:70" x14ac:dyDescent="0.2">
      <c r="A89" s="54"/>
      <c r="B89" s="54"/>
      <c r="C89" s="189"/>
      <c r="D89" s="55"/>
      <c r="E89" s="56"/>
      <c r="F89" s="55"/>
      <c r="G89" s="56"/>
      <c r="H89" s="55"/>
      <c r="I89" s="56"/>
      <c r="J89" s="55"/>
      <c r="K89" s="56"/>
      <c r="L89" s="175"/>
      <c r="M89" s="55"/>
      <c r="N89" s="56"/>
      <c r="O89" s="55"/>
      <c r="P89" s="56"/>
      <c r="Q89" s="56"/>
      <c r="R89" s="56"/>
      <c r="S89" s="56"/>
      <c r="T89" s="56"/>
      <c r="U89" s="56"/>
      <c r="V89" s="56"/>
      <c r="W89" s="56"/>
      <c r="X89" s="57"/>
      <c r="Y89" s="134"/>
      <c r="Z89" s="55"/>
      <c r="AA89" s="56"/>
      <c r="AB89" s="56"/>
      <c r="AC89" s="56"/>
      <c r="AD89" s="56"/>
      <c r="AE89" s="56"/>
      <c r="AF89" s="55"/>
      <c r="AG89" s="56"/>
      <c r="AH89" s="55"/>
      <c r="AI89" s="56"/>
      <c r="AJ89" s="58"/>
      <c r="AK89" s="56"/>
      <c r="AL89" s="56"/>
      <c r="AM89" s="56"/>
      <c r="AN89" s="56"/>
      <c r="AO89" s="54"/>
      <c r="AP89" s="56"/>
      <c r="AQ89" s="55"/>
      <c r="AR89" s="56"/>
      <c r="AS89" s="55"/>
      <c r="AT89" s="56"/>
      <c r="AU89" s="55"/>
      <c r="AV89" s="56"/>
      <c r="AW89" s="164"/>
      <c r="AX89" s="56"/>
      <c r="AY89" s="164"/>
      <c r="AZ89" s="56"/>
      <c r="BA89" s="57"/>
      <c r="BB89" s="56"/>
      <c r="BC89" s="55"/>
      <c r="BD89" s="56"/>
      <c r="BE89" s="56"/>
      <c r="BF89" s="54"/>
      <c r="BG89" s="56"/>
      <c r="BN89" s="192" t="str">
        <f t="shared" si="5"/>
        <v/>
      </c>
      <c r="BO89" s="197" t="str">
        <f t="shared" si="4"/>
        <v/>
      </c>
      <c r="BP89" s="197" t="str">
        <f t="shared" si="6"/>
        <v/>
      </c>
      <c r="BQ89" s="197" t="str">
        <f>IF(C89="","",IF(COUNTIF(BP$6:BP89,BP89)&gt;1,"",BP89))</f>
        <v/>
      </c>
      <c r="BR89" s="197" t="str">
        <f t="shared" si="7"/>
        <v/>
      </c>
    </row>
    <row r="90" spans="1:70" x14ac:dyDescent="0.2">
      <c r="A90" s="54"/>
      <c r="B90" s="54"/>
      <c r="C90" s="189"/>
      <c r="D90" s="55"/>
      <c r="E90" s="56"/>
      <c r="F90" s="55"/>
      <c r="G90" s="56"/>
      <c r="H90" s="55"/>
      <c r="I90" s="56"/>
      <c r="J90" s="55"/>
      <c r="K90" s="56"/>
      <c r="L90" s="175"/>
      <c r="M90" s="55"/>
      <c r="N90" s="56"/>
      <c r="O90" s="55"/>
      <c r="P90" s="56"/>
      <c r="Q90" s="56"/>
      <c r="R90" s="56"/>
      <c r="S90" s="56"/>
      <c r="T90" s="56"/>
      <c r="U90" s="56"/>
      <c r="V90" s="56"/>
      <c r="W90" s="56"/>
      <c r="X90" s="57"/>
      <c r="Y90" s="134"/>
      <c r="Z90" s="55"/>
      <c r="AA90" s="56"/>
      <c r="AB90" s="56"/>
      <c r="AC90" s="56"/>
      <c r="AD90" s="56"/>
      <c r="AE90" s="56"/>
      <c r="AF90" s="55"/>
      <c r="AG90" s="56"/>
      <c r="AH90" s="55"/>
      <c r="AI90" s="56"/>
      <c r="AJ90" s="58"/>
      <c r="AK90" s="56"/>
      <c r="AL90" s="56"/>
      <c r="AM90" s="56"/>
      <c r="AN90" s="56"/>
      <c r="AO90" s="54"/>
      <c r="AP90" s="56"/>
      <c r="AQ90" s="55"/>
      <c r="AR90" s="56"/>
      <c r="AS90" s="55"/>
      <c r="AT90" s="56"/>
      <c r="AU90" s="55"/>
      <c r="AV90" s="56"/>
      <c r="AW90" s="164"/>
      <c r="AX90" s="56"/>
      <c r="AY90" s="164"/>
      <c r="AZ90" s="56"/>
      <c r="BA90" s="57"/>
      <c r="BB90" s="56"/>
      <c r="BC90" s="55"/>
      <c r="BD90" s="56"/>
      <c r="BE90" s="56"/>
      <c r="BF90" s="54"/>
      <c r="BG90" s="56"/>
      <c r="BN90" s="192" t="str">
        <f t="shared" si="5"/>
        <v/>
      </c>
      <c r="BO90" s="197" t="str">
        <f t="shared" si="4"/>
        <v/>
      </c>
      <c r="BP90" s="197" t="str">
        <f t="shared" si="6"/>
        <v/>
      </c>
      <c r="BQ90" s="197" t="str">
        <f>IF(C90="","",IF(COUNTIF(BP$6:BP90,BP90)&gt;1,"",BP90))</f>
        <v/>
      </c>
      <c r="BR90" s="197" t="str">
        <f t="shared" si="7"/>
        <v/>
      </c>
    </row>
    <row r="91" spans="1:70" x14ac:dyDescent="0.2">
      <c r="A91" s="54"/>
      <c r="B91" s="54"/>
      <c r="C91" s="189"/>
      <c r="D91" s="55"/>
      <c r="E91" s="56"/>
      <c r="F91" s="55"/>
      <c r="G91" s="56"/>
      <c r="H91" s="55"/>
      <c r="I91" s="56"/>
      <c r="J91" s="55"/>
      <c r="K91" s="56"/>
      <c r="L91" s="175"/>
      <c r="M91" s="55"/>
      <c r="N91" s="56"/>
      <c r="O91" s="55"/>
      <c r="P91" s="56"/>
      <c r="Q91" s="56"/>
      <c r="R91" s="56"/>
      <c r="S91" s="56"/>
      <c r="T91" s="56"/>
      <c r="U91" s="56"/>
      <c r="V91" s="56"/>
      <c r="W91" s="56"/>
      <c r="X91" s="57"/>
      <c r="Y91" s="134"/>
      <c r="Z91" s="55"/>
      <c r="AA91" s="56"/>
      <c r="AB91" s="56"/>
      <c r="AC91" s="56"/>
      <c r="AD91" s="56"/>
      <c r="AE91" s="56"/>
      <c r="AF91" s="55"/>
      <c r="AG91" s="56"/>
      <c r="AH91" s="55"/>
      <c r="AI91" s="56"/>
      <c r="AJ91" s="58"/>
      <c r="AK91" s="56"/>
      <c r="AL91" s="56"/>
      <c r="AM91" s="56"/>
      <c r="AN91" s="56"/>
      <c r="AO91" s="54"/>
      <c r="AP91" s="56"/>
      <c r="AQ91" s="55"/>
      <c r="AR91" s="56"/>
      <c r="AS91" s="55"/>
      <c r="AT91" s="56"/>
      <c r="AU91" s="55"/>
      <c r="AV91" s="56"/>
      <c r="AW91" s="164"/>
      <c r="AX91" s="56"/>
      <c r="AY91" s="164"/>
      <c r="AZ91" s="56"/>
      <c r="BA91" s="57"/>
      <c r="BB91" s="56"/>
      <c r="BC91" s="55"/>
      <c r="BD91" s="56"/>
      <c r="BE91" s="56"/>
      <c r="BF91" s="54"/>
      <c r="BG91" s="56"/>
      <c r="BN91" s="192" t="str">
        <f t="shared" si="5"/>
        <v/>
      </c>
      <c r="BO91" s="197" t="str">
        <f t="shared" si="4"/>
        <v/>
      </c>
      <c r="BP91" s="197" t="str">
        <f t="shared" si="6"/>
        <v/>
      </c>
      <c r="BQ91" s="197" t="str">
        <f>IF(C91="","",IF(COUNTIF(BP$6:BP91,BP91)&gt;1,"",BP91))</f>
        <v/>
      </c>
      <c r="BR91" s="197" t="str">
        <f t="shared" si="7"/>
        <v/>
      </c>
    </row>
    <row r="92" spans="1:70" x14ac:dyDescent="0.2">
      <c r="A92" s="54"/>
      <c r="B92" s="54"/>
      <c r="C92" s="189"/>
      <c r="D92" s="55"/>
      <c r="E92" s="56"/>
      <c r="F92" s="55"/>
      <c r="G92" s="56"/>
      <c r="H92" s="55"/>
      <c r="I92" s="56"/>
      <c r="J92" s="55"/>
      <c r="K92" s="56"/>
      <c r="L92" s="175"/>
      <c r="M92" s="55"/>
      <c r="N92" s="56"/>
      <c r="O92" s="55"/>
      <c r="P92" s="56"/>
      <c r="Q92" s="56"/>
      <c r="R92" s="56"/>
      <c r="S92" s="56"/>
      <c r="T92" s="56"/>
      <c r="U92" s="56"/>
      <c r="V92" s="56"/>
      <c r="W92" s="56"/>
      <c r="X92" s="57"/>
      <c r="Y92" s="134"/>
      <c r="Z92" s="55"/>
      <c r="AA92" s="56"/>
      <c r="AB92" s="56"/>
      <c r="AC92" s="56"/>
      <c r="AD92" s="56"/>
      <c r="AE92" s="56"/>
      <c r="AF92" s="55"/>
      <c r="AG92" s="56"/>
      <c r="AH92" s="55"/>
      <c r="AI92" s="56"/>
      <c r="AJ92" s="58"/>
      <c r="AK92" s="56"/>
      <c r="AL92" s="56"/>
      <c r="AM92" s="56"/>
      <c r="AN92" s="56"/>
      <c r="AO92" s="54"/>
      <c r="AP92" s="56"/>
      <c r="AQ92" s="55"/>
      <c r="AR92" s="56"/>
      <c r="AS92" s="55"/>
      <c r="AT92" s="56"/>
      <c r="AU92" s="55"/>
      <c r="AV92" s="56"/>
      <c r="AW92" s="164"/>
      <c r="AX92" s="56"/>
      <c r="AY92" s="164"/>
      <c r="AZ92" s="56"/>
      <c r="BA92" s="57"/>
      <c r="BB92" s="56"/>
      <c r="BC92" s="55"/>
      <c r="BD92" s="56"/>
      <c r="BE92" s="56"/>
      <c r="BF92" s="54"/>
      <c r="BG92" s="56"/>
      <c r="BN92" s="192" t="str">
        <f t="shared" si="5"/>
        <v/>
      </c>
      <c r="BO92" s="197" t="str">
        <f t="shared" si="4"/>
        <v/>
      </c>
      <c r="BP92" s="197" t="str">
        <f t="shared" si="6"/>
        <v/>
      </c>
      <c r="BQ92" s="197" t="str">
        <f>IF(C92="","",IF(COUNTIF(BP$6:BP92,BP92)&gt;1,"",BP92))</f>
        <v/>
      </c>
      <c r="BR92" s="197" t="str">
        <f t="shared" si="7"/>
        <v/>
      </c>
    </row>
    <row r="93" spans="1:70" x14ac:dyDescent="0.2">
      <c r="A93" s="54"/>
      <c r="B93" s="54"/>
      <c r="C93" s="189"/>
      <c r="D93" s="55"/>
      <c r="E93" s="56"/>
      <c r="F93" s="55"/>
      <c r="G93" s="56"/>
      <c r="H93" s="55"/>
      <c r="I93" s="56"/>
      <c r="J93" s="55"/>
      <c r="K93" s="56"/>
      <c r="L93" s="175"/>
      <c r="M93" s="55"/>
      <c r="N93" s="56"/>
      <c r="O93" s="55"/>
      <c r="P93" s="56"/>
      <c r="Q93" s="56"/>
      <c r="R93" s="56"/>
      <c r="S93" s="56"/>
      <c r="T93" s="56"/>
      <c r="U93" s="56"/>
      <c r="V93" s="56"/>
      <c r="W93" s="56"/>
      <c r="X93" s="57"/>
      <c r="Y93" s="134"/>
      <c r="Z93" s="55"/>
      <c r="AA93" s="56"/>
      <c r="AB93" s="56"/>
      <c r="AC93" s="56"/>
      <c r="AD93" s="56"/>
      <c r="AE93" s="56"/>
      <c r="AF93" s="55"/>
      <c r="AG93" s="56"/>
      <c r="AH93" s="55"/>
      <c r="AI93" s="56"/>
      <c r="AJ93" s="58"/>
      <c r="AK93" s="56"/>
      <c r="AL93" s="56"/>
      <c r="AM93" s="56"/>
      <c r="AN93" s="56"/>
      <c r="AO93" s="54"/>
      <c r="AP93" s="56"/>
      <c r="AQ93" s="55"/>
      <c r="AR93" s="56"/>
      <c r="AS93" s="55"/>
      <c r="AT93" s="56"/>
      <c r="AU93" s="55"/>
      <c r="AV93" s="56"/>
      <c r="AW93" s="164"/>
      <c r="AX93" s="56"/>
      <c r="AY93" s="164"/>
      <c r="AZ93" s="56"/>
      <c r="BA93" s="57"/>
      <c r="BB93" s="56"/>
      <c r="BC93" s="55"/>
      <c r="BD93" s="56"/>
      <c r="BE93" s="56"/>
      <c r="BF93" s="54"/>
      <c r="BG93" s="56"/>
      <c r="BN93" s="192" t="str">
        <f t="shared" si="5"/>
        <v/>
      </c>
      <c r="BO93" s="197" t="str">
        <f t="shared" si="4"/>
        <v/>
      </c>
      <c r="BP93" s="197" t="str">
        <f t="shared" si="6"/>
        <v/>
      </c>
      <c r="BQ93" s="197" t="str">
        <f>IF(C93="","",IF(COUNTIF(BP$6:BP93,BP93)&gt;1,"",BP93))</f>
        <v/>
      </c>
      <c r="BR93" s="197" t="str">
        <f t="shared" si="7"/>
        <v/>
      </c>
    </row>
    <row r="94" spans="1:70" x14ac:dyDescent="0.2">
      <c r="A94" s="54"/>
      <c r="B94" s="54"/>
      <c r="C94" s="189"/>
      <c r="D94" s="55"/>
      <c r="E94" s="56"/>
      <c r="F94" s="55"/>
      <c r="G94" s="56"/>
      <c r="H94" s="55"/>
      <c r="I94" s="56"/>
      <c r="J94" s="55"/>
      <c r="K94" s="56"/>
      <c r="L94" s="175"/>
      <c r="M94" s="55"/>
      <c r="N94" s="56"/>
      <c r="O94" s="55"/>
      <c r="P94" s="56"/>
      <c r="Q94" s="56"/>
      <c r="R94" s="56"/>
      <c r="S94" s="56"/>
      <c r="T94" s="56"/>
      <c r="U94" s="56"/>
      <c r="V94" s="56"/>
      <c r="W94" s="56"/>
      <c r="X94" s="57"/>
      <c r="Y94" s="134"/>
      <c r="Z94" s="55"/>
      <c r="AA94" s="56"/>
      <c r="AB94" s="56"/>
      <c r="AC94" s="56"/>
      <c r="AD94" s="56"/>
      <c r="AE94" s="56"/>
      <c r="AF94" s="55"/>
      <c r="AG94" s="56"/>
      <c r="AH94" s="55"/>
      <c r="AI94" s="56"/>
      <c r="AJ94" s="58"/>
      <c r="AK94" s="56"/>
      <c r="AL94" s="56"/>
      <c r="AM94" s="56"/>
      <c r="AN94" s="56"/>
      <c r="AO94" s="54"/>
      <c r="AP94" s="56"/>
      <c r="AQ94" s="55"/>
      <c r="AR94" s="56"/>
      <c r="AS94" s="55"/>
      <c r="AT94" s="56"/>
      <c r="AU94" s="55"/>
      <c r="AV94" s="56"/>
      <c r="AW94" s="164"/>
      <c r="AX94" s="56"/>
      <c r="AY94" s="164"/>
      <c r="AZ94" s="56"/>
      <c r="BA94" s="57"/>
      <c r="BB94" s="56"/>
      <c r="BC94" s="55"/>
      <c r="BD94" s="56"/>
      <c r="BE94" s="56"/>
      <c r="BF94" s="54"/>
      <c r="BG94" s="56"/>
      <c r="BN94" s="192" t="str">
        <f t="shared" si="5"/>
        <v/>
      </c>
      <c r="BO94" s="197" t="str">
        <f t="shared" si="4"/>
        <v/>
      </c>
      <c r="BP94" s="197" t="str">
        <f t="shared" si="6"/>
        <v/>
      </c>
      <c r="BQ94" s="197" t="str">
        <f>IF(C94="","",IF(COUNTIF(BP$6:BP94,BP94)&gt;1,"",BP94))</f>
        <v/>
      </c>
      <c r="BR94" s="197" t="str">
        <f t="shared" si="7"/>
        <v/>
      </c>
    </row>
    <row r="95" spans="1:70" x14ac:dyDescent="0.2">
      <c r="A95" s="54"/>
      <c r="B95" s="54"/>
      <c r="C95" s="189"/>
      <c r="D95" s="55"/>
      <c r="E95" s="56"/>
      <c r="F95" s="55"/>
      <c r="G95" s="56"/>
      <c r="H95" s="55"/>
      <c r="I95" s="56"/>
      <c r="J95" s="55"/>
      <c r="K95" s="56"/>
      <c r="L95" s="175"/>
      <c r="M95" s="55"/>
      <c r="N95" s="56"/>
      <c r="O95" s="55"/>
      <c r="P95" s="56"/>
      <c r="Q95" s="56"/>
      <c r="R95" s="56"/>
      <c r="S95" s="56"/>
      <c r="T95" s="56"/>
      <c r="U95" s="56"/>
      <c r="V95" s="56"/>
      <c r="W95" s="56"/>
      <c r="X95" s="57"/>
      <c r="Y95" s="134"/>
      <c r="Z95" s="55"/>
      <c r="AA95" s="56"/>
      <c r="AB95" s="56"/>
      <c r="AC95" s="56"/>
      <c r="AD95" s="56"/>
      <c r="AE95" s="56"/>
      <c r="AF95" s="55"/>
      <c r="AG95" s="56"/>
      <c r="AH95" s="55"/>
      <c r="AI95" s="56"/>
      <c r="AJ95" s="58"/>
      <c r="AK95" s="56"/>
      <c r="AL95" s="56"/>
      <c r="AM95" s="56"/>
      <c r="AN95" s="56"/>
      <c r="AO95" s="54"/>
      <c r="AP95" s="56"/>
      <c r="AQ95" s="55"/>
      <c r="AR95" s="56"/>
      <c r="AS95" s="55"/>
      <c r="AT95" s="56"/>
      <c r="AU95" s="55"/>
      <c r="AV95" s="56"/>
      <c r="AW95" s="164"/>
      <c r="AX95" s="56"/>
      <c r="AY95" s="164"/>
      <c r="AZ95" s="56"/>
      <c r="BA95" s="57"/>
      <c r="BB95" s="56"/>
      <c r="BC95" s="55"/>
      <c r="BD95" s="56"/>
      <c r="BE95" s="56"/>
      <c r="BF95" s="54"/>
      <c r="BG95" s="56"/>
      <c r="BN95" s="192" t="str">
        <f t="shared" si="5"/>
        <v/>
      </c>
      <c r="BO95" s="197" t="str">
        <f t="shared" si="4"/>
        <v/>
      </c>
      <c r="BP95" s="197" t="str">
        <f t="shared" si="6"/>
        <v/>
      </c>
      <c r="BQ95" s="197" t="str">
        <f>IF(C95="","",IF(COUNTIF(BP$6:BP95,BP95)&gt;1,"",BP95))</f>
        <v/>
      </c>
      <c r="BR95" s="197" t="str">
        <f t="shared" si="7"/>
        <v/>
      </c>
    </row>
    <row r="96" spans="1:70" x14ac:dyDescent="0.2">
      <c r="A96" s="54"/>
      <c r="B96" s="54"/>
      <c r="C96" s="189"/>
      <c r="D96" s="55"/>
      <c r="E96" s="56"/>
      <c r="F96" s="55"/>
      <c r="G96" s="56"/>
      <c r="H96" s="55"/>
      <c r="I96" s="56"/>
      <c r="J96" s="55"/>
      <c r="K96" s="56"/>
      <c r="L96" s="175"/>
      <c r="M96" s="55"/>
      <c r="N96" s="56"/>
      <c r="O96" s="55"/>
      <c r="P96" s="56"/>
      <c r="Q96" s="56"/>
      <c r="R96" s="56"/>
      <c r="S96" s="56"/>
      <c r="T96" s="56"/>
      <c r="U96" s="56"/>
      <c r="V96" s="56"/>
      <c r="W96" s="56"/>
      <c r="X96" s="57"/>
      <c r="Y96" s="134"/>
      <c r="Z96" s="55"/>
      <c r="AA96" s="56"/>
      <c r="AB96" s="56"/>
      <c r="AC96" s="56"/>
      <c r="AD96" s="56"/>
      <c r="AE96" s="56"/>
      <c r="AF96" s="55"/>
      <c r="AG96" s="56"/>
      <c r="AH96" s="55"/>
      <c r="AI96" s="56"/>
      <c r="AJ96" s="58"/>
      <c r="AK96" s="56"/>
      <c r="AL96" s="56"/>
      <c r="AM96" s="56"/>
      <c r="AN96" s="56"/>
      <c r="AO96" s="54"/>
      <c r="AP96" s="56"/>
      <c r="AQ96" s="55"/>
      <c r="AR96" s="56"/>
      <c r="AS96" s="55"/>
      <c r="AT96" s="56"/>
      <c r="AU96" s="55"/>
      <c r="AV96" s="56"/>
      <c r="AW96" s="164"/>
      <c r="AX96" s="56"/>
      <c r="AY96" s="164"/>
      <c r="AZ96" s="56"/>
      <c r="BA96" s="57"/>
      <c r="BB96" s="56"/>
      <c r="BC96" s="55"/>
      <c r="BD96" s="56"/>
      <c r="BE96" s="56"/>
      <c r="BF96" s="54"/>
      <c r="BG96" s="56"/>
      <c r="BN96" s="192" t="str">
        <f t="shared" si="5"/>
        <v/>
      </c>
      <c r="BO96" s="197" t="str">
        <f t="shared" si="4"/>
        <v/>
      </c>
      <c r="BP96" s="197" t="str">
        <f t="shared" si="6"/>
        <v/>
      </c>
      <c r="BQ96" s="197" t="str">
        <f>IF(C96="","",IF(COUNTIF(BP$6:BP96,BP96)&gt;1,"",BP96))</f>
        <v/>
      </c>
      <c r="BR96" s="197" t="str">
        <f t="shared" si="7"/>
        <v/>
      </c>
    </row>
    <row r="97" spans="1:70" x14ac:dyDescent="0.2">
      <c r="A97" s="54"/>
      <c r="B97" s="54"/>
      <c r="C97" s="189"/>
      <c r="D97" s="55"/>
      <c r="E97" s="56"/>
      <c r="F97" s="55"/>
      <c r="G97" s="56"/>
      <c r="H97" s="55"/>
      <c r="I97" s="56"/>
      <c r="J97" s="55"/>
      <c r="K97" s="56"/>
      <c r="L97" s="175"/>
      <c r="M97" s="55"/>
      <c r="N97" s="56"/>
      <c r="O97" s="55"/>
      <c r="P97" s="56"/>
      <c r="Q97" s="56"/>
      <c r="R97" s="56"/>
      <c r="S97" s="56"/>
      <c r="T97" s="56"/>
      <c r="U97" s="56"/>
      <c r="V97" s="56"/>
      <c r="W97" s="56"/>
      <c r="X97" s="57"/>
      <c r="Y97" s="134"/>
      <c r="Z97" s="55"/>
      <c r="AA97" s="56"/>
      <c r="AB97" s="56"/>
      <c r="AC97" s="56"/>
      <c r="AD97" s="56"/>
      <c r="AE97" s="56"/>
      <c r="AF97" s="55"/>
      <c r="AG97" s="56"/>
      <c r="AH97" s="55"/>
      <c r="AI97" s="56"/>
      <c r="AJ97" s="58"/>
      <c r="AK97" s="56"/>
      <c r="AL97" s="56"/>
      <c r="AM97" s="56"/>
      <c r="AN97" s="56"/>
      <c r="AO97" s="54"/>
      <c r="AP97" s="56"/>
      <c r="AQ97" s="55"/>
      <c r="AR97" s="56"/>
      <c r="AS97" s="55"/>
      <c r="AT97" s="56"/>
      <c r="AU97" s="55"/>
      <c r="AV97" s="56"/>
      <c r="AW97" s="164"/>
      <c r="AX97" s="56"/>
      <c r="AY97" s="164"/>
      <c r="AZ97" s="56"/>
      <c r="BA97" s="57"/>
      <c r="BB97" s="56"/>
      <c r="BC97" s="55"/>
      <c r="BD97" s="56"/>
      <c r="BE97" s="56"/>
      <c r="BF97" s="54"/>
      <c r="BG97" s="56"/>
      <c r="BN97" s="192" t="str">
        <f t="shared" si="5"/>
        <v/>
      </c>
      <c r="BO97" s="197" t="str">
        <f t="shared" si="4"/>
        <v/>
      </c>
      <c r="BP97" s="197" t="str">
        <f t="shared" si="6"/>
        <v/>
      </c>
      <c r="BQ97" s="197" t="str">
        <f>IF(C97="","",IF(COUNTIF(BP$6:BP97,BP97)&gt;1,"",BP97))</f>
        <v/>
      </c>
      <c r="BR97" s="197" t="str">
        <f t="shared" si="7"/>
        <v/>
      </c>
    </row>
    <row r="98" spans="1:70" x14ac:dyDescent="0.2">
      <c r="A98" s="54"/>
      <c r="B98" s="54"/>
      <c r="C98" s="189"/>
      <c r="D98" s="55"/>
      <c r="E98" s="56"/>
      <c r="F98" s="55"/>
      <c r="G98" s="56"/>
      <c r="H98" s="55"/>
      <c r="I98" s="56"/>
      <c r="J98" s="55"/>
      <c r="K98" s="56"/>
      <c r="L98" s="175"/>
      <c r="M98" s="55"/>
      <c r="N98" s="56"/>
      <c r="O98" s="55"/>
      <c r="P98" s="56"/>
      <c r="Q98" s="56"/>
      <c r="R98" s="56"/>
      <c r="S98" s="56"/>
      <c r="T98" s="56"/>
      <c r="U98" s="56"/>
      <c r="V98" s="56"/>
      <c r="W98" s="56"/>
      <c r="X98" s="57"/>
      <c r="Y98" s="134"/>
      <c r="Z98" s="55"/>
      <c r="AA98" s="56"/>
      <c r="AB98" s="56"/>
      <c r="AC98" s="56"/>
      <c r="AD98" s="56"/>
      <c r="AE98" s="56"/>
      <c r="AF98" s="55"/>
      <c r="AG98" s="56"/>
      <c r="AH98" s="55"/>
      <c r="AI98" s="56"/>
      <c r="AJ98" s="58"/>
      <c r="AK98" s="56"/>
      <c r="AL98" s="56"/>
      <c r="AM98" s="56"/>
      <c r="AN98" s="56"/>
      <c r="AO98" s="54"/>
      <c r="AP98" s="56"/>
      <c r="AQ98" s="55"/>
      <c r="AR98" s="56"/>
      <c r="AS98" s="55"/>
      <c r="AT98" s="56"/>
      <c r="AU98" s="55"/>
      <c r="AV98" s="56"/>
      <c r="AW98" s="164"/>
      <c r="AX98" s="56"/>
      <c r="AY98" s="164"/>
      <c r="AZ98" s="56"/>
      <c r="BA98" s="57"/>
      <c r="BB98" s="56"/>
      <c r="BC98" s="55"/>
      <c r="BD98" s="56"/>
      <c r="BE98" s="56"/>
      <c r="BF98" s="54"/>
      <c r="BG98" s="56"/>
      <c r="BN98" s="192" t="str">
        <f t="shared" si="5"/>
        <v/>
      </c>
      <c r="BO98" s="197" t="str">
        <f t="shared" si="4"/>
        <v/>
      </c>
      <c r="BP98" s="197" t="str">
        <f t="shared" si="6"/>
        <v/>
      </c>
      <c r="BQ98" s="197" t="str">
        <f>IF(C98="","",IF(COUNTIF(BP$6:BP98,BP98)&gt;1,"",BP98))</f>
        <v/>
      </c>
      <c r="BR98" s="197" t="str">
        <f t="shared" si="7"/>
        <v/>
      </c>
    </row>
    <row r="99" spans="1:70" x14ac:dyDescent="0.2">
      <c r="A99" s="54"/>
      <c r="B99" s="54"/>
      <c r="C99" s="189"/>
      <c r="D99" s="55"/>
      <c r="E99" s="56"/>
      <c r="F99" s="55"/>
      <c r="G99" s="56"/>
      <c r="H99" s="55"/>
      <c r="I99" s="56"/>
      <c r="J99" s="55"/>
      <c r="K99" s="56"/>
      <c r="L99" s="175"/>
      <c r="M99" s="55"/>
      <c r="N99" s="56"/>
      <c r="O99" s="55"/>
      <c r="P99" s="56"/>
      <c r="Q99" s="56"/>
      <c r="R99" s="56"/>
      <c r="S99" s="56"/>
      <c r="T99" s="56"/>
      <c r="U99" s="56"/>
      <c r="V99" s="56"/>
      <c r="W99" s="56"/>
      <c r="X99" s="57"/>
      <c r="Y99" s="134"/>
      <c r="Z99" s="55"/>
      <c r="AA99" s="56"/>
      <c r="AB99" s="56"/>
      <c r="AC99" s="56"/>
      <c r="AD99" s="56"/>
      <c r="AE99" s="56"/>
      <c r="AF99" s="55"/>
      <c r="AG99" s="56"/>
      <c r="AH99" s="55"/>
      <c r="AI99" s="56"/>
      <c r="AJ99" s="58"/>
      <c r="AK99" s="56"/>
      <c r="AL99" s="56"/>
      <c r="AM99" s="56"/>
      <c r="AN99" s="56"/>
      <c r="AO99" s="54"/>
      <c r="AP99" s="56"/>
      <c r="AQ99" s="55"/>
      <c r="AR99" s="56"/>
      <c r="AS99" s="55"/>
      <c r="AT99" s="56"/>
      <c r="AU99" s="55"/>
      <c r="AV99" s="56"/>
      <c r="AW99" s="164"/>
      <c r="AX99" s="56"/>
      <c r="AY99" s="164"/>
      <c r="AZ99" s="56"/>
      <c r="BA99" s="57"/>
      <c r="BB99" s="56"/>
      <c r="BC99" s="55"/>
      <c r="BD99" s="56"/>
      <c r="BE99" s="56"/>
      <c r="BF99" s="54"/>
      <c r="BG99" s="56"/>
      <c r="BN99" s="192" t="str">
        <f t="shared" si="5"/>
        <v/>
      </c>
      <c r="BO99" s="197" t="str">
        <f t="shared" si="4"/>
        <v/>
      </c>
      <c r="BP99" s="197" t="str">
        <f t="shared" si="6"/>
        <v/>
      </c>
      <c r="BQ99" s="197" t="str">
        <f>IF(C99="","",IF(COUNTIF(BP$6:BP99,BP99)&gt;1,"",BP99))</f>
        <v/>
      </c>
      <c r="BR99" s="197" t="str">
        <f t="shared" si="7"/>
        <v/>
      </c>
    </row>
    <row r="100" spans="1:70" x14ac:dyDescent="0.2">
      <c r="A100" s="54"/>
      <c r="B100" s="54"/>
      <c r="C100" s="189"/>
      <c r="D100" s="55"/>
      <c r="E100" s="56"/>
      <c r="F100" s="55"/>
      <c r="G100" s="56"/>
      <c r="H100" s="55"/>
      <c r="I100" s="56"/>
      <c r="J100" s="55"/>
      <c r="K100" s="56"/>
      <c r="L100" s="175"/>
      <c r="M100" s="55"/>
      <c r="N100" s="56"/>
      <c r="O100" s="55"/>
      <c r="P100" s="56"/>
      <c r="Q100" s="56"/>
      <c r="R100" s="56"/>
      <c r="S100" s="56"/>
      <c r="T100" s="56"/>
      <c r="U100" s="56"/>
      <c r="V100" s="56"/>
      <c r="W100" s="56"/>
      <c r="X100" s="57"/>
      <c r="Y100" s="134"/>
      <c r="Z100" s="55"/>
      <c r="AA100" s="56"/>
      <c r="AB100" s="56"/>
      <c r="AC100" s="56"/>
      <c r="AD100" s="56"/>
      <c r="AE100" s="56"/>
      <c r="AF100" s="55"/>
      <c r="AG100" s="56"/>
      <c r="AH100" s="55"/>
      <c r="AI100" s="56"/>
      <c r="AJ100" s="58"/>
      <c r="AK100" s="56"/>
      <c r="AL100" s="56"/>
      <c r="AM100" s="56"/>
      <c r="AN100" s="56"/>
      <c r="AO100" s="54"/>
      <c r="AP100" s="56"/>
      <c r="AQ100" s="55"/>
      <c r="AR100" s="56"/>
      <c r="AS100" s="55"/>
      <c r="AT100" s="56"/>
      <c r="AU100" s="55"/>
      <c r="AV100" s="56"/>
      <c r="AW100" s="164"/>
      <c r="AX100" s="56"/>
      <c r="AY100" s="164"/>
      <c r="AZ100" s="56"/>
      <c r="BA100" s="57"/>
      <c r="BB100" s="56"/>
      <c r="BC100" s="55"/>
      <c r="BD100" s="56"/>
      <c r="BE100" s="56"/>
      <c r="BF100" s="54"/>
      <c r="BG100" s="56"/>
      <c r="BN100" s="192" t="str">
        <f t="shared" si="5"/>
        <v/>
      </c>
      <c r="BO100" s="197" t="str">
        <f t="shared" si="4"/>
        <v/>
      </c>
      <c r="BP100" s="197" t="str">
        <f t="shared" si="6"/>
        <v/>
      </c>
      <c r="BQ100" s="197" t="str">
        <f>IF(C100="","",IF(COUNTIF(BP$6:BP100,BP100)&gt;1,"",BP100))</f>
        <v/>
      </c>
      <c r="BR100" s="197" t="str">
        <f t="shared" si="7"/>
        <v/>
      </c>
    </row>
    <row r="101" spans="1:70" x14ac:dyDescent="0.2">
      <c r="A101" s="54"/>
      <c r="B101" s="54"/>
      <c r="C101" s="189"/>
      <c r="D101" s="55"/>
      <c r="E101" s="56"/>
      <c r="F101" s="55"/>
      <c r="G101" s="56"/>
      <c r="H101" s="55"/>
      <c r="I101" s="56"/>
      <c r="J101" s="55"/>
      <c r="K101" s="56"/>
      <c r="L101" s="175"/>
      <c r="M101" s="55"/>
      <c r="N101" s="56"/>
      <c r="O101" s="55"/>
      <c r="P101" s="56"/>
      <c r="Q101" s="56"/>
      <c r="R101" s="56"/>
      <c r="S101" s="56"/>
      <c r="T101" s="56"/>
      <c r="U101" s="56"/>
      <c r="V101" s="56"/>
      <c r="W101" s="56"/>
      <c r="X101" s="57"/>
      <c r="Y101" s="134"/>
      <c r="Z101" s="55"/>
      <c r="AA101" s="56"/>
      <c r="AB101" s="56"/>
      <c r="AC101" s="56"/>
      <c r="AD101" s="56"/>
      <c r="AE101" s="56"/>
      <c r="AF101" s="55"/>
      <c r="AG101" s="56"/>
      <c r="AH101" s="55"/>
      <c r="AI101" s="56"/>
      <c r="AJ101" s="58"/>
      <c r="AK101" s="56"/>
      <c r="AL101" s="56"/>
      <c r="AM101" s="56"/>
      <c r="AN101" s="56"/>
      <c r="AO101" s="54"/>
      <c r="AP101" s="56"/>
      <c r="AQ101" s="55"/>
      <c r="AR101" s="56"/>
      <c r="AS101" s="55"/>
      <c r="AT101" s="56"/>
      <c r="AU101" s="55"/>
      <c r="AV101" s="56"/>
      <c r="AW101" s="164"/>
      <c r="AX101" s="56"/>
      <c r="AY101" s="164"/>
      <c r="AZ101" s="56"/>
      <c r="BA101" s="57"/>
      <c r="BB101" s="56"/>
      <c r="BC101" s="55"/>
      <c r="BD101" s="56"/>
      <c r="BE101" s="56"/>
      <c r="BF101" s="54"/>
      <c r="BG101" s="56"/>
      <c r="BN101" s="192" t="str">
        <f t="shared" si="5"/>
        <v/>
      </c>
      <c r="BO101" s="197" t="str">
        <f t="shared" si="4"/>
        <v/>
      </c>
      <c r="BP101" s="197" t="str">
        <f t="shared" si="6"/>
        <v/>
      </c>
      <c r="BQ101" s="197" t="str">
        <f>IF(C101="","",IF(COUNTIF(BP$6:BP101,BP101)&gt;1,"",BP101))</f>
        <v/>
      </c>
      <c r="BR101" s="197" t="str">
        <f t="shared" si="7"/>
        <v/>
      </c>
    </row>
    <row r="102" spans="1:70" x14ac:dyDescent="0.2">
      <c r="A102" s="54"/>
      <c r="B102" s="54"/>
      <c r="C102" s="189"/>
      <c r="D102" s="55"/>
      <c r="E102" s="56"/>
      <c r="F102" s="55"/>
      <c r="G102" s="56"/>
      <c r="H102" s="55"/>
      <c r="I102" s="56"/>
      <c r="J102" s="55"/>
      <c r="K102" s="56"/>
      <c r="L102" s="175"/>
      <c r="M102" s="55"/>
      <c r="N102" s="56"/>
      <c r="O102" s="55"/>
      <c r="P102" s="56"/>
      <c r="Q102" s="56"/>
      <c r="R102" s="56"/>
      <c r="S102" s="56"/>
      <c r="T102" s="56"/>
      <c r="U102" s="56"/>
      <c r="V102" s="56"/>
      <c r="W102" s="56"/>
      <c r="X102" s="57"/>
      <c r="Y102" s="134"/>
      <c r="Z102" s="55"/>
      <c r="AA102" s="56"/>
      <c r="AB102" s="56"/>
      <c r="AC102" s="56"/>
      <c r="AD102" s="56"/>
      <c r="AE102" s="56"/>
      <c r="AF102" s="55"/>
      <c r="AG102" s="56"/>
      <c r="AH102" s="55"/>
      <c r="AI102" s="56"/>
      <c r="AJ102" s="58"/>
      <c r="AK102" s="56"/>
      <c r="AL102" s="56"/>
      <c r="AM102" s="56"/>
      <c r="AN102" s="56"/>
      <c r="AO102" s="54"/>
      <c r="AP102" s="56"/>
      <c r="AQ102" s="55"/>
      <c r="AR102" s="56"/>
      <c r="AS102" s="55"/>
      <c r="AT102" s="56"/>
      <c r="AU102" s="55"/>
      <c r="AV102" s="56"/>
      <c r="AW102" s="164"/>
      <c r="AX102" s="56"/>
      <c r="AY102" s="164"/>
      <c r="AZ102" s="56"/>
      <c r="BA102" s="57"/>
      <c r="BB102" s="56"/>
      <c r="BC102" s="55"/>
      <c r="BD102" s="56"/>
      <c r="BE102" s="56"/>
      <c r="BF102" s="54"/>
      <c r="BG102" s="56"/>
      <c r="BN102" s="192" t="str">
        <f t="shared" si="5"/>
        <v/>
      </c>
      <c r="BO102" s="197" t="str">
        <f t="shared" si="4"/>
        <v/>
      </c>
      <c r="BP102" s="197" t="str">
        <f t="shared" si="6"/>
        <v/>
      </c>
      <c r="BQ102" s="197" t="str">
        <f>IF(C102="","",IF(COUNTIF(BP$6:BP102,BP102)&gt;1,"",BP102))</f>
        <v/>
      </c>
      <c r="BR102" s="197" t="str">
        <f t="shared" si="7"/>
        <v/>
      </c>
    </row>
    <row r="103" spans="1:70" x14ac:dyDescent="0.2">
      <c r="A103" s="54"/>
      <c r="B103" s="54"/>
      <c r="C103" s="189"/>
      <c r="D103" s="55"/>
      <c r="E103" s="56"/>
      <c r="F103" s="55"/>
      <c r="G103" s="56"/>
      <c r="H103" s="55"/>
      <c r="I103" s="56"/>
      <c r="J103" s="55"/>
      <c r="K103" s="56"/>
      <c r="L103" s="175"/>
      <c r="M103" s="55"/>
      <c r="N103" s="56"/>
      <c r="O103" s="55"/>
      <c r="P103" s="56"/>
      <c r="Q103" s="56"/>
      <c r="R103" s="56"/>
      <c r="S103" s="56"/>
      <c r="T103" s="56"/>
      <c r="U103" s="56"/>
      <c r="V103" s="56"/>
      <c r="W103" s="56"/>
      <c r="X103" s="57"/>
      <c r="Y103" s="134"/>
      <c r="Z103" s="55"/>
      <c r="AA103" s="56"/>
      <c r="AB103" s="56"/>
      <c r="AC103" s="56"/>
      <c r="AD103" s="56"/>
      <c r="AE103" s="56"/>
      <c r="AF103" s="55"/>
      <c r="AG103" s="56"/>
      <c r="AH103" s="55"/>
      <c r="AI103" s="56"/>
      <c r="AJ103" s="58"/>
      <c r="AK103" s="56"/>
      <c r="AL103" s="56"/>
      <c r="AM103" s="56"/>
      <c r="AN103" s="56"/>
      <c r="AO103" s="54"/>
      <c r="AP103" s="56"/>
      <c r="AQ103" s="55"/>
      <c r="AR103" s="56"/>
      <c r="AS103" s="55"/>
      <c r="AT103" s="56"/>
      <c r="AU103" s="55"/>
      <c r="AV103" s="56"/>
      <c r="AW103" s="164"/>
      <c r="AX103" s="56"/>
      <c r="AY103" s="164"/>
      <c r="AZ103" s="56"/>
      <c r="BA103" s="57"/>
      <c r="BB103" s="56"/>
      <c r="BC103" s="55"/>
      <c r="BD103" s="56"/>
      <c r="BE103" s="56"/>
      <c r="BF103" s="54"/>
      <c r="BG103" s="56"/>
      <c r="BN103" s="192" t="str">
        <f t="shared" si="5"/>
        <v/>
      </c>
      <c r="BO103" s="197" t="str">
        <f t="shared" si="4"/>
        <v/>
      </c>
      <c r="BP103" s="197" t="str">
        <f t="shared" si="6"/>
        <v/>
      </c>
      <c r="BQ103" s="197" t="str">
        <f>IF(C103="","",IF(COUNTIF(BP$6:BP103,BP103)&gt;1,"",BP103))</f>
        <v/>
      </c>
      <c r="BR103" s="197" t="str">
        <f t="shared" si="7"/>
        <v/>
      </c>
    </row>
    <row r="104" spans="1:70" x14ac:dyDescent="0.2">
      <c r="A104" s="54"/>
      <c r="B104" s="54"/>
      <c r="C104" s="189"/>
      <c r="D104" s="55"/>
      <c r="E104" s="56"/>
      <c r="F104" s="55"/>
      <c r="G104" s="56"/>
      <c r="H104" s="55"/>
      <c r="I104" s="56"/>
      <c r="J104" s="55"/>
      <c r="K104" s="56"/>
      <c r="L104" s="175"/>
      <c r="M104" s="55"/>
      <c r="N104" s="56"/>
      <c r="O104" s="55"/>
      <c r="P104" s="56"/>
      <c r="Q104" s="56"/>
      <c r="R104" s="56"/>
      <c r="S104" s="56"/>
      <c r="T104" s="56"/>
      <c r="U104" s="56"/>
      <c r="V104" s="56"/>
      <c r="W104" s="56"/>
      <c r="X104" s="57"/>
      <c r="Y104" s="134"/>
      <c r="Z104" s="55"/>
      <c r="AA104" s="56"/>
      <c r="AB104" s="56"/>
      <c r="AC104" s="56"/>
      <c r="AD104" s="56"/>
      <c r="AE104" s="56"/>
      <c r="AF104" s="55"/>
      <c r="AG104" s="56"/>
      <c r="AH104" s="55"/>
      <c r="AI104" s="56"/>
      <c r="AJ104" s="58"/>
      <c r="AK104" s="56"/>
      <c r="AL104" s="56"/>
      <c r="AM104" s="56"/>
      <c r="AN104" s="56"/>
      <c r="AO104" s="54"/>
      <c r="AP104" s="56"/>
      <c r="AQ104" s="55"/>
      <c r="AR104" s="56"/>
      <c r="AS104" s="55"/>
      <c r="AT104" s="56"/>
      <c r="AU104" s="55"/>
      <c r="AV104" s="56"/>
      <c r="AW104" s="164"/>
      <c r="AX104" s="56"/>
      <c r="AY104" s="164"/>
      <c r="AZ104" s="56"/>
      <c r="BA104" s="57"/>
      <c r="BB104" s="56"/>
      <c r="BC104" s="55"/>
      <c r="BD104" s="56"/>
      <c r="BE104" s="56"/>
      <c r="BF104" s="54"/>
      <c r="BG104" s="56"/>
      <c r="BN104" s="192" t="str">
        <f t="shared" si="5"/>
        <v/>
      </c>
      <c r="BO104" s="197" t="str">
        <f t="shared" si="4"/>
        <v/>
      </c>
      <c r="BP104" s="197" t="str">
        <f t="shared" si="6"/>
        <v/>
      </c>
      <c r="BQ104" s="197" t="str">
        <f>IF(C104="","",IF(COUNTIF(BP$6:BP104,BP104)&gt;1,"",BP104))</f>
        <v/>
      </c>
      <c r="BR104" s="197" t="str">
        <f t="shared" si="7"/>
        <v/>
      </c>
    </row>
    <row r="105" spans="1:70" x14ac:dyDescent="0.2">
      <c r="A105" s="54"/>
      <c r="B105" s="54"/>
      <c r="C105" s="189"/>
      <c r="D105" s="55"/>
      <c r="E105" s="56"/>
      <c r="F105" s="55"/>
      <c r="G105" s="56"/>
      <c r="H105" s="55"/>
      <c r="I105" s="56"/>
      <c r="J105" s="55"/>
      <c r="K105" s="56"/>
      <c r="L105" s="175"/>
      <c r="M105" s="55"/>
      <c r="N105" s="56"/>
      <c r="O105" s="55"/>
      <c r="P105" s="56"/>
      <c r="Q105" s="56"/>
      <c r="R105" s="56"/>
      <c r="S105" s="56"/>
      <c r="T105" s="56"/>
      <c r="U105" s="56"/>
      <c r="V105" s="56"/>
      <c r="W105" s="56"/>
      <c r="X105" s="57"/>
      <c r="Y105" s="134"/>
      <c r="Z105" s="55"/>
      <c r="AA105" s="56"/>
      <c r="AB105" s="56"/>
      <c r="AC105" s="56"/>
      <c r="AD105" s="56"/>
      <c r="AE105" s="56"/>
      <c r="AF105" s="55"/>
      <c r="AG105" s="56"/>
      <c r="AH105" s="55"/>
      <c r="AI105" s="56"/>
      <c r="AJ105" s="58"/>
      <c r="AK105" s="56"/>
      <c r="AL105" s="56"/>
      <c r="AM105" s="56"/>
      <c r="AN105" s="56"/>
      <c r="AO105" s="54"/>
      <c r="AP105" s="56"/>
      <c r="AQ105" s="55"/>
      <c r="AR105" s="56"/>
      <c r="AS105" s="55"/>
      <c r="AT105" s="56"/>
      <c r="AU105" s="55"/>
      <c r="AV105" s="56"/>
      <c r="AW105" s="164"/>
      <c r="AX105" s="56"/>
      <c r="AY105" s="164"/>
      <c r="AZ105" s="56"/>
      <c r="BA105" s="57"/>
      <c r="BB105" s="56"/>
      <c r="BC105" s="55"/>
      <c r="BD105" s="56"/>
      <c r="BE105" s="56"/>
      <c r="BF105" s="54"/>
      <c r="BG105" s="56"/>
      <c r="BN105" s="192" t="str">
        <f t="shared" si="5"/>
        <v/>
      </c>
      <c r="BO105" s="197" t="str">
        <f t="shared" si="4"/>
        <v/>
      </c>
      <c r="BP105" s="197" t="str">
        <f t="shared" si="6"/>
        <v/>
      </c>
      <c r="BQ105" s="197" t="str">
        <f>IF(C105="","",IF(COUNTIF(BP$6:BP105,BP105)&gt;1,"",BP105))</f>
        <v/>
      </c>
      <c r="BR105" s="197" t="str">
        <f t="shared" si="7"/>
        <v/>
      </c>
    </row>
    <row r="106" spans="1:70" x14ac:dyDescent="0.2">
      <c r="A106" s="54"/>
      <c r="B106" s="54"/>
      <c r="C106" s="189"/>
      <c r="D106" s="55"/>
      <c r="E106" s="56"/>
      <c r="F106" s="55"/>
      <c r="G106" s="56"/>
      <c r="H106" s="55"/>
      <c r="I106" s="56"/>
      <c r="J106" s="55"/>
      <c r="K106" s="56"/>
      <c r="L106" s="175"/>
      <c r="M106" s="55"/>
      <c r="N106" s="56"/>
      <c r="O106" s="55"/>
      <c r="P106" s="56"/>
      <c r="Q106" s="56"/>
      <c r="R106" s="56"/>
      <c r="S106" s="56"/>
      <c r="T106" s="56"/>
      <c r="U106" s="56"/>
      <c r="V106" s="56"/>
      <c r="W106" s="56"/>
      <c r="X106" s="57"/>
      <c r="Y106" s="134"/>
      <c r="Z106" s="55"/>
      <c r="AA106" s="56"/>
      <c r="AB106" s="56"/>
      <c r="AC106" s="56"/>
      <c r="AD106" s="56"/>
      <c r="AE106" s="56"/>
      <c r="AF106" s="55"/>
      <c r="AG106" s="56"/>
      <c r="AH106" s="55"/>
      <c r="AI106" s="56"/>
      <c r="AJ106" s="58"/>
      <c r="AK106" s="56"/>
      <c r="AL106" s="56"/>
      <c r="AM106" s="56"/>
      <c r="AN106" s="56"/>
      <c r="AO106" s="54"/>
      <c r="AP106" s="56"/>
      <c r="AQ106" s="55"/>
      <c r="AR106" s="56"/>
      <c r="AS106" s="55"/>
      <c r="AT106" s="56"/>
      <c r="AU106" s="55"/>
      <c r="AV106" s="56"/>
      <c r="AW106" s="164"/>
      <c r="AX106" s="56"/>
      <c r="AY106" s="164"/>
      <c r="AZ106" s="56"/>
      <c r="BA106" s="57"/>
      <c r="BB106" s="56"/>
      <c r="BC106" s="55"/>
      <c r="BD106" s="56"/>
      <c r="BE106" s="56"/>
      <c r="BF106" s="54"/>
      <c r="BG106" s="56"/>
      <c r="BN106" s="192" t="str">
        <f t="shared" si="5"/>
        <v/>
      </c>
      <c r="BO106" s="197" t="str">
        <f t="shared" si="4"/>
        <v/>
      </c>
      <c r="BP106" s="197" t="str">
        <f t="shared" si="6"/>
        <v/>
      </c>
      <c r="BQ106" s="197" t="str">
        <f>IF(C106="","",IF(COUNTIF(BP$6:BP106,BP106)&gt;1,"",BP106))</f>
        <v/>
      </c>
      <c r="BR106" s="197" t="str">
        <f t="shared" si="7"/>
        <v/>
      </c>
    </row>
    <row r="107" spans="1:70" x14ac:dyDescent="0.2">
      <c r="A107" s="54"/>
      <c r="B107" s="54"/>
      <c r="C107" s="189"/>
      <c r="D107" s="55"/>
      <c r="E107" s="56"/>
      <c r="F107" s="55"/>
      <c r="G107" s="56"/>
      <c r="H107" s="55"/>
      <c r="I107" s="56"/>
      <c r="J107" s="55"/>
      <c r="K107" s="56"/>
      <c r="L107" s="175"/>
      <c r="M107" s="55"/>
      <c r="N107" s="56"/>
      <c r="O107" s="55"/>
      <c r="P107" s="56"/>
      <c r="Q107" s="56"/>
      <c r="R107" s="56"/>
      <c r="S107" s="56"/>
      <c r="T107" s="56"/>
      <c r="U107" s="56"/>
      <c r="V107" s="56"/>
      <c r="W107" s="56"/>
      <c r="X107" s="57"/>
      <c r="Y107" s="134"/>
      <c r="Z107" s="55"/>
      <c r="AA107" s="56"/>
      <c r="AB107" s="56"/>
      <c r="AC107" s="56"/>
      <c r="AD107" s="56"/>
      <c r="AE107" s="56"/>
      <c r="AF107" s="55"/>
      <c r="AG107" s="56"/>
      <c r="AH107" s="55"/>
      <c r="AI107" s="56"/>
      <c r="AJ107" s="58"/>
      <c r="AK107" s="56"/>
      <c r="AL107" s="56"/>
      <c r="AM107" s="56"/>
      <c r="AN107" s="56"/>
      <c r="AO107" s="54"/>
      <c r="AP107" s="56"/>
      <c r="AQ107" s="55"/>
      <c r="AR107" s="56"/>
      <c r="AS107" s="55"/>
      <c r="AT107" s="56"/>
      <c r="AU107" s="55"/>
      <c r="AV107" s="56"/>
      <c r="AW107" s="164"/>
      <c r="AX107" s="56"/>
      <c r="AY107" s="164"/>
      <c r="AZ107" s="56"/>
      <c r="BA107" s="57"/>
      <c r="BB107" s="56"/>
      <c r="BC107" s="55"/>
      <c r="BD107" s="56"/>
      <c r="BE107" s="56"/>
      <c r="BF107" s="54"/>
      <c r="BG107" s="56"/>
      <c r="BN107" s="192" t="str">
        <f t="shared" si="5"/>
        <v/>
      </c>
      <c r="BO107" s="197" t="str">
        <f t="shared" si="4"/>
        <v/>
      </c>
      <c r="BP107" s="197" t="str">
        <f t="shared" si="6"/>
        <v/>
      </c>
      <c r="BQ107" s="197" t="str">
        <f>IF(C107="","",IF(COUNTIF(BP$6:BP107,BP107)&gt;1,"",BP107))</f>
        <v/>
      </c>
      <c r="BR107" s="197" t="str">
        <f t="shared" si="7"/>
        <v/>
      </c>
    </row>
    <row r="108" spans="1:70" x14ac:dyDescent="0.2">
      <c r="A108" s="54"/>
      <c r="B108" s="54"/>
      <c r="C108" s="189"/>
      <c r="D108" s="55"/>
      <c r="E108" s="56"/>
      <c r="F108" s="55"/>
      <c r="G108" s="56"/>
      <c r="H108" s="55"/>
      <c r="I108" s="56"/>
      <c r="J108" s="55"/>
      <c r="K108" s="56"/>
      <c r="L108" s="175"/>
      <c r="M108" s="55"/>
      <c r="N108" s="56"/>
      <c r="O108" s="55"/>
      <c r="P108" s="56"/>
      <c r="Q108" s="56"/>
      <c r="R108" s="56"/>
      <c r="S108" s="56"/>
      <c r="T108" s="56"/>
      <c r="U108" s="56"/>
      <c r="V108" s="56"/>
      <c r="W108" s="56"/>
      <c r="X108" s="57"/>
      <c r="Y108" s="134"/>
      <c r="Z108" s="55"/>
      <c r="AA108" s="56"/>
      <c r="AB108" s="56"/>
      <c r="AC108" s="56"/>
      <c r="AD108" s="56"/>
      <c r="AE108" s="56"/>
      <c r="AF108" s="55"/>
      <c r="AG108" s="56"/>
      <c r="AH108" s="55"/>
      <c r="AI108" s="56"/>
      <c r="AJ108" s="58"/>
      <c r="AK108" s="56"/>
      <c r="AL108" s="56"/>
      <c r="AM108" s="56"/>
      <c r="AN108" s="56"/>
      <c r="AO108" s="54"/>
      <c r="AP108" s="56"/>
      <c r="AQ108" s="55"/>
      <c r="AR108" s="56"/>
      <c r="AS108" s="55"/>
      <c r="AT108" s="56"/>
      <c r="AU108" s="55"/>
      <c r="AV108" s="56"/>
      <c r="AW108" s="164"/>
      <c r="AX108" s="56"/>
      <c r="AY108" s="164"/>
      <c r="AZ108" s="56"/>
      <c r="BA108" s="57"/>
      <c r="BB108" s="56"/>
      <c r="BC108" s="55"/>
      <c r="BD108" s="56"/>
      <c r="BE108" s="56"/>
      <c r="BF108" s="54"/>
      <c r="BG108" s="56"/>
      <c r="BN108" s="192" t="str">
        <f t="shared" si="5"/>
        <v/>
      </c>
      <c r="BO108" s="197" t="str">
        <f t="shared" si="4"/>
        <v/>
      </c>
      <c r="BP108" s="197" t="str">
        <f t="shared" si="6"/>
        <v/>
      </c>
      <c r="BQ108" s="197" t="str">
        <f>IF(C108="","",IF(COUNTIF(BP$6:BP108,BP108)&gt;1,"",BP108))</f>
        <v/>
      </c>
      <c r="BR108" s="197" t="str">
        <f t="shared" si="7"/>
        <v/>
      </c>
    </row>
    <row r="109" spans="1:70" x14ac:dyDescent="0.2">
      <c r="A109" s="54"/>
      <c r="B109" s="54"/>
      <c r="C109" s="189"/>
      <c r="D109" s="55"/>
      <c r="E109" s="56"/>
      <c r="F109" s="55"/>
      <c r="G109" s="56"/>
      <c r="H109" s="55"/>
      <c r="I109" s="56"/>
      <c r="J109" s="55"/>
      <c r="K109" s="56"/>
      <c r="L109" s="175"/>
      <c r="M109" s="55"/>
      <c r="N109" s="56"/>
      <c r="O109" s="55"/>
      <c r="P109" s="56"/>
      <c r="Q109" s="56"/>
      <c r="R109" s="56"/>
      <c r="S109" s="56"/>
      <c r="T109" s="56"/>
      <c r="U109" s="56"/>
      <c r="V109" s="56"/>
      <c r="W109" s="56"/>
      <c r="X109" s="57"/>
      <c r="Y109" s="134"/>
      <c r="Z109" s="55"/>
      <c r="AA109" s="56"/>
      <c r="AB109" s="56"/>
      <c r="AC109" s="56"/>
      <c r="AD109" s="56"/>
      <c r="AE109" s="56"/>
      <c r="AF109" s="55"/>
      <c r="AG109" s="56"/>
      <c r="AH109" s="55"/>
      <c r="AI109" s="56"/>
      <c r="AJ109" s="58"/>
      <c r="AK109" s="56"/>
      <c r="AL109" s="56"/>
      <c r="AM109" s="56"/>
      <c r="AN109" s="56"/>
      <c r="AO109" s="54"/>
      <c r="AP109" s="56"/>
      <c r="AQ109" s="55"/>
      <c r="AR109" s="56"/>
      <c r="AS109" s="55"/>
      <c r="AT109" s="56"/>
      <c r="AU109" s="55"/>
      <c r="AV109" s="56"/>
      <c r="AW109" s="164"/>
      <c r="AX109" s="56"/>
      <c r="AY109" s="164"/>
      <c r="AZ109" s="56"/>
      <c r="BA109" s="57"/>
      <c r="BB109" s="56"/>
      <c r="BC109" s="55"/>
      <c r="BD109" s="56"/>
      <c r="BE109" s="56"/>
      <c r="BF109" s="54"/>
      <c r="BG109" s="56"/>
      <c r="BN109" s="192" t="str">
        <f t="shared" si="5"/>
        <v/>
      </c>
      <c r="BO109" s="197" t="str">
        <f t="shared" si="4"/>
        <v/>
      </c>
      <c r="BP109" s="197" t="str">
        <f t="shared" si="6"/>
        <v/>
      </c>
      <c r="BQ109" s="197" t="str">
        <f>IF(C109="","",IF(COUNTIF(BP$6:BP109,BP109)&gt;1,"",BP109))</f>
        <v/>
      </c>
      <c r="BR109" s="197" t="str">
        <f t="shared" si="7"/>
        <v/>
      </c>
    </row>
    <row r="110" spans="1:70" x14ac:dyDescent="0.2">
      <c r="A110" s="54"/>
      <c r="B110" s="54"/>
      <c r="C110" s="189"/>
      <c r="D110" s="55"/>
      <c r="E110" s="56"/>
      <c r="F110" s="55"/>
      <c r="G110" s="56"/>
      <c r="H110" s="55"/>
      <c r="I110" s="56"/>
      <c r="J110" s="55"/>
      <c r="K110" s="56"/>
      <c r="L110" s="175"/>
      <c r="M110" s="55"/>
      <c r="N110" s="56"/>
      <c r="O110" s="55"/>
      <c r="P110" s="56"/>
      <c r="Q110" s="56"/>
      <c r="R110" s="56"/>
      <c r="S110" s="56"/>
      <c r="T110" s="56"/>
      <c r="U110" s="56"/>
      <c r="V110" s="56"/>
      <c r="W110" s="56"/>
      <c r="X110" s="57"/>
      <c r="Y110" s="134"/>
      <c r="Z110" s="55"/>
      <c r="AA110" s="56"/>
      <c r="AB110" s="56"/>
      <c r="AC110" s="56"/>
      <c r="AD110" s="56"/>
      <c r="AE110" s="56"/>
      <c r="AF110" s="55"/>
      <c r="AG110" s="56"/>
      <c r="AH110" s="55"/>
      <c r="AI110" s="56"/>
      <c r="AJ110" s="58"/>
      <c r="AK110" s="56"/>
      <c r="AL110" s="56"/>
      <c r="AM110" s="56"/>
      <c r="AN110" s="56"/>
      <c r="AO110" s="54"/>
      <c r="AP110" s="56"/>
      <c r="AQ110" s="55"/>
      <c r="AR110" s="56"/>
      <c r="AS110" s="55"/>
      <c r="AT110" s="56"/>
      <c r="AU110" s="55"/>
      <c r="AV110" s="56"/>
      <c r="AW110" s="164"/>
      <c r="AX110" s="56"/>
      <c r="AY110" s="164"/>
      <c r="AZ110" s="56"/>
      <c r="BA110" s="57"/>
      <c r="BB110" s="56"/>
      <c r="BC110" s="55"/>
      <c r="BD110" s="56"/>
      <c r="BE110" s="56"/>
      <c r="BF110" s="54"/>
      <c r="BG110" s="56"/>
      <c r="BN110" s="192" t="str">
        <f t="shared" si="5"/>
        <v/>
      </c>
      <c r="BO110" s="197" t="str">
        <f t="shared" si="4"/>
        <v/>
      </c>
      <c r="BP110" s="197" t="str">
        <f t="shared" si="6"/>
        <v/>
      </c>
      <c r="BQ110" s="197" t="str">
        <f>IF(C110="","",IF(COUNTIF(BP$6:BP110,BP110)&gt;1,"",BP110))</f>
        <v/>
      </c>
      <c r="BR110" s="197" t="str">
        <f t="shared" si="7"/>
        <v/>
      </c>
    </row>
    <row r="111" spans="1:70" x14ac:dyDescent="0.2">
      <c r="A111" s="54"/>
      <c r="B111" s="54"/>
      <c r="C111" s="189"/>
      <c r="D111" s="55"/>
      <c r="E111" s="56"/>
      <c r="F111" s="55"/>
      <c r="G111" s="56"/>
      <c r="H111" s="55"/>
      <c r="I111" s="56"/>
      <c r="J111" s="55"/>
      <c r="K111" s="56"/>
      <c r="L111" s="175"/>
      <c r="M111" s="55"/>
      <c r="N111" s="56"/>
      <c r="O111" s="55"/>
      <c r="P111" s="56"/>
      <c r="Q111" s="56"/>
      <c r="R111" s="56"/>
      <c r="S111" s="56"/>
      <c r="T111" s="56"/>
      <c r="U111" s="56"/>
      <c r="V111" s="56"/>
      <c r="W111" s="56"/>
      <c r="X111" s="57"/>
      <c r="Y111" s="134"/>
      <c r="Z111" s="55"/>
      <c r="AA111" s="56"/>
      <c r="AB111" s="56"/>
      <c r="AC111" s="56"/>
      <c r="AD111" s="56"/>
      <c r="AE111" s="56"/>
      <c r="AF111" s="55"/>
      <c r="AG111" s="56"/>
      <c r="AH111" s="55"/>
      <c r="AI111" s="56"/>
      <c r="AJ111" s="58"/>
      <c r="AK111" s="56"/>
      <c r="AL111" s="56"/>
      <c r="AM111" s="56"/>
      <c r="AN111" s="56"/>
      <c r="AO111" s="54"/>
      <c r="AP111" s="56"/>
      <c r="AQ111" s="55"/>
      <c r="AR111" s="56"/>
      <c r="AS111" s="55"/>
      <c r="AT111" s="56"/>
      <c r="AU111" s="55"/>
      <c r="AV111" s="56"/>
      <c r="AW111" s="164"/>
      <c r="AX111" s="56"/>
      <c r="AY111" s="164"/>
      <c r="AZ111" s="56"/>
      <c r="BA111" s="57"/>
      <c r="BB111" s="56"/>
      <c r="BC111" s="55"/>
      <c r="BD111" s="56"/>
      <c r="BE111" s="56"/>
      <c r="BF111" s="54"/>
      <c r="BG111" s="56"/>
      <c r="BN111" s="192" t="str">
        <f t="shared" si="5"/>
        <v/>
      </c>
      <c r="BO111" s="197" t="str">
        <f t="shared" si="4"/>
        <v/>
      </c>
      <c r="BP111" s="197" t="str">
        <f t="shared" si="6"/>
        <v/>
      </c>
      <c r="BQ111" s="197" t="str">
        <f>IF(C111="","",IF(COUNTIF(BP$6:BP111,BP111)&gt;1,"",BP111))</f>
        <v/>
      </c>
      <c r="BR111" s="197" t="str">
        <f t="shared" si="7"/>
        <v/>
      </c>
    </row>
    <row r="112" spans="1:70" x14ac:dyDescent="0.2">
      <c r="A112" s="54"/>
      <c r="B112" s="54"/>
      <c r="C112" s="189"/>
      <c r="D112" s="55"/>
      <c r="E112" s="56"/>
      <c r="F112" s="55"/>
      <c r="G112" s="56"/>
      <c r="H112" s="55"/>
      <c r="I112" s="56"/>
      <c r="J112" s="55"/>
      <c r="K112" s="56"/>
      <c r="L112" s="175"/>
      <c r="M112" s="55"/>
      <c r="N112" s="56"/>
      <c r="O112" s="55"/>
      <c r="P112" s="56"/>
      <c r="Q112" s="56"/>
      <c r="R112" s="56"/>
      <c r="S112" s="56"/>
      <c r="T112" s="56"/>
      <c r="U112" s="56"/>
      <c r="V112" s="56"/>
      <c r="W112" s="56"/>
      <c r="X112" s="57"/>
      <c r="Y112" s="134"/>
      <c r="Z112" s="55"/>
      <c r="AA112" s="56"/>
      <c r="AB112" s="56"/>
      <c r="AC112" s="56"/>
      <c r="AD112" s="56"/>
      <c r="AE112" s="56"/>
      <c r="AF112" s="55"/>
      <c r="AG112" s="56"/>
      <c r="AH112" s="55"/>
      <c r="AI112" s="56"/>
      <c r="AJ112" s="58"/>
      <c r="AK112" s="56"/>
      <c r="AL112" s="56"/>
      <c r="AM112" s="56"/>
      <c r="AN112" s="56"/>
      <c r="AO112" s="54"/>
      <c r="AP112" s="56"/>
      <c r="AQ112" s="55"/>
      <c r="AR112" s="56"/>
      <c r="AS112" s="55"/>
      <c r="AT112" s="56"/>
      <c r="AU112" s="55"/>
      <c r="AV112" s="56"/>
      <c r="AW112" s="164"/>
      <c r="AX112" s="56"/>
      <c r="AY112" s="164"/>
      <c r="AZ112" s="56"/>
      <c r="BA112" s="57"/>
      <c r="BB112" s="56"/>
      <c r="BC112" s="55"/>
      <c r="BD112" s="56"/>
      <c r="BE112" s="56"/>
      <c r="BF112" s="54"/>
      <c r="BG112" s="56"/>
      <c r="BN112" s="192" t="str">
        <f t="shared" si="5"/>
        <v/>
      </c>
      <c r="BO112" s="197" t="str">
        <f t="shared" si="4"/>
        <v/>
      </c>
      <c r="BP112" s="197" t="str">
        <f t="shared" si="6"/>
        <v/>
      </c>
      <c r="BQ112" s="197" t="str">
        <f>IF(C112="","",IF(COUNTIF(BP$6:BP112,BP112)&gt;1,"",BP112))</f>
        <v/>
      </c>
      <c r="BR112" s="197" t="str">
        <f t="shared" si="7"/>
        <v/>
      </c>
    </row>
    <row r="113" spans="1:70" x14ac:dyDescent="0.2">
      <c r="A113" s="54"/>
      <c r="B113" s="54"/>
      <c r="C113" s="189"/>
      <c r="D113" s="55"/>
      <c r="E113" s="56"/>
      <c r="F113" s="55"/>
      <c r="G113" s="56"/>
      <c r="H113" s="55"/>
      <c r="I113" s="56"/>
      <c r="J113" s="55"/>
      <c r="K113" s="56"/>
      <c r="L113" s="175"/>
      <c r="M113" s="55"/>
      <c r="N113" s="56"/>
      <c r="O113" s="55"/>
      <c r="P113" s="56"/>
      <c r="Q113" s="56"/>
      <c r="R113" s="56"/>
      <c r="S113" s="56"/>
      <c r="T113" s="56"/>
      <c r="U113" s="56"/>
      <c r="V113" s="56"/>
      <c r="W113" s="56"/>
      <c r="X113" s="57"/>
      <c r="Y113" s="134"/>
      <c r="Z113" s="55"/>
      <c r="AA113" s="56"/>
      <c r="AB113" s="56"/>
      <c r="AC113" s="56"/>
      <c r="AD113" s="56"/>
      <c r="AE113" s="56"/>
      <c r="AF113" s="55"/>
      <c r="AG113" s="56"/>
      <c r="AH113" s="55"/>
      <c r="AI113" s="56"/>
      <c r="AJ113" s="58"/>
      <c r="AK113" s="56"/>
      <c r="AL113" s="56"/>
      <c r="AM113" s="56"/>
      <c r="AN113" s="56"/>
      <c r="AO113" s="54"/>
      <c r="AP113" s="56"/>
      <c r="AQ113" s="55"/>
      <c r="AR113" s="56"/>
      <c r="AS113" s="55"/>
      <c r="AT113" s="56"/>
      <c r="AU113" s="55"/>
      <c r="AV113" s="56"/>
      <c r="AW113" s="164"/>
      <c r="AX113" s="56"/>
      <c r="AY113" s="164"/>
      <c r="AZ113" s="56"/>
      <c r="BA113" s="57"/>
      <c r="BB113" s="56"/>
      <c r="BC113" s="55"/>
      <c r="BD113" s="56"/>
      <c r="BE113" s="56"/>
      <c r="BF113" s="54"/>
      <c r="BG113" s="56"/>
      <c r="BN113" s="192" t="str">
        <f t="shared" si="5"/>
        <v/>
      </c>
      <c r="BO113" s="197" t="str">
        <f t="shared" si="4"/>
        <v/>
      </c>
      <c r="BP113" s="197" t="str">
        <f t="shared" si="6"/>
        <v/>
      </c>
      <c r="BQ113" s="197" t="str">
        <f>IF(C113="","",IF(COUNTIF(BP$6:BP113,BP113)&gt;1,"",BP113))</f>
        <v/>
      </c>
      <c r="BR113" s="197" t="str">
        <f t="shared" si="7"/>
        <v/>
      </c>
    </row>
    <row r="114" spans="1:70" x14ac:dyDescent="0.2">
      <c r="A114" s="54"/>
      <c r="B114" s="54"/>
      <c r="C114" s="189"/>
      <c r="D114" s="55"/>
      <c r="E114" s="56"/>
      <c r="F114" s="55"/>
      <c r="G114" s="56"/>
      <c r="H114" s="55"/>
      <c r="I114" s="56"/>
      <c r="J114" s="55"/>
      <c r="K114" s="56"/>
      <c r="L114" s="175"/>
      <c r="M114" s="55"/>
      <c r="N114" s="56"/>
      <c r="O114" s="55"/>
      <c r="P114" s="56"/>
      <c r="Q114" s="56"/>
      <c r="R114" s="56"/>
      <c r="S114" s="56"/>
      <c r="T114" s="56"/>
      <c r="U114" s="56"/>
      <c r="V114" s="56"/>
      <c r="W114" s="56"/>
      <c r="X114" s="57"/>
      <c r="Y114" s="134"/>
      <c r="Z114" s="55"/>
      <c r="AA114" s="56"/>
      <c r="AB114" s="56"/>
      <c r="AC114" s="56"/>
      <c r="AD114" s="56"/>
      <c r="AE114" s="56"/>
      <c r="AF114" s="55"/>
      <c r="AG114" s="56"/>
      <c r="AH114" s="55"/>
      <c r="AI114" s="56"/>
      <c r="AJ114" s="58"/>
      <c r="AK114" s="56"/>
      <c r="AL114" s="56"/>
      <c r="AM114" s="56"/>
      <c r="AN114" s="56"/>
      <c r="AO114" s="54"/>
      <c r="AP114" s="56"/>
      <c r="AQ114" s="55"/>
      <c r="AR114" s="56"/>
      <c r="AS114" s="55"/>
      <c r="AT114" s="56"/>
      <c r="AU114" s="55"/>
      <c r="AV114" s="56"/>
      <c r="AW114" s="164"/>
      <c r="AX114" s="56"/>
      <c r="AY114" s="164"/>
      <c r="AZ114" s="56"/>
      <c r="BA114" s="57"/>
      <c r="BB114" s="56"/>
      <c r="BC114" s="55"/>
      <c r="BD114" s="56"/>
      <c r="BE114" s="56"/>
      <c r="BF114" s="54"/>
      <c r="BG114" s="56"/>
      <c r="BN114" s="192" t="str">
        <f t="shared" si="5"/>
        <v/>
      </c>
      <c r="BO114" s="197" t="str">
        <f t="shared" si="4"/>
        <v/>
      </c>
      <c r="BP114" s="197" t="str">
        <f t="shared" si="6"/>
        <v/>
      </c>
      <c r="BQ114" s="197" t="str">
        <f>IF(C114="","",IF(COUNTIF(BP$6:BP114,BP114)&gt;1,"",BP114))</f>
        <v/>
      </c>
      <c r="BR114" s="197" t="str">
        <f t="shared" si="7"/>
        <v/>
      </c>
    </row>
    <row r="115" spans="1:70" x14ac:dyDescent="0.2">
      <c r="A115" s="54"/>
      <c r="B115" s="54"/>
      <c r="C115" s="189"/>
      <c r="D115" s="55"/>
      <c r="E115" s="56"/>
      <c r="F115" s="55"/>
      <c r="G115" s="56"/>
      <c r="H115" s="55"/>
      <c r="I115" s="56"/>
      <c r="J115" s="55"/>
      <c r="K115" s="56"/>
      <c r="L115" s="175"/>
      <c r="M115" s="55"/>
      <c r="N115" s="56"/>
      <c r="O115" s="55"/>
      <c r="P115" s="56"/>
      <c r="Q115" s="56"/>
      <c r="R115" s="56"/>
      <c r="S115" s="56"/>
      <c r="T115" s="56"/>
      <c r="U115" s="56"/>
      <c r="V115" s="56"/>
      <c r="W115" s="56"/>
      <c r="X115" s="57"/>
      <c r="Y115" s="134"/>
      <c r="Z115" s="55"/>
      <c r="AA115" s="56"/>
      <c r="AB115" s="56"/>
      <c r="AC115" s="56"/>
      <c r="AD115" s="56"/>
      <c r="AE115" s="56"/>
      <c r="AF115" s="55"/>
      <c r="AG115" s="56"/>
      <c r="AH115" s="55"/>
      <c r="AI115" s="56"/>
      <c r="AJ115" s="58"/>
      <c r="AK115" s="56"/>
      <c r="AL115" s="56"/>
      <c r="AM115" s="56"/>
      <c r="AN115" s="56"/>
      <c r="AO115" s="54"/>
      <c r="AP115" s="56"/>
      <c r="AQ115" s="55"/>
      <c r="AR115" s="56"/>
      <c r="AS115" s="55"/>
      <c r="AT115" s="56"/>
      <c r="AU115" s="55"/>
      <c r="AV115" s="56"/>
      <c r="AW115" s="164"/>
      <c r="AX115" s="56"/>
      <c r="AY115" s="164"/>
      <c r="AZ115" s="56"/>
      <c r="BA115" s="57"/>
      <c r="BB115" s="56"/>
      <c r="BC115" s="55"/>
      <c r="BD115" s="56"/>
      <c r="BE115" s="56"/>
      <c r="BF115" s="54"/>
      <c r="BG115" s="56"/>
      <c r="BN115" s="192" t="str">
        <f t="shared" si="5"/>
        <v/>
      </c>
      <c r="BO115" s="197" t="str">
        <f t="shared" si="4"/>
        <v/>
      </c>
      <c r="BP115" s="197" t="str">
        <f t="shared" si="6"/>
        <v/>
      </c>
      <c r="BQ115" s="197" t="str">
        <f>IF(C115="","",IF(COUNTIF(BP$6:BP115,BP115)&gt;1,"",BP115))</f>
        <v/>
      </c>
      <c r="BR115" s="197" t="str">
        <f t="shared" si="7"/>
        <v/>
      </c>
    </row>
    <row r="116" spans="1:70" x14ac:dyDescent="0.2">
      <c r="A116" s="54"/>
      <c r="B116" s="54"/>
      <c r="C116" s="189"/>
      <c r="D116" s="55"/>
      <c r="E116" s="56"/>
      <c r="F116" s="55"/>
      <c r="G116" s="56"/>
      <c r="H116" s="55"/>
      <c r="I116" s="56"/>
      <c r="J116" s="55"/>
      <c r="K116" s="56"/>
      <c r="L116" s="175"/>
      <c r="M116" s="55"/>
      <c r="N116" s="56"/>
      <c r="O116" s="55"/>
      <c r="P116" s="56"/>
      <c r="Q116" s="56"/>
      <c r="R116" s="56"/>
      <c r="S116" s="56"/>
      <c r="T116" s="56"/>
      <c r="U116" s="56"/>
      <c r="V116" s="56"/>
      <c r="W116" s="56"/>
      <c r="X116" s="57"/>
      <c r="Y116" s="134"/>
      <c r="Z116" s="55"/>
      <c r="AA116" s="56"/>
      <c r="AB116" s="56"/>
      <c r="AC116" s="56"/>
      <c r="AD116" s="56"/>
      <c r="AE116" s="56"/>
      <c r="AF116" s="55"/>
      <c r="AG116" s="56"/>
      <c r="AH116" s="55"/>
      <c r="AI116" s="56"/>
      <c r="AJ116" s="58"/>
      <c r="AK116" s="56"/>
      <c r="AL116" s="56"/>
      <c r="AM116" s="56"/>
      <c r="AN116" s="56"/>
      <c r="AO116" s="54"/>
      <c r="AP116" s="56"/>
      <c r="AQ116" s="55"/>
      <c r="AR116" s="56"/>
      <c r="AS116" s="55"/>
      <c r="AT116" s="56"/>
      <c r="AU116" s="55"/>
      <c r="AV116" s="56"/>
      <c r="AW116" s="164"/>
      <c r="AX116" s="56"/>
      <c r="AY116" s="164"/>
      <c r="AZ116" s="56"/>
      <c r="BA116" s="57"/>
      <c r="BB116" s="56"/>
      <c r="BC116" s="55"/>
      <c r="BD116" s="56"/>
      <c r="BE116" s="56"/>
      <c r="BF116" s="54"/>
      <c r="BG116" s="56"/>
      <c r="BN116" s="192" t="str">
        <f t="shared" si="5"/>
        <v/>
      </c>
      <c r="BO116" s="197" t="str">
        <f t="shared" si="4"/>
        <v/>
      </c>
      <c r="BP116" s="197" t="str">
        <f t="shared" si="6"/>
        <v/>
      </c>
      <c r="BQ116" s="197" t="str">
        <f>IF(C116="","",IF(COUNTIF(BP$6:BP116,BP116)&gt;1,"",BP116))</f>
        <v/>
      </c>
      <c r="BR116" s="197" t="str">
        <f t="shared" si="7"/>
        <v/>
      </c>
    </row>
    <row r="117" spans="1:70" x14ac:dyDescent="0.2">
      <c r="A117" s="54"/>
      <c r="B117" s="54"/>
      <c r="C117" s="189"/>
      <c r="D117" s="55"/>
      <c r="E117" s="56"/>
      <c r="F117" s="55"/>
      <c r="G117" s="56"/>
      <c r="H117" s="55"/>
      <c r="I117" s="56"/>
      <c r="J117" s="55"/>
      <c r="K117" s="56"/>
      <c r="L117" s="175"/>
      <c r="M117" s="55"/>
      <c r="N117" s="56"/>
      <c r="O117" s="55"/>
      <c r="P117" s="56"/>
      <c r="Q117" s="56"/>
      <c r="R117" s="56"/>
      <c r="S117" s="56"/>
      <c r="T117" s="56"/>
      <c r="U117" s="56"/>
      <c r="V117" s="56"/>
      <c r="W117" s="56"/>
      <c r="X117" s="57"/>
      <c r="Y117" s="134"/>
      <c r="Z117" s="55"/>
      <c r="AA117" s="56"/>
      <c r="AB117" s="56"/>
      <c r="AC117" s="56"/>
      <c r="AD117" s="56"/>
      <c r="AE117" s="56"/>
      <c r="AF117" s="55"/>
      <c r="AG117" s="56"/>
      <c r="AH117" s="55"/>
      <c r="AI117" s="56"/>
      <c r="AJ117" s="58"/>
      <c r="AK117" s="56"/>
      <c r="AL117" s="56"/>
      <c r="AM117" s="56"/>
      <c r="AN117" s="56"/>
      <c r="AO117" s="54"/>
      <c r="AP117" s="56"/>
      <c r="AQ117" s="55"/>
      <c r="AR117" s="56"/>
      <c r="AS117" s="55"/>
      <c r="AT117" s="56"/>
      <c r="AU117" s="55"/>
      <c r="AV117" s="56"/>
      <c r="AW117" s="164"/>
      <c r="AX117" s="56"/>
      <c r="AY117" s="164"/>
      <c r="AZ117" s="56"/>
      <c r="BA117" s="57"/>
      <c r="BB117" s="56"/>
      <c r="BC117" s="55"/>
      <c r="BD117" s="56"/>
      <c r="BE117" s="56"/>
      <c r="BF117" s="54"/>
      <c r="BG117" s="56"/>
      <c r="BN117" s="192" t="str">
        <f t="shared" si="5"/>
        <v/>
      </c>
      <c r="BO117" s="197" t="str">
        <f t="shared" si="4"/>
        <v/>
      </c>
      <c r="BP117" s="197" t="str">
        <f t="shared" si="6"/>
        <v/>
      </c>
      <c r="BQ117" s="197" t="str">
        <f>IF(C117="","",IF(COUNTIF(BP$6:BP117,BP117)&gt;1,"",BP117))</f>
        <v/>
      </c>
      <c r="BR117" s="197" t="str">
        <f t="shared" si="7"/>
        <v/>
      </c>
    </row>
    <row r="118" spans="1:70" x14ac:dyDescent="0.2">
      <c r="A118" s="54"/>
      <c r="B118" s="54"/>
      <c r="C118" s="189"/>
      <c r="D118" s="55"/>
      <c r="E118" s="56"/>
      <c r="F118" s="55"/>
      <c r="G118" s="56"/>
      <c r="H118" s="55"/>
      <c r="I118" s="56"/>
      <c r="J118" s="55"/>
      <c r="K118" s="56"/>
      <c r="L118" s="175"/>
      <c r="M118" s="55"/>
      <c r="N118" s="56"/>
      <c r="O118" s="55"/>
      <c r="P118" s="56"/>
      <c r="Q118" s="56"/>
      <c r="R118" s="56"/>
      <c r="S118" s="56"/>
      <c r="T118" s="56"/>
      <c r="U118" s="56"/>
      <c r="V118" s="56"/>
      <c r="W118" s="56"/>
      <c r="X118" s="57"/>
      <c r="Y118" s="134"/>
      <c r="Z118" s="55"/>
      <c r="AA118" s="56"/>
      <c r="AB118" s="56"/>
      <c r="AC118" s="56"/>
      <c r="AD118" s="56"/>
      <c r="AE118" s="56"/>
      <c r="AF118" s="55"/>
      <c r="AG118" s="56"/>
      <c r="AH118" s="55"/>
      <c r="AI118" s="56"/>
      <c r="AJ118" s="58"/>
      <c r="AK118" s="56"/>
      <c r="AL118" s="56"/>
      <c r="AM118" s="56"/>
      <c r="AN118" s="56"/>
      <c r="AO118" s="54"/>
      <c r="AP118" s="56"/>
      <c r="AQ118" s="55"/>
      <c r="AR118" s="56"/>
      <c r="AS118" s="55"/>
      <c r="AT118" s="56"/>
      <c r="AU118" s="55"/>
      <c r="AV118" s="56"/>
      <c r="AW118" s="164"/>
      <c r="AX118" s="56"/>
      <c r="AY118" s="164"/>
      <c r="AZ118" s="56"/>
      <c r="BA118" s="57"/>
      <c r="BB118" s="56"/>
      <c r="BC118" s="55"/>
      <c r="BD118" s="56"/>
      <c r="BE118" s="56"/>
      <c r="BF118" s="54"/>
      <c r="BG118" s="56"/>
      <c r="BN118" s="192" t="str">
        <f t="shared" si="5"/>
        <v/>
      </c>
      <c r="BO118" s="197" t="str">
        <f t="shared" si="4"/>
        <v/>
      </c>
      <c r="BP118" s="197" t="str">
        <f t="shared" si="6"/>
        <v/>
      </c>
      <c r="BQ118" s="197" t="str">
        <f>IF(C118="","",IF(COUNTIF(BP$6:BP118,BP118)&gt;1,"",BP118))</f>
        <v/>
      </c>
      <c r="BR118" s="197" t="str">
        <f t="shared" si="7"/>
        <v/>
      </c>
    </row>
    <row r="119" spans="1:70" x14ac:dyDescent="0.2">
      <c r="A119" s="54"/>
      <c r="B119" s="54"/>
      <c r="C119" s="189"/>
      <c r="D119" s="55"/>
      <c r="E119" s="56"/>
      <c r="F119" s="55"/>
      <c r="G119" s="56"/>
      <c r="H119" s="55"/>
      <c r="I119" s="56"/>
      <c r="J119" s="55"/>
      <c r="K119" s="56"/>
      <c r="L119" s="175"/>
      <c r="M119" s="55"/>
      <c r="N119" s="56"/>
      <c r="O119" s="55"/>
      <c r="P119" s="56"/>
      <c r="Q119" s="56"/>
      <c r="R119" s="56"/>
      <c r="S119" s="56"/>
      <c r="T119" s="56"/>
      <c r="U119" s="56"/>
      <c r="V119" s="56"/>
      <c r="W119" s="56"/>
      <c r="X119" s="57"/>
      <c r="Y119" s="134"/>
      <c r="Z119" s="55"/>
      <c r="AA119" s="56"/>
      <c r="AB119" s="56"/>
      <c r="AC119" s="56"/>
      <c r="AD119" s="56"/>
      <c r="AE119" s="56"/>
      <c r="AF119" s="55"/>
      <c r="AG119" s="56"/>
      <c r="AH119" s="55"/>
      <c r="AI119" s="56"/>
      <c r="AJ119" s="58"/>
      <c r="AK119" s="56"/>
      <c r="AL119" s="56"/>
      <c r="AM119" s="56"/>
      <c r="AN119" s="56"/>
      <c r="AO119" s="54"/>
      <c r="AP119" s="56"/>
      <c r="AQ119" s="55"/>
      <c r="AR119" s="56"/>
      <c r="AS119" s="55"/>
      <c r="AT119" s="56"/>
      <c r="AU119" s="55"/>
      <c r="AV119" s="56"/>
      <c r="AW119" s="164"/>
      <c r="AX119" s="56"/>
      <c r="AY119" s="164"/>
      <c r="AZ119" s="56"/>
      <c r="BA119" s="57"/>
      <c r="BB119" s="56"/>
      <c r="BC119" s="55"/>
      <c r="BD119" s="56"/>
      <c r="BE119" s="56"/>
      <c r="BF119" s="54"/>
      <c r="BG119" s="56"/>
      <c r="BN119" s="192" t="str">
        <f t="shared" si="5"/>
        <v/>
      </c>
      <c r="BO119" s="197" t="str">
        <f t="shared" si="4"/>
        <v/>
      </c>
      <c r="BP119" s="197" t="str">
        <f t="shared" si="6"/>
        <v/>
      </c>
      <c r="BQ119" s="197" t="str">
        <f>IF(C119="","",IF(COUNTIF(BP$6:BP119,BP119)&gt;1,"",BP119))</f>
        <v/>
      </c>
      <c r="BR119" s="197" t="str">
        <f t="shared" si="7"/>
        <v/>
      </c>
    </row>
    <row r="120" spans="1:70" x14ac:dyDescent="0.2">
      <c r="A120" s="54"/>
      <c r="B120" s="54"/>
      <c r="C120" s="189"/>
      <c r="D120" s="55"/>
      <c r="E120" s="56"/>
      <c r="F120" s="55"/>
      <c r="G120" s="56"/>
      <c r="H120" s="55"/>
      <c r="I120" s="56"/>
      <c r="J120" s="55"/>
      <c r="K120" s="56"/>
      <c r="L120" s="175"/>
      <c r="M120" s="55"/>
      <c r="N120" s="56"/>
      <c r="O120" s="55"/>
      <c r="P120" s="56"/>
      <c r="Q120" s="56"/>
      <c r="R120" s="56"/>
      <c r="S120" s="56"/>
      <c r="T120" s="56"/>
      <c r="U120" s="56"/>
      <c r="V120" s="56"/>
      <c r="W120" s="56"/>
      <c r="X120" s="57"/>
      <c r="Y120" s="134"/>
      <c r="Z120" s="55"/>
      <c r="AA120" s="56"/>
      <c r="AB120" s="56"/>
      <c r="AC120" s="56"/>
      <c r="AD120" s="56"/>
      <c r="AE120" s="56"/>
      <c r="AF120" s="55"/>
      <c r="AG120" s="56"/>
      <c r="AH120" s="55"/>
      <c r="AI120" s="56"/>
      <c r="AJ120" s="58"/>
      <c r="AK120" s="56"/>
      <c r="AL120" s="56"/>
      <c r="AM120" s="56"/>
      <c r="AN120" s="56"/>
      <c r="AO120" s="54"/>
      <c r="AP120" s="56"/>
      <c r="AQ120" s="55"/>
      <c r="AR120" s="56"/>
      <c r="AS120" s="55"/>
      <c r="AT120" s="56"/>
      <c r="AU120" s="55"/>
      <c r="AV120" s="56"/>
      <c r="AW120" s="164"/>
      <c r="AX120" s="56"/>
      <c r="AY120" s="164"/>
      <c r="AZ120" s="56"/>
      <c r="BA120" s="57"/>
      <c r="BB120" s="56"/>
      <c r="BC120" s="55"/>
      <c r="BD120" s="56"/>
      <c r="BE120" s="56"/>
      <c r="BF120" s="54"/>
      <c r="BG120" s="56"/>
      <c r="BN120" s="192" t="str">
        <f t="shared" si="5"/>
        <v/>
      </c>
      <c r="BO120" s="197" t="str">
        <f t="shared" si="4"/>
        <v/>
      </c>
      <c r="BP120" s="197" t="str">
        <f t="shared" si="6"/>
        <v/>
      </c>
      <c r="BQ120" s="197" t="str">
        <f>IF(C120="","",IF(COUNTIF(BP$6:BP120,BP120)&gt;1,"",BP120))</f>
        <v/>
      </c>
      <c r="BR120" s="197" t="str">
        <f t="shared" si="7"/>
        <v/>
      </c>
    </row>
    <row r="121" spans="1:70" x14ac:dyDescent="0.2">
      <c r="A121" s="54"/>
      <c r="B121" s="54"/>
      <c r="C121" s="189"/>
      <c r="D121" s="55"/>
      <c r="E121" s="56"/>
      <c r="F121" s="55"/>
      <c r="G121" s="56"/>
      <c r="H121" s="55"/>
      <c r="I121" s="56"/>
      <c r="J121" s="55"/>
      <c r="K121" s="56"/>
      <c r="L121" s="175"/>
      <c r="M121" s="55"/>
      <c r="N121" s="56"/>
      <c r="O121" s="55"/>
      <c r="P121" s="56"/>
      <c r="Q121" s="56"/>
      <c r="R121" s="56"/>
      <c r="S121" s="56"/>
      <c r="T121" s="56"/>
      <c r="U121" s="56"/>
      <c r="V121" s="56"/>
      <c r="W121" s="56"/>
      <c r="X121" s="57"/>
      <c r="Y121" s="134"/>
      <c r="Z121" s="55"/>
      <c r="AA121" s="56"/>
      <c r="AB121" s="56"/>
      <c r="AC121" s="56"/>
      <c r="AD121" s="56"/>
      <c r="AE121" s="56"/>
      <c r="AF121" s="55"/>
      <c r="AG121" s="56"/>
      <c r="AH121" s="55"/>
      <c r="AI121" s="56"/>
      <c r="AJ121" s="58"/>
      <c r="AK121" s="56"/>
      <c r="AL121" s="56"/>
      <c r="AM121" s="56"/>
      <c r="AN121" s="56"/>
      <c r="AO121" s="54"/>
      <c r="AP121" s="56"/>
      <c r="AQ121" s="55"/>
      <c r="AR121" s="56"/>
      <c r="AS121" s="55"/>
      <c r="AT121" s="56"/>
      <c r="AU121" s="55"/>
      <c r="AV121" s="56"/>
      <c r="AW121" s="164"/>
      <c r="AX121" s="56"/>
      <c r="AY121" s="164"/>
      <c r="AZ121" s="56"/>
      <c r="BA121" s="57"/>
      <c r="BB121" s="56"/>
      <c r="BC121" s="55"/>
      <c r="BD121" s="56"/>
      <c r="BE121" s="56"/>
      <c r="BF121" s="54"/>
      <c r="BG121" s="56"/>
      <c r="BN121" s="192" t="str">
        <f t="shared" si="5"/>
        <v/>
      </c>
      <c r="BO121" s="197" t="str">
        <f t="shared" si="4"/>
        <v/>
      </c>
      <c r="BP121" s="197" t="str">
        <f t="shared" si="6"/>
        <v/>
      </c>
      <c r="BQ121" s="197" t="str">
        <f>IF(C121="","",IF(COUNTIF(BP$6:BP121,BP121)&gt;1,"",BP121))</f>
        <v/>
      </c>
      <c r="BR121" s="197" t="str">
        <f t="shared" si="7"/>
        <v/>
      </c>
    </row>
    <row r="122" spans="1:70" x14ac:dyDescent="0.2">
      <c r="A122" s="54"/>
      <c r="B122" s="54"/>
      <c r="C122" s="189"/>
      <c r="D122" s="55"/>
      <c r="E122" s="56"/>
      <c r="F122" s="55"/>
      <c r="G122" s="56"/>
      <c r="H122" s="55"/>
      <c r="I122" s="56"/>
      <c r="J122" s="55"/>
      <c r="K122" s="56"/>
      <c r="L122" s="175"/>
      <c r="M122" s="55"/>
      <c r="N122" s="56"/>
      <c r="O122" s="55"/>
      <c r="P122" s="56"/>
      <c r="Q122" s="56"/>
      <c r="R122" s="56"/>
      <c r="S122" s="56"/>
      <c r="T122" s="56"/>
      <c r="U122" s="56"/>
      <c r="V122" s="56"/>
      <c r="W122" s="56"/>
      <c r="X122" s="57"/>
      <c r="Y122" s="134"/>
      <c r="Z122" s="55"/>
      <c r="AA122" s="56"/>
      <c r="AB122" s="56"/>
      <c r="AC122" s="56"/>
      <c r="AD122" s="56"/>
      <c r="AE122" s="56"/>
      <c r="AF122" s="55"/>
      <c r="AG122" s="56"/>
      <c r="AH122" s="55"/>
      <c r="AI122" s="56"/>
      <c r="AJ122" s="58"/>
      <c r="AK122" s="56"/>
      <c r="AL122" s="56"/>
      <c r="AM122" s="56"/>
      <c r="AN122" s="56"/>
      <c r="AO122" s="54"/>
      <c r="AP122" s="56"/>
      <c r="AQ122" s="55"/>
      <c r="AR122" s="56"/>
      <c r="AS122" s="55"/>
      <c r="AT122" s="56"/>
      <c r="AU122" s="55"/>
      <c r="AV122" s="56"/>
      <c r="AW122" s="164"/>
      <c r="AX122" s="56"/>
      <c r="AY122" s="164"/>
      <c r="AZ122" s="56"/>
      <c r="BA122" s="57"/>
      <c r="BB122" s="56"/>
      <c r="BC122" s="55"/>
      <c r="BD122" s="56"/>
      <c r="BE122" s="56"/>
      <c r="BF122" s="54"/>
      <c r="BG122" s="56"/>
      <c r="BN122" s="192" t="str">
        <f t="shared" si="5"/>
        <v/>
      </c>
      <c r="BO122" s="197" t="str">
        <f t="shared" si="4"/>
        <v/>
      </c>
      <c r="BP122" s="197" t="str">
        <f t="shared" si="6"/>
        <v/>
      </c>
      <c r="BQ122" s="197" t="str">
        <f>IF(C122="","",IF(COUNTIF(BP$6:BP122,BP122)&gt;1,"",BP122))</f>
        <v/>
      </c>
      <c r="BR122" s="197" t="str">
        <f t="shared" si="7"/>
        <v/>
      </c>
    </row>
    <row r="123" spans="1:70" x14ac:dyDescent="0.2">
      <c r="A123" s="54"/>
      <c r="B123" s="54"/>
      <c r="C123" s="189"/>
      <c r="D123" s="55"/>
      <c r="E123" s="56"/>
      <c r="F123" s="55"/>
      <c r="G123" s="56"/>
      <c r="H123" s="55"/>
      <c r="I123" s="56"/>
      <c r="J123" s="55"/>
      <c r="K123" s="56"/>
      <c r="L123" s="175"/>
      <c r="M123" s="55"/>
      <c r="N123" s="56"/>
      <c r="O123" s="55"/>
      <c r="P123" s="56"/>
      <c r="Q123" s="56"/>
      <c r="R123" s="56"/>
      <c r="S123" s="56"/>
      <c r="T123" s="56"/>
      <c r="U123" s="56"/>
      <c r="V123" s="56"/>
      <c r="W123" s="56"/>
      <c r="X123" s="57"/>
      <c r="Y123" s="134"/>
      <c r="Z123" s="55"/>
      <c r="AA123" s="56"/>
      <c r="AB123" s="56"/>
      <c r="AC123" s="56"/>
      <c r="AD123" s="56"/>
      <c r="AE123" s="56"/>
      <c r="AF123" s="55"/>
      <c r="AG123" s="56"/>
      <c r="AH123" s="55"/>
      <c r="AI123" s="56"/>
      <c r="AJ123" s="58"/>
      <c r="AK123" s="56"/>
      <c r="AL123" s="56"/>
      <c r="AM123" s="56"/>
      <c r="AN123" s="56"/>
      <c r="AO123" s="54"/>
      <c r="AP123" s="56"/>
      <c r="AQ123" s="55"/>
      <c r="AR123" s="56"/>
      <c r="AS123" s="55"/>
      <c r="AT123" s="56"/>
      <c r="AU123" s="55"/>
      <c r="AV123" s="56"/>
      <c r="AW123" s="164"/>
      <c r="AX123" s="56"/>
      <c r="AY123" s="164"/>
      <c r="AZ123" s="56"/>
      <c r="BA123" s="57"/>
      <c r="BB123" s="56"/>
      <c r="BC123" s="55"/>
      <c r="BD123" s="56"/>
      <c r="BE123" s="56"/>
      <c r="BF123" s="54"/>
      <c r="BG123" s="56"/>
      <c r="BN123" s="192" t="str">
        <f t="shared" si="5"/>
        <v/>
      </c>
      <c r="BO123" s="197" t="str">
        <f t="shared" si="4"/>
        <v/>
      </c>
      <c r="BP123" s="197" t="str">
        <f t="shared" si="6"/>
        <v/>
      </c>
      <c r="BQ123" s="197" t="str">
        <f>IF(C123="","",IF(COUNTIF(BP$6:BP123,BP123)&gt;1,"",BP123))</f>
        <v/>
      </c>
      <c r="BR123" s="197" t="str">
        <f t="shared" si="7"/>
        <v/>
      </c>
    </row>
    <row r="124" spans="1:70" x14ac:dyDescent="0.2">
      <c r="A124" s="54"/>
      <c r="B124" s="54"/>
      <c r="C124" s="189"/>
      <c r="D124" s="55"/>
      <c r="E124" s="56"/>
      <c r="F124" s="55"/>
      <c r="G124" s="56"/>
      <c r="H124" s="55"/>
      <c r="I124" s="56"/>
      <c r="J124" s="55"/>
      <c r="K124" s="56"/>
      <c r="L124" s="175"/>
      <c r="M124" s="55"/>
      <c r="N124" s="56"/>
      <c r="O124" s="55"/>
      <c r="P124" s="56"/>
      <c r="Q124" s="56"/>
      <c r="R124" s="56"/>
      <c r="S124" s="56"/>
      <c r="T124" s="56"/>
      <c r="U124" s="56"/>
      <c r="V124" s="56"/>
      <c r="W124" s="56"/>
      <c r="X124" s="57"/>
      <c r="Y124" s="134"/>
      <c r="Z124" s="55"/>
      <c r="AA124" s="56"/>
      <c r="AB124" s="56"/>
      <c r="AC124" s="56"/>
      <c r="AD124" s="56"/>
      <c r="AE124" s="56"/>
      <c r="AF124" s="55"/>
      <c r="AG124" s="56"/>
      <c r="AH124" s="55"/>
      <c r="AI124" s="56"/>
      <c r="AJ124" s="58"/>
      <c r="AK124" s="56"/>
      <c r="AL124" s="56"/>
      <c r="AM124" s="56"/>
      <c r="AN124" s="56"/>
      <c r="AO124" s="54"/>
      <c r="AP124" s="56"/>
      <c r="AQ124" s="55"/>
      <c r="AR124" s="56"/>
      <c r="AS124" s="55"/>
      <c r="AT124" s="56"/>
      <c r="AU124" s="55"/>
      <c r="AV124" s="56"/>
      <c r="AW124" s="164"/>
      <c r="AX124" s="56"/>
      <c r="AY124" s="164"/>
      <c r="AZ124" s="56"/>
      <c r="BA124" s="57"/>
      <c r="BB124" s="56"/>
      <c r="BC124" s="55"/>
      <c r="BD124" s="56"/>
      <c r="BE124" s="56"/>
      <c r="BF124" s="54"/>
      <c r="BG124" s="56"/>
      <c r="BN124" s="192" t="str">
        <f t="shared" si="5"/>
        <v/>
      </c>
      <c r="BO124" s="197" t="str">
        <f t="shared" si="4"/>
        <v/>
      </c>
      <c r="BP124" s="197" t="str">
        <f t="shared" si="6"/>
        <v/>
      </c>
      <c r="BQ124" s="197" t="str">
        <f>IF(C124="","",IF(COUNTIF(BP$6:BP124,BP124)&gt;1,"",BP124))</f>
        <v/>
      </c>
      <c r="BR124" s="197" t="str">
        <f t="shared" si="7"/>
        <v/>
      </c>
    </row>
    <row r="125" spans="1:70" x14ac:dyDescent="0.2">
      <c r="A125" s="54"/>
      <c r="B125" s="54"/>
      <c r="C125" s="189"/>
      <c r="D125" s="55"/>
      <c r="E125" s="56"/>
      <c r="F125" s="55"/>
      <c r="G125" s="56"/>
      <c r="H125" s="55"/>
      <c r="I125" s="56"/>
      <c r="J125" s="55"/>
      <c r="K125" s="56"/>
      <c r="L125" s="175"/>
      <c r="M125" s="55"/>
      <c r="N125" s="56"/>
      <c r="O125" s="55"/>
      <c r="P125" s="56"/>
      <c r="Q125" s="56"/>
      <c r="R125" s="56"/>
      <c r="S125" s="56"/>
      <c r="T125" s="56"/>
      <c r="U125" s="56"/>
      <c r="V125" s="56"/>
      <c r="W125" s="56"/>
      <c r="X125" s="57"/>
      <c r="Y125" s="134"/>
      <c r="Z125" s="55"/>
      <c r="AA125" s="56"/>
      <c r="AB125" s="56"/>
      <c r="AC125" s="56"/>
      <c r="AD125" s="56"/>
      <c r="AE125" s="56"/>
      <c r="AF125" s="55"/>
      <c r="AG125" s="56"/>
      <c r="AH125" s="55"/>
      <c r="AI125" s="56"/>
      <c r="AJ125" s="58"/>
      <c r="AK125" s="56"/>
      <c r="AL125" s="56"/>
      <c r="AM125" s="56"/>
      <c r="AN125" s="56"/>
      <c r="AO125" s="54"/>
      <c r="AP125" s="56"/>
      <c r="AQ125" s="55"/>
      <c r="AR125" s="56"/>
      <c r="AS125" s="55"/>
      <c r="AT125" s="56"/>
      <c r="AU125" s="55"/>
      <c r="AV125" s="56"/>
      <c r="AW125" s="164"/>
      <c r="AX125" s="56"/>
      <c r="AY125" s="164"/>
      <c r="AZ125" s="56"/>
      <c r="BA125" s="57"/>
      <c r="BB125" s="56"/>
      <c r="BC125" s="55"/>
      <c r="BD125" s="56"/>
      <c r="BE125" s="56"/>
      <c r="BF125" s="54"/>
      <c r="BG125" s="56"/>
      <c r="BN125" s="192" t="str">
        <f t="shared" si="5"/>
        <v/>
      </c>
      <c r="BO125" s="197" t="str">
        <f t="shared" si="4"/>
        <v/>
      </c>
      <c r="BP125" s="197" t="str">
        <f t="shared" si="6"/>
        <v/>
      </c>
      <c r="BQ125" s="197" t="str">
        <f>IF(C125="","",IF(COUNTIF(BP$6:BP125,BP125)&gt;1,"",BP125))</f>
        <v/>
      </c>
      <c r="BR125" s="197" t="str">
        <f t="shared" si="7"/>
        <v/>
      </c>
    </row>
    <row r="126" spans="1:70" x14ac:dyDescent="0.2">
      <c r="A126" s="54"/>
      <c r="B126" s="54"/>
      <c r="C126" s="189"/>
      <c r="D126" s="55"/>
      <c r="E126" s="56"/>
      <c r="F126" s="55"/>
      <c r="G126" s="56"/>
      <c r="H126" s="55"/>
      <c r="I126" s="56"/>
      <c r="J126" s="55"/>
      <c r="K126" s="56"/>
      <c r="L126" s="175"/>
      <c r="M126" s="55"/>
      <c r="N126" s="56"/>
      <c r="O126" s="55"/>
      <c r="P126" s="56"/>
      <c r="Q126" s="56"/>
      <c r="R126" s="56"/>
      <c r="S126" s="56"/>
      <c r="T126" s="56"/>
      <c r="U126" s="56"/>
      <c r="V126" s="56"/>
      <c r="W126" s="56"/>
      <c r="X126" s="57"/>
      <c r="Y126" s="134"/>
      <c r="Z126" s="55"/>
      <c r="AA126" s="56"/>
      <c r="AB126" s="56"/>
      <c r="AC126" s="56"/>
      <c r="AD126" s="56"/>
      <c r="AE126" s="56"/>
      <c r="AF126" s="55"/>
      <c r="AG126" s="56"/>
      <c r="AH126" s="55"/>
      <c r="AI126" s="56"/>
      <c r="AJ126" s="58"/>
      <c r="AK126" s="56"/>
      <c r="AL126" s="56"/>
      <c r="AM126" s="56"/>
      <c r="AN126" s="56"/>
      <c r="AO126" s="54"/>
      <c r="AP126" s="56"/>
      <c r="AQ126" s="55"/>
      <c r="AR126" s="56"/>
      <c r="AS126" s="55"/>
      <c r="AT126" s="56"/>
      <c r="AU126" s="55"/>
      <c r="AV126" s="56"/>
      <c r="AW126" s="164"/>
      <c r="AX126" s="56"/>
      <c r="AY126" s="164"/>
      <c r="AZ126" s="56"/>
      <c r="BA126" s="57"/>
      <c r="BB126" s="56"/>
      <c r="BC126" s="55"/>
      <c r="BD126" s="56"/>
      <c r="BE126" s="56"/>
      <c r="BF126" s="54"/>
      <c r="BG126" s="56"/>
      <c r="BN126" s="192" t="str">
        <f t="shared" si="5"/>
        <v/>
      </c>
      <c r="BO126" s="197" t="str">
        <f t="shared" si="4"/>
        <v/>
      </c>
      <c r="BP126" s="197" t="str">
        <f t="shared" si="6"/>
        <v/>
      </c>
      <c r="BQ126" s="197" t="str">
        <f>IF(C126="","",IF(COUNTIF(BP$6:BP126,BP126)&gt;1,"",BP126))</f>
        <v/>
      </c>
      <c r="BR126" s="197" t="str">
        <f t="shared" si="7"/>
        <v/>
      </c>
    </row>
    <row r="127" spans="1:70" x14ac:dyDescent="0.2">
      <c r="A127" s="54"/>
      <c r="B127" s="54"/>
      <c r="C127" s="189"/>
      <c r="D127" s="55"/>
      <c r="E127" s="56"/>
      <c r="F127" s="55"/>
      <c r="G127" s="56"/>
      <c r="H127" s="55"/>
      <c r="I127" s="56"/>
      <c r="J127" s="55"/>
      <c r="K127" s="56"/>
      <c r="L127" s="175"/>
      <c r="M127" s="55"/>
      <c r="N127" s="56"/>
      <c r="O127" s="55"/>
      <c r="P127" s="56"/>
      <c r="Q127" s="56"/>
      <c r="R127" s="56"/>
      <c r="S127" s="56"/>
      <c r="T127" s="56"/>
      <c r="U127" s="56"/>
      <c r="V127" s="56"/>
      <c r="W127" s="56"/>
      <c r="X127" s="57"/>
      <c r="Y127" s="134"/>
      <c r="Z127" s="55"/>
      <c r="AA127" s="56"/>
      <c r="AB127" s="56"/>
      <c r="AC127" s="56"/>
      <c r="AD127" s="56"/>
      <c r="AE127" s="56"/>
      <c r="AF127" s="55"/>
      <c r="AG127" s="56"/>
      <c r="AH127" s="55"/>
      <c r="AI127" s="56"/>
      <c r="AJ127" s="58"/>
      <c r="AK127" s="56"/>
      <c r="AL127" s="56"/>
      <c r="AM127" s="56"/>
      <c r="AN127" s="56"/>
      <c r="AO127" s="54"/>
      <c r="AP127" s="56"/>
      <c r="AQ127" s="55"/>
      <c r="AR127" s="56"/>
      <c r="AS127" s="55"/>
      <c r="AT127" s="56"/>
      <c r="AU127" s="55"/>
      <c r="AV127" s="56"/>
      <c r="AW127" s="164"/>
      <c r="AX127" s="56"/>
      <c r="AY127" s="164"/>
      <c r="AZ127" s="56"/>
      <c r="BA127" s="57"/>
      <c r="BB127" s="56"/>
      <c r="BC127" s="55"/>
      <c r="BD127" s="56"/>
      <c r="BE127" s="56"/>
      <c r="BF127" s="54"/>
      <c r="BG127" s="56"/>
      <c r="BN127" s="192" t="str">
        <f t="shared" si="5"/>
        <v/>
      </c>
      <c r="BO127" s="197" t="str">
        <f t="shared" si="4"/>
        <v/>
      </c>
      <c r="BP127" s="197" t="str">
        <f t="shared" si="6"/>
        <v/>
      </c>
      <c r="BQ127" s="197" t="str">
        <f>IF(C127="","",IF(COUNTIF(BP$6:BP127,BP127)&gt;1,"",BP127))</f>
        <v/>
      </c>
      <c r="BR127" s="197" t="str">
        <f t="shared" si="7"/>
        <v/>
      </c>
    </row>
    <row r="128" spans="1:70" x14ac:dyDescent="0.2">
      <c r="A128" s="54"/>
      <c r="B128" s="54"/>
      <c r="C128" s="189"/>
      <c r="D128" s="55"/>
      <c r="E128" s="56"/>
      <c r="F128" s="55"/>
      <c r="G128" s="56"/>
      <c r="H128" s="55"/>
      <c r="I128" s="56"/>
      <c r="J128" s="55"/>
      <c r="K128" s="56"/>
      <c r="L128" s="175"/>
      <c r="M128" s="55"/>
      <c r="N128" s="56"/>
      <c r="O128" s="55"/>
      <c r="P128" s="56"/>
      <c r="Q128" s="56"/>
      <c r="R128" s="56"/>
      <c r="S128" s="56"/>
      <c r="T128" s="56"/>
      <c r="U128" s="56"/>
      <c r="V128" s="56"/>
      <c r="W128" s="56"/>
      <c r="X128" s="57"/>
      <c r="Y128" s="134"/>
      <c r="Z128" s="55"/>
      <c r="AA128" s="56"/>
      <c r="AB128" s="56"/>
      <c r="AC128" s="56"/>
      <c r="AD128" s="56"/>
      <c r="AE128" s="56"/>
      <c r="AF128" s="55"/>
      <c r="AG128" s="56"/>
      <c r="AH128" s="55"/>
      <c r="AI128" s="56"/>
      <c r="AJ128" s="58"/>
      <c r="AK128" s="56"/>
      <c r="AL128" s="56"/>
      <c r="AM128" s="56"/>
      <c r="AN128" s="56"/>
      <c r="AO128" s="54"/>
      <c r="AP128" s="56"/>
      <c r="AQ128" s="55"/>
      <c r="AR128" s="56"/>
      <c r="AS128" s="55"/>
      <c r="AT128" s="56"/>
      <c r="AU128" s="55"/>
      <c r="AV128" s="56"/>
      <c r="AW128" s="164"/>
      <c r="AX128" s="56"/>
      <c r="AY128" s="164"/>
      <c r="AZ128" s="56"/>
      <c r="BA128" s="57"/>
      <c r="BB128" s="56"/>
      <c r="BC128" s="55"/>
      <c r="BD128" s="56"/>
      <c r="BE128" s="56"/>
      <c r="BF128" s="54"/>
      <c r="BG128" s="56"/>
      <c r="BN128" s="192" t="str">
        <f t="shared" si="5"/>
        <v/>
      </c>
      <c r="BO128" s="197" t="str">
        <f t="shared" si="4"/>
        <v/>
      </c>
      <c r="BP128" s="197" t="str">
        <f t="shared" si="6"/>
        <v/>
      </c>
      <c r="BQ128" s="197" t="str">
        <f>IF(C128="","",IF(COUNTIF(BP$6:BP128,BP128)&gt;1,"",BP128))</f>
        <v/>
      </c>
      <c r="BR128" s="197" t="str">
        <f t="shared" si="7"/>
        <v/>
      </c>
    </row>
    <row r="129" spans="1:70" x14ac:dyDescent="0.2">
      <c r="A129" s="54"/>
      <c r="B129" s="54"/>
      <c r="C129" s="189"/>
      <c r="D129" s="55"/>
      <c r="E129" s="56"/>
      <c r="F129" s="55"/>
      <c r="G129" s="56"/>
      <c r="H129" s="55"/>
      <c r="I129" s="56"/>
      <c r="J129" s="55"/>
      <c r="K129" s="56"/>
      <c r="L129" s="175"/>
      <c r="M129" s="55"/>
      <c r="N129" s="56"/>
      <c r="O129" s="55"/>
      <c r="P129" s="56"/>
      <c r="Q129" s="56"/>
      <c r="R129" s="56"/>
      <c r="S129" s="56"/>
      <c r="T129" s="56"/>
      <c r="U129" s="56"/>
      <c r="V129" s="56"/>
      <c r="W129" s="56"/>
      <c r="X129" s="57"/>
      <c r="Y129" s="134"/>
      <c r="Z129" s="55"/>
      <c r="AA129" s="56"/>
      <c r="AB129" s="56"/>
      <c r="AC129" s="56"/>
      <c r="AD129" s="56"/>
      <c r="AE129" s="56"/>
      <c r="AF129" s="55"/>
      <c r="AG129" s="56"/>
      <c r="AH129" s="55"/>
      <c r="AI129" s="56"/>
      <c r="AJ129" s="58"/>
      <c r="AK129" s="56"/>
      <c r="AL129" s="56"/>
      <c r="AM129" s="56"/>
      <c r="AN129" s="56"/>
      <c r="AO129" s="54"/>
      <c r="AP129" s="56"/>
      <c r="AQ129" s="55"/>
      <c r="AR129" s="56"/>
      <c r="AS129" s="55"/>
      <c r="AT129" s="56"/>
      <c r="AU129" s="55"/>
      <c r="AV129" s="56"/>
      <c r="AW129" s="164"/>
      <c r="AX129" s="56"/>
      <c r="AY129" s="164"/>
      <c r="AZ129" s="56"/>
      <c r="BA129" s="57"/>
      <c r="BB129" s="56"/>
      <c r="BC129" s="55"/>
      <c r="BD129" s="56"/>
      <c r="BE129" s="56"/>
      <c r="BF129" s="54"/>
      <c r="BG129" s="56"/>
      <c r="BN129" s="192" t="str">
        <f t="shared" si="5"/>
        <v/>
      </c>
      <c r="BO129" s="197" t="str">
        <f t="shared" si="4"/>
        <v/>
      </c>
      <c r="BP129" s="197" t="str">
        <f t="shared" si="6"/>
        <v/>
      </c>
      <c r="BQ129" s="197" t="str">
        <f>IF(C129="","",IF(COUNTIF(BP$6:BP129,BP129)&gt;1,"",BP129))</f>
        <v/>
      </c>
      <c r="BR129" s="197" t="str">
        <f t="shared" si="7"/>
        <v/>
      </c>
    </row>
    <row r="130" spans="1:70" x14ac:dyDescent="0.2">
      <c r="A130" s="54"/>
      <c r="B130" s="54"/>
      <c r="C130" s="189"/>
      <c r="D130" s="55"/>
      <c r="E130" s="56"/>
      <c r="F130" s="55"/>
      <c r="G130" s="56"/>
      <c r="H130" s="55"/>
      <c r="I130" s="56"/>
      <c r="J130" s="55"/>
      <c r="K130" s="56"/>
      <c r="L130" s="175"/>
      <c r="M130" s="55"/>
      <c r="N130" s="56"/>
      <c r="O130" s="55"/>
      <c r="P130" s="56"/>
      <c r="Q130" s="56"/>
      <c r="R130" s="56"/>
      <c r="S130" s="56"/>
      <c r="T130" s="56"/>
      <c r="U130" s="56"/>
      <c r="V130" s="56"/>
      <c r="W130" s="56"/>
      <c r="X130" s="57"/>
      <c r="Y130" s="134"/>
      <c r="Z130" s="55"/>
      <c r="AA130" s="56"/>
      <c r="AB130" s="56"/>
      <c r="AC130" s="56"/>
      <c r="AD130" s="56"/>
      <c r="AE130" s="56"/>
      <c r="AF130" s="55"/>
      <c r="AG130" s="56"/>
      <c r="AH130" s="55"/>
      <c r="AI130" s="56"/>
      <c r="AJ130" s="58"/>
      <c r="AK130" s="56"/>
      <c r="AL130" s="56"/>
      <c r="AM130" s="56"/>
      <c r="AN130" s="56"/>
      <c r="AO130" s="54"/>
      <c r="AP130" s="56"/>
      <c r="AQ130" s="55"/>
      <c r="AR130" s="56"/>
      <c r="AS130" s="55"/>
      <c r="AT130" s="56"/>
      <c r="AU130" s="55"/>
      <c r="AV130" s="56"/>
      <c r="AW130" s="164"/>
      <c r="AX130" s="56"/>
      <c r="AY130" s="164"/>
      <c r="AZ130" s="56"/>
      <c r="BA130" s="57"/>
      <c r="BB130" s="56"/>
      <c r="BC130" s="55"/>
      <c r="BD130" s="56"/>
      <c r="BE130" s="56"/>
      <c r="BF130" s="54"/>
      <c r="BG130" s="56"/>
      <c r="BN130" s="192" t="str">
        <f t="shared" si="5"/>
        <v/>
      </c>
      <c r="BO130" s="197" t="str">
        <f t="shared" si="4"/>
        <v/>
      </c>
      <c r="BP130" s="197" t="str">
        <f t="shared" si="6"/>
        <v/>
      </c>
      <c r="BQ130" s="197" t="str">
        <f>IF(C130="","",IF(COUNTIF(BP$6:BP130,BP130)&gt;1,"",BP130))</f>
        <v/>
      </c>
      <c r="BR130" s="197" t="str">
        <f t="shared" si="7"/>
        <v/>
      </c>
    </row>
    <row r="131" spans="1:70" x14ac:dyDescent="0.2">
      <c r="A131" s="54"/>
      <c r="B131" s="54"/>
      <c r="C131" s="189"/>
      <c r="D131" s="55"/>
      <c r="E131" s="56"/>
      <c r="F131" s="55"/>
      <c r="G131" s="56"/>
      <c r="H131" s="55"/>
      <c r="I131" s="56"/>
      <c r="J131" s="55"/>
      <c r="K131" s="56"/>
      <c r="L131" s="175"/>
      <c r="M131" s="55"/>
      <c r="N131" s="56"/>
      <c r="O131" s="55"/>
      <c r="P131" s="56"/>
      <c r="Q131" s="56"/>
      <c r="R131" s="56"/>
      <c r="S131" s="56"/>
      <c r="T131" s="56"/>
      <c r="U131" s="56"/>
      <c r="V131" s="56"/>
      <c r="W131" s="56"/>
      <c r="X131" s="57"/>
      <c r="Y131" s="134"/>
      <c r="Z131" s="55"/>
      <c r="AA131" s="56"/>
      <c r="AB131" s="56"/>
      <c r="AC131" s="56"/>
      <c r="AD131" s="56"/>
      <c r="AE131" s="56"/>
      <c r="AF131" s="55"/>
      <c r="AG131" s="56"/>
      <c r="AH131" s="55"/>
      <c r="AI131" s="56"/>
      <c r="AJ131" s="58"/>
      <c r="AK131" s="56"/>
      <c r="AL131" s="56"/>
      <c r="AM131" s="56"/>
      <c r="AN131" s="56"/>
      <c r="AO131" s="54"/>
      <c r="AP131" s="56"/>
      <c r="AQ131" s="55"/>
      <c r="AR131" s="56"/>
      <c r="AS131" s="55"/>
      <c r="AT131" s="56"/>
      <c r="AU131" s="55"/>
      <c r="AV131" s="56"/>
      <c r="AW131" s="164"/>
      <c r="AX131" s="56"/>
      <c r="AY131" s="164"/>
      <c r="AZ131" s="56"/>
      <c r="BA131" s="57"/>
      <c r="BB131" s="56"/>
      <c r="BC131" s="55"/>
      <c r="BD131" s="56"/>
      <c r="BE131" s="56"/>
      <c r="BF131" s="54"/>
      <c r="BG131" s="56"/>
      <c r="BN131" s="192" t="str">
        <f t="shared" si="5"/>
        <v/>
      </c>
      <c r="BO131" s="197" t="str">
        <f t="shared" si="4"/>
        <v/>
      </c>
      <c r="BP131" s="197" t="str">
        <f t="shared" si="6"/>
        <v/>
      </c>
      <c r="BQ131" s="197" t="str">
        <f>IF(C131="","",IF(COUNTIF(BP$6:BP131,BP131)&gt;1,"",BP131))</f>
        <v/>
      </c>
      <c r="BR131" s="197" t="str">
        <f t="shared" si="7"/>
        <v/>
      </c>
    </row>
    <row r="132" spans="1:70" x14ac:dyDescent="0.2">
      <c r="A132" s="54"/>
      <c r="B132" s="54"/>
      <c r="C132" s="189"/>
      <c r="D132" s="55"/>
      <c r="E132" s="56"/>
      <c r="F132" s="55"/>
      <c r="G132" s="56"/>
      <c r="H132" s="55"/>
      <c r="I132" s="56"/>
      <c r="J132" s="55"/>
      <c r="K132" s="56"/>
      <c r="L132" s="175"/>
      <c r="M132" s="55"/>
      <c r="N132" s="56"/>
      <c r="O132" s="55"/>
      <c r="P132" s="56"/>
      <c r="Q132" s="56"/>
      <c r="R132" s="56"/>
      <c r="S132" s="56"/>
      <c r="T132" s="56"/>
      <c r="U132" s="56"/>
      <c r="V132" s="56"/>
      <c r="W132" s="56"/>
      <c r="X132" s="57"/>
      <c r="Y132" s="134"/>
      <c r="Z132" s="55"/>
      <c r="AA132" s="56"/>
      <c r="AB132" s="56"/>
      <c r="AC132" s="56"/>
      <c r="AD132" s="56"/>
      <c r="AE132" s="56"/>
      <c r="AF132" s="55"/>
      <c r="AG132" s="56"/>
      <c r="AH132" s="55"/>
      <c r="AI132" s="56"/>
      <c r="AJ132" s="58"/>
      <c r="AK132" s="56"/>
      <c r="AL132" s="56"/>
      <c r="AM132" s="56"/>
      <c r="AN132" s="56"/>
      <c r="AO132" s="54"/>
      <c r="AP132" s="56"/>
      <c r="AQ132" s="55"/>
      <c r="AR132" s="56"/>
      <c r="AS132" s="55"/>
      <c r="AT132" s="56"/>
      <c r="AU132" s="55"/>
      <c r="AV132" s="56"/>
      <c r="AW132" s="164"/>
      <c r="AX132" s="56"/>
      <c r="AY132" s="164"/>
      <c r="AZ132" s="56"/>
      <c r="BA132" s="57"/>
      <c r="BB132" s="56"/>
      <c r="BC132" s="55"/>
      <c r="BD132" s="56"/>
      <c r="BE132" s="56"/>
      <c r="BF132" s="54"/>
      <c r="BG132" s="56"/>
      <c r="BN132" s="192" t="str">
        <f t="shared" si="5"/>
        <v/>
      </c>
      <c r="BO132" s="197" t="str">
        <f t="shared" si="4"/>
        <v/>
      </c>
      <c r="BP132" s="197" t="str">
        <f t="shared" si="6"/>
        <v/>
      </c>
      <c r="BQ132" s="197" t="str">
        <f>IF(C132="","",IF(COUNTIF(BP$6:BP132,BP132)&gt;1,"",BP132))</f>
        <v/>
      </c>
      <c r="BR132" s="197" t="str">
        <f t="shared" si="7"/>
        <v/>
      </c>
    </row>
    <row r="133" spans="1:70" x14ac:dyDescent="0.2">
      <c r="A133" s="54"/>
      <c r="B133" s="54"/>
      <c r="C133" s="189"/>
      <c r="D133" s="55"/>
      <c r="E133" s="56"/>
      <c r="F133" s="55"/>
      <c r="G133" s="56"/>
      <c r="H133" s="55"/>
      <c r="I133" s="56"/>
      <c r="J133" s="55"/>
      <c r="K133" s="56"/>
      <c r="L133" s="175"/>
      <c r="M133" s="55"/>
      <c r="N133" s="56"/>
      <c r="O133" s="55"/>
      <c r="P133" s="56"/>
      <c r="Q133" s="56"/>
      <c r="R133" s="56"/>
      <c r="S133" s="56"/>
      <c r="T133" s="56"/>
      <c r="U133" s="56"/>
      <c r="V133" s="56"/>
      <c r="W133" s="56"/>
      <c r="X133" s="57"/>
      <c r="Y133" s="134"/>
      <c r="Z133" s="55"/>
      <c r="AA133" s="56"/>
      <c r="AB133" s="56"/>
      <c r="AC133" s="56"/>
      <c r="AD133" s="56"/>
      <c r="AE133" s="56"/>
      <c r="AF133" s="55"/>
      <c r="AG133" s="56"/>
      <c r="AH133" s="55"/>
      <c r="AI133" s="56"/>
      <c r="AJ133" s="58"/>
      <c r="AK133" s="56"/>
      <c r="AL133" s="56"/>
      <c r="AM133" s="56"/>
      <c r="AN133" s="56"/>
      <c r="AO133" s="54"/>
      <c r="AP133" s="56"/>
      <c r="AQ133" s="55"/>
      <c r="AR133" s="56"/>
      <c r="AS133" s="55"/>
      <c r="AT133" s="56"/>
      <c r="AU133" s="55"/>
      <c r="AV133" s="56"/>
      <c r="AW133" s="164"/>
      <c r="AX133" s="56"/>
      <c r="AY133" s="164"/>
      <c r="AZ133" s="56"/>
      <c r="BA133" s="57"/>
      <c r="BB133" s="56"/>
      <c r="BC133" s="55"/>
      <c r="BD133" s="56"/>
      <c r="BE133" s="56"/>
      <c r="BF133" s="54"/>
      <c r="BG133" s="56"/>
      <c r="BN133" s="192" t="str">
        <f t="shared" si="5"/>
        <v/>
      </c>
      <c r="BO133" s="197" t="str">
        <f t="shared" si="4"/>
        <v/>
      </c>
      <c r="BP133" s="197" t="str">
        <f t="shared" si="6"/>
        <v/>
      </c>
      <c r="BQ133" s="197" t="str">
        <f>IF(C133="","",IF(COUNTIF(BP$6:BP133,BP133)&gt;1,"",BP133))</f>
        <v/>
      </c>
      <c r="BR133" s="197" t="str">
        <f t="shared" si="7"/>
        <v/>
      </c>
    </row>
    <row r="134" spans="1:70" x14ac:dyDescent="0.2">
      <c r="A134" s="54"/>
      <c r="B134" s="54"/>
      <c r="C134" s="189"/>
      <c r="D134" s="55"/>
      <c r="E134" s="56"/>
      <c r="F134" s="55"/>
      <c r="G134" s="56"/>
      <c r="H134" s="55"/>
      <c r="I134" s="56"/>
      <c r="J134" s="55"/>
      <c r="K134" s="56"/>
      <c r="L134" s="175"/>
      <c r="M134" s="55"/>
      <c r="N134" s="56"/>
      <c r="O134" s="55"/>
      <c r="P134" s="56"/>
      <c r="Q134" s="56"/>
      <c r="R134" s="56"/>
      <c r="S134" s="56"/>
      <c r="T134" s="56"/>
      <c r="U134" s="56"/>
      <c r="V134" s="56"/>
      <c r="W134" s="56"/>
      <c r="X134" s="57"/>
      <c r="Y134" s="134"/>
      <c r="Z134" s="55"/>
      <c r="AA134" s="56"/>
      <c r="AB134" s="56"/>
      <c r="AC134" s="56"/>
      <c r="AD134" s="56"/>
      <c r="AE134" s="56"/>
      <c r="AF134" s="55"/>
      <c r="AG134" s="56"/>
      <c r="AH134" s="55"/>
      <c r="AI134" s="56"/>
      <c r="AJ134" s="58"/>
      <c r="AK134" s="56"/>
      <c r="AL134" s="56"/>
      <c r="AM134" s="56"/>
      <c r="AN134" s="56"/>
      <c r="AO134" s="54"/>
      <c r="AP134" s="56"/>
      <c r="AQ134" s="55"/>
      <c r="AR134" s="56"/>
      <c r="AS134" s="55"/>
      <c r="AT134" s="56"/>
      <c r="AU134" s="55"/>
      <c r="AV134" s="56"/>
      <c r="AW134" s="164"/>
      <c r="AX134" s="56"/>
      <c r="AY134" s="164"/>
      <c r="AZ134" s="56"/>
      <c r="BA134" s="57"/>
      <c r="BB134" s="56"/>
      <c r="BC134" s="55"/>
      <c r="BD134" s="56"/>
      <c r="BE134" s="56"/>
      <c r="BF134" s="54"/>
      <c r="BG134" s="56"/>
      <c r="BN134" s="192" t="str">
        <f t="shared" si="5"/>
        <v/>
      </c>
      <c r="BO134" s="197" t="str">
        <f t="shared" ref="BO134:BO197" si="8">IF(C134="","",Q134+U134)</f>
        <v/>
      </c>
      <c r="BP134" s="197" t="str">
        <f t="shared" si="6"/>
        <v/>
      </c>
      <c r="BQ134" s="197" t="str">
        <f>IF(C134="","",IF(COUNTIF(BP$6:BP134,BP134)&gt;1,"",BP134))</f>
        <v/>
      </c>
      <c r="BR134" s="197" t="str">
        <f t="shared" si="7"/>
        <v/>
      </c>
    </row>
    <row r="135" spans="1:70" x14ac:dyDescent="0.2">
      <c r="A135" s="54"/>
      <c r="B135" s="54"/>
      <c r="C135" s="189"/>
      <c r="D135" s="55"/>
      <c r="E135" s="56"/>
      <c r="F135" s="55"/>
      <c r="G135" s="56"/>
      <c r="H135" s="55"/>
      <c r="I135" s="56"/>
      <c r="J135" s="55"/>
      <c r="K135" s="56"/>
      <c r="L135" s="175"/>
      <c r="M135" s="55"/>
      <c r="N135" s="56"/>
      <c r="O135" s="55"/>
      <c r="P135" s="56"/>
      <c r="Q135" s="56"/>
      <c r="R135" s="56"/>
      <c r="S135" s="56"/>
      <c r="T135" s="56"/>
      <c r="U135" s="56"/>
      <c r="V135" s="56"/>
      <c r="W135" s="56"/>
      <c r="X135" s="57"/>
      <c r="Y135" s="134"/>
      <c r="Z135" s="55"/>
      <c r="AA135" s="56"/>
      <c r="AB135" s="56"/>
      <c r="AC135" s="56"/>
      <c r="AD135" s="56"/>
      <c r="AE135" s="56"/>
      <c r="AF135" s="55"/>
      <c r="AG135" s="56"/>
      <c r="AH135" s="55"/>
      <c r="AI135" s="56"/>
      <c r="AJ135" s="58"/>
      <c r="AK135" s="56"/>
      <c r="AL135" s="56"/>
      <c r="AM135" s="56"/>
      <c r="AN135" s="56"/>
      <c r="AO135" s="54"/>
      <c r="AP135" s="56"/>
      <c r="AQ135" s="55"/>
      <c r="AR135" s="56"/>
      <c r="AS135" s="55"/>
      <c r="AT135" s="56"/>
      <c r="AU135" s="55"/>
      <c r="AV135" s="56"/>
      <c r="AW135" s="164"/>
      <c r="AX135" s="56"/>
      <c r="AY135" s="164"/>
      <c r="AZ135" s="56"/>
      <c r="BA135" s="57"/>
      <c r="BB135" s="56"/>
      <c r="BC135" s="55"/>
      <c r="BD135" s="56"/>
      <c r="BE135" s="56"/>
      <c r="BF135" s="54"/>
      <c r="BG135" s="56"/>
      <c r="BN135" s="192" t="str">
        <f t="shared" ref="BN135:BN198" si="9">IF(C135="","",1)</f>
        <v/>
      </c>
      <c r="BO135" s="197" t="str">
        <f t="shared" si="8"/>
        <v/>
      </c>
      <c r="BP135" s="197" t="str">
        <f t="shared" ref="BP135:BP198" si="10">IF(C135="","",IF(MAX($BO$6:$BO$506)-BO135=0,1,""))</f>
        <v/>
      </c>
      <c r="BQ135" s="197" t="str">
        <f>IF(C135="","",IF(COUNTIF(BP$6:BP135,BP135)&gt;1,"",BP135))</f>
        <v/>
      </c>
      <c r="BR135" s="197" t="str">
        <f t="shared" ref="BR135:BR198" si="11">IF(F135="","",IF(BQ135=1,MAX($BO$6:$BO$506),0))</f>
        <v/>
      </c>
    </row>
    <row r="136" spans="1:70" x14ac:dyDescent="0.2">
      <c r="A136" s="54"/>
      <c r="B136" s="54"/>
      <c r="C136" s="189"/>
      <c r="D136" s="55"/>
      <c r="E136" s="56"/>
      <c r="F136" s="55"/>
      <c r="G136" s="56"/>
      <c r="H136" s="55"/>
      <c r="I136" s="56"/>
      <c r="J136" s="55"/>
      <c r="K136" s="56"/>
      <c r="L136" s="175"/>
      <c r="M136" s="55"/>
      <c r="N136" s="56"/>
      <c r="O136" s="55"/>
      <c r="P136" s="56"/>
      <c r="Q136" s="56"/>
      <c r="R136" s="56"/>
      <c r="S136" s="56"/>
      <c r="T136" s="56"/>
      <c r="U136" s="56"/>
      <c r="V136" s="56"/>
      <c r="W136" s="56"/>
      <c r="X136" s="57"/>
      <c r="Y136" s="134"/>
      <c r="Z136" s="55"/>
      <c r="AA136" s="56"/>
      <c r="AB136" s="56"/>
      <c r="AC136" s="56"/>
      <c r="AD136" s="56"/>
      <c r="AE136" s="56"/>
      <c r="AF136" s="55"/>
      <c r="AG136" s="56"/>
      <c r="AH136" s="55"/>
      <c r="AI136" s="56"/>
      <c r="AJ136" s="58"/>
      <c r="AK136" s="56"/>
      <c r="AL136" s="56"/>
      <c r="AM136" s="56"/>
      <c r="AN136" s="56"/>
      <c r="AO136" s="54"/>
      <c r="AP136" s="56"/>
      <c r="AQ136" s="55"/>
      <c r="AR136" s="56"/>
      <c r="AS136" s="55"/>
      <c r="AT136" s="56"/>
      <c r="AU136" s="55"/>
      <c r="AV136" s="56"/>
      <c r="AW136" s="164"/>
      <c r="AX136" s="56"/>
      <c r="AY136" s="164"/>
      <c r="AZ136" s="56"/>
      <c r="BA136" s="57"/>
      <c r="BB136" s="56"/>
      <c r="BC136" s="55"/>
      <c r="BD136" s="56"/>
      <c r="BE136" s="56"/>
      <c r="BF136" s="54"/>
      <c r="BG136" s="56"/>
      <c r="BN136" s="192" t="str">
        <f t="shared" si="9"/>
        <v/>
      </c>
      <c r="BO136" s="197" t="str">
        <f t="shared" si="8"/>
        <v/>
      </c>
      <c r="BP136" s="197" t="str">
        <f t="shared" si="10"/>
        <v/>
      </c>
      <c r="BQ136" s="197" t="str">
        <f>IF(C136="","",IF(COUNTIF(BP$6:BP136,BP136)&gt;1,"",BP136))</f>
        <v/>
      </c>
      <c r="BR136" s="197" t="str">
        <f t="shared" si="11"/>
        <v/>
      </c>
    </row>
    <row r="137" spans="1:70" x14ac:dyDescent="0.2">
      <c r="A137" s="54"/>
      <c r="B137" s="54"/>
      <c r="C137" s="189"/>
      <c r="D137" s="55"/>
      <c r="E137" s="56"/>
      <c r="F137" s="55"/>
      <c r="G137" s="56"/>
      <c r="H137" s="55"/>
      <c r="I137" s="56"/>
      <c r="J137" s="55"/>
      <c r="K137" s="56"/>
      <c r="L137" s="175"/>
      <c r="M137" s="55"/>
      <c r="N137" s="56"/>
      <c r="O137" s="55"/>
      <c r="P137" s="56"/>
      <c r="Q137" s="56"/>
      <c r="R137" s="56"/>
      <c r="S137" s="56"/>
      <c r="T137" s="56"/>
      <c r="U137" s="56"/>
      <c r="V137" s="56"/>
      <c r="W137" s="56"/>
      <c r="X137" s="57"/>
      <c r="Y137" s="134"/>
      <c r="Z137" s="55"/>
      <c r="AA137" s="56"/>
      <c r="AB137" s="56"/>
      <c r="AC137" s="56"/>
      <c r="AD137" s="56"/>
      <c r="AE137" s="56"/>
      <c r="AF137" s="55"/>
      <c r="AG137" s="56"/>
      <c r="AH137" s="55"/>
      <c r="AI137" s="56"/>
      <c r="AJ137" s="58"/>
      <c r="AK137" s="56"/>
      <c r="AL137" s="56"/>
      <c r="AM137" s="56"/>
      <c r="AN137" s="56"/>
      <c r="AO137" s="54"/>
      <c r="AP137" s="56"/>
      <c r="AQ137" s="55"/>
      <c r="AR137" s="56"/>
      <c r="AS137" s="55"/>
      <c r="AT137" s="56"/>
      <c r="AU137" s="55"/>
      <c r="AV137" s="56"/>
      <c r="AW137" s="164"/>
      <c r="AX137" s="56"/>
      <c r="AY137" s="164"/>
      <c r="AZ137" s="56"/>
      <c r="BA137" s="57"/>
      <c r="BB137" s="56"/>
      <c r="BC137" s="55"/>
      <c r="BD137" s="56"/>
      <c r="BE137" s="56"/>
      <c r="BF137" s="54"/>
      <c r="BG137" s="56"/>
      <c r="BN137" s="192" t="str">
        <f t="shared" si="9"/>
        <v/>
      </c>
      <c r="BO137" s="197" t="str">
        <f t="shared" si="8"/>
        <v/>
      </c>
      <c r="BP137" s="197" t="str">
        <f t="shared" si="10"/>
        <v/>
      </c>
      <c r="BQ137" s="197" t="str">
        <f>IF(C137="","",IF(COUNTIF(BP$6:BP137,BP137)&gt;1,"",BP137))</f>
        <v/>
      </c>
      <c r="BR137" s="197" t="str">
        <f t="shared" si="11"/>
        <v/>
      </c>
    </row>
    <row r="138" spans="1:70" x14ac:dyDescent="0.2">
      <c r="A138" s="54"/>
      <c r="B138" s="54"/>
      <c r="C138" s="189"/>
      <c r="D138" s="55"/>
      <c r="E138" s="56"/>
      <c r="F138" s="55"/>
      <c r="G138" s="56"/>
      <c r="H138" s="55"/>
      <c r="I138" s="56"/>
      <c r="J138" s="55"/>
      <c r="K138" s="56"/>
      <c r="L138" s="175"/>
      <c r="M138" s="55"/>
      <c r="N138" s="56"/>
      <c r="O138" s="55"/>
      <c r="P138" s="56"/>
      <c r="Q138" s="56"/>
      <c r="R138" s="56"/>
      <c r="S138" s="56"/>
      <c r="T138" s="56"/>
      <c r="U138" s="56"/>
      <c r="V138" s="56"/>
      <c r="W138" s="56"/>
      <c r="X138" s="57"/>
      <c r="Y138" s="134"/>
      <c r="Z138" s="55"/>
      <c r="AA138" s="56"/>
      <c r="AB138" s="56"/>
      <c r="AC138" s="56"/>
      <c r="AD138" s="56"/>
      <c r="AE138" s="56"/>
      <c r="AF138" s="55"/>
      <c r="AG138" s="56"/>
      <c r="AH138" s="55"/>
      <c r="AI138" s="56"/>
      <c r="AJ138" s="58"/>
      <c r="AK138" s="56"/>
      <c r="AL138" s="56"/>
      <c r="AM138" s="56"/>
      <c r="AN138" s="56"/>
      <c r="AO138" s="54"/>
      <c r="AP138" s="56"/>
      <c r="AQ138" s="55"/>
      <c r="AR138" s="56"/>
      <c r="AS138" s="55"/>
      <c r="AT138" s="56"/>
      <c r="AU138" s="55"/>
      <c r="AV138" s="56"/>
      <c r="AW138" s="164"/>
      <c r="AX138" s="56"/>
      <c r="AY138" s="164"/>
      <c r="AZ138" s="56"/>
      <c r="BA138" s="57"/>
      <c r="BB138" s="56"/>
      <c r="BC138" s="55"/>
      <c r="BD138" s="56"/>
      <c r="BE138" s="56"/>
      <c r="BF138" s="54"/>
      <c r="BG138" s="56"/>
      <c r="BN138" s="192" t="str">
        <f t="shared" si="9"/>
        <v/>
      </c>
      <c r="BO138" s="197" t="str">
        <f t="shared" si="8"/>
        <v/>
      </c>
      <c r="BP138" s="197" t="str">
        <f t="shared" si="10"/>
        <v/>
      </c>
      <c r="BQ138" s="197" t="str">
        <f>IF(C138="","",IF(COUNTIF(BP$6:BP138,BP138)&gt;1,"",BP138))</f>
        <v/>
      </c>
      <c r="BR138" s="197" t="str">
        <f t="shared" si="11"/>
        <v/>
      </c>
    </row>
    <row r="139" spans="1:70" x14ac:dyDescent="0.2">
      <c r="A139" s="54"/>
      <c r="B139" s="54"/>
      <c r="C139" s="189"/>
      <c r="D139" s="55"/>
      <c r="E139" s="56"/>
      <c r="F139" s="55"/>
      <c r="G139" s="56"/>
      <c r="H139" s="55"/>
      <c r="I139" s="56"/>
      <c r="J139" s="55"/>
      <c r="K139" s="56"/>
      <c r="L139" s="175"/>
      <c r="M139" s="55"/>
      <c r="N139" s="56"/>
      <c r="O139" s="55"/>
      <c r="P139" s="56"/>
      <c r="Q139" s="56"/>
      <c r="R139" s="56"/>
      <c r="S139" s="56"/>
      <c r="T139" s="56"/>
      <c r="U139" s="56"/>
      <c r="V139" s="56"/>
      <c r="W139" s="56"/>
      <c r="X139" s="57"/>
      <c r="Y139" s="134"/>
      <c r="Z139" s="55"/>
      <c r="AA139" s="56"/>
      <c r="AB139" s="56"/>
      <c r="AC139" s="56"/>
      <c r="AD139" s="56"/>
      <c r="AE139" s="56"/>
      <c r="AF139" s="55"/>
      <c r="AG139" s="56"/>
      <c r="AH139" s="55"/>
      <c r="AI139" s="56"/>
      <c r="AJ139" s="58"/>
      <c r="AK139" s="56"/>
      <c r="AL139" s="56"/>
      <c r="AM139" s="56"/>
      <c r="AN139" s="56"/>
      <c r="AO139" s="54"/>
      <c r="AP139" s="56"/>
      <c r="AQ139" s="55"/>
      <c r="AR139" s="56"/>
      <c r="AS139" s="55"/>
      <c r="AT139" s="56"/>
      <c r="AU139" s="55"/>
      <c r="AV139" s="56"/>
      <c r="AW139" s="164"/>
      <c r="AX139" s="56"/>
      <c r="AY139" s="164"/>
      <c r="AZ139" s="56"/>
      <c r="BA139" s="57"/>
      <c r="BB139" s="56"/>
      <c r="BC139" s="55"/>
      <c r="BD139" s="56"/>
      <c r="BE139" s="56"/>
      <c r="BF139" s="54"/>
      <c r="BG139" s="56"/>
      <c r="BN139" s="192" t="str">
        <f t="shared" si="9"/>
        <v/>
      </c>
      <c r="BO139" s="197" t="str">
        <f t="shared" si="8"/>
        <v/>
      </c>
      <c r="BP139" s="197" t="str">
        <f t="shared" si="10"/>
        <v/>
      </c>
      <c r="BQ139" s="197" t="str">
        <f>IF(C139="","",IF(COUNTIF(BP$6:BP139,BP139)&gt;1,"",BP139))</f>
        <v/>
      </c>
      <c r="BR139" s="197" t="str">
        <f t="shared" si="11"/>
        <v/>
      </c>
    </row>
    <row r="140" spans="1:70" x14ac:dyDescent="0.2">
      <c r="A140" s="54"/>
      <c r="B140" s="54"/>
      <c r="C140" s="189"/>
      <c r="D140" s="55"/>
      <c r="E140" s="56"/>
      <c r="F140" s="55"/>
      <c r="G140" s="56"/>
      <c r="H140" s="55"/>
      <c r="I140" s="56"/>
      <c r="J140" s="55"/>
      <c r="K140" s="56"/>
      <c r="L140" s="175"/>
      <c r="M140" s="55"/>
      <c r="N140" s="56"/>
      <c r="O140" s="55"/>
      <c r="P140" s="56"/>
      <c r="Q140" s="56"/>
      <c r="R140" s="56"/>
      <c r="S140" s="56"/>
      <c r="T140" s="56"/>
      <c r="U140" s="56"/>
      <c r="V140" s="56"/>
      <c r="W140" s="56"/>
      <c r="X140" s="57"/>
      <c r="Y140" s="134"/>
      <c r="Z140" s="55"/>
      <c r="AA140" s="56"/>
      <c r="AB140" s="56"/>
      <c r="AC140" s="56"/>
      <c r="AD140" s="56"/>
      <c r="AE140" s="56"/>
      <c r="AF140" s="55"/>
      <c r="AG140" s="56"/>
      <c r="AH140" s="55"/>
      <c r="AI140" s="56"/>
      <c r="AJ140" s="58"/>
      <c r="AK140" s="56"/>
      <c r="AL140" s="56"/>
      <c r="AM140" s="56"/>
      <c r="AN140" s="56"/>
      <c r="AO140" s="54"/>
      <c r="AP140" s="56"/>
      <c r="AQ140" s="55"/>
      <c r="AR140" s="56"/>
      <c r="AS140" s="55"/>
      <c r="AT140" s="56"/>
      <c r="AU140" s="55"/>
      <c r="AV140" s="56"/>
      <c r="AW140" s="164"/>
      <c r="AX140" s="56"/>
      <c r="AY140" s="164"/>
      <c r="AZ140" s="56"/>
      <c r="BA140" s="57"/>
      <c r="BB140" s="56"/>
      <c r="BC140" s="55"/>
      <c r="BD140" s="56"/>
      <c r="BE140" s="56"/>
      <c r="BF140" s="54"/>
      <c r="BG140" s="56"/>
      <c r="BN140" s="192" t="str">
        <f t="shared" si="9"/>
        <v/>
      </c>
      <c r="BO140" s="197" t="str">
        <f t="shared" si="8"/>
        <v/>
      </c>
      <c r="BP140" s="197" t="str">
        <f t="shared" si="10"/>
        <v/>
      </c>
      <c r="BQ140" s="197" t="str">
        <f>IF(C140="","",IF(COUNTIF(BP$6:BP140,BP140)&gt;1,"",BP140))</f>
        <v/>
      </c>
      <c r="BR140" s="197" t="str">
        <f t="shared" si="11"/>
        <v/>
      </c>
    </row>
    <row r="141" spans="1:70" x14ac:dyDescent="0.2">
      <c r="A141" s="54"/>
      <c r="B141" s="54"/>
      <c r="C141" s="189"/>
      <c r="D141" s="55"/>
      <c r="E141" s="56"/>
      <c r="F141" s="55"/>
      <c r="G141" s="56"/>
      <c r="H141" s="55"/>
      <c r="I141" s="56"/>
      <c r="J141" s="55"/>
      <c r="K141" s="56"/>
      <c r="L141" s="175"/>
      <c r="M141" s="55"/>
      <c r="N141" s="56"/>
      <c r="O141" s="55"/>
      <c r="P141" s="56"/>
      <c r="Q141" s="56"/>
      <c r="R141" s="56"/>
      <c r="S141" s="56"/>
      <c r="T141" s="56"/>
      <c r="U141" s="56"/>
      <c r="V141" s="56"/>
      <c r="W141" s="56"/>
      <c r="X141" s="57"/>
      <c r="Y141" s="134"/>
      <c r="Z141" s="55"/>
      <c r="AA141" s="56"/>
      <c r="AB141" s="56"/>
      <c r="AC141" s="56"/>
      <c r="AD141" s="56"/>
      <c r="AE141" s="56"/>
      <c r="AF141" s="55"/>
      <c r="AG141" s="56"/>
      <c r="AH141" s="55"/>
      <c r="AI141" s="56"/>
      <c r="AJ141" s="58"/>
      <c r="AK141" s="56"/>
      <c r="AL141" s="56"/>
      <c r="AM141" s="56"/>
      <c r="AN141" s="56"/>
      <c r="AO141" s="54"/>
      <c r="AP141" s="56"/>
      <c r="AQ141" s="55"/>
      <c r="AR141" s="56"/>
      <c r="AS141" s="55"/>
      <c r="AT141" s="56"/>
      <c r="AU141" s="55"/>
      <c r="AV141" s="56"/>
      <c r="AW141" s="164"/>
      <c r="AX141" s="56"/>
      <c r="AY141" s="164"/>
      <c r="AZ141" s="56"/>
      <c r="BA141" s="57"/>
      <c r="BB141" s="56"/>
      <c r="BC141" s="55"/>
      <c r="BD141" s="56"/>
      <c r="BE141" s="56"/>
      <c r="BF141" s="54"/>
      <c r="BG141" s="56"/>
      <c r="BN141" s="192" t="str">
        <f t="shared" si="9"/>
        <v/>
      </c>
      <c r="BO141" s="197" t="str">
        <f t="shared" si="8"/>
        <v/>
      </c>
      <c r="BP141" s="197" t="str">
        <f t="shared" si="10"/>
        <v/>
      </c>
      <c r="BQ141" s="197" t="str">
        <f>IF(C141="","",IF(COUNTIF(BP$6:BP141,BP141)&gt;1,"",BP141))</f>
        <v/>
      </c>
      <c r="BR141" s="197" t="str">
        <f t="shared" si="11"/>
        <v/>
      </c>
    </row>
    <row r="142" spans="1:70" x14ac:dyDescent="0.2">
      <c r="A142" s="54"/>
      <c r="B142" s="54"/>
      <c r="C142" s="189"/>
      <c r="D142" s="55"/>
      <c r="E142" s="56"/>
      <c r="F142" s="55"/>
      <c r="G142" s="56"/>
      <c r="H142" s="55"/>
      <c r="I142" s="56"/>
      <c r="J142" s="55"/>
      <c r="K142" s="56"/>
      <c r="L142" s="175"/>
      <c r="M142" s="55"/>
      <c r="N142" s="56"/>
      <c r="O142" s="55"/>
      <c r="P142" s="56"/>
      <c r="Q142" s="56"/>
      <c r="R142" s="56"/>
      <c r="S142" s="56"/>
      <c r="T142" s="56"/>
      <c r="U142" s="56"/>
      <c r="V142" s="56"/>
      <c r="W142" s="56"/>
      <c r="X142" s="57"/>
      <c r="Y142" s="134"/>
      <c r="Z142" s="55"/>
      <c r="AA142" s="56"/>
      <c r="AB142" s="56"/>
      <c r="AC142" s="56"/>
      <c r="AD142" s="56"/>
      <c r="AE142" s="56"/>
      <c r="AF142" s="55"/>
      <c r="AG142" s="56"/>
      <c r="AH142" s="55"/>
      <c r="AI142" s="56"/>
      <c r="AJ142" s="58"/>
      <c r="AK142" s="56"/>
      <c r="AL142" s="56"/>
      <c r="AM142" s="56"/>
      <c r="AN142" s="56"/>
      <c r="AO142" s="54"/>
      <c r="AP142" s="56"/>
      <c r="AQ142" s="55"/>
      <c r="AR142" s="56"/>
      <c r="AS142" s="55"/>
      <c r="AT142" s="56"/>
      <c r="AU142" s="55"/>
      <c r="AV142" s="56"/>
      <c r="AW142" s="164"/>
      <c r="AX142" s="56"/>
      <c r="AY142" s="164"/>
      <c r="AZ142" s="56"/>
      <c r="BA142" s="57"/>
      <c r="BB142" s="56"/>
      <c r="BC142" s="55"/>
      <c r="BD142" s="56"/>
      <c r="BE142" s="56"/>
      <c r="BF142" s="54"/>
      <c r="BG142" s="56"/>
      <c r="BN142" s="192" t="str">
        <f t="shared" si="9"/>
        <v/>
      </c>
      <c r="BO142" s="197" t="str">
        <f t="shared" si="8"/>
        <v/>
      </c>
      <c r="BP142" s="197" t="str">
        <f t="shared" si="10"/>
        <v/>
      </c>
      <c r="BQ142" s="197" t="str">
        <f>IF(C142="","",IF(COUNTIF(BP$6:BP142,BP142)&gt;1,"",BP142))</f>
        <v/>
      </c>
      <c r="BR142" s="197" t="str">
        <f t="shared" si="11"/>
        <v/>
      </c>
    </row>
    <row r="143" spans="1:70" x14ac:dyDescent="0.2">
      <c r="A143" s="54"/>
      <c r="B143" s="54"/>
      <c r="C143" s="189"/>
      <c r="D143" s="55"/>
      <c r="E143" s="56"/>
      <c r="F143" s="55"/>
      <c r="G143" s="56"/>
      <c r="H143" s="55"/>
      <c r="I143" s="56"/>
      <c r="J143" s="55"/>
      <c r="K143" s="56"/>
      <c r="L143" s="175"/>
      <c r="M143" s="55"/>
      <c r="N143" s="56"/>
      <c r="O143" s="55"/>
      <c r="P143" s="56"/>
      <c r="Q143" s="56"/>
      <c r="R143" s="56"/>
      <c r="S143" s="56"/>
      <c r="T143" s="56"/>
      <c r="U143" s="56"/>
      <c r="V143" s="56"/>
      <c r="W143" s="56"/>
      <c r="X143" s="57"/>
      <c r="Y143" s="134"/>
      <c r="Z143" s="55"/>
      <c r="AA143" s="56"/>
      <c r="AB143" s="56"/>
      <c r="AC143" s="56"/>
      <c r="AD143" s="56"/>
      <c r="AE143" s="56"/>
      <c r="AF143" s="55"/>
      <c r="AG143" s="56"/>
      <c r="AH143" s="55"/>
      <c r="AI143" s="56"/>
      <c r="AJ143" s="58"/>
      <c r="AK143" s="56"/>
      <c r="AL143" s="56"/>
      <c r="AM143" s="56"/>
      <c r="AN143" s="56"/>
      <c r="AO143" s="54"/>
      <c r="AP143" s="56"/>
      <c r="AQ143" s="55"/>
      <c r="AR143" s="56"/>
      <c r="AS143" s="55"/>
      <c r="AT143" s="56"/>
      <c r="AU143" s="55"/>
      <c r="AV143" s="56"/>
      <c r="AW143" s="164"/>
      <c r="AX143" s="56"/>
      <c r="AY143" s="164"/>
      <c r="AZ143" s="56"/>
      <c r="BA143" s="57"/>
      <c r="BB143" s="56"/>
      <c r="BC143" s="55"/>
      <c r="BD143" s="56"/>
      <c r="BE143" s="56"/>
      <c r="BF143" s="54"/>
      <c r="BG143" s="56"/>
      <c r="BN143" s="192" t="str">
        <f t="shared" si="9"/>
        <v/>
      </c>
      <c r="BO143" s="197" t="str">
        <f t="shared" si="8"/>
        <v/>
      </c>
      <c r="BP143" s="197" t="str">
        <f t="shared" si="10"/>
        <v/>
      </c>
      <c r="BQ143" s="197" t="str">
        <f>IF(C143="","",IF(COUNTIF(BP$6:BP143,BP143)&gt;1,"",BP143))</f>
        <v/>
      </c>
      <c r="BR143" s="197" t="str">
        <f t="shared" si="11"/>
        <v/>
      </c>
    </row>
    <row r="144" spans="1:70" x14ac:dyDescent="0.2">
      <c r="A144" s="54"/>
      <c r="B144" s="54"/>
      <c r="C144" s="189"/>
      <c r="D144" s="55"/>
      <c r="E144" s="56"/>
      <c r="F144" s="55"/>
      <c r="G144" s="56"/>
      <c r="H144" s="55"/>
      <c r="I144" s="56"/>
      <c r="J144" s="55"/>
      <c r="K144" s="56"/>
      <c r="L144" s="175"/>
      <c r="M144" s="55"/>
      <c r="N144" s="56"/>
      <c r="O144" s="55"/>
      <c r="P144" s="56"/>
      <c r="Q144" s="56"/>
      <c r="R144" s="56"/>
      <c r="S144" s="56"/>
      <c r="T144" s="56"/>
      <c r="U144" s="56"/>
      <c r="V144" s="56"/>
      <c r="W144" s="56"/>
      <c r="X144" s="57"/>
      <c r="Y144" s="134"/>
      <c r="Z144" s="55"/>
      <c r="AA144" s="56"/>
      <c r="AB144" s="56"/>
      <c r="AC144" s="56"/>
      <c r="AD144" s="56"/>
      <c r="AE144" s="56"/>
      <c r="AF144" s="55"/>
      <c r="AG144" s="56"/>
      <c r="AH144" s="55"/>
      <c r="AI144" s="56"/>
      <c r="AJ144" s="58"/>
      <c r="AK144" s="56"/>
      <c r="AL144" s="56"/>
      <c r="AM144" s="56"/>
      <c r="AN144" s="56"/>
      <c r="AO144" s="54"/>
      <c r="AP144" s="56"/>
      <c r="AQ144" s="55"/>
      <c r="AR144" s="56"/>
      <c r="AS144" s="55"/>
      <c r="AT144" s="56"/>
      <c r="AU144" s="55"/>
      <c r="AV144" s="56"/>
      <c r="AW144" s="164"/>
      <c r="AX144" s="56"/>
      <c r="AY144" s="164"/>
      <c r="AZ144" s="56"/>
      <c r="BA144" s="57"/>
      <c r="BB144" s="56"/>
      <c r="BC144" s="55"/>
      <c r="BD144" s="56"/>
      <c r="BE144" s="56"/>
      <c r="BF144" s="54"/>
      <c r="BG144" s="56"/>
      <c r="BN144" s="192" t="str">
        <f t="shared" si="9"/>
        <v/>
      </c>
      <c r="BO144" s="197" t="str">
        <f t="shared" si="8"/>
        <v/>
      </c>
      <c r="BP144" s="197" t="str">
        <f t="shared" si="10"/>
        <v/>
      </c>
      <c r="BQ144" s="197" t="str">
        <f>IF(C144="","",IF(COUNTIF(BP$6:BP144,BP144)&gt;1,"",BP144))</f>
        <v/>
      </c>
      <c r="BR144" s="197" t="str">
        <f t="shared" si="11"/>
        <v/>
      </c>
    </row>
    <row r="145" spans="1:70" x14ac:dyDescent="0.2">
      <c r="A145" s="54"/>
      <c r="B145" s="54"/>
      <c r="C145" s="189"/>
      <c r="D145" s="55"/>
      <c r="E145" s="56"/>
      <c r="F145" s="55"/>
      <c r="G145" s="56"/>
      <c r="H145" s="55"/>
      <c r="I145" s="56"/>
      <c r="J145" s="55"/>
      <c r="K145" s="56"/>
      <c r="L145" s="175"/>
      <c r="M145" s="55"/>
      <c r="N145" s="56"/>
      <c r="O145" s="55"/>
      <c r="P145" s="56"/>
      <c r="Q145" s="56"/>
      <c r="R145" s="56"/>
      <c r="S145" s="56"/>
      <c r="T145" s="56"/>
      <c r="U145" s="56"/>
      <c r="V145" s="56"/>
      <c r="W145" s="56"/>
      <c r="X145" s="57"/>
      <c r="Y145" s="134"/>
      <c r="Z145" s="55"/>
      <c r="AA145" s="56"/>
      <c r="AB145" s="56"/>
      <c r="AC145" s="56"/>
      <c r="AD145" s="56"/>
      <c r="AE145" s="56"/>
      <c r="AF145" s="55"/>
      <c r="AG145" s="56"/>
      <c r="AH145" s="55"/>
      <c r="AI145" s="56"/>
      <c r="AJ145" s="58"/>
      <c r="AK145" s="56"/>
      <c r="AL145" s="56"/>
      <c r="AM145" s="56"/>
      <c r="AN145" s="56"/>
      <c r="AO145" s="54"/>
      <c r="AP145" s="56"/>
      <c r="AQ145" s="55"/>
      <c r="AR145" s="56"/>
      <c r="AS145" s="55"/>
      <c r="AT145" s="56"/>
      <c r="AU145" s="55"/>
      <c r="AV145" s="56"/>
      <c r="AW145" s="164"/>
      <c r="AX145" s="56"/>
      <c r="AY145" s="164"/>
      <c r="AZ145" s="56"/>
      <c r="BA145" s="57"/>
      <c r="BB145" s="56"/>
      <c r="BC145" s="55"/>
      <c r="BD145" s="56"/>
      <c r="BE145" s="56"/>
      <c r="BF145" s="54"/>
      <c r="BG145" s="56"/>
      <c r="BN145" s="192" t="str">
        <f t="shared" si="9"/>
        <v/>
      </c>
      <c r="BO145" s="197" t="str">
        <f t="shared" si="8"/>
        <v/>
      </c>
      <c r="BP145" s="197" t="str">
        <f t="shared" si="10"/>
        <v/>
      </c>
      <c r="BQ145" s="197" t="str">
        <f>IF(C145="","",IF(COUNTIF(BP$6:BP145,BP145)&gt;1,"",BP145))</f>
        <v/>
      </c>
      <c r="BR145" s="197" t="str">
        <f t="shared" si="11"/>
        <v/>
      </c>
    </row>
    <row r="146" spans="1:70" x14ac:dyDescent="0.2">
      <c r="A146" s="54"/>
      <c r="B146" s="54"/>
      <c r="C146" s="189"/>
      <c r="D146" s="55"/>
      <c r="E146" s="56"/>
      <c r="F146" s="55"/>
      <c r="G146" s="56"/>
      <c r="H146" s="55"/>
      <c r="I146" s="56"/>
      <c r="J146" s="55"/>
      <c r="K146" s="56"/>
      <c r="L146" s="175"/>
      <c r="M146" s="55"/>
      <c r="N146" s="56"/>
      <c r="O146" s="55"/>
      <c r="P146" s="56"/>
      <c r="Q146" s="56"/>
      <c r="R146" s="56"/>
      <c r="S146" s="56"/>
      <c r="T146" s="56"/>
      <c r="U146" s="56"/>
      <c r="V146" s="56"/>
      <c r="W146" s="56"/>
      <c r="X146" s="57"/>
      <c r="Y146" s="134"/>
      <c r="Z146" s="55"/>
      <c r="AA146" s="56"/>
      <c r="AB146" s="56"/>
      <c r="AC146" s="56"/>
      <c r="AD146" s="56"/>
      <c r="AE146" s="56"/>
      <c r="AF146" s="55"/>
      <c r="AG146" s="56"/>
      <c r="AH146" s="55"/>
      <c r="AI146" s="56"/>
      <c r="AJ146" s="58"/>
      <c r="AK146" s="56"/>
      <c r="AL146" s="56"/>
      <c r="AM146" s="56"/>
      <c r="AN146" s="56"/>
      <c r="AO146" s="54"/>
      <c r="AP146" s="56"/>
      <c r="AQ146" s="55"/>
      <c r="AR146" s="56"/>
      <c r="AS146" s="55"/>
      <c r="AT146" s="56"/>
      <c r="AU146" s="55"/>
      <c r="AV146" s="56"/>
      <c r="AW146" s="164"/>
      <c r="AX146" s="56"/>
      <c r="AY146" s="164"/>
      <c r="AZ146" s="56"/>
      <c r="BA146" s="57"/>
      <c r="BB146" s="56"/>
      <c r="BC146" s="55"/>
      <c r="BD146" s="56"/>
      <c r="BE146" s="56"/>
      <c r="BF146" s="54"/>
      <c r="BG146" s="56"/>
      <c r="BN146" s="192" t="str">
        <f t="shared" si="9"/>
        <v/>
      </c>
      <c r="BO146" s="197" t="str">
        <f t="shared" si="8"/>
        <v/>
      </c>
      <c r="BP146" s="197" t="str">
        <f t="shared" si="10"/>
        <v/>
      </c>
      <c r="BQ146" s="197" t="str">
        <f>IF(C146="","",IF(COUNTIF(BP$6:BP146,BP146)&gt;1,"",BP146))</f>
        <v/>
      </c>
      <c r="BR146" s="197" t="str">
        <f t="shared" si="11"/>
        <v/>
      </c>
    </row>
    <row r="147" spans="1:70" x14ac:dyDescent="0.2">
      <c r="A147" s="54"/>
      <c r="B147" s="54"/>
      <c r="C147" s="189"/>
      <c r="D147" s="55"/>
      <c r="E147" s="56"/>
      <c r="F147" s="55"/>
      <c r="G147" s="56"/>
      <c r="H147" s="55"/>
      <c r="I147" s="56"/>
      <c r="J147" s="55"/>
      <c r="K147" s="56"/>
      <c r="L147" s="175"/>
      <c r="M147" s="55"/>
      <c r="N147" s="56"/>
      <c r="O147" s="55"/>
      <c r="P147" s="56"/>
      <c r="Q147" s="56"/>
      <c r="R147" s="56"/>
      <c r="S147" s="56"/>
      <c r="T147" s="56"/>
      <c r="U147" s="56"/>
      <c r="V147" s="56"/>
      <c r="W147" s="56"/>
      <c r="X147" s="57"/>
      <c r="Y147" s="134"/>
      <c r="Z147" s="55"/>
      <c r="AA147" s="56"/>
      <c r="AB147" s="56"/>
      <c r="AC147" s="56"/>
      <c r="AD147" s="56"/>
      <c r="AE147" s="56"/>
      <c r="AF147" s="55"/>
      <c r="AG147" s="56"/>
      <c r="AH147" s="55"/>
      <c r="AI147" s="56"/>
      <c r="AJ147" s="58"/>
      <c r="AK147" s="56"/>
      <c r="AL147" s="56"/>
      <c r="AM147" s="56"/>
      <c r="AN147" s="56"/>
      <c r="AO147" s="54"/>
      <c r="AP147" s="56"/>
      <c r="AQ147" s="55"/>
      <c r="AR147" s="56"/>
      <c r="AS147" s="55"/>
      <c r="AT147" s="56"/>
      <c r="AU147" s="55"/>
      <c r="AV147" s="56"/>
      <c r="AW147" s="164"/>
      <c r="AX147" s="56"/>
      <c r="AY147" s="164"/>
      <c r="AZ147" s="56"/>
      <c r="BA147" s="57"/>
      <c r="BB147" s="56"/>
      <c r="BC147" s="55"/>
      <c r="BD147" s="56"/>
      <c r="BE147" s="56"/>
      <c r="BF147" s="54"/>
      <c r="BG147" s="56"/>
      <c r="BN147" s="192" t="str">
        <f t="shared" si="9"/>
        <v/>
      </c>
      <c r="BO147" s="197" t="str">
        <f t="shared" si="8"/>
        <v/>
      </c>
      <c r="BP147" s="197" t="str">
        <f t="shared" si="10"/>
        <v/>
      </c>
      <c r="BQ147" s="197" t="str">
        <f>IF(C147="","",IF(COUNTIF(BP$6:BP147,BP147)&gt;1,"",BP147))</f>
        <v/>
      </c>
      <c r="BR147" s="197" t="str">
        <f t="shared" si="11"/>
        <v/>
      </c>
    </row>
    <row r="148" spans="1:70" x14ac:dyDescent="0.2">
      <c r="A148" s="54"/>
      <c r="B148" s="54"/>
      <c r="C148" s="189"/>
      <c r="D148" s="55"/>
      <c r="E148" s="56"/>
      <c r="F148" s="55"/>
      <c r="G148" s="56"/>
      <c r="H148" s="55"/>
      <c r="I148" s="56"/>
      <c r="J148" s="55"/>
      <c r="K148" s="56"/>
      <c r="L148" s="175"/>
      <c r="M148" s="55"/>
      <c r="N148" s="56"/>
      <c r="O148" s="55"/>
      <c r="P148" s="56"/>
      <c r="Q148" s="56"/>
      <c r="R148" s="56"/>
      <c r="S148" s="56"/>
      <c r="T148" s="56"/>
      <c r="U148" s="56"/>
      <c r="V148" s="56"/>
      <c r="W148" s="56"/>
      <c r="X148" s="57"/>
      <c r="Y148" s="134"/>
      <c r="Z148" s="55"/>
      <c r="AA148" s="56"/>
      <c r="AB148" s="56"/>
      <c r="AC148" s="56"/>
      <c r="AD148" s="56"/>
      <c r="AE148" s="56"/>
      <c r="AF148" s="55"/>
      <c r="AG148" s="56"/>
      <c r="AH148" s="55"/>
      <c r="AI148" s="56"/>
      <c r="AJ148" s="58"/>
      <c r="AK148" s="56"/>
      <c r="AL148" s="56"/>
      <c r="AM148" s="56"/>
      <c r="AN148" s="56"/>
      <c r="AO148" s="54"/>
      <c r="AP148" s="56"/>
      <c r="AQ148" s="55"/>
      <c r="AR148" s="56"/>
      <c r="AS148" s="55"/>
      <c r="AT148" s="56"/>
      <c r="AU148" s="55"/>
      <c r="AV148" s="56"/>
      <c r="AW148" s="164"/>
      <c r="AX148" s="56"/>
      <c r="AY148" s="164"/>
      <c r="AZ148" s="56"/>
      <c r="BA148" s="57"/>
      <c r="BB148" s="56"/>
      <c r="BC148" s="55"/>
      <c r="BD148" s="56"/>
      <c r="BE148" s="56"/>
      <c r="BF148" s="54"/>
      <c r="BG148" s="56"/>
      <c r="BN148" s="192" t="str">
        <f t="shared" si="9"/>
        <v/>
      </c>
      <c r="BO148" s="197" t="str">
        <f t="shared" si="8"/>
        <v/>
      </c>
      <c r="BP148" s="197" t="str">
        <f t="shared" si="10"/>
        <v/>
      </c>
      <c r="BQ148" s="197" t="str">
        <f>IF(C148="","",IF(COUNTIF(BP$6:BP148,BP148)&gt;1,"",BP148))</f>
        <v/>
      </c>
      <c r="BR148" s="197" t="str">
        <f t="shared" si="11"/>
        <v/>
      </c>
    </row>
    <row r="149" spans="1:70" x14ac:dyDescent="0.2">
      <c r="A149" s="54"/>
      <c r="B149" s="54"/>
      <c r="C149" s="189"/>
      <c r="D149" s="55"/>
      <c r="E149" s="56"/>
      <c r="F149" s="55"/>
      <c r="G149" s="56"/>
      <c r="H149" s="55"/>
      <c r="I149" s="56"/>
      <c r="J149" s="55"/>
      <c r="K149" s="56"/>
      <c r="L149" s="175"/>
      <c r="M149" s="55"/>
      <c r="N149" s="56"/>
      <c r="O149" s="55"/>
      <c r="P149" s="56"/>
      <c r="Q149" s="56"/>
      <c r="R149" s="56"/>
      <c r="S149" s="56"/>
      <c r="T149" s="56"/>
      <c r="U149" s="56"/>
      <c r="V149" s="56"/>
      <c r="W149" s="56"/>
      <c r="X149" s="57"/>
      <c r="Y149" s="134"/>
      <c r="Z149" s="55"/>
      <c r="AA149" s="56"/>
      <c r="AB149" s="56"/>
      <c r="AC149" s="56"/>
      <c r="AD149" s="56"/>
      <c r="AE149" s="56"/>
      <c r="AF149" s="55"/>
      <c r="AG149" s="56"/>
      <c r="AH149" s="55"/>
      <c r="AI149" s="56"/>
      <c r="AJ149" s="58"/>
      <c r="AK149" s="56"/>
      <c r="AL149" s="56"/>
      <c r="AM149" s="56"/>
      <c r="AN149" s="56"/>
      <c r="AO149" s="54"/>
      <c r="AP149" s="56"/>
      <c r="AQ149" s="55"/>
      <c r="AR149" s="56"/>
      <c r="AS149" s="55"/>
      <c r="AT149" s="56"/>
      <c r="AU149" s="55"/>
      <c r="AV149" s="56"/>
      <c r="AW149" s="164"/>
      <c r="AX149" s="56"/>
      <c r="AY149" s="164"/>
      <c r="AZ149" s="56"/>
      <c r="BA149" s="57"/>
      <c r="BB149" s="56"/>
      <c r="BC149" s="55"/>
      <c r="BD149" s="56"/>
      <c r="BE149" s="56"/>
      <c r="BF149" s="54"/>
      <c r="BG149" s="56"/>
      <c r="BN149" s="192" t="str">
        <f t="shared" si="9"/>
        <v/>
      </c>
      <c r="BO149" s="197" t="str">
        <f t="shared" si="8"/>
        <v/>
      </c>
      <c r="BP149" s="197" t="str">
        <f t="shared" si="10"/>
        <v/>
      </c>
      <c r="BQ149" s="197" t="str">
        <f>IF(C149="","",IF(COUNTIF(BP$6:BP149,BP149)&gt;1,"",BP149))</f>
        <v/>
      </c>
      <c r="BR149" s="197" t="str">
        <f t="shared" si="11"/>
        <v/>
      </c>
    </row>
    <row r="150" spans="1:70" x14ac:dyDescent="0.2">
      <c r="A150" s="54"/>
      <c r="B150" s="54"/>
      <c r="C150" s="189"/>
      <c r="D150" s="55"/>
      <c r="E150" s="56"/>
      <c r="F150" s="55"/>
      <c r="G150" s="56"/>
      <c r="H150" s="55"/>
      <c r="I150" s="56"/>
      <c r="J150" s="55"/>
      <c r="K150" s="56"/>
      <c r="L150" s="175"/>
      <c r="M150" s="55"/>
      <c r="N150" s="56"/>
      <c r="O150" s="55"/>
      <c r="P150" s="56"/>
      <c r="Q150" s="56"/>
      <c r="R150" s="56"/>
      <c r="S150" s="56"/>
      <c r="T150" s="56"/>
      <c r="U150" s="56"/>
      <c r="V150" s="56"/>
      <c r="W150" s="56"/>
      <c r="X150" s="57"/>
      <c r="Y150" s="134"/>
      <c r="Z150" s="55"/>
      <c r="AA150" s="56"/>
      <c r="AB150" s="56"/>
      <c r="AC150" s="56"/>
      <c r="AD150" s="56"/>
      <c r="AE150" s="56"/>
      <c r="AF150" s="55"/>
      <c r="AG150" s="56"/>
      <c r="AH150" s="55"/>
      <c r="AI150" s="56"/>
      <c r="AJ150" s="58"/>
      <c r="AK150" s="56"/>
      <c r="AL150" s="56"/>
      <c r="AM150" s="56"/>
      <c r="AN150" s="56"/>
      <c r="AO150" s="54"/>
      <c r="AP150" s="56"/>
      <c r="AQ150" s="55"/>
      <c r="AR150" s="56"/>
      <c r="AS150" s="55"/>
      <c r="AT150" s="56"/>
      <c r="AU150" s="55"/>
      <c r="AV150" s="56"/>
      <c r="AW150" s="164"/>
      <c r="AX150" s="56"/>
      <c r="AY150" s="164"/>
      <c r="AZ150" s="56"/>
      <c r="BA150" s="57"/>
      <c r="BB150" s="56"/>
      <c r="BC150" s="55"/>
      <c r="BD150" s="56"/>
      <c r="BE150" s="56"/>
      <c r="BF150" s="54"/>
      <c r="BG150" s="56"/>
      <c r="BN150" s="192" t="str">
        <f t="shared" si="9"/>
        <v/>
      </c>
      <c r="BO150" s="197" t="str">
        <f t="shared" si="8"/>
        <v/>
      </c>
      <c r="BP150" s="197" t="str">
        <f t="shared" si="10"/>
        <v/>
      </c>
      <c r="BQ150" s="197" t="str">
        <f>IF(C150="","",IF(COUNTIF(BP$6:BP150,BP150)&gt;1,"",BP150))</f>
        <v/>
      </c>
      <c r="BR150" s="197" t="str">
        <f t="shared" si="11"/>
        <v/>
      </c>
    </row>
    <row r="151" spans="1:70" x14ac:dyDescent="0.2">
      <c r="A151" s="54"/>
      <c r="B151" s="54"/>
      <c r="C151" s="189"/>
      <c r="D151" s="55"/>
      <c r="E151" s="56"/>
      <c r="F151" s="55"/>
      <c r="G151" s="56"/>
      <c r="H151" s="55"/>
      <c r="I151" s="56"/>
      <c r="J151" s="55"/>
      <c r="K151" s="56"/>
      <c r="L151" s="175"/>
      <c r="M151" s="55"/>
      <c r="N151" s="56"/>
      <c r="O151" s="55"/>
      <c r="P151" s="56"/>
      <c r="Q151" s="56"/>
      <c r="R151" s="56"/>
      <c r="S151" s="56"/>
      <c r="T151" s="56"/>
      <c r="U151" s="56"/>
      <c r="V151" s="56"/>
      <c r="W151" s="56"/>
      <c r="X151" s="57"/>
      <c r="Y151" s="134"/>
      <c r="Z151" s="55"/>
      <c r="AA151" s="56"/>
      <c r="AB151" s="56"/>
      <c r="AC151" s="56"/>
      <c r="AD151" s="56"/>
      <c r="AE151" s="56"/>
      <c r="AF151" s="55"/>
      <c r="AG151" s="56"/>
      <c r="AH151" s="55"/>
      <c r="AI151" s="56"/>
      <c r="AJ151" s="58"/>
      <c r="AK151" s="56"/>
      <c r="AL151" s="56"/>
      <c r="AM151" s="56"/>
      <c r="AN151" s="56"/>
      <c r="AO151" s="54"/>
      <c r="AP151" s="56"/>
      <c r="AQ151" s="55"/>
      <c r="AR151" s="56"/>
      <c r="AS151" s="55"/>
      <c r="AT151" s="56"/>
      <c r="AU151" s="55"/>
      <c r="AV151" s="56"/>
      <c r="AW151" s="164"/>
      <c r="AX151" s="56"/>
      <c r="AY151" s="164"/>
      <c r="AZ151" s="56"/>
      <c r="BA151" s="57"/>
      <c r="BB151" s="56"/>
      <c r="BC151" s="55"/>
      <c r="BD151" s="56"/>
      <c r="BE151" s="56"/>
      <c r="BF151" s="54"/>
      <c r="BG151" s="56"/>
      <c r="BN151" s="192" t="str">
        <f t="shared" si="9"/>
        <v/>
      </c>
      <c r="BO151" s="197" t="str">
        <f t="shared" si="8"/>
        <v/>
      </c>
      <c r="BP151" s="197" t="str">
        <f t="shared" si="10"/>
        <v/>
      </c>
      <c r="BQ151" s="197" t="str">
        <f>IF(C151="","",IF(COUNTIF(BP$6:BP151,BP151)&gt;1,"",BP151))</f>
        <v/>
      </c>
      <c r="BR151" s="197" t="str">
        <f t="shared" si="11"/>
        <v/>
      </c>
    </row>
    <row r="152" spans="1:70" x14ac:dyDescent="0.2">
      <c r="A152" s="54"/>
      <c r="B152" s="54"/>
      <c r="C152" s="189"/>
      <c r="D152" s="55"/>
      <c r="E152" s="56"/>
      <c r="F152" s="55"/>
      <c r="G152" s="56"/>
      <c r="H152" s="55"/>
      <c r="I152" s="56"/>
      <c r="J152" s="55"/>
      <c r="K152" s="56"/>
      <c r="L152" s="175"/>
      <c r="M152" s="55"/>
      <c r="N152" s="56"/>
      <c r="O152" s="55"/>
      <c r="P152" s="56"/>
      <c r="Q152" s="56"/>
      <c r="R152" s="56"/>
      <c r="S152" s="56"/>
      <c r="T152" s="56"/>
      <c r="U152" s="56"/>
      <c r="V152" s="56"/>
      <c r="W152" s="56"/>
      <c r="X152" s="57"/>
      <c r="Y152" s="134"/>
      <c r="Z152" s="55"/>
      <c r="AA152" s="56"/>
      <c r="AB152" s="56"/>
      <c r="AC152" s="56"/>
      <c r="AD152" s="56"/>
      <c r="AE152" s="56"/>
      <c r="AF152" s="55"/>
      <c r="AG152" s="56"/>
      <c r="AH152" s="55"/>
      <c r="AI152" s="56"/>
      <c r="AJ152" s="58"/>
      <c r="AK152" s="56"/>
      <c r="AL152" s="56"/>
      <c r="AM152" s="56"/>
      <c r="AN152" s="56"/>
      <c r="AO152" s="54"/>
      <c r="AP152" s="56"/>
      <c r="AQ152" s="55"/>
      <c r="AR152" s="56"/>
      <c r="AS152" s="55"/>
      <c r="AT152" s="56"/>
      <c r="AU152" s="55"/>
      <c r="AV152" s="56"/>
      <c r="AW152" s="164"/>
      <c r="AX152" s="56"/>
      <c r="AY152" s="164"/>
      <c r="AZ152" s="56"/>
      <c r="BA152" s="57"/>
      <c r="BB152" s="56"/>
      <c r="BC152" s="55"/>
      <c r="BD152" s="56"/>
      <c r="BE152" s="56"/>
      <c r="BF152" s="54"/>
      <c r="BG152" s="56"/>
      <c r="BN152" s="192" t="str">
        <f t="shared" si="9"/>
        <v/>
      </c>
      <c r="BO152" s="197" t="str">
        <f t="shared" si="8"/>
        <v/>
      </c>
      <c r="BP152" s="197" t="str">
        <f t="shared" si="10"/>
        <v/>
      </c>
      <c r="BQ152" s="197" t="str">
        <f>IF(C152="","",IF(COUNTIF(BP$6:BP152,BP152)&gt;1,"",BP152))</f>
        <v/>
      </c>
      <c r="BR152" s="197" t="str">
        <f t="shared" si="11"/>
        <v/>
      </c>
    </row>
    <row r="153" spans="1:70" x14ac:dyDescent="0.2">
      <c r="A153" s="54"/>
      <c r="B153" s="54"/>
      <c r="C153" s="189"/>
      <c r="D153" s="55"/>
      <c r="E153" s="56"/>
      <c r="F153" s="55"/>
      <c r="G153" s="56"/>
      <c r="H153" s="55"/>
      <c r="I153" s="56"/>
      <c r="J153" s="55"/>
      <c r="K153" s="56"/>
      <c r="L153" s="175"/>
      <c r="M153" s="55"/>
      <c r="N153" s="56"/>
      <c r="O153" s="55"/>
      <c r="P153" s="56"/>
      <c r="Q153" s="56"/>
      <c r="R153" s="56"/>
      <c r="S153" s="56"/>
      <c r="T153" s="56"/>
      <c r="U153" s="56"/>
      <c r="V153" s="56"/>
      <c r="W153" s="56"/>
      <c r="X153" s="57"/>
      <c r="Y153" s="134"/>
      <c r="Z153" s="55"/>
      <c r="AA153" s="56"/>
      <c r="AB153" s="56"/>
      <c r="AC153" s="56"/>
      <c r="AD153" s="56"/>
      <c r="AE153" s="56"/>
      <c r="AF153" s="55"/>
      <c r="AG153" s="56"/>
      <c r="AH153" s="55"/>
      <c r="AI153" s="56"/>
      <c r="AJ153" s="58"/>
      <c r="AK153" s="56"/>
      <c r="AL153" s="56"/>
      <c r="AM153" s="56"/>
      <c r="AN153" s="56"/>
      <c r="AO153" s="54"/>
      <c r="AP153" s="56"/>
      <c r="AQ153" s="55"/>
      <c r="AR153" s="56"/>
      <c r="AS153" s="55"/>
      <c r="AT153" s="56"/>
      <c r="AU153" s="55"/>
      <c r="AV153" s="56"/>
      <c r="AW153" s="164"/>
      <c r="AX153" s="56"/>
      <c r="AY153" s="164"/>
      <c r="AZ153" s="56"/>
      <c r="BA153" s="57"/>
      <c r="BB153" s="56"/>
      <c r="BC153" s="55"/>
      <c r="BD153" s="56"/>
      <c r="BE153" s="56"/>
      <c r="BF153" s="54"/>
      <c r="BG153" s="56"/>
      <c r="BN153" s="192" t="str">
        <f t="shared" si="9"/>
        <v/>
      </c>
      <c r="BO153" s="197" t="str">
        <f t="shared" si="8"/>
        <v/>
      </c>
      <c r="BP153" s="197" t="str">
        <f t="shared" si="10"/>
        <v/>
      </c>
      <c r="BQ153" s="197" t="str">
        <f>IF(C153="","",IF(COUNTIF(BP$6:BP153,BP153)&gt;1,"",BP153))</f>
        <v/>
      </c>
      <c r="BR153" s="197" t="str">
        <f t="shared" si="11"/>
        <v/>
      </c>
    </row>
    <row r="154" spans="1:70" x14ac:dyDescent="0.2">
      <c r="A154" s="54"/>
      <c r="B154" s="54"/>
      <c r="C154" s="189"/>
      <c r="D154" s="55"/>
      <c r="E154" s="56"/>
      <c r="F154" s="55"/>
      <c r="G154" s="56"/>
      <c r="H154" s="55"/>
      <c r="I154" s="56"/>
      <c r="J154" s="55"/>
      <c r="K154" s="56"/>
      <c r="L154" s="175"/>
      <c r="M154" s="55"/>
      <c r="N154" s="56"/>
      <c r="O154" s="55"/>
      <c r="P154" s="56"/>
      <c r="Q154" s="56"/>
      <c r="R154" s="56"/>
      <c r="S154" s="56"/>
      <c r="T154" s="56"/>
      <c r="U154" s="56"/>
      <c r="V154" s="56"/>
      <c r="W154" s="56"/>
      <c r="X154" s="57"/>
      <c r="Y154" s="134"/>
      <c r="Z154" s="55"/>
      <c r="AA154" s="56"/>
      <c r="AB154" s="56"/>
      <c r="AC154" s="56"/>
      <c r="AD154" s="56"/>
      <c r="AE154" s="56"/>
      <c r="AF154" s="55"/>
      <c r="AG154" s="56"/>
      <c r="AH154" s="55"/>
      <c r="AI154" s="56"/>
      <c r="AJ154" s="58"/>
      <c r="AK154" s="56"/>
      <c r="AL154" s="56"/>
      <c r="AM154" s="56"/>
      <c r="AN154" s="56"/>
      <c r="AO154" s="54"/>
      <c r="AP154" s="56"/>
      <c r="AQ154" s="55"/>
      <c r="AR154" s="56"/>
      <c r="AS154" s="55"/>
      <c r="AT154" s="56"/>
      <c r="AU154" s="55"/>
      <c r="AV154" s="56"/>
      <c r="AW154" s="164"/>
      <c r="AX154" s="56"/>
      <c r="AY154" s="164"/>
      <c r="AZ154" s="56"/>
      <c r="BA154" s="57"/>
      <c r="BB154" s="56"/>
      <c r="BC154" s="55"/>
      <c r="BD154" s="56"/>
      <c r="BE154" s="56"/>
      <c r="BF154" s="54"/>
      <c r="BG154" s="56"/>
      <c r="BN154" s="192" t="str">
        <f t="shared" si="9"/>
        <v/>
      </c>
      <c r="BO154" s="197" t="str">
        <f t="shared" si="8"/>
        <v/>
      </c>
      <c r="BP154" s="197" t="str">
        <f t="shared" si="10"/>
        <v/>
      </c>
      <c r="BQ154" s="197" t="str">
        <f>IF(C154="","",IF(COUNTIF(BP$6:BP154,BP154)&gt;1,"",BP154))</f>
        <v/>
      </c>
      <c r="BR154" s="197" t="str">
        <f t="shared" si="11"/>
        <v/>
      </c>
    </row>
    <row r="155" spans="1:70" x14ac:dyDescent="0.2">
      <c r="A155" s="54"/>
      <c r="B155" s="54"/>
      <c r="C155" s="189"/>
      <c r="D155" s="55"/>
      <c r="E155" s="56"/>
      <c r="F155" s="55"/>
      <c r="G155" s="56"/>
      <c r="H155" s="55"/>
      <c r="I155" s="56"/>
      <c r="J155" s="55"/>
      <c r="K155" s="56"/>
      <c r="L155" s="175"/>
      <c r="M155" s="55"/>
      <c r="N155" s="56"/>
      <c r="O155" s="55"/>
      <c r="P155" s="56"/>
      <c r="Q155" s="56"/>
      <c r="R155" s="56"/>
      <c r="S155" s="56"/>
      <c r="T155" s="56"/>
      <c r="U155" s="56"/>
      <c r="V155" s="56"/>
      <c r="W155" s="56"/>
      <c r="X155" s="57"/>
      <c r="Y155" s="134"/>
      <c r="Z155" s="55"/>
      <c r="AA155" s="56"/>
      <c r="AB155" s="56"/>
      <c r="AC155" s="56"/>
      <c r="AD155" s="56"/>
      <c r="AE155" s="56"/>
      <c r="AF155" s="55"/>
      <c r="AG155" s="56"/>
      <c r="AH155" s="55"/>
      <c r="AI155" s="56"/>
      <c r="AJ155" s="58"/>
      <c r="AK155" s="56"/>
      <c r="AL155" s="56"/>
      <c r="AM155" s="56"/>
      <c r="AN155" s="56"/>
      <c r="AO155" s="54"/>
      <c r="AP155" s="56"/>
      <c r="AQ155" s="55"/>
      <c r="AR155" s="56"/>
      <c r="AS155" s="55"/>
      <c r="AT155" s="56"/>
      <c r="AU155" s="55"/>
      <c r="AV155" s="56"/>
      <c r="AW155" s="164"/>
      <c r="AX155" s="56"/>
      <c r="AY155" s="164"/>
      <c r="AZ155" s="56"/>
      <c r="BA155" s="57"/>
      <c r="BB155" s="56"/>
      <c r="BC155" s="55"/>
      <c r="BD155" s="56"/>
      <c r="BE155" s="56"/>
      <c r="BF155" s="54"/>
      <c r="BG155" s="56"/>
      <c r="BN155" s="192" t="str">
        <f t="shared" si="9"/>
        <v/>
      </c>
      <c r="BO155" s="197" t="str">
        <f t="shared" si="8"/>
        <v/>
      </c>
      <c r="BP155" s="197" t="str">
        <f t="shared" si="10"/>
        <v/>
      </c>
      <c r="BQ155" s="197" t="str">
        <f>IF(C155="","",IF(COUNTIF(BP$6:BP155,BP155)&gt;1,"",BP155))</f>
        <v/>
      </c>
      <c r="BR155" s="197" t="str">
        <f t="shared" si="11"/>
        <v/>
      </c>
    </row>
    <row r="156" spans="1:70" x14ac:dyDescent="0.2">
      <c r="A156" s="54"/>
      <c r="B156" s="54"/>
      <c r="C156" s="189"/>
      <c r="D156" s="55"/>
      <c r="E156" s="56"/>
      <c r="F156" s="55"/>
      <c r="G156" s="56"/>
      <c r="H156" s="55"/>
      <c r="I156" s="56"/>
      <c r="J156" s="55"/>
      <c r="K156" s="56"/>
      <c r="L156" s="175"/>
      <c r="M156" s="55"/>
      <c r="N156" s="56"/>
      <c r="O156" s="55"/>
      <c r="P156" s="56"/>
      <c r="Q156" s="56"/>
      <c r="R156" s="56"/>
      <c r="S156" s="56"/>
      <c r="T156" s="56"/>
      <c r="U156" s="56"/>
      <c r="V156" s="56"/>
      <c r="W156" s="56"/>
      <c r="X156" s="57"/>
      <c r="Y156" s="134"/>
      <c r="Z156" s="55"/>
      <c r="AA156" s="56"/>
      <c r="AB156" s="56"/>
      <c r="AC156" s="56"/>
      <c r="AD156" s="56"/>
      <c r="AE156" s="56"/>
      <c r="AF156" s="55"/>
      <c r="AG156" s="56"/>
      <c r="AH156" s="55"/>
      <c r="AI156" s="56"/>
      <c r="AJ156" s="58"/>
      <c r="AK156" s="56"/>
      <c r="AL156" s="56"/>
      <c r="AM156" s="56"/>
      <c r="AN156" s="56"/>
      <c r="AO156" s="54"/>
      <c r="AP156" s="56"/>
      <c r="AQ156" s="55"/>
      <c r="AR156" s="56"/>
      <c r="AS156" s="55"/>
      <c r="AT156" s="56"/>
      <c r="AU156" s="55"/>
      <c r="AV156" s="56"/>
      <c r="AW156" s="164"/>
      <c r="AX156" s="56"/>
      <c r="AY156" s="164"/>
      <c r="AZ156" s="56"/>
      <c r="BA156" s="57"/>
      <c r="BB156" s="56"/>
      <c r="BC156" s="55"/>
      <c r="BD156" s="56"/>
      <c r="BE156" s="56"/>
      <c r="BF156" s="54"/>
      <c r="BG156" s="56"/>
      <c r="BN156" s="192" t="str">
        <f t="shared" si="9"/>
        <v/>
      </c>
      <c r="BO156" s="197" t="str">
        <f t="shared" si="8"/>
        <v/>
      </c>
      <c r="BP156" s="197" t="str">
        <f t="shared" si="10"/>
        <v/>
      </c>
      <c r="BQ156" s="197" t="str">
        <f>IF(C156="","",IF(COUNTIF(BP$6:BP156,BP156)&gt;1,"",BP156))</f>
        <v/>
      </c>
      <c r="BR156" s="197" t="str">
        <f t="shared" si="11"/>
        <v/>
      </c>
    </row>
    <row r="157" spans="1:70" x14ac:dyDescent="0.2">
      <c r="A157" s="54"/>
      <c r="B157" s="54"/>
      <c r="C157" s="189"/>
      <c r="D157" s="55"/>
      <c r="E157" s="56"/>
      <c r="F157" s="55"/>
      <c r="G157" s="56"/>
      <c r="H157" s="55"/>
      <c r="I157" s="56"/>
      <c r="J157" s="55"/>
      <c r="K157" s="56"/>
      <c r="L157" s="175"/>
      <c r="M157" s="55"/>
      <c r="N157" s="56"/>
      <c r="O157" s="55"/>
      <c r="P157" s="56"/>
      <c r="Q157" s="56"/>
      <c r="R157" s="56"/>
      <c r="S157" s="56"/>
      <c r="T157" s="56"/>
      <c r="U157" s="56"/>
      <c r="V157" s="56"/>
      <c r="W157" s="56"/>
      <c r="X157" s="57"/>
      <c r="Y157" s="134"/>
      <c r="Z157" s="55"/>
      <c r="AA157" s="56"/>
      <c r="AB157" s="56"/>
      <c r="AC157" s="56"/>
      <c r="AD157" s="56"/>
      <c r="AE157" s="56"/>
      <c r="AF157" s="55"/>
      <c r="AG157" s="56"/>
      <c r="AH157" s="55"/>
      <c r="AI157" s="56"/>
      <c r="AJ157" s="58"/>
      <c r="AK157" s="56"/>
      <c r="AL157" s="56"/>
      <c r="AM157" s="56"/>
      <c r="AN157" s="56"/>
      <c r="AO157" s="54"/>
      <c r="AP157" s="56"/>
      <c r="AQ157" s="55"/>
      <c r="AR157" s="56"/>
      <c r="AS157" s="55"/>
      <c r="AT157" s="56"/>
      <c r="AU157" s="55"/>
      <c r="AV157" s="56"/>
      <c r="AW157" s="164"/>
      <c r="AX157" s="56"/>
      <c r="AY157" s="164"/>
      <c r="AZ157" s="56"/>
      <c r="BA157" s="57"/>
      <c r="BB157" s="56"/>
      <c r="BC157" s="55"/>
      <c r="BD157" s="56"/>
      <c r="BE157" s="56"/>
      <c r="BF157" s="54"/>
      <c r="BG157" s="56"/>
      <c r="BN157" s="192" t="str">
        <f t="shared" si="9"/>
        <v/>
      </c>
      <c r="BO157" s="197" t="str">
        <f t="shared" si="8"/>
        <v/>
      </c>
      <c r="BP157" s="197" t="str">
        <f t="shared" si="10"/>
        <v/>
      </c>
      <c r="BQ157" s="197" t="str">
        <f>IF(C157="","",IF(COUNTIF(BP$6:BP157,BP157)&gt;1,"",BP157))</f>
        <v/>
      </c>
      <c r="BR157" s="197" t="str">
        <f t="shared" si="11"/>
        <v/>
      </c>
    </row>
    <row r="158" spans="1:70" x14ac:dyDescent="0.2">
      <c r="A158" s="54"/>
      <c r="B158" s="54"/>
      <c r="C158" s="189"/>
      <c r="D158" s="55"/>
      <c r="E158" s="56"/>
      <c r="F158" s="55"/>
      <c r="G158" s="56"/>
      <c r="H158" s="55"/>
      <c r="I158" s="56"/>
      <c r="J158" s="55"/>
      <c r="K158" s="56"/>
      <c r="L158" s="175"/>
      <c r="M158" s="55"/>
      <c r="N158" s="56"/>
      <c r="O158" s="55"/>
      <c r="P158" s="56"/>
      <c r="Q158" s="56"/>
      <c r="R158" s="56"/>
      <c r="S158" s="56"/>
      <c r="T158" s="56"/>
      <c r="U158" s="56"/>
      <c r="V158" s="56"/>
      <c r="W158" s="56"/>
      <c r="X158" s="57"/>
      <c r="Y158" s="134"/>
      <c r="Z158" s="55"/>
      <c r="AA158" s="56"/>
      <c r="AB158" s="56"/>
      <c r="AC158" s="56"/>
      <c r="AD158" s="56"/>
      <c r="AE158" s="56"/>
      <c r="AF158" s="55"/>
      <c r="AG158" s="56"/>
      <c r="AH158" s="55"/>
      <c r="AI158" s="56"/>
      <c r="AJ158" s="58"/>
      <c r="AK158" s="56"/>
      <c r="AL158" s="56"/>
      <c r="AM158" s="56"/>
      <c r="AN158" s="56"/>
      <c r="AO158" s="54"/>
      <c r="AP158" s="56"/>
      <c r="AQ158" s="55"/>
      <c r="AR158" s="56"/>
      <c r="AS158" s="55"/>
      <c r="AT158" s="56"/>
      <c r="AU158" s="55"/>
      <c r="AV158" s="56"/>
      <c r="AW158" s="164"/>
      <c r="AX158" s="56"/>
      <c r="AY158" s="164"/>
      <c r="AZ158" s="56"/>
      <c r="BA158" s="57"/>
      <c r="BB158" s="56"/>
      <c r="BC158" s="55"/>
      <c r="BD158" s="56"/>
      <c r="BE158" s="56"/>
      <c r="BF158" s="54"/>
      <c r="BG158" s="56"/>
      <c r="BN158" s="192" t="str">
        <f t="shared" si="9"/>
        <v/>
      </c>
      <c r="BO158" s="197" t="str">
        <f t="shared" si="8"/>
        <v/>
      </c>
      <c r="BP158" s="197" t="str">
        <f t="shared" si="10"/>
        <v/>
      </c>
      <c r="BQ158" s="197" t="str">
        <f>IF(C158="","",IF(COUNTIF(BP$6:BP158,BP158)&gt;1,"",BP158))</f>
        <v/>
      </c>
      <c r="BR158" s="197" t="str">
        <f t="shared" si="11"/>
        <v/>
      </c>
    </row>
    <row r="159" spans="1:70" x14ac:dyDescent="0.2">
      <c r="A159" s="54"/>
      <c r="B159" s="54"/>
      <c r="C159" s="189"/>
      <c r="D159" s="55"/>
      <c r="E159" s="56"/>
      <c r="F159" s="55"/>
      <c r="G159" s="56"/>
      <c r="H159" s="55"/>
      <c r="I159" s="56"/>
      <c r="J159" s="55"/>
      <c r="K159" s="56"/>
      <c r="L159" s="175"/>
      <c r="M159" s="55"/>
      <c r="N159" s="56"/>
      <c r="O159" s="55"/>
      <c r="P159" s="56"/>
      <c r="Q159" s="56"/>
      <c r="R159" s="56"/>
      <c r="S159" s="56"/>
      <c r="T159" s="56"/>
      <c r="U159" s="56"/>
      <c r="V159" s="56"/>
      <c r="W159" s="56"/>
      <c r="X159" s="57"/>
      <c r="Y159" s="134"/>
      <c r="Z159" s="55"/>
      <c r="AA159" s="56"/>
      <c r="AB159" s="56"/>
      <c r="AC159" s="56"/>
      <c r="AD159" s="56"/>
      <c r="AE159" s="56"/>
      <c r="AF159" s="55"/>
      <c r="AG159" s="56"/>
      <c r="AH159" s="55"/>
      <c r="AI159" s="56"/>
      <c r="AJ159" s="58"/>
      <c r="AK159" s="56"/>
      <c r="AL159" s="56"/>
      <c r="AM159" s="56"/>
      <c r="AN159" s="56"/>
      <c r="AO159" s="54"/>
      <c r="AP159" s="56"/>
      <c r="AQ159" s="55"/>
      <c r="AR159" s="56"/>
      <c r="AS159" s="55"/>
      <c r="AT159" s="56"/>
      <c r="AU159" s="55"/>
      <c r="AV159" s="56"/>
      <c r="AW159" s="164"/>
      <c r="AX159" s="56"/>
      <c r="AY159" s="164"/>
      <c r="AZ159" s="56"/>
      <c r="BA159" s="57"/>
      <c r="BB159" s="56"/>
      <c r="BC159" s="55"/>
      <c r="BD159" s="56"/>
      <c r="BE159" s="56"/>
      <c r="BF159" s="54"/>
      <c r="BG159" s="56"/>
      <c r="BN159" s="192" t="str">
        <f t="shared" si="9"/>
        <v/>
      </c>
      <c r="BO159" s="197" t="str">
        <f t="shared" si="8"/>
        <v/>
      </c>
      <c r="BP159" s="197" t="str">
        <f t="shared" si="10"/>
        <v/>
      </c>
      <c r="BQ159" s="197" t="str">
        <f>IF(C159="","",IF(COUNTIF(BP$6:BP159,BP159)&gt;1,"",BP159))</f>
        <v/>
      </c>
      <c r="BR159" s="197" t="str">
        <f t="shared" si="11"/>
        <v/>
      </c>
    </row>
    <row r="160" spans="1:70" x14ac:dyDescent="0.2">
      <c r="A160" s="54"/>
      <c r="B160" s="54"/>
      <c r="C160" s="189"/>
      <c r="D160" s="55"/>
      <c r="E160" s="56"/>
      <c r="F160" s="55"/>
      <c r="G160" s="56"/>
      <c r="H160" s="55"/>
      <c r="I160" s="56"/>
      <c r="J160" s="55"/>
      <c r="K160" s="56"/>
      <c r="L160" s="175"/>
      <c r="M160" s="55"/>
      <c r="N160" s="56"/>
      <c r="O160" s="55"/>
      <c r="P160" s="56"/>
      <c r="Q160" s="56"/>
      <c r="R160" s="56"/>
      <c r="S160" s="56"/>
      <c r="T160" s="56"/>
      <c r="U160" s="56"/>
      <c r="V160" s="56"/>
      <c r="W160" s="56"/>
      <c r="X160" s="57"/>
      <c r="Y160" s="134"/>
      <c r="Z160" s="55"/>
      <c r="AA160" s="56"/>
      <c r="AB160" s="56"/>
      <c r="AC160" s="56"/>
      <c r="AD160" s="56"/>
      <c r="AE160" s="56"/>
      <c r="AF160" s="55"/>
      <c r="AG160" s="56"/>
      <c r="AH160" s="55"/>
      <c r="AI160" s="56"/>
      <c r="AJ160" s="58"/>
      <c r="AK160" s="56"/>
      <c r="AL160" s="56"/>
      <c r="AM160" s="56"/>
      <c r="AN160" s="56"/>
      <c r="AO160" s="54"/>
      <c r="AP160" s="56"/>
      <c r="AQ160" s="55"/>
      <c r="AR160" s="56"/>
      <c r="AS160" s="55"/>
      <c r="AT160" s="56"/>
      <c r="AU160" s="55"/>
      <c r="AV160" s="56"/>
      <c r="AW160" s="164"/>
      <c r="AX160" s="56"/>
      <c r="AY160" s="164"/>
      <c r="AZ160" s="56"/>
      <c r="BA160" s="57"/>
      <c r="BB160" s="56"/>
      <c r="BC160" s="55"/>
      <c r="BD160" s="56"/>
      <c r="BE160" s="56"/>
      <c r="BF160" s="54"/>
      <c r="BG160" s="56"/>
      <c r="BN160" s="192" t="str">
        <f t="shared" si="9"/>
        <v/>
      </c>
      <c r="BO160" s="197" t="str">
        <f t="shared" si="8"/>
        <v/>
      </c>
      <c r="BP160" s="197" t="str">
        <f t="shared" si="10"/>
        <v/>
      </c>
      <c r="BQ160" s="197" t="str">
        <f>IF(C160="","",IF(COUNTIF(BP$6:BP160,BP160)&gt;1,"",BP160))</f>
        <v/>
      </c>
      <c r="BR160" s="197" t="str">
        <f t="shared" si="11"/>
        <v/>
      </c>
    </row>
    <row r="161" spans="1:70" x14ac:dyDescent="0.2">
      <c r="A161" s="54"/>
      <c r="B161" s="54"/>
      <c r="C161" s="189"/>
      <c r="D161" s="55"/>
      <c r="E161" s="56"/>
      <c r="F161" s="55"/>
      <c r="G161" s="56"/>
      <c r="H161" s="55"/>
      <c r="I161" s="56"/>
      <c r="J161" s="55"/>
      <c r="K161" s="56"/>
      <c r="L161" s="175"/>
      <c r="M161" s="55"/>
      <c r="N161" s="56"/>
      <c r="O161" s="55"/>
      <c r="P161" s="56"/>
      <c r="Q161" s="56"/>
      <c r="R161" s="56"/>
      <c r="S161" s="56"/>
      <c r="T161" s="56"/>
      <c r="U161" s="56"/>
      <c r="V161" s="56"/>
      <c r="W161" s="56"/>
      <c r="X161" s="57"/>
      <c r="Y161" s="134"/>
      <c r="Z161" s="55"/>
      <c r="AA161" s="56"/>
      <c r="AB161" s="56"/>
      <c r="AC161" s="56"/>
      <c r="AD161" s="56"/>
      <c r="AE161" s="56"/>
      <c r="AF161" s="55"/>
      <c r="AG161" s="56"/>
      <c r="AH161" s="55"/>
      <c r="AI161" s="56"/>
      <c r="AJ161" s="58"/>
      <c r="AK161" s="56"/>
      <c r="AL161" s="56"/>
      <c r="AM161" s="56"/>
      <c r="AN161" s="56"/>
      <c r="AO161" s="54"/>
      <c r="AP161" s="56"/>
      <c r="AQ161" s="55"/>
      <c r="AR161" s="56"/>
      <c r="AS161" s="55"/>
      <c r="AT161" s="56"/>
      <c r="AU161" s="55"/>
      <c r="AV161" s="56"/>
      <c r="AW161" s="164"/>
      <c r="AX161" s="56"/>
      <c r="AY161" s="164"/>
      <c r="AZ161" s="56"/>
      <c r="BA161" s="57"/>
      <c r="BB161" s="56"/>
      <c r="BC161" s="55"/>
      <c r="BD161" s="56"/>
      <c r="BE161" s="56"/>
      <c r="BF161" s="54"/>
      <c r="BG161" s="56"/>
      <c r="BN161" s="192" t="str">
        <f t="shared" si="9"/>
        <v/>
      </c>
      <c r="BO161" s="197" t="str">
        <f t="shared" si="8"/>
        <v/>
      </c>
      <c r="BP161" s="197" t="str">
        <f t="shared" si="10"/>
        <v/>
      </c>
      <c r="BQ161" s="197" t="str">
        <f>IF(C161="","",IF(COUNTIF(BP$6:BP161,BP161)&gt;1,"",BP161))</f>
        <v/>
      </c>
      <c r="BR161" s="197" t="str">
        <f t="shared" si="11"/>
        <v/>
      </c>
    </row>
    <row r="162" spans="1:70" x14ac:dyDescent="0.2">
      <c r="A162" s="54"/>
      <c r="B162" s="54"/>
      <c r="C162" s="189"/>
      <c r="D162" s="55"/>
      <c r="E162" s="56"/>
      <c r="F162" s="55"/>
      <c r="G162" s="56"/>
      <c r="H162" s="55"/>
      <c r="I162" s="56"/>
      <c r="J162" s="55"/>
      <c r="K162" s="56"/>
      <c r="L162" s="175"/>
      <c r="M162" s="55"/>
      <c r="N162" s="56"/>
      <c r="O162" s="55"/>
      <c r="P162" s="56"/>
      <c r="Q162" s="56"/>
      <c r="R162" s="56"/>
      <c r="S162" s="56"/>
      <c r="T162" s="56"/>
      <c r="U162" s="56"/>
      <c r="V162" s="56"/>
      <c r="W162" s="56"/>
      <c r="X162" s="57"/>
      <c r="Y162" s="134"/>
      <c r="Z162" s="55"/>
      <c r="AA162" s="56"/>
      <c r="AB162" s="56"/>
      <c r="AC162" s="56"/>
      <c r="AD162" s="56"/>
      <c r="AE162" s="56"/>
      <c r="AF162" s="55"/>
      <c r="AG162" s="56"/>
      <c r="AH162" s="55"/>
      <c r="AI162" s="56"/>
      <c r="AJ162" s="58"/>
      <c r="AK162" s="56"/>
      <c r="AL162" s="56"/>
      <c r="AM162" s="56"/>
      <c r="AN162" s="56"/>
      <c r="AO162" s="54"/>
      <c r="AP162" s="56"/>
      <c r="AQ162" s="55"/>
      <c r="AR162" s="56"/>
      <c r="AS162" s="55"/>
      <c r="AT162" s="56"/>
      <c r="AU162" s="55"/>
      <c r="AV162" s="56"/>
      <c r="AW162" s="164"/>
      <c r="AX162" s="56"/>
      <c r="AY162" s="164"/>
      <c r="AZ162" s="56"/>
      <c r="BA162" s="57"/>
      <c r="BB162" s="56"/>
      <c r="BC162" s="55"/>
      <c r="BD162" s="56"/>
      <c r="BE162" s="56"/>
      <c r="BF162" s="54"/>
      <c r="BG162" s="56"/>
      <c r="BN162" s="192" t="str">
        <f t="shared" si="9"/>
        <v/>
      </c>
      <c r="BO162" s="197" t="str">
        <f t="shared" si="8"/>
        <v/>
      </c>
      <c r="BP162" s="197" t="str">
        <f t="shared" si="10"/>
        <v/>
      </c>
      <c r="BQ162" s="197" t="str">
        <f>IF(C162="","",IF(COUNTIF(BP$6:BP162,BP162)&gt;1,"",BP162))</f>
        <v/>
      </c>
      <c r="BR162" s="197" t="str">
        <f t="shared" si="11"/>
        <v/>
      </c>
    </row>
    <row r="163" spans="1:70" x14ac:dyDescent="0.2">
      <c r="A163" s="54"/>
      <c r="B163" s="54"/>
      <c r="C163" s="189"/>
      <c r="D163" s="55"/>
      <c r="E163" s="56"/>
      <c r="F163" s="55"/>
      <c r="G163" s="56"/>
      <c r="H163" s="55"/>
      <c r="I163" s="56"/>
      <c r="J163" s="55"/>
      <c r="K163" s="56"/>
      <c r="L163" s="175"/>
      <c r="M163" s="55"/>
      <c r="N163" s="56"/>
      <c r="O163" s="55"/>
      <c r="P163" s="56"/>
      <c r="Q163" s="56"/>
      <c r="R163" s="56"/>
      <c r="S163" s="56"/>
      <c r="T163" s="56"/>
      <c r="U163" s="56"/>
      <c r="V163" s="56"/>
      <c r="W163" s="56"/>
      <c r="X163" s="57"/>
      <c r="Y163" s="134"/>
      <c r="Z163" s="55"/>
      <c r="AA163" s="56"/>
      <c r="AB163" s="56"/>
      <c r="AC163" s="56"/>
      <c r="AD163" s="56"/>
      <c r="AE163" s="56"/>
      <c r="AF163" s="55"/>
      <c r="AG163" s="56"/>
      <c r="AH163" s="55"/>
      <c r="AI163" s="56"/>
      <c r="AJ163" s="58"/>
      <c r="AK163" s="56"/>
      <c r="AL163" s="56"/>
      <c r="AM163" s="56"/>
      <c r="AN163" s="56"/>
      <c r="AO163" s="54"/>
      <c r="AP163" s="56"/>
      <c r="AQ163" s="55"/>
      <c r="AR163" s="56"/>
      <c r="AS163" s="55"/>
      <c r="AT163" s="56"/>
      <c r="AU163" s="55"/>
      <c r="AV163" s="56"/>
      <c r="AW163" s="164"/>
      <c r="AX163" s="56"/>
      <c r="AY163" s="164"/>
      <c r="AZ163" s="56"/>
      <c r="BA163" s="57"/>
      <c r="BB163" s="56"/>
      <c r="BC163" s="55"/>
      <c r="BD163" s="56"/>
      <c r="BE163" s="56"/>
      <c r="BF163" s="54"/>
      <c r="BG163" s="56"/>
      <c r="BN163" s="192" t="str">
        <f t="shared" si="9"/>
        <v/>
      </c>
      <c r="BO163" s="197" t="str">
        <f t="shared" si="8"/>
        <v/>
      </c>
      <c r="BP163" s="197" t="str">
        <f t="shared" si="10"/>
        <v/>
      </c>
      <c r="BQ163" s="197" t="str">
        <f>IF(C163="","",IF(COUNTIF(BP$6:BP163,BP163)&gt;1,"",BP163))</f>
        <v/>
      </c>
      <c r="BR163" s="197" t="str">
        <f t="shared" si="11"/>
        <v/>
      </c>
    </row>
    <row r="164" spans="1:70" x14ac:dyDescent="0.2">
      <c r="A164" s="54"/>
      <c r="B164" s="54"/>
      <c r="C164" s="189"/>
      <c r="D164" s="55"/>
      <c r="E164" s="56"/>
      <c r="F164" s="55"/>
      <c r="G164" s="56"/>
      <c r="H164" s="55"/>
      <c r="I164" s="56"/>
      <c r="J164" s="55"/>
      <c r="K164" s="56"/>
      <c r="L164" s="175"/>
      <c r="M164" s="55"/>
      <c r="N164" s="56"/>
      <c r="O164" s="55"/>
      <c r="P164" s="56"/>
      <c r="Q164" s="56"/>
      <c r="R164" s="56"/>
      <c r="S164" s="56"/>
      <c r="T164" s="56"/>
      <c r="U164" s="56"/>
      <c r="V164" s="56"/>
      <c r="W164" s="56"/>
      <c r="X164" s="57"/>
      <c r="Y164" s="134"/>
      <c r="Z164" s="55"/>
      <c r="AA164" s="56"/>
      <c r="AB164" s="56"/>
      <c r="AC164" s="56"/>
      <c r="AD164" s="56"/>
      <c r="AE164" s="56"/>
      <c r="AF164" s="55"/>
      <c r="AG164" s="56"/>
      <c r="AH164" s="55"/>
      <c r="AI164" s="56"/>
      <c r="AJ164" s="58"/>
      <c r="AK164" s="56"/>
      <c r="AL164" s="56"/>
      <c r="AM164" s="56"/>
      <c r="AN164" s="56"/>
      <c r="AO164" s="54"/>
      <c r="AP164" s="56"/>
      <c r="AQ164" s="55"/>
      <c r="AR164" s="56"/>
      <c r="AS164" s="55"/>
      <c r="AT164" s="56"/>
      <c r="AU164" s="55"/>
      <c r="AV164" s="56"/>
      <c r="AW164" s="164"/>
      <c r="AX164" s="56"/>
      <c r="AY164" s="164"/>
      <c r="AZ164" s="56"/>
      <c r="BA164" s="57"/>
      <c r="BB164" s="56"/>
      <c r="BC164" s="55"/>
      <c r="BD164" s="56"/>
      <c r="BE164" s="56"/>
      <c r="BF164" s="54"/>
      <c r="BG164" s="56"/>
      <c r="BN164" s="192" t="str">
        <f t="shared" si="9"/>
        <v/>
      </c>
      <c r="BO164" s="197" t="str">
        <f t="shared" si="8"/>
        <v/>
      </c>
      <c r="BP164" s="197" t="str">
        <f t="shared" si="10"/>
        <v/>
      </c>
      <c r="BQ164" s="197" t="str">
        <f>IF(C164="","",IF(COUNTIF(BP$6:BP164,BP164)&gt;1,"",BP164))</f>
        <v/>
      </c>
      <c r="BR164" s="197" t="str">
        <f t="shared" si="11"/>
        <v/>
      </c>
    </row>
    <row r="165" spans="1:70" x14ac:dyDescent="0.2">
      <c r="A165" s="54"/>
      <c r="B165" s="54"/>
      <c r="C165" s="189"/>
      <c r="D165" s="55"/>
      <c r="E165" s="56"/>
      <c r="F165" s="55"/>
      <c r="G165" s="56"/>
      <c r="H165" s="55"/>
      <c r="I165" s="56"/>
      <c r="J165" s="55"/>
      <c r="K165" s="56"/>
      <c r="L165" s="175"/>
      <c r="M165" s="55"/>
      <c r="N165" s="56"/>
      <c r="O165" s="55"/>
      <c r="P165" s="56"/>
      <c r="Q165" s="56"/>
      <c r="R165" s="56"/>
      <c r="S165" s="56"/>
      <c r="T165" s="56"/>
      <c r="U165" s="56"/>
      <c r="V165" s="56"/>
      <c r="W165" s="56"/>
      <c r="X165" s="57"/>
      <c r="Y165" s="134"/>
      <c r="Z165" s="55"/>
      <c r="AA165" s="56"/>
      <c r="AB165" s="56"/>
      <c r="AC165" s="56"/>
      <c r="AD165" s="56"/>
      <c r="AE165" s="56"/>
      <c r="AF165" s="55"/>
      <c r="AG165" s="56"/>
      <c r="AH165" s="55"/>
      <c r="AI165" s="56"/>
      <c r="AJ165" s="58"/>
      <c r="AK165" s="56"/>
      <c r="AL165" s="56"/>
      <c r="AM165" s="56"/>
      <c r="AN165" s="56"/>
      <c r="AO165" s="54"/>
      <c r="AP165" s="56"/>
      <c r="AQ165" s="55"/>
      <c r="AR165" s="56"/>
      <c r="AS165" s="55"/>
      <c r="AT165" s="56"/>
      <c r="AU165" s="55"/>
      <c r="AV165" s="56"/>
      <c r="AW165" s="164"/>
      <c r="AX165" s="56"/>
      <c r="AY165" s="164"/>
      <c r="AZ165" s="56"/>
      <c r="BA165" s="57"/>
      <c r="BB165" s="56"/>
      <c r="BC165" s="55"/>
      <c r="BD165" s="56"/>
      <c r="BE165" s="56"/>
      <c r="BF165" s="54"/>
      <c r="BG165" s="56"/>
      <c r="BN165" s="192" t="str">
        <f t="shared" si="9"/>
        <v/>
      </c>
      <c r="BO165" s="197" t="str">
        <f t="shared" si="8"/>
        <v/>
      </c>
      <c r="BP165" s="197" t="str">
        <f t="shared" si="10"/>
        <v/>
      </c>
      <c r="BQ165" s="197" t="str">
        <f>IF(C165="","",IF(COUNTIF(BP$6:BP165,BP165)&gt;1,"",BP165))</f>
        <v/>
      </c>
      <c r="BR165" s="197" t="str">
        <f t="shared" si="11"/>
        <v/>
      </c>
    </row>
    <row r="166" spans="1:70" x14ac:dyDescent="0.2">
      <c r="A166" s="54"/>
      <c r="B166" s="54"/>
      <c r="C166" s="189"/>
      <c r="D166" s="55"/>
      <c r="E166" s="56"/>
      <c r="F166" s="55"/>
      <c r="G166" s="56"/>
      <c r="H166" s="55"/>
      <c r="I166" s="56"/>
      <c r="J166" s="55"/>
      <c r="K166" s="56"/>
      <c r="L166" s="175"/>
      <c r="M166" s="55"/>
      <c r="N166" s="56"/>
      <c r="O166" s="55"/>
      <c r="P166" s="56"/>
      <c r="Q166" s="56"/>
      <c r="R166" s="56"/>
      <c r="S166" s="56"/>
      <c r="T166" s="56"/>
      <c r="U166" s="56"/>
      <c r="V166" s="56"/>
      <c r="W166" s="56"/>
      <c r="X166" s="57"/>
      <c r="Y166" s="134"/>
      <c r="Z166" s="55"/>
      <c r="AA166" s="56"/>
      <c r="AB166" s="56"/>
      <c r="AC166" s="56"/>
      <c r="AD166" s="56"/>
      <c r="AE166" s="56"/>
      <c r="AF166" s="55"/>
      <c r="AG166" s="56"/>
      <c r="AH166" s="55"/>
      <c r="AI166" s="56"/>
      <c r="AJ166" s="58"/>
      <c r="AK166" s="56"/>
      <c r="AL166" s="56"/>
      <c r="AM166" s="56"/>
      <c r="AN166" s="56"/>
      <c r="AO166" s="54"/>
      <c r="AP166" s="56"/>
      <c r="AQ166" s="55"/>
      <c r="AR166" s="56"/>
      <c r="AS166" s="55"/>
      <c r="AT166" s="56"/>
      <c r="AU166" s="55"/>
      <c r="AV166" s="56"/>
      <c r="AW166" s="164"/>
      <c r="AX166" s="56"/>
      <c r="AY166" s="164"/>
      <c r="AZ166" s="56"/>
      <c r="BA166" s="57"/>
      <c r="BB166" s="56"/>
      <c r="BC166" s="55"/>
      <c r="BD166" s="56"/>
      <c r="BE166" s="56"/>
      <c r="BF166" s="54"/>
      <c r="BG166" s="56"/>
      <c r="BN166" s="192" t="str">
        <f t="shared" si="9"/>
        <v/>
      </c>
      <c r="BO166" s="197" t="str">
        <f t="shared" si="8"/>
        <v/>
      </c>
      <c r="BP166" s="197" t="str">
        <f t="shared" si="10"/>
        <v/>
      </c>
      <c r="BQ166" s="197" t="str">
        <f>IF(C166="","",IF(COUNTIF(BP$6:BP166,BP166)&gt;1,"",BP166))</f>
        <v/>
      </c>
      <c r="BR166" s="197" t="str">
        <f t="shared" si="11"/>
        <v/>
      </c>
    </row>
    <row r="167" spans="1:70" x14ac:dyDescent="0.2">
      <c r="A167" s="54"/>
      <c r="B167" s="54"/>
      <c r="C167" s="189"/>
      <c r="D167" s="55"/>
      <c r="E167" s="56"/>
      <c r="F167" s="55"/>
      <c r="G167" s="56"/>
      <c r="H167" s="55"/>
      <c r="I167" s="56"/>
      <c r="J167" s="55"/>
      <c r="K167" s="56"/>
      <c r="L167" s="175"/>
      <c r="M167" s="55"/>
      <c r="N167" s="56"/>
      <c r="O167" s="55"/>
      <c r="P167" s="56"/>
      <c r="Q167" s="56"/>
      <c r="R167" s="56"/>
      <c r="S167" s="56"/>
      <c r="T167" s="56"/>
      <c r="U167" s="56"/>
      <c r="V167" s="56"/>
      <c r="W167" s="56"/>
      <c r="X167" s="57"/>
      <c r="Y167" s="134"/>
      <c r="Z167" s="55"/>
      <c r="AA167" s="56"/>
      <c r="AB167" s="56"/>
      <c r="AC167" s="56"/>
      <c r="AD167" s="56"/>
      <c r="AE167" s="56"/>
      <c r="AF167" s="55"/>
      <c r="AG167" s="56"/>
      <c r="AH167" s="55"/>
      <c r="AI167" s="56"/>
      <c r="AJ167" s="58"/>
      <c r="AK167" s="56"/>
      <c r="AL167" s="56"/>
      <c r="AM167" s="56"/>
      <c r="AN167" s="56"/>
      <c r="AO167" s="54"/>
      <c r="AP167" s="56"/>
      <c r="AQ167" s="55"/>
      <c r="AR167" s="56"/>
      <c r="AS167" s="55"/>
      <c r="AT167" s="56"/>
      <c r="AU167" s="55"/>
      <c r="AV167" s="56"/>
      <c r="AW167" s="164"/>
      <c r="AX167" s="56"/>
      <c r="AY167" s="164"/>
      <c r="AZ167" s="56"/>
      <c r="BA167" s="57"/>
      <c r="BB167" s="56"/>
      <c r="BC167" s="55"/>
      <c r="BD167" s="56"/>
      <c r="BE167" s="56"/>
      <c r="BF167" s="54"/>
      <c r="BG167" s="56"/>
      <c r="BN167" s="192" t="str">
        <f t="shared" si="9"/>
        <v/>
      </c>
      <c r="BO167" s="197" t="str">
        <f t="shared" si="8"/>
        <v/>
      </c>
      <c r="BP167" s="197" t="str">
        <f t="shared" si="10"/>
        <v/>
      </c>
      <c r="BQ167" s="197" t="str">
        <f>IF(C167="","",IF(COUNTIF(BP$6:BP167,BP167)&gt;1,"",BP167))</f>
        <v/>
      </c>
      <c r="BR167" s="197" t="str">
        <f t="shared" si="11"/>
        <v/>
      </c>
    </row>
    <row r="168" spans="1:70" x14ac:dyDescent="0.2">
      <c r="A168" s="54"/>
      <c r="B168" s="54"/>
      <c r="C168" s="189"/>
      <c r="D168" s="55"/>
      <c r="E168" s="56"/>
      <c r="F168" s="55"/>
      <c r="G168" s="56"/>
      <c r="H168" s="55"/>
      <c r="I168" s="56"/>
      <c r="J168" s="55"/>
      <c r="K168" s="56"/>
      <c r="L168" s="175"/>
      <c r="M168" s="55"/>
      <c r="N168" s="56"/>
      <c r="O168" s="55"/>
      <c r="P168" s="56"/>
      <c r="Q168" s="56"/>
      <c r="R168" s="56"/>
      <c r="S168" s="56"/>
      <c r="T168" s="56"/>
      <c r="U168" s="56"/>
      <c r="V168" s="56"/>
      <c r="W168" s="56"/>
      <c r="X168" s="57"/>
      <c r="Y168" s="134"/>
      <c r="Z168" s="55"/>
      <c r="AA168" s="56"/>
      <c r="AB168" s="56"/>
      <c r="AC168" s="56"/>
      <c r="AD168" s="56"/>
      <c r="AE168" s="56"/>
      <c r="AF168" s="55"/>
      <c r="AG168" s="56"/>
      <c r="AH168" s="55"/>
      <c r="AI168" s="56"/>
      <c r="AJ168" s="58"/>
      <c r="AK168" s="56"/>
      <c r="AL168" s="56"/>
      <c r="AM168" s="56"/>
      <c r="AN168" s="56"/>
      <c r="AO168" s="54"/>
      <c r="AP168" s="56"/>
      <c r="AQ168" s="55"/>
      <c r="AR168" s="56"/>
      <c r="AS168" s="55"/>
      <c r="AT168" s="56"/>
      <c r="AU168" s="55"/>
      <c r="AV168" s="56"/>
      <c r="AW168" s="164"/>
      <c r="AX168" s="56"/>
      <c r="AY168" s="164"/>
      <c r="AZ168" s="56"/>
      <c r="BA168" s="57"/>
      <c r="BB168" s="56"/>
      <c r="BC168" s="55"/>
      <c r="BD168" s="56"/>
      <c r="BE168" s="56"/>
      <c r="BF168" s="54"/>
      <c r="BG168" s="56"/>
      <c r="BN168" s="192" t="str">
        <f t="shared" si="9"/>
        <v/>
      </c>
      <c r="BO168" s="197" t="str">
        <f t="shared" si="8"/>
        <v/>
      </c>
      <c r="BP168" s="197" t="str">
        <f t="shared" si="10"/>
        <v/>
      </c>
      <c r="BQ168" s="197" t="str">
        <f>IF(C168="","",IF(COUNTIF(BP$6:BP168,BP168)&gt;1,"",BP168))</f>
        <v/>
      </c>
      <c r="BR168" s="197" t="str">
        <f t="shared" si="11"/>
        <v/>
      </c>
    </row>
    <row r="169" spans="1:70" x14ac:dyDescent="0.2">
      <c r="A169" s="54"/>
      <c r="B169" s="54"/>
      <c r="C169" s="189"/>
      <c r="D169" s="55"/>
      <c r="E169" s="56"/>
      <c r="F169" s="55"/>
      <c r="G169" s="56"/>
      <c r="H169" s="55"/>
      <c r="I169" s="56"/>
      <c r="J169" s="55"/>
      <c r="K169" s="56"/>
      <c r="L169" s="175"/>
      <c r="M169" s="55"/>
      <c r="N169" s="56"/>
      <c r="O169" s="55"/>
      <c r="P169" s="56"/>
      <c r="Q169" s="56"/>
      <c r="R169" s="56"/>
      <c r="S169" s="56"/>
      <c r="T169" s="56"/>
      <c r="U169" s="56"/>
      <c r="V169" s="56"/>
      <c r="W169" s="56"/>
      <c r="X169" s="57"/>
      <c r="Y169" s="134"/>
      <c r="Z169" s="55"/>
      <c r="AA169" s="56"/>
      <c r="AB169" s="56"/>
      <c r="AC169" s="56"/>
      <c r="AD169" s="56"/>
      <c r="AE169" s="56"/>
      <c r="AF169" s="55"/>
      <c r="AG169" s="56"/>
      <c r="AH169" s="55"/>
      <c r="AI169" s="56"/>
      <c r="AJ169" s="58"/>
      <c r="AK169" s="56"/>
      <c r="AL169" s="56"/>
      <c r="AM169" s="56"/>
      <c r="AN169" s="56"/>
      <c r="AO169" s="54"/>
      <c r="AP169" s="56"/>
      <c r="AQ169" s="55"/>
      <c r="AR169" s="56"/>
      <c r="AS169" s="55"/>
      <c r="AT169" s="56"/>
      <c r="AU169" s="55"/>
      <c r="AV169" s="56"/>
      <c r="AW169" s="164"/>
      <c r="AX169" s="56"/>
      <c r="AY169" s="164"/>
      <c r="AZ169" s="56"/>
      <c r="BA169" s="57"/>
      <c r="BB169" s="56"/>
      <c r="BC169" s="55"/>
      <c r="BD169" s="56"/>
      <c r="BE169" s="56"/>
      <c r="BF169" s="54"/>
      <c r="BG169" s="56"/>
      <c r="BN169" s="192" t="str">
        <f t="shared" si="9"/>
        <v/>
      </c>
      <c r="BO169" s="197" t="str">
        <f t="shared" si="8"/>
        <v/>
      </c>
      <c r="BP169" s="197" t="str">
        <f t="shared" si="10"/>
        <v/>
      </c>
      <c r="BQ169" s="197" t="str">
        <f>IF(C169="","",IF(COUNTIF(BP$6:BP169,BP169)&gt;1,"",BP169))</f>
        <v/>
      </c>
      <c r="BR169" s="197" t="str">
        <f t="shared" si="11"/>
        <v/>
      </c>
    </row>
    <row r="170" spans="1:70" x14ac:dyDescent="0.2">
      <c r="A170" s="54"/>
      <c r="B170" s="54"/>
      <c r="C170" s="189"/>
      <c r="D170" s="55"/>
      <c r="E170" s="56"/>
      <c r="F170" s="55"/>
      <c r="G170" s="56"/>
      <c r="H170" s="55"/>
      <c r="I170" s="56"/>
      <c r="J170" s="55"/>
      <c r="K170" s="56"/>
      <c r="L170" s="175"/>
      <c r="M170" s="55"/>
      <c r="N170" s="56"/>
      <c r="O170" s="55"/>
      <c r="P170" s="56"/>
      <c r="Q170" s="56"/>
      <c r="R170" s="56"/>
      <c r="S170" s="56"/>
      <c r="T170" s="56"/>
      <c r="U170" s="56"/>
      <c r="V170" s="56"/>
      <c r="W170" s="56"/>
      <c r="X170" s="57"/>
      <c r="Y170" s="134"/>
      <c r="Z170" s="55"/>
      <c r="AA170" s="56"/>
      <c r="AB170" s="56"/>
      <c r="AC170" s="56"/>
      <c r="AD170" s="56"/>
      <c r="AE170" s="56"/>
      <c r="AF170" s="55"/>
      <c r="AG170" s="56"/>
      <c r="AH170" s="55"/>
      <c r="AI170" s="56"/>
      <c r="AJ170" s="58"/>
      <c r="AK170" s="56"/>
      <c r="AL170" s="56"/>
      <c r="AM170" s="56"/>
      <c r="AN170" s="56"/>
      <c r="AO170" s="54"/>
      <c r="AP170" s="56"/>
      <c r="AQ170" s="55"/>
      <c r="AR170" s="56"/>
      <c r="AS170" s="55"/>
      <c r="AT170" s="56"/>
      <c r="AU170" s="55"/>
      <c r="AV170" s="56"/>
      <c r="AW170" s="164"/>
      <c r="AX170" s="56"/>
      <c r="AY170" s="164"/>
      <c r="AZ170" s="56"/>
      <c r="BA170" s="57"/>
      <c r="BB170" s="56"/>
      <c r="BC170" s="55"/>
      <c r="BD170" s="56"/>
      <c r="BE170" s="56"/>
      <c r="BF170" s="54"/>
      <c r="BG170" s="56"/>
      <c r="BN170" s="192" t="str">
        <f t="shared" si="9"/>
        <v/>
      </c>
      <c r="BO170" s="197" t="str">
        <f t="shared" si="8"/>
        <v/>
      </c>
      <c r="BP170" s="197" t="str">
        <f t="shared" si="10"/>
        <v/>
      </c>
      <c r="BQ170" s="197" t="str">
        <f>IF(C170="","",IF(COUNTIF(BP$6:BP170,BP170)&gt;1,"",BP170))</f>
        <v/>
      </c>
      <c r="BR170" s="197" t="str">
        <f t="shared" si="11"/>
        <v/>
      </c>
    </row>
    <row r="171" spans="1:70" x14ac:dyDescent="0.2">
      <c r="A171" s="54"/>
      <c r="B171" s="54"/>
      <c r="C171" s="189"/>
      <c r="D171" s="55"/>
      <c r="E171" s="56"/>
      <c r="F171" s="55"/>
      <c r="G171" s="56"/>
      <c r="H171" s="55"/>
      <c r="I171" s="56"/>
      <c r="J171" s="55"/>
      <c r="K171" s="56"/>
      <c r="L171" s="175"/>
      <c r="M171" s="55"/>
      <c r="N171" s="56"/>
      <c r="O171" s="55"/>
      <c r="P171" s="56"/>
      <c r="Q171" s="56"/>
      <c r="R171" s="56"/>
      <c r="S171" s="56"/>
      <c r="T171" s="56"/>
      <c r="U171" s="56"/>
      <c r="V171" s="56"/>
      <c r="W171" s="56"/>
      <c r="X171" s="57"/>
      <c r="Y171" s="134"/>
      <c r="Z171" s="55"/>
      <c r="AA171" s="56"/>
      <c r="AB171" s="56"/>
      <c r="AC171" s="56"/>
      <c r="AD171" s="56"/>
      <c r="AE171" s="56"/>
      <c r="AF171" s="55"/>
      <c r="AG171" s="56"/>
      <c r="AH171" s="55"/>
      <c r="AI171" s="56"/>
      <c r="AJ171" s="58"/>
      <c r="AK171" s="56"/>
      <c r="AL171" s="56"/>
      <c r="AM171" s="56"/>
      <c r="AN171" s="56"/>
      <c r="AO171" s="54"/>
      <c r="AP171" s="56"/>
      <c r="AQ171" s="55"/>
      <c r="AR171" s="56"/>
      <c r="AS171" s="55"/>
      <c r="AT171" s="56"/>
      <c r="AU171" s="55"/>
      <c r="AV171" s="56"/>
      <c r="AW171" s="164"/>
      <c r="AX171" s="56"/>
      <c r="AY171" s="164"/>
      <c r="AZ171" s="56"/>
      <c r="BA171" s="57"/>
      <c r="BB171" s="56"/>
      <c r="BC171" s="55"/>
      <c r="BD171" s="56"/>
      <c r="BE171" s="56"/>
      <c r="BF171" s="54"/>
      <c r="BG171" s="56"/>
      <c r="BN171" s="192" t="str">
        <f t="shared" si="9"/>
        <v/>
      </c>
      <c r="BO171" s="197" t="str">
        <f t="shared" si="8"/>
        <v/>
      </c>
      <c r="BP171" s="197" t="str">
        <f t="shared" si="10"/>
        <v/>
      </c>
      <c r="BQ171" s="197" t="str">
        <f>IF(C171="","",IF(COUNTIF(BP$6:BP171,BP171)&gt;1,"",BP171))</f>
        <v/>
      </c>
      <c r="BR171" s="197" t="str">
        <f t="shared" si="11"/>
        <v/>
      </c>
    </row>
    <row r="172" spans="1:70" x14ac:dyDescent="0.2">
      <c r="A172" s="54"/>
      <c r="B172" s="54"/>
      <c r="C172" s="189"/>
      <c r="D172" s="55"/>
      <c r="E172" s="56"/>
      <c r="F172" s="55"/>
      <c r="G172" s="56"/>
      <c r="H172" s="55"/>
      <c r="I172" s="56"/>
      <c r="J172" s="55"/>
      <c r="K172" s="56"/>
      <c r="L172" s="175"/>
      <c r="M172" s="55"/>
      <c r="N172" s="56"/>
      <c r="O172" s="55"/>
      <c r="P172" s="56"/>
      <c r="Q172" s="56"/>
      <c r="R172" s="56"/>
      <c r="S172" s="56"/>
      <c r="T172" s="56"/>
      <c r="U172" s="56"/>
      <c r="V172" s="56"/>
      <c r="W172" s="56"/>
      <c r="X172" s="57"/>
      <c r="Y172" s="134"/>
      <c r="Z172" s="55"/>
      <c r="AA172" s="56"/>
      <c r="AB172" s="56"/>
      <c r="AC172" s="56"/>
      <c r="AD172" s="56"/>
      <c r="AE172" s="56"/>
      <c r="AF172" s="55"/>
      <c r="AG172" s="56"/>
      <c r="AH172" s="55"/>
      <c r="AI172" s="56"/>
      <c r="AJ172" s="58"/>
      <c r="AK172" s="56"/>
      <c r="AL172" s="56"/>
      <c r="AM172" s="56"/>
      <c r="AN172" s="56"/>
      <c r="AO172" s="54"/>
      <c r="AP172" s="56"/>
      <c r="AQ172" s="55"/>
      <c r="AR172" s="56"/>
      <c r="AS172" s="55"/>
      <c r="AT172" s="56"/>
      <c r="AU172" s="55"/>
      <c r="AV172" s="56"/>
      <c r="AW172" s="164"/>
      <c r="AX172" s="56"/>
      <c r="AY172" s="164"/>
      <c r="AZ172" s="56"/>
      <c r="BA172" s="57"/>
      <c r="BB172" s="56"/>
      <c r="BC172" s="55"/>
      <c r="BD172" s="56"/>
      <c r="BE172" s="56"/>
      <c r="BF172" s="54"/>
      <c r="BG172" s="56"/>
      <c r="BN172" s="192" t="str">
        <f t="shared" si="9"/>
        <v/>
      </c>
      <c r="BO172" s="197" t="str">
        <f t="shared" si="8"/>
        <v/>
      </c>
      <c r="BP172" s="197" t="str">
        <f t="shared" si="10"/>
        <v/>
      </c>
      <c r="BQ172" s="197" t="str">
        <f>IF(C172="","",IF(COUNTIF(BP$6:BP172,BP172)&gt;1,"",BP172))</f>
        <v/>
      </c>
      <c r="BR172" s="197" t="str">
        <f t="shared" si="11"/>
        <v/>
      </c>
    </row>
    <row r="173" spans="1:70" x14ac:dyDescent="0.2">
      <c r="A173" s="54"/>
      <c r="B173" s="54"/>
      <c r="C173" s="189"/>
      <c r="D173" s="55"/>
      <c r="E173" s="56"/>
      <c r="F173" s="55"/>
      <c r="G173" s="56"/>
      <c r="H173" s="55"/>
      <c r="I173" s="56"/>
      <c r="J173" s="55"/>
      <c r="K173" s="56"/>
      <c r="L173" s="175"/>
      <c r="M173" s="55"/>
      <c r="N173" s="56"/>
      <c r="O173" s="55"/>
      <c r="P173" s="56"/>
      <c r="Q173" s="56"/>
      <c r="R173" s="56"/>
      <c r="S173" s="56"/>
      <c r="T173" s="56"/>
      <c r="U173" s="56"/>
      <c r="V173" s="56"/>
      <c r="W173" s="56"/>
      <c r="X173" s="57"/>
      <c r="Y173" s="134"/>
      <c r="Z173" s="55"/>
      <c r="AA173" s="56"/>
      <c r="AB173" s="56"/>
      <c r="AC173" s="56"/>
      <c r="AD173" s="56"/>
      <c r="AE173" s="56"/>
      <c r="AF173" s="55"/>
      <c r="AG173" s="56"/>
      <c r="AH173" s="55"/>
      <c r="AI173" s="56"/>
      <c r="AJ173" s="58"/>
      <c r="AK173" s="56"/>
      <c r="AL173" s="56"/>
      <c r="AM173" s="56"/>
      <c r="AN173" s="56"/>
      <c r="AO173" s="54"/>
      <c r="AP173" s="56"/>
      <c r="AQ173" s="55"/>
      <c r="AR173" s="56"/>
      <c r="AS173" s="55"/>
      <c r="AT173" s="56"/>
      <c r="AU173" s="55"/>
      <c r="AV173" s="56"/>
      <c r="AW173" s="164"/>
      <c r="AX173" s="56"/>
      <c r="AY173" s="164"/>
      <c r="AZ173" s="56"/>
      <c r="BA173" s="57"/>
      <c r="BB173" s="56"/>
      <c r="BC173" s="55"/>
      <c r="BD173" s="56"/>
      <c r="BE173" s="56"/>
      <c r="BF173" s="54"/>
      <c r="BG173" s="56"/>
      <c r="BN173" s="192" t="str">
        <f t="shared" si="9"/>
        <v/>
      </c>
      <c r="BO173" s="197" t="str">
        <f t="shared" si="8"/>
        <v/>
      </c>
      <c r="BP173" s="197" t="str">
        <f t="shared" si="10"/>
        <v/>
      </c>
      <c r="BQ173" s="197" t="str">
        <f>IF(C173="","",IF(COUNTIF(BP$6:BP173,BP173)&gt;1,"",BP173))</f>
        <v/>
      </c>
      <c r="BR173" s="197" t="str">
        <f t="shared" si="11"/>
        <v/>
      </c>
    </row>
    <row r="174" spans="1:70" x14ac:dyDescent="0.2">
      <c r="A174" s="54"/>
      <c r="B174" s="54"/>
      <c r="C174" s="189"/>
      <c r="D174" s="55"/>
      <c r="E174" s="56"/>
      <c r="F174" s="55"/>
      <c r="G174" s="56"/>
      <c r="H174" s="55"/>
      <c r="I174" s="56"/>
      <c r="J174" s="55"/>
      <c r="K174" s="56"/>
      <c r="L174" s="175"/>
      <c r="M174" s="55"/>
      <c r="N174" s="56"/>
      <c r="O174" s="55"/>
      <c r="P174" s="56"/>
      <c r="Q174" s="56"/>
      <c r="R174" s="56"/>
      <c r="S174" s="56"/>
      <c r="T174" s="56"/>
      <c r="U174" s="56"/>
      <c r="V174" s="56"/>
      <c r="W174" s="56"/>
      <c r="X174" s="57"/>
      <c r="Y174" s="134"/>
      <c r="Z174" s="55"/>
      <c r="AA174" s="56"/>
      <c r="AB174" s="56"/>
      <c r="AC174" s="56"/>
      <c r="AD174" s="56"/>
      <c r="AE174" s="56"/>
      <c r="AF174" s="55"/>
      <c r="AG174" s="56"/>
      <c r="AH174" s="55"/>
      <c r="AI174" s="56"/>
      <c r="AJ174" s="58"/>
      <c r="AK174" s="56"/>
      <c r="AL174" s="56"/>
      <c r="AM174" s="56"/>
      <c r="AN174" s="56"/>
      <c r="AO174" s="54"/>
      <c r="AP174" s="56"/>
      <c r="AQ174" s="55"/>
      <c r="AR174" s="56"/>
      <c r="AS174" s="55"/>
      <c r="AT174" s="56"/>
      <c r="AU174" s="55"/>
      <c r="AV174" s="56"/>
      <c r="AW174" s="164"/>
      <c r="AX174" s="56"/>
      <c r="AY174" s="164"/>
      <c r="AZ174" s="56"/>
      <c r="BA174" s="57"/>
      <c r="BB174" s="56"/>
      <c r="BC174" s="55"/>
      <c r="BD174" s="56"/>
      <c r="BE174" s="56"/>
      <c r="BF174" s="54"/>
      <c r="BG174" s="56"/>
      <c r="BN174" s="192" t="str">
        <f t="shared" si="9"/>
        <v/>
      </c>
      <c r="BO174" s="197" t="str">
        <f t="shared" si="8"/>
        <v/>
      </c>
      <c r="BP174" s="197" t="str">
        <f t="shared" si="10"/>
        <v/>
      </c>
      <c r="BQ174" s="197" t="str">
        <f>IF(C174="","",IF(COUNTIF(BP$6:BP174,BP174)&gt;1,"",BP174))</f>
        <v/>
      </c>
      <c r="BR174" s="197" t="str">
        <f t="shared" si="11"/>
        <v/>
      </c>
    </row>
    <row r="175" spans="1:70" x14ac:dyDescent="0.2">
      <c r="A175" s="54"/>
      <c r="B175" s="54"/>
      <c r="C175" s="189"/>
      <c r="D175" s="55"/>
      <c r="E175" s="56"/>
      <c r="F175" s="55"/>
      <c r="G175" s="56"/>
      <c r="H175" s="55"/>
      <c r="I175" s="56"/>
      <c r="J175" s="55"/>
      <c r="K175" s="56"/>
      <c r="L175" s="175"/>
      <c r="M175" s="55"/>
      <c r="N175" s="56"/>
      <c r="O175" s="55"/>
      <c r="P175" s="56"/>
      <c r="Q175" s="56"/>
      <c r="R175" s="56"/>
      <c r="S175" s="56"/>
      <c r="T175" s="56"/>
      <c r="U175" s="56"/>
      <c r="V175" s="56"/>
      <c r="W175" s="56"/>
      <c r="X175" s="57"/>
      <c r="Y175" s="134"/>
      <c r="Z175" s="55"/>
      <c r="AA175" s="56"/>
      <c r="AB175" s="56"/>
      <c r="AC175" s="56"/>
      <c r="AD175" s="56"/>
      <c r="AE175" s="56"/>
      <c r="AF175" s="55"/>
      <c r="AG175" s="56"/>
      <c r="AH175" s="55"/>
      <c r="AI175" s="56"/>
      <c r="AJ175" s="58"/>
      <c r="AK175" s="56"/>
      <c r="AL175" s="56"/>
      <c r="AM175" s="56"/>
      <c r="AN175" s="56"/>
      <c r="AO175" s="54"/>
      <c r="AP175" s="56"/>
      <c r="AQ175" s="55"/>
      <c r="AR175" s="56"/>
      <c r="AS175" s="55"/>
      <c r="AT175" s="56"/>
      <c r="AU175" s="55"/>
      <c r="AV175" s="56"/>
      <c r="AW175" s="164"/>
      <c r="AX175" s="56"/>
      <c r="AY175" s="164"/>
      <c r="AZ175" s="56"/>
      <c r="BA175" s="57"/>
      <c r="BB175" s="56"/>
      <c r="BC175" s="55"/>
      <c r="BD175" s="56"/>
      <c r="BE175" s="56"/>
      <c r="BF175" s="54"/>
      <c r="BG175" s="56"/>
      <c r="BN175" s="192" t="str">
        <f t="shared" si="9"/>
        <v/>
      </c>
      <c r="BO175" s="197" t="str">
        <f t="shared" si="8"/>
        <v/>
      </c>
      <c r="BP175" s="197" t="str">
        <f t="shared" si="10"/>
        <v/>
      </c>
      <c r="BQ175" s="197" t="str">
        <f>IF(C175="","",IF(COUNTIF(BP$6:BP175,BP175)&gt;1,"",BP175))</f>
        <v/>
      </c>
      <c r="BR175" s="197" t="str">
        <f t="shared" si="11"/>
        <v/>
      </c>
    </row>
    <row r="176" spans="1:70" x14ac:dyDescent="0.2">
      <c r="A176" s="54"/>
      <c r="B176" s="54"/>
      <c r="C176" s="189"/>
      <c r="D176" s="55"/>
      <c r="E176" s="56"/>
      <c r="F176" s="55"/>
      <c r="G176" s="56"/>
      <c r="H176" s="55"/>
      <c r="I176" s="56"/>
      <c r="J176" s="55"/>
      <c r="K176" s="56"/>
      <c r="L176" s="175"/>
      <c r="M176" s="55"/>
      <c r="N176" s="56"/>
      <c r="O176" s="55"/>
      <c r="P176" s="56"/>
      <c r="Q176" s="56"/>
      <c r="R176" s="56"/>
      <c r="S176" s="56"/>
      <c r="T176" s="56"/>
      <c r="U176" s="56"/>
      <c r="V176" s="56"/>
      <c r="W176" s="56"/>
      <c r="X176" s="57"/>
      <c r="Y176" s="134"/>
      <c r="Z176" s="55"/>
      <c r="AA176" s="56"/>
      <c r="AB176" s="56"/>
      <c r="AC176" s="56"/>
      <c r="AD176" s="56"/>
      <c r="AE176" s="56"/>
      <c r="AF176" s="55"/>
      <c r="AG176" s="56"/>
      <c r="AH176" s="55"/>
      <c r="AI176" s="56"/>
      <c r="AJ176" s="58"/>
      <c r="AK176" s="56"/>
      <c r="AL176" s="56"/>
      <c r="AM176" s="56"/>
      <c r="AN176" s="56"/>
      <c r="AO176" s="54"/>
      <c r="AP176" s="56"/>
      <c r="AQ176" s="55"/>
      <c r="AR176" s="56"/>
      <c r="AS176" s="55"/>
      <c r="AT176" s="56"/>
      <c r="AU176" s="55"/>
      <c r="AV176" s="56"/>
      <c r="AW176" s="164"/>
      <c r="AX176" s="56"/>
      <c r="AY176" s="164"/>
      <c r="AZ176" s="56"/>
      <c r="BA176" s="57"/>
      <c r="BB176" s="56"/>
      <c r="BC176" s="55"/>
      <c r="BD176" s="56"/>
      <c r="BE176" s="56"/>
      <c r="BF176" s="54"/>
      <c r="BG176" s="56"/>
      <c r="BN176" s="192" t="str">
        <f t="shared" si="9"/>
        <v/>
      </c>
      <c r="BO176" s="197" t="str">
        <f t="shared" si="8"/>
        <v/>
      </c>
      <c r="BP176" s="197" t="str">
        <f t="shared" si="10"/>
        <v/>
      </c>
      <c r="BQ176" s="197" t="str">
        <f>IF(C176="","",IF(COUNTIF(BP$6:BP176,BP176)&gt;1,"",BP176))</f>
        <v/>
      </c>
      <c r="BR176" s="197" t="str">
        <f t="shared" si="11"/>
        <v/>
      </c>
    </row>
    <row r="177" spans="1:70" x14ac:dyDescent="0.2">
      <c r="A177" s="54"/>
      <c r="B177" s="54"/>
      <c r="C177" s="189"/>
      <c r="D177" s="55"/>
      <c r="E177" s="56"/>
      <c r="F177" s="55"/>
      <c r="G177" s="56"/>
      <c r="H177" s="55"/>
      <c r="I177" s="56"/>
      <c r="J177" s="55"/>
      <c r="K177" s="56"/>
      <c r="L177" s="175"/>
      <c r="M177" s="55"/>
      <c r="N177" s="56"/>
      <c r="O177" s="55"/>
      <c r="P177" s="56"/>
      <c r="Q177" s="56"/>
      <c r="R177" s="56"/>
      <c r="S177" s="56"/>
      <c r="T177" s="56"/>
      <c r="U177" s="56"/>
      <c r="V177" s="56"/>
      <c r="W177" s="56"/>
      <c r="X177" s="57"/>
      <c r="Y177" s="134"/>
      <c r="Z177" s="55"/>
      <c r="AA177" s="56"/>
      <c r="AB177" s="56"/>
      <c r="AC177" s="56"/>
      <c r="AD177" s="56"/>
      <c r="AE177" s="56"/>
      <c r="AF177" s="55"/>
      <c r="AG177" s="56"/>
      <c r="AH177" s="55"/>
      <c r="AI177" s="56"/>
      <c r="AJ177" s="58"/>
      <c r="AK177" s="56"/>
      <c r="AL177" s="56"/>
      <c r="AM177" s="56"/>
      <c r="AN177" s="56"/>
      <c r="AO177" s="54"/>
      <c r="AP177" s="56"/>
      <c r="AQ177" s="55"/>
      <c r="AR177" s="56"/>
      <c r="AS177" s="55"/>
      <c r="AT177" s="56"/>
      <c r="AU177" s="55"/>
      <c r="AV177" s="56"/>
      <c r="AW177" s="164"/>
      <c r="AX177" s="56"/>
      <c r="AY177" s="164"/>
      <c r="AZ177" s="56"/>
      <c r="BA177" s="57"/>
      <c r="BB177" s="56"/>
      <c r="BC177" s="55"/>
      <c r="BD177" s="56"/>
      <c r="BE177" s="56"/>
      <c r="BF177" s="54"/>
      <c r="BG177" s="56"/>
      <c r="BN177" s="192" t="str">
        <f t="shared" si="9"/>
        <v/>
      </c>
      <c r="BO177" s="197" t="str">
        <f t="shared" si="8"/>
        <v/>
      </c>
      <c r="BP177" s="197" t="str">
        <f t="shared" si="10"/>
        <v/>
      </c>
      <c r="BQ177" s="197" t="str">
        <f>IF(C177="","",IF(COUNTIF(BP$6:BP177,BP177)&gt;1,"",BP177))</f>
        <v/>
      </c>
      <c r="BR177" s="197" t="str">
        <f t="shared" si="11"/>
        <v/>
      </c>
    </row>
    <row r="178" spans="1:70" x14ac:dyDescent="0.2">
      <c r="A178" s="54"/>
      <c r="B178" s="54"/>
      <c r="C178" s="189"/>
      <c r="D178" s="55"/>
      <c r="E178" s="56"/>
      <c r="F178" s="55"/>
      <c r="G178" s="56"/>
      <c r="H178" s="55"/>
      <c r="I178" s="56"/>
      <c r="J178" s="55"/>
      <c r="K178" s="56"/>
      <c r="L178" s="175"/>
      <c r="M178" s="55"/>
      <c r="N178" s="56"/>
      <c r="O178" s="55"/>
      <c r="P178" s="56"/>
      <c r="Q178" s="56"/>
      <c r="R178" s="56"/>
      <c r="S178" s="56"/>
      <c r="T178" s="56"/>
      <c r="U178" s="56"/>
      <c r="V178" s="56"/>
      <c r="W178" s="56"/>
      <c r="X178" s="57"/>
      <c r="Y178" s="134"/>
      <c r="Z178" s="55"/>
      <c r="AA178" s="56"/>
      <c r="AB178" s="56"/>
      <c r="AC178" s="56"/>
      <c r="AD178" s="56"/>
      <c r="AE178" s="56"/>
      <c r="AF178" s="55"/>
      <c r="AG178" s="56"/>
      <c r="AH178" s="55"/>
      <c r="AI178" s="56"/>
      <c r="AJ178" s="58"/>
      <c r="AK178" s="56"/>
      <c r="AL178" s="56"/>
      <c r="AM178" s="56"/>
      <c r="AN178" s="56"/>
      <c r="AO178" s="54"/>
      <c r="AP178" s="56"/>
      <c r="AQ178" s="55"/>
      <c r="AR178" s="56"/>
      <c r="AS178" s="55"/>
      <c r="AT178" s="56"/>
      <c r="AU178" s="55"/>
      <c r="AV178" s="56"/>
      <c r="AW178" s="164"/>
      <c r="AX178" s="56"/>
      <c r="AY178" s="164"/>
      <c r="AZ178" s="56"/>
      <c r="BA178" s="57"/>
      <c r="BB178" s="56"/>
      <c r="BC178" s="55"/>
      <c r="BD178" s="56"/>
      <c r="BE178" s="56"/>
      <c r="BF178" s="54"/>
      <c r="BG178" s="56"/>
      <c r="BN178" s="192" t="str">
        <f t="shared" si="9"/>
        <v/>
      </c>
      <c r="BO178" s="197" t="str">
        <f t="shared" si="8"/>
        <v/>
      </c>
      <c r="BP178" s="197" t="str">
        <f t="shared" si="10"/>
        <v/>
      </c>
      <c r="BQ178" s="197" t="str">
        <f>IF(C178="","",IF(COUNTIF(BP$6:BP178,BP178)&gt;1,"",BP178))</f>
        <v/>
      </c>
      <c r="BR178" s="197" t="str">
        <f t="shared" si="11"/>
        <v/>
      </c>
    </row>
    <row r="179" spans="1:70" x14ac:dyDescent="0.2">
      <c r="A179" s="54"/>
      <c r="B179" s="54"/>
      <c r="C179" s="189"/>
      <c r="D179" s="55"/>
      <c r="E179" s="56"/>
      <c r="F179" s="55"/>
      <c r="G179" s="56"/>
      <c r="H179" s="55"/>
      <c r="I179" s="56"/>
      <c r="J179" s="55"/>
      <c r="K179" s="56"/>
      <c r="L179" s="175"/>
      <c r="M179" s="55"/>
      <c r="N179" s="56"/>
      <c r="O179" s="55"/>
      <c r="P179" s="56"/>
      <c r="Q179" s="56"/>
      <c r="R179" s="56"/>
      <c r="S179" s="56"/>
      <c r="T179" s="56"/>
      <c r="U179" s="56"/>
      <c r="V179" s="56"/>
      <c r="W179" s="56"/>
      <c r="X179" s="57"/>
      <c r="Y179" s="134"/>
      <c r="Z179" s="55"/>
      <c r="AA179" s="56"/>
      <c r="AB179" s="56"/>
      <c r="AC179" s="56"/>
      <c r="AD179" s="56"/>
      <c r="AE179" s="56"/>
      <c r="AF179" s="55"/>
      <c r="AG179" s="56"/>
      <c r="AH179" s="55"/>
      <c r="AI179" s="56"/>
      <c r="AJ179" s="58"/>
      <c r="AK179" s="56"/>
      <c r="AL179" s="56"/>
      <c r="AM179" s="56"/>
      <c r="AN179" s="56"/>
      <c r="AO179" s="54"/>
      <c r="AP179" s="56"/>
      <c r="AQ179" s="55"/>
      <c r="AR179" s="56"/>
      <c r="AS179" s="55"/>
      <c r="AT179" s="56"/>
      <c r="AU179" s="55"/>
      <c r="AV179" s="56"/>
      <c r="AW179" s="164"/>
      <c r="AX179" s="56"/>
      <c r="AY179" s="164"/>
      <c r="AZ179" s="56"/>
      <c r="BA179" s="57"/>
      <c r="BB179" s="56"/>
      <c r="BC179" s="55"/>
      <c r="BD179" s="56"/>
      <c r="BE179" s="56"/>
      <c r="BF179" s="54"/>
      <c r="BG179" s="56"/>
      <c r="BN179" s="192" t="str">
        <f t="shared" si="9"/>
        <v/>
      </c>
      <c r="BO179" s="197" t="str">
        <f t="shared" si="8"/>
        <v/>
      </c>
      <c r="BP179" s="197" t="str">
        <f t="shared" si="10"/>
        <v/>
      </c>
      <c r="BQ179" s="197" t="str">
        <f>IF(C179="","",IF(COUNTIF(BP$6:BP179,BP179)&gt;1,"",BP179))</f>
        <v/>
      </c>
      <c r="BR179" s="197" t="str">
        <f t="shared" si="11"/>
        <v/>
      </c>
    </row>
    <row r="180" spans="1:70" x14ac:dyDescent="0.2">
      <c r="A180" s="54"/>
      <c r="B180" s="54"/>
      <c r="C180" s="189"/>
      <c r="D180" s="55"/>
      <c r="E180" s="56"/>
      <c r="F180" s="55"/>
      <c r="G180" s="56"/>
      <c r="H180" s="55"/>
      <c r="I180" s="56"/>
      <c r="J180" s="55"/>
      <c r="K180" s="56"/>
      <c r="L180" s="175"/>
      <c r="M180" s="55"/>
      <c r="N180" s="56"/>
      <c r="O180" s="55"/>
      <c r="P180" s="56"/>
      <c r="Q180" s="56"/>
      <c r="R180" s="56"/>
      <c r="S180" s="56"/>
      <c r="T180" s="56"/>
      <c r="U180" s="56"/>
      <c r="V180" s="56"/>
      <c r="W180" s="56"/>
      <c r="X180" s="57"/>
      <c r="Y180" s="134"/>
      <c r="Z180" s="55"/>
      <c r="AA180" s="56"/>
      <c r="AB180" s="56"/>
      <c r="AC180" s="56"/>
      <c r="AD180" s="56"/>
      <c r="AE180" s="56"/>
      <c r="AF180" s="55"/>
      <c r="AG180" s="56"/>
      <c r="AH180" s="55"/>
      <c r="AI180" s="56"/>
      <c r="AJ180" s="58"/>
      <c r="AK180" s="56"/>
      <c r="AL180" s="56"/>
      <c r="AM180" s="56"/>
      <c r="AN180" s="56"/>
      <c r="AO180" s="54"/>
      <c r="AP180" s="56"/>
      <c r="AQ180" s="55"/>
      <c r="AR180" s="56"/>
      <c r="AS180" s="55"/>
      <c r="AT180" s="56"/>
      <c r="AU180" s="55"/>
      <c r="AV180" s="56"/>
      <c r="AW180" s="164"/>
      <c r="AX180" s="56"/>
      <c r="AY180" s="164"/>
      <c r="AZ180" s="56"/>
      <c r="BA180" s="57"/>
      <c r="BB180" s="56"/>
      <c r="BC180" s="55"/>
      <c r="BD180" s="56"/>
      <c r="BE180" s="56"/>
      <c r="BF180" s="54"/>
      <c r="BG180" s="56"/>
      <c r="BN180" s="192" t="str">
        <f t="shared" si="9"/>
        <v/>
      </c>
      <c r="BO180" s="197" t="str">
        <f t="shared" si="8"/>
        <v/>
      </c>
      <c r="BP180" s="197" t="str">
        <f t="shared" si="10"/>
        <v/>
      </c>
      <c r="BQ180" s="197" t="str">
        <f>IF(C180="","",IF(COUNTIF(BP$6:BP180,BP180)&gt;1,"",BP180))</f>
        <v/>
      </c>
      <c r="BR180" s="197" t="str">
        <f t="shared" si="11"/>
        <v/>
      </c>
    </row>
    <row r="181" spans="1:70" x14ac:dyDescent="0.2">
      <c r="A181" s="54"/>
      <c r="B181" s="54"/>
      <c r="C181" s="189"/>
      <c r="D181" s="55"/>
      <c r="E181" s="56"/>
      <c r="F181" s="55"/>
      <c r="G181" s="56"/>
      <c r="H181" s="55"/>
      <c r="I181" s="56"/>
      <c r="J181" s="55"/>
      <c r="K181" s="56"/>
      <c r="L181" s="175"/>
      <c r="M181" s="55"/>
      <c r="N181" s="56"/>
      <c r="O181" s="55"/>
      <c r="P181" s="56"/>
      <c r="Q181" s="56"/>
      <c r="R181" s="56"/>
      <c r="S181" s="56"/>
      <c r="T181" s="56"/>
      <c r="U181" s="56"/>
      <c r="V181" s="56"/>
      <c r="W181" s="56"/>
      <c r="X181" s="57"/>
      <c r="Y181" s="134"/>
      <c r="Z181" s="55"/>
      <c r="AA181" s="56"/>
      <c r="AB181" s="56"/>
      <c r="AC181" s="56"/>
      <c r="AD181" s="56"/>
      <c r="AE181" s="56"/>
      <c r="AF181" s="55"/>
      <c r="AG181" s="56"/>
      <c r="AH181" s="55"/>
      <c r="AI181" s="56"/>
      <c r="AJ181" s="58"/>
      <c r="AK181" s="56"/>
      <c r="AL181" s="56"/>
      <c r="AM181" s="56"/>
      <c r="AN181" s="56"/>
      <c r="AO181" s="54"/>
      <c r="AP181" s="56"/>
      <c r="AQ181" s="55"/>
      <c r="AR181" s="56"/>
      <c r="AS181" s="55"/>
      <c r="AT181" s="56"/>
      <c r="AU181" s="55"/>
      <c r="AV181" s="56"/>
      <c r="AW181" s="164"/>
      <c r="AX181" s="56"/>
      <c r="AY181" s="164"/>
      <c r="AZ181" s="56"/>
      <c r="BA181" s="57"/>
      <c r="BB181" s="56"/>
      <c r="BC181" s="55"/>
      <c r="BD181" s="56"/>
      <c r="BE181" s="56"/>
      <c r="BF181" s="54"/>
      <c r="BG181" s="56"/>
      <c r="BN181" s="192" t="str">
        <f t="shared" si="9"/>
        <v/>
      </c>
      <c r="BO181" s="197" t="str">
        <f t="shared" si="8"/>
        <v/>
      </c>
      <c r="BP181" s="197" t="str">
        <f t="shared" si="10"/>
        <v/>
      </c>
      <c r="BQ181" s="197" t="str">
        <f>IF(C181="","",IF(COUNTIF(BP$6:BP181,BP181)&gt;1,"",BP181))</f>
        <v/>
      </c>
      <c r="BR181" s="197" t="str">
        <f t="shared" si="11"/>
        <v/>
      </c>
    </row>
    <row r="182" spans="1:70" x14ac:dyDescent="0.2">
      <c r="C182" s="189"/>
      <c r="BN182" s="192" t="str">
        <f t="shared" si="9"/>
        <v/>
      </c>
      <c r="BO182" s="197" t="str">
        <f t="shared" si="8"/>
        <v/>
      </c>
      <c r="BP182" s="197" t="str">
        <f t="shared" si="10"/>
        <v/>
      </c>
      <c r="BQ182" s="197" t="str">
        <f>IF(C182="","",IF(COUNTIF(BP$6:BP182,BP182)&gt;1,"",BP182))</f>
        <v/>
      </c>
      <c r="BR182" s="197" t="str">
        <f t="shared" si="11"/>
        <v/>
      </c>
    </row>
    <row r="183" spans="1:70" x14ac:dyDescent="0.2">
      <c r="C183" s="189"/>
      <c r="BN183" s="192" t="str">
        <f t="shared" si="9"/>
        <v/>
      </c>
      <c r="BO183" s="197" t="str">
        <f t="shared" si="8"/>
        <v/>
      </c>
      <c r="BP183" s="197" t="str">
        <f t="shared" si="10"/>
        <v/>
      </c>
      <c r="BQ183" s="197" t="str">
        <f>IF(C183="","",IF(COUNTIF(BP$6:BP183,BP183)&gt;1,"",BP183))</f>
        <v/>
      </c>
      <c r="BR183" s="197" t="str">
        <f t="shared" si="11"/>
        <v/>
      </c>
    </row>
    <row r="184" spans="1:70" x14ac:dyDescent="0.2">
      <c r="C184" s="189"/>
      <c r="BN184" s="192" t="str">
        <f t="shared" si="9"/>
        <v/>
      </c>
      <c r="BO184" s="197" t="str">
        <f t="shared" si="8"/>
        <v/>
      </c>
      <c r="BP184" s="197" t="str">
        <f t="shared" si="10"/>
        <v/>
      </c>
      <c r="BQ184" s="197" t="str">
        <f>IF(C184="","",IF(COUNTIF(BP$6:BP184,BP184)&gt;1,"",BP184))</f>
        <v/>
      </c>
      <c r="BR184" s="197" t="str">
        <f t="shared" si="11"/>
        <v/>
      </c>
    </row>
    <row r="185" spans="1:70" x14ac:dyDescent="0.2">
      <c r="C185" s="189"/>
      <c r="BN185" s="192" t="str">
        <f t="shared" si="9"/>
        <v/>
      </c>
      <c r="BO185" s="197" t="str">
        <f t="shared" si="8"/>
        <v/>
      </c>
      <c r="BP185" s="197" t="str">
        <f t="shared" si="10"/>
        <v/>
      </c>
      <c r="BQ185" s="197" t="str">
        <f>IF(C185="","",IF(COUNTIF(BP$6:BP185,BP185)&gt;1,"",BP185))</f>
        <v/>
      </c>
      <c r="BR185" s="197" t="str">
        <f t="shared" si="11"/>
        <v/>
      </c>
    </row>
    <row r="186" spans="1:70" x14ac:dyDescent="0.2">
      <c r="C186" s="189"/>
      <c r="BN186" s="192" t="str">
        <f t="shared" si="9"/>
        <v/>
      </c>
      <c r="BO186" s="197" t="str">
        <f t="shared" si="8"/>
        <v/>
      </c>
      <c r="BP186" s="197" t="str">
        <f t="shared" si="10"/>
        <v/>
      </c>
      <c r="BQ186" s="197" t="str">
        <f>IF(C186="","",IF(COUNTIF(BP$6:BP186,BP186)&gt;1,"",BP186))</f>
        <v/>
      </c>
      <c r="BR186" s="197" t="str">
        <f t="shared" si="11"/>
        <v/>
      </c>
    </row>
    <row r="187" spans="1:70" x14ac:dyDescent="0.2">
      <c r="C187" s="189"/>
      <c r="BN187" s="192" t="str">
        <f t="shared" si="9"/>
        <v/>
      </c>
      <c r="BO187" s="197" t="str">
        <f t="shared" si="8"/>
        <v/>
      </c>
      <c r="BP187" s="197" t="str">
        <f t="shared" si="10"/>
        <v/>
      </c>
      <c r="BQ187" s="197" t="str">
        <f>IF(C187="","",IF(COUNTIF(BP$6:BP187,BP187)&gt;1,"",BP187))</f>
        <v/>
      </c>
      <c r="BR187" s="197" t="str">
        <f t="shared" si="11"/>
        <v/>
      </c>
    </row>
    <row r="188" spans="1:70" x14ac:dyDescent="0.2">
      <c r="C188" s="189"/>
      <c r="BN188" s="192" t="str">
        <f t="shared" si="9"/>
        <v/>
      </c>
      <c r="BO188" s="197" t="str">
        <f t="shared" si="8"/>
        <v/>
      </c>
      <c r="BP188" s="197" t="str">
        <f t="shared" si="10"/>
        <v/>
      </c>
      <c r="BQ188" s="197" t="str">
        <f>IF(C188="","",IF(COUNTIF(BP$6:BP188,BP188)&gt;1,"",BP188))</f>
        <v/>
      </c>
      <c r="BR188" s="197" t="str">
        <f t="shared" si="11"/>
        <v/>
      </c>
    </row>
    <row r="189" spans="1:70" x14ac:dyDescent="0.2">
      <c r="C189" s="189"/>
      <c r="BN189" s="192" t="str">
        <f t="shared" si="9"/>
        <v/>
      </c>
      <c r="BO189" s="197" t="str">
        <f t="shared" si="8"/>
        <v/>
      </c>
      <c r="BP189" s="197" t="str">
        <f t="shared" si="10"/>
        <v/>
      </c>
      <c r="BQ189" s="197" t="str">
        <f>IF(C189="","",IF(COUNTIF(BP$6:BP189,BP189)&gt;1,"",BP189))</f>
        <v/>
      </c>
      <c r="BR189" s="197" t="str">
        <f t="shared" si="11"/>
        <v/>
      </c>
    </row>
    <row r="190" spans="1:70" x14ac:dyDescent="0.2">
      <c r="C190" s="189"/>
      <c r="BN190" s="192" t="str">
        <f t="shared" si="9"/>
        <v/>
      </c>
      <c r="BO190" s="197" t="str">
        <f t="shared" si="8"/>
        <v/>
      </c>
      <c r="BP190" s="197" t="str">
        <f t="shared" si="10"/>
        <v/>
      </c>
      <c r="BQ190" s="197" t="str">
        <f>IF(C190="","",IF(COUNTIF(BP$6:BP190,BP190)&gt;1,"",BP190))</f>
        <v/>
      </c>
      <c r="BR190" s="197" t="str">
        <f t="shared" si="11"/>
        <v/>
      </c>
    </row>
    <row r="191" spans="1:70" x14ac:dyDescent="0.2">
      <c r="C191" s="189"/>
      <c r="BN191" s="192" t="str">
        <f t="shared" si="9"/>
        <v/>
      </c>
      <c r="BO191" s="197" t="str">
        <f t="shared" si="8"/>
        <v/>
      </c>
      <c r="BP191" s="197" t="str">
        <f t="shared" si="10"/>
        <v/>
      </c>
      <c r="BQ191" s="197" t="str">
        <f>IF(C191="","",IF(COUNTIF(BP$6:BP191,BP191)&gt;1,"",BP191))</f>
        <v/>
      </c>
      <c r="BR191" s="197" t="str">
        <f t="shared" si="11"/>
        <v/>
      </c>
    </row>
    <row r="192" spans="1:70" x14ac:dyDescent="0.2">
      <c r="C192" s="189"/>
      <c r="BN192" s="192" t="str">
        <f t="shared" si="9"/>
        <v/>
      </c>
      <c r="BO192" s="197" t="str">
        <f t="shared" si="8"/>
        <v/>
      </c>
      <c r="BP192" s="197" t="str">
        <f t="shared" si="10"/>
        <v/>
      </c>
      <c r="BQ192" s="197" t="str">
        <f>IF(C192="","",IF(COUNTIF(BP$6:BP192,BP192)&gt;1,"",BP192))</f>
        <v/>
      </c>
      <c r="BR192" s="197" t="str">
        <f t="shared" si="11"/>
        <v/>
      </c>
    </row>
    <row r="193" spans="3:70" x14ac:dyDescent="0.2">
      <c r="C193" s="189"/>
      <c r="BN193" s="192" t="str">
        <f t="shared" si="9"/>
        <v/>
      </c>
      <c r="BO193" s="197" t="str">
        <f t="shared" si="8"/>
        <v/>
      </c>
      <c r="BP193" s="197" t="str">
        <f t="shared" si="10"/>
        <v/>
      </c>
      <c r="BQ193" s="197" t="str">
        <f>IF(C193="","",IF(COUNTIF(BP$6:BP193,BP193)&gt;1,"",BP193))</f>
        <v/>
      </c>
      <c r="BR193" s="197" t="str">
        <f t="shared" si="11"/>
        <v/>
      </c>
    </row>
    <row r="194" spans="3:70" x14ac:dyDescent="0.2">
      <c r="C194" s="189"/>
      <c r="BN194" s="192" t="str">
        <f t="shared" si="9"/>
        <v/>
      </c>
      <c r="BO194" s="197" t="str">
        <f t="shared" si="8"/>
        <v/>
      </c>
      <c r="BP194" s="197" t="str">
        <f t="shared" si="10"/>
        <v/>
      </c>
      <c r="BQ194" s="197" t="str">
        <f>IF(C194="","",IF(COUNTIF(BP$6:BP194,BP194)&gt;1,"",BP194))</f>
        <v/>
      </c>
      <c r="BR194" s="197" t="str">
        <f t="shared" si="11"/>
        <v/>
      </c>
    </row>
    <row r="195" spans="3:70" x14ac:dyDescent="0.2">
      <c r="BN195" s="192" t="str">
        <f t="shared" si="9"/>
        <v/>
      </c>
      <c r="BO195" s="197" t="str">
        <f t="shared" si="8"/>
        <v/>
      </c>
      <c r="BP195" s="197" t="str">
        <f t="shared" si="10"/>
        <v/>
      </c>
      <c r="BQ195" s="197" t="str">
        <f>IF(C195="","",IF(COUNTIF(BP$6:BP195,BP195)&gt;1,"",BP195))</f>
        <v/>
      </c>
      <c r="BR195" s="197" t="str">
        <f t="shared" si="11"/>
        <v/>
      </c>
    </row>
    <row r="196" spans="3:70" x14ac:dyDescent="0.2">
      <c r="BN196" s="192" t="str">
        <f t="shared" si="9"/>
        <v/>
      </c>
      <c r="BO196" s="197" t="str">
        <f t="shared" si="8"/>
        <v/>
      </c>
      <c r="BP196" s="197" t="str">
        <f t="shared" si="10"/>
        <v/>
      </c>
      <c r="BQ196" s="197" t="str">
        <f>IF(C196="","",IF(COUNTIF(BP$6:BP196,BP196)&gt;1,"",BP196))</f>
        <v/>
      </c>
      <c r="BR196" s="197" t="str">
        <f t="shared" si="11"/>
        <v/>
      </c>
    </row>
    <row r="197" spans="3:70" x14ac:dyDescent="0.2">
      <c r="BN197" s="192" t="str">
        <f t="shared" si="9"/>
        <v/>
      </c>
      <c r="BO197" s="197" t="str">
        <f t="shared" si="8"/>
        <v/>
      </c>
      <c r="BP197" s="197" t="str">
        <f t="shared" si="10"/>
        <v/>
      </c>
      <c r="BQ197" s="197" t="str">
        <f>IF(C197="","",IF(COUNTIF(BP$6:BP197,BP197)&gt;1,"",BP197))</f>
        <v/>
      </c>
      <c r="BR197" s="197" t="str">
        <f t="shared" si="11"/>
        <v/>
      </c>
    </row>
    <row r="198" spans="3:70" x14ac:dyDescent="0.2">
      <c r="BN198" s="192" t="str">
        <f t="shared" si="9"/>
        <v/>
      </c>
      <c r="BO198" s="197" t="str">
        <f t="shared" ref="BO198:BO261" si="12">IF(C198="","",Q198+U198)</f>
        <v/>
      </c>
      <c r="BP198" s="197" t="str">
        <f t="shared" si="10"/>
        <v/>
      </c>
      <c r="BQ198" s="197" t="str">
        <f>IF(C198="","",IF(COUNTIF(BP$6:BP198,BP198)&gt;1,"",BP198))</f>
        <v/>
      </c>
      <c r="BR198" s="197" t="str">
        <f t="shared" si="11"/>
        <v/>
      </c>
    </row>
    <row r="199" spans="3:70" x14ac:dyDescent="0.2">
      <c r="BN199" s="192" t="str">
        <f t="shared" ref="BN199:BN262" si="13">IF(C199="","",1)</f>
        <v/>
      </c>
      <c r="BO199" s="197" t="str">
        <f t="shared" si="12"/>
        <v/>
      </c>
      <c r="BP199" s="197" t="str">
        <f t="shared" ref="BP199:BP262" si="14">IF(C199="","",IF(MAX($BO$6:$BO$506)-BO199=0,1,""))</f>
        <v/>
      </c>
      <c r="BQ199" s="197" t="str">
        <f>IF(C199="","",IF(COUNTIF(BP$6:BP199,BP199)&gt;1,"",BP199))</f>
        <v/>
      </c>
      <c r="BR199" s="197" t="str">
        <f t="shared" ref="BR199:BR262" si="15">IF(F199="","",IF(BQ199=1,MAX($BO$6:$BO$506),0))</f>
        <v/>
      </c>
    </row>
    <row r="200" spans="3:70" x14ac:dyDescent="0.2">
      <c r="BN200" s="192" t="str">
        <f t="shared" si="13"/>
        <v/>
      </c>
      <c r="BO200" s="197" t="str">
        <f t="shared" si="12"/>
        <v/>
      </c>
      <c r="BP200" s="197" t="str">
        <f t="shared" si="14"/>
        <v/>
      </c>
      <c r="BQ200" s="197" t="str">
        <f>IF(C200="","",IF(COUNTIF(BP$6:BP200,BP200)&gt;1,"",BP200))</f>
        <v/>
      </c>
      <c r="BR200" s="197" t="str">
        <f t="shared" si="15"/>
        <v/>
      </c>
    </row>
    <row r="201" spans="3:70" x14ac:dyDescent="0.2">
      <c r="BN201" s="192" t="str">
        <f t="shared" si="13"/>
        <v/>
      </c>
      <c r="BO201" s="197" t="str">
        <f t="shared" si="12"/>
        <v/>
      </c>
      <c r="BP201" s="197" t="str">
        <f t="shared" si="14"/>
        <v/>
      </c>
      <c r="BQ201" s="197" t="str">
        <f>IF(C201="","",IF(COUNTIF(BP$6:BP201,BP201)&gt;1,"",BP201))</f>
        <v/>
      </c>
      <c r="BR201" s="197" t="str">
        <f t="shared" si="15"/>
        <v/>
      </c>
    </row>
    <row r="202" spans="3:70" x14ac:dyDescent="0.2">
      <c r="BN202" s="192" t="str">
        <f t="shared" si="13"/>
        <v/>
      </c>
      <c r="BO202" s="197" t="str">
        <f t="shared" si="12"/>
        <v/>
      </c>
      <c r="BP202" s="197" t="str">
        <f t="shared" si="14"/>
        <v/>
      </c>
      <c r="BQ202" s="197" t="str">
        <f>IF(C202="","",IF(COUNTIF(BP$6:BP202,BP202)&gt;1,"",BP202))</f>
        <v/>
      </c>
      <c r="BR202" s="197" t="str">
        <f t="shared" si="15"/>
        <v/>
      </c>
    </row>
    <row r="203" spans="3:70" x14ac:dyDescent="0.2">
      <c r="BN203" s="192" t="str">
        <f t="shared" si="13"/>
        <v/>
      </c>
      <c r="BO203" s="197" t="str">
        <f t="shared" si="12"/>
        <v/>
      </c>
      <c r="BP203" s="197" t="str">
        <f t="shared" si="14"/>
        <v/>
      </c>
      <c r="BQ203" s="197" t="str">
        <f>IF(C203="","",IF(COUNTIF(BP$6:BP203,BP203)&gt;1,"",BP203))</f>
        <v/>
      </c>
      <c r="BR203" s="197" t="str">
        <f t="shared" si="15"/>
        <v/>
      </c>
    </row>
    <row r="204" spans="3:70" x14ac:dyDescent="0.2">
      <c r="BN204" s="192" t="str">
        <f t="shared" si="13"/>
        <v/>
      </c>
      <c r="BO204" s="197" t="str">
        <f t="shared" si="12"/>
        <v/>
      </c>
      <c r="BP204" s="197" t="str">
        <f t="shared" si="14"/>
        <v/>
      </c>
      <c r="BQ204" s="197" t="str">
        <f>IF(C204="","",IF(COUNTIF(BP$6:BP204,BP204)&gt;1,"",BP204))</f>
        <v/>
      </c>
      <c r="BR204" s="197" t="str">
        <f t="shared" si="15"/>
        <v/>
      </c>
    </row>
    <row r="205" spans="3:70" x14ac:dyDescent="0.2">
      <c r="BN205" s="192" t="str">
        <f t="shared" si="13"/>
        <v/>
      </c>
      <c r="BO205" s="197" t="str">
        <f t="shared" si="12"/>
        <v/>
      </c>
      <c r="BP205" s="197" t="str">
        <f t="shared" si="14"/>
        <v/>
      </c>
      <c r="BQ205" s="197" t="str">
        <f>IF(C205="","",IF(COUNTIF(BP$6:BP205,BP205)&gt;1,"",BP205))</f>
        <v/>
      </c>
      <c r="BR205" s="197" t="str">
        <f t="shared" si="15"/>
        <v/>
      </c>
    </row>
    <row r="206" spans="3:70" x14ac:dyDescent="0.2">
      <c r="BN206" s="192" t="str">
        <f t="shared" si="13"/>
        <v/>
      </c>
      <c r="BO206" s="197" t="str">
        <f t="shared" si="12"/>
        <v/>
      </c>
      <c r="BP206" s="197" t="str">
        <f t="shared" si="14"/>
        <v/>
      </c>
      <c r="BQ206" s="197" t="str">
        <f>IF(C206="","",IF(COUNTIF(BP$6:BP206,BP206)&gt;1,"",BP206))</f>
        <v/>
      </c>
      <c r="BR206" s="197" t="str">
        <f t="shared" si="15"/>
        <v/>
      </c>
    </row>
    <row r="207" spans="3:70" x14ac:dyDescent="0.2">
      <c r="BN207" s="192" t="str">
        <f t="shared" si="13"/>
        <v/>
      </c>
      <c r="BO207" s="197" t="str">
        <f t="shared" si="12"/>
        <v/>
      </c>
      <c r="BP207" s="197" t="str">
        <f t="shared" si="14"/>
        <v/>
      </c>
      <c r="BQ207" s="197" t="str">
        <f>IF(C207="","",IF(COUNTIF(BP$6:BP207,BP207)&gt;1,"",BP207))</f>
        <v/>
      </c>
      <c r="BR207" s="197" t="str">
        <f t="shared" si="15"/>
        <v/>
      </c>
    </row>
    <row r="208" spans="3:70" x14ac:dyDescent="0.2">
      <c r="BN208" s="192" t="str">
        <f t="shared" si="13"/>
        <v/>
      </c>
      <c r="BO208" s="197" t="str">
        <f t="shared" si="12"/>
        <v/>
      </c>
      <c r="BP208" s="197" t="str">
        <f t="shared" si="14"/>
        <v/>
      </c>
      <c r="BQ208" s="197" t="str">
        <f>IF(C208="","",IF(COUNTIF(BP$6:BP208,BP208)&gt;1,"",BP208))</f>
        <v/>
      </c>
      <c r="BR208" s="197" t="str">
        <f t="shared" si="15"/>
        <v/>
      </c>
    </row>
    <row r="209" spans="66:70" x14ac:dyDescent="0.2">
      <c r="BN209" s="192" t="str">
        <f t="shared" si="13"/>
        <v/>
      </c>
      <c r="BO209" s="197" t="str">
        <f t="shared" si="12"/>
        <v/>
      </c>
      <c r="BP209" s="197" t="str">
        <f t="shared" si="14"/>
        <v/>
      </c>
      <c r="BQ209" s="197" t="str">
        <f>IF(C209="","",IF(COUNTIF(BP$6:BP209,BP209)&gt;1,"",BP209))</f>
        <v/>
      </c>
      <c r="BR209" s="197" t="str">
        <f t="shared" si="15"/>
        <v/>
      </c>
    </row>
    <row r="210" spans="66:70" x14ac:dyDescent="0.2">
      <c r="BN210" s="192" t="str">
        <f t="shared" si="13"/>
        <v/>
      </c>
      <c r="BO210" s="197" t="str">
        <f t="shared" si="12"/>
        <v/>
      </c>
      <c r="BP210" s="197" t="str">
        <f t="shared" si="14"/>
        <v/>
      </c>
      <c r="BQ210" s="197" t="str">
        <f>IF(C210="","",IF(COUNTIF(BP$6:BP210,BP210)&gt;1,"",BP210))</f>
        <v/>
      </c>
      <c r="BR210" s="197" t="str">
        <f t="shared" si="15"/>
        <v/>
      </c>
    </row>
    <row r="211" spans="66:70" x14ac:dyDescent="0.2">
      <c r="BN211" s="192" t="str">
        <f t="shared" si="13"/>
        <v/>
      </c>
      <c r="BO211" s="197" t="str">
        <f t="shared" si="12"/>
        <v/>
      </c>
      <c r="BP211" s="197" t="str">
        <f t="shared" si="14"/>
        <v/>
      </c>
      <c r="BQ211" s="197" t="str">
        <f>IF(C211="","",IF(COUNTIF(BP$6:BP211,BP211)&gt;1,"",BP211))</f>
        <v/>
      </c>
      <c r="BR211" s="197" t="str">
        <f t="shared" si="15"/>
        <v/>
      </c>
    </row>
    <row r="212" spans="66:70" x14ac:dyDescent="0.2">
      <c r="BN212" s="192" t="str">
        <f t="shared" si="13"/>
        <v/>
      </c>
      <c r="BO212" s="197" t="str">
        <f t="shared" si="12"/>
        <v/>
      </c>
      <c r="BP212" s="197" t="str">
        <f t="shared" si="14"/>
        <v/>
      </c>
      <c r="BQ212" s="197" t="str">
        <f>IF(C212="","",IF(COUNTIF(BP$6:BP212,BP212)&gt;1,"",BP212))</f>
        <v/>
      </c>
      <c r="BR212" s="197" t="str">
        <f t="shared" si="15"/>
        <v/>
      </c>
    </row>
    <row r="213" spans="66:70" x14ac:dyDescent="0.2">
      <c r="BN213" s="192" t="str">
        <f t="shared" si="13"/>
        <v/>
      </c>
      <c r="BO213" s="197" t="str">
        <f t="shared" si="12"/>
        <v/>
      </c>
      <c r="BP213" s="197" t="str">
        <f t="shared" si="14"/>
        <v/>
      </c>
      <c r="BQ213" s="197" t="str">
        <f>IF(C213="","",IF(COUNTIF(BP$6:BP213,BP213)&gt;1,"",BP213))</f>
        <v/>
      </c>
      <c r="BR213" s="197" t="str">
        <f t="shared" si="15"/>
        <v/>
      </c>
    </row>
    <row r="214" spans="66:70" x14ac:dyDescent="0.2">
      <c r="BN214" s="192" t="str">
        <f t="shared" si="13"/>
        <v/>
      </c>
      <c r="BO214" s="197" t="str">
        <f t="shared" si="12"/>
        <v/>
      </c>
      <c r="BP214" s="197" t="str">
        <f t="shared" si="14"/>
        <v/>
      </c>
      <c r="BQ214" s="197" t="str">
        <f>IF(C214="","",IF(COUNTIF(BP$6:BP214,BP214)&gt;1,"",BP214))</f>
        <v/>
      </c>
      <c r="BR214" s="197" t="str">
        <f t="shared" si="15"/>
        <v/>
      </c>
    </row>
    <row r="215" spans="66:70" x14ac:dyDescent="0.2">
      <c r="BN215" s="192" t="str">
        <f t="shared" si="13"/>
        <v/>
      </c>
      <c r="BO215" s="197" t="str">
        <f t="shared" si="12"/>
        <v/>
      </c>
      <c r="BP215" s="197" t="str">
        <f t="shared" si="14"/>
        <v/>
      </c>
      <c r="BQ215" s="197" t="str">
        <f>IF(C215="","",IF(COUNTIF(BP$6:BP215,BP215)&gt;1,"",BP215))</f>
        <v/>
      </c>
      <c r="BR215" s="197" t="str">
        <f t="shared" si="15"/>
        <v/>
      </c>
    </row>
    <row r="216" spans="66:70" x14ac:dyDescent="0.2">
      <c r="BN216" s="192" t="str">
        <f t="shared" si="13"/>
        <v/>
      </c>
      <c r="BO216" s="197" t="str">
        <f t="shared" si="12"/>
        <v/>
      </c>
      <c r="BP216" s="197" t="str">
        <f t="shared" si="14"/>
        <v/>
      </c>
      <c r="BQ216" s="197" t="str">
        <f>IF(C216="","",IF(COUNTIF(BP$6:BP216,BP216)&gt;1,"",BP216))</f>
        <v/>
      </c>
      <c r="BR216" s="197" t="str">
        <f t="shared" si="15"/>
        <v/>
      </c>
    </row>
    <row r="217" spans="66:70" x14ac:dyDescent="0.2">
      <c r="BN217" s="192" t="str">
        <f t="shared" si="13"/>
        <v/>
      </c>
      <c r="BO217" s="197" t="str">
        <f t="shared" si="12"/>
        <v/>
      </c>
      <c r="BP217" s="197" t="str">
        <f t="shared" si="14"/>
        <v/>
      </c>
      <c r="BQ217" s="197" t="str">
        <f>IF(C217="","",IF(COUNTIF(BP$6:BP217,BP217)&gt;1,"",BP217))</f>
        <v/>
      </c>
      <c r="BR217" s="197" t="str">
        <f t="shared" si="15"/>
        <v/>
      </c>
    </row>
    <row r="218" spans="66:70" x14ac:dyDescent="0.2">
      <c r="BN218" s="192" t="str">
        <f t="shared" si="13"/>
        <v/>
      </c>
      <c r="BO218" s="197" t="str">
        <f t="shared" si="12"/>
        <v/>
      </c>
      <c r="BP218" s="197" t="str">
        <f t="shared" si="14"/>
        <v/>
      </c>
      <c r="BQ218" s="197" t="str">
        <f>IF(C218="","",IF(COUNTIF(BP$6:BP218,BP218)&gt;1,"",BP218))</f>
        <v/>
      </c>
      <c r="BR218" s="197" t="str">
        <f t="shared" si="15"/>
        <v/>
      </c>
    </row>
    <row r="219" spans="66:70" x14ac:dyDescent="0.2">
      <c r="BN219" s="192" t="str">
        <f t="shared" si="13"/>
        <v/>
      </c>
      <c r="BO219" s="197" t="str">
        <f t="shared" si="12"/>
        <v/>
      </c>
      <c r="BP219" s="197" t="str">
        <f t="shared" si="14"/>
        <v/>
      </c>
      <c r="BQ219" s="197" t="str">
        <f>IF(C219="","",IF(COUNTIF(BP$6:BP219,BP219)&gt;1,"",BP219))</f>
        <v/>
      </c>
      <c r="BR219" s="197" t="str">
        <f t="shared" si="15"/>
        <v/>
      </c>
    </row>
    <row r="220" spans="66:70" x14ac:dyDescent="0.2">
      <c r="BN220" s="192" t="str">
        <f t="shared" si="13"/>
        <v/>
      </c>
      <c r="BO220" s="197" t="str">
        <f t="shared" si="12"/>
        <v/>
      </c>
      <c r="BP220" s="197" t="str">
        <f t="shared" si="14"/>
        <v/>
      </c>
      <c r="BQ220" s="197" t="str">
        <f>IF(C220="","",IF(COUNTIF(BP$6:BP220,BP220)&gt;1,"",BP220))</f>
        <v/>
      </c>
      <c r="BR220" s="197" t="str">
        <f t="shared" si="15"/>
        <v/>
      </c>
    </row>
    <row r="221" spans="66:70" x14ac:dyDescent="0.2">
      <c r="BN221" s="192" t="str">
        <f t="shared" si="13"/>
        <v/>
      </c>
      <c r="BO221" s="197" t="str">
        <f t="shared" si="12"/>
        <v/>
      </c>
      <c r="BP221" s="197" t="str">
        <f t="shared" si="14"/>
        <v/>
      </c>
      <c r="BQ221" s="197" t="str">
        <f>IF(C221="","",IF(COUNTIF(BP$6:BP221,BP221)&gt;1,"",BP221))</f>
        <v/>
      </c>
      <c r="BR221" s="197" t="str">
        <f t="shared" si="15"/>
        <v/>
      </c>
    </row>
    <row r="222" spans="66:70" x14ac:dyDescent="0.2">
      <c r="BN222" s="192" t="str">
        <f t="shared" si="13"/>
        <v/>
      </c>
      <c r="BO222" s="197" t="str">
        <f t="shared" si="12"/>
        <v/>
      </c>
      <c r="BP222" s="197" t="str">
        <f t="shared" si="14"/>
        <v/>
      </c>
      <c r="BQ222" s="197" t="str">
        <f>IF(C222="","",IF(COUNTIF(BP$6:BP222,BP222)&gt;1,"",BP222))</f>
        <v/>
      </c>
      <c r="BR222" s="197" t="str">
        <f t="shared" si="15"/>
        <v/>
      </c>
    </row>
    <row r="223" spans="66:70" x14ac:dyDescent="0.2">
      <c r="BN223" s="192" t="str">
        <f t="shared" si="13"/>
        <v/>
      </c>
      <c r="BO223" s="197" t="str">
        <f t="shared" si="12"/>
        <v/>
      </c>
      <c r="BP223" s="197" t="str">
        <f t="shared" si="14"/>
        <v/>
      </c>
      <c r="BQ223" s="197" t="str">
        <f>IF(C223="","",IF(COUNTIF(BP$6:BP223,BP223)&gt;1,"",BP223))</f>
        <v/>
      </c>
      <c r="BR223" s="197" t="str">
        <f t="shared" si="15"/>
        <v/>
      </c>
    </row>
    <row r="224" spans="66:70" x14ac:dyDescent="0.2">
      <c r="BN224" s="192" t="str">
        <f t="shared" si="13"/>
        <v/>
      </c>
      <c r="BO224" s="197" t="str">
        <f t="shared" si="12"/>
        <v/>
      </c>
      <c r="BP224" s="197" t="str">
        <f t="shared" si="14"/>
        <v/>
      </c>
      <c r="BQ224" s="197" t="str">
        <f>IF(C224="","",IF(COUNTIF(BP$6:BP224,BP224)&gt;1,"",BP224))</f>
        <v/>
      </c>
      <c r="BR224" s="197" t="str">
        <f t="shared" si="15"/>
        <v/>
      </c>
    </row>
    <row r="225" spans="66:70" x14ac:dyDescent="0.2">
      <c r="BN225" s="192" t="str">
        <f t="shared" si="13"/>
        <v/>
      </c>
      <c r="BO225" s="197" t="str">
        <f t="shared" si="12"/>
        <v/>
      </c>
      <c r="BP225" s="197" t="str">
        <f t="shared" si="14"/>
        <v/>
      </c>
      <c r="BQ225" s="197" t="str">
        <f>IF(C225="","",IF(COUNTIF(BP$6:BP225,BP225)&gt;1,"",BP225))</f>
        <v/>
      </c>
      <c r="BR225" s="197" t="str">
        <f t="shared" si="15"/>
        <v/>
      </c>
    </row>
    <row r="226" spans="66:70" x14ac:dyDescent="0.2">
      <c r="BN226" s="192" t="str">
        <f t="shared" si="13"/>
        <v/>
      </c>
      <c r="BO226" s="197" t="str">
        <f t="shared" si="12"/>
        <v/>
      </c>
      <c r="BP226" s="197" t="str">
        <f t="shared" si="14"/>
        <v/>
      </c>
      <c r="BQ226" s="197" t="str">
        <f>IF(C226="","",IF(COUNTIF(BP$6:BP226,BP226)&gt;1,"",BP226))</f>
        <v/>
      </c>
      <c r="BR226" s="197" t="str">
        <f t="shared" si="15"/>
        <v/>
      </c>
    </row>
    <row r="227" spans="66:70" x14ac:dyDescent="0.2">
      <c r="BN227" s="192" t="str">
        <f t="shared" si="13"/>
        <v/>
      </c>
      <c r="BO227" s="197" t="str">
        <f t="shared" si="12"/>
        <v/>
      </c>
      <c r="BP227" s="197" t="str">
        <f t="shared" si="14"/>
        <v/>
      </c>
      <c r="BQ227" s="197" t="str">
        <f>IF(C227="","",IF(COUNTIF(BP$6:BP227,BP227)&gt;1,"",BP227))</f>
        <v/>
      </c>
      <c r="BR227" s="197" t="str">
        <f t="shared" si="15"/>
        <v/>
      </c>
    </row>
    <row r="228" spans="66:70" x14ac:dyDescent="0.2">
      <c r="BN228" s="192" t="str">
        <f t="shared" si="13"/>
        <v/>
      </c>
      <c r="BO228" s="197" t="str">
        <f t="shared" si="12"/>
        <v/>
      </c>
      <c r="BP228" s="197" t="str">
        <f t="shared" si="14"/>
        <v/>
      </c>
      <c r="BQ228" s="197" t="str">
        <f>IF(C228="","",IF(COUNTIF(BP$6:BP228,BP228)&gt;1,"",BP228))</f>
        <v/>
      </c>
      <c r="BR228" s="197" t="str">
        <f t="shared" si="15"/>
        <v/>
      </c>
    </row>
    <row r="229" spans="66:70" x14ac:dyDescent="0.2">
      <c r="BN229" s="192" t="str">
        <f t="shared" si="13"/>
        <v/>
      </c>
      <c r="BO229" s="197" t="str">
        <f t="shared" si="12"/>
        <v/>
      </c>
      <c r="BP229" s="197" t="str">
        <f t="shared" si="14"/>
        <v/>
      </c>
      <c r="BQ229" s="197" t="str">
        <f>IF(C229="","",IF(COUNTIF(BP$6:BP229,BP229)&gt;1,"",BP229))</f>
        <v/>
      </c>
      <c r="BR229" s="197" t="str">
        <f t="shared" si="15"/>
        <v/>
      </c>
    </row>
    <row r="230" spans="66:70" x14ac:dyDescent="0.2">
      <c r="BN230" s="192" t="str">
        <f t="shared" si="13"/>
        <v/>
      </c>
      <c r="BO230" s="197" t="str">
        <f t="shared" si="12"/>
        <v/>
      </c>
      <c r="BP230" s="197" t="str">
        <f t="shared" si="14"/>
        <v/>
      </c>
      <c r="BQ230" s="197" t="str">
        <f>IF(C230="","",IF(COUNTIF(BP$6:BP230,BP230)&gt;1,"",BP230))</f>
        <v/>
      </c>
      <c r="BR230" s="197" t="str">
        <f t="shared" si="15"/>
        <v/>
      </c>
    </row>
    <row r="231" spans="66:70" x14ac:dyDescent="0.2">
      <c r="BN231" s="192" t="str">
        <f t="shared" si="13"/>
        <v/>
      </c>
      <c r="BO231" s="197" t="str">
        <f t="shared" si="12"/>
        <v/>
      </c>
      <c r="BP231" s="197" t="str">
        <f t="shared" si="14"/>
        <v/>
      </c>
      <c r="BQ231" s="197" t="str">
        <f>IF(C231="","",IF(COUNTIF(BP$6:BP231,BP231)&gt;1,"",BP231))</f>
        <v/>
      </c>
      <c r="BR231" s="197" t="str">
        <f t="shared" si="15"/>
        <v/>
      </c>
    </row>
    <row r="232" spans="66:70" x14ac:dyDescent="0.2">
      <c r="BN232" s="192" t="str">
        <f t="shared" si="13"/>
        <v/>
      </c>
      <c r="BO232" s="197" t="str">
        <f t="shared" si="12"/>
        <v/>
      </c>
      <c r="BP232" s="197" t="str">
        <f t="shared" si="14"/>
        <v/>
      </c>
      <c r="BQ232" s="197" t="str">
        <f>IF(C232="","",IF(COUNTIF(BP$6:BP232,BP232)&gt;1,"",BP232))</f>
        <v/>
      </c>
      <c r="BR232" s="197" t="str">
        <f t="shared" si="15"/>
        <v/>
      </c>
    </row>
    <row r="233" spans="66:70" x14ac:dyDescent="0.2">
      <c r="BN233" s="192" t="str">
        <f t="shared" si="13"/>
        <v/>
      </c>
      <c r="BO233" s="197" t="str">
        <f t="shared" si="12"/>
        <v/>
      </c>
      <c r="BP233" s="197" t="str">
        <f t="shared" si="14"/>
        <v/>
      </c>
      <c r="BQ233" s="197" t="str">
        <f>IF(C233="","",IF(COUNTIF(BP$6:BP233,BP233)&gt;1,"",BP233))</f>
        <v/>
      </c>
      <c r="BR233" s="197" t="str">
        <f t="shared" si="15"/>
        <v/>
      </c>
    </row>
    <row r="234" spans="66:70" x14ac:dyDescent="0.2">
      <c r="BN234" s="192" t="str">
        <f t="shared" si="13"/>
        <v/>
      </c>
      <c r="BO234" s="197" t="str">
        <f t="shared" si="12"/>
        <v/>
      </c>
      <c r="BP234" s="197" t="str">
        <f t="shared" si="14"/>
        <v/>
      </c>
      <c r="BQ234" s="197" t="str">
        <f>IF(C234="","",IF(COUNTIF(BP$6:BP234,BP234)&gt;1,"",BP234))</f>
        <v/>
      </c>
      <c r="BR234" s="197" t="str">
        <f t="shared" si="15"/>
        <v/>
      </c>
    </row>
    <row r="235" spans="66:70" x14ac:dyDescent="0.2">
      <c r="BN235" s="192" t="str">
        <f t="shared" si="13"/>
        <v/>
      </c>
      <c r="BO235" s="197" t="str">
        <f t="shared" si="12"/>
        <v/>
      </c>
      <c r="BP235" s="197" t="str">
        <f t="shared" si="14"/>
        <v/>
      </c>
      <c r="BQ235" s="197" t="str">
        <f>IF(C235="","",IF(COUNTIF(BP$6:BP235,BP235)&gt;1,"",BP235))</f>
        <v/>
      </c>
      <c r="BR235" s="197" t="str">
        <f t="shared" si="15"/>
        <v/>
      </c>
    </row>
    <row r="236" spans="66:70" x14ac:dyDescent="0.2">
      <c r="BN236" s="192" t="str">
        <f t="shared" si="13"/>
        <v/>
      </c>
      <c r="BO236" s="197" t="str">
        <f t="shared" si="12"/>
        <v/>
      </c>
      <c r="BP236" s="197" t="str">
        <f t="shared" si="14"/>
        <v/>
      </c>
      <c r="BQ236" s="197" t="str">
        <f>IF(C236="","",IF(COUNTIF(BP$6:BP236,BP236)&gt;1,"",BP236))</f>
        <v/>
      </c>
      <c r="BR236" s="197" t="str">
        <f t="shared" si="15"/>
        <v/>
      </c>
    </row>
    <row r="237" spans="66:70" x14ac:dyDescent="0.2">
      <c r="BN237" s="192" t="str">
        <f t="shared" si="13"/>
        <v/>
      </c>
      <c r="BO237" s="197" t="str">
        <f t="shared" si="12"/>
        <v/>
      </c>
      <c r="BP237" s="197" t="str">
        <f t="shared" si="14"/>
        <v/>
      </c>
      <c r="BQ237" s="197" t="str">
        <f>IF(C237="","",IF(COUNTIF(BP$6:BP237,BP237)&gt;1,"",BP237))</f>
        <v/>
      </c>
      <c r="BR237" s="197" t="str">
        <f t="shared" si="15"/>
        <v/>
      </c>
    </row>
    <row r="238" spans="66:70" x14ac:dyDescent="0.2">
      <c r="BN238" s="192" t="str">
        <f t="shared" si="13"/>
        <v/>
      </c>
      <c r="BO238" s="197" t="str">
        <f t="shared" si="12"/>
        <v/>
      </c>
      <c r="BP238" s="197" t="str">
        <f t="shared" si="14"/>
        <v/>
      </c>
      <c r="BQ238" s="197" t="str">
        <f>IF(C238="","",IF(COUNTIF(BP$6:BP238,BP238)&gt;1,"",BP238))</f>
        <v/>
      </c>
      <c r="BR238" s="197" t="str">
        <f t="shared" si="15"/>
        <v/>
      </c>
    </row>
    <row r="239" spans="66:70" x14ac:dyDescent="0.2">
      <c r="BN239" s="192" t="str">
        <f t="shared" si="13"/>
        <v/>
      </c>
      <c r="BO239" s="197" t="str">
        <f t="shared" si="12"/>
        <v/>
      </c>
      <c r="BP239" s="197" t="str">
        <f t="shared" si="14"/>
        <v/>
      </c>
      <c r="BQ239" s="197" t="str">
        <f>IF(C239="","",IF(COUNTIF(BP$6:BP239,BP239)&gt;1,"",BP239))</f>
        <v/>
      </c>
      <c r="BR239" s="197" t="str">
        <f t="shared" si="15"/>
        <v/>
      </c>
    </row>
    <row r="240" spans="66:70" x14ac:dyDescent="0.2">
      <c r="BN240" s="192" t="str">
        <f t="shared" si="13"/>
        <v/>
      </c>
      <c r="BO240" s="197" t="str">
        <f t="shared" si="12"/>
        <v/>
      </c>
      <c r="BP240" s="197" t="str">
        <f t="shared" si="14"/>
        <v/>
      </c>
      <c r="BQ240" s="197" t="str">
        <f>IF(C240="","",IF(COUNTIF(BP$6:BP240,BP240)&gt;1,"",BP240))</f>
        <v/>
      </c>
      <c r="BR240" s="197" t="str">
        <f t="shared" si="15"/>
        <v/>
      </c>
    </row>
    <row r="241" spans="66:70" x14ac:dyDescent="0.2">
      <c r="BN241" s="192" t="str">
        <f t="shared" si="13"/>
        <v/>
      </c>
      <c r="BO241" s="197" t="str">
        <f t="shared" si="12"/>
        <v/>
      </c>
      <c r="BP241" s="197" t="str">
        <f t="shared" si="14"/>
        <v/>
      </c>
      <c r="BQ241" s="197" t="str">
        <f>IF(C241="","",IF(COUNTIF(BP$6:BP241,BP241)&gt;1,"",BP241))</f>
        <v/>
      </c>
      <c r="BR241" s="197" t="str">
        <f t="shared" si="15"/>
        <v/>
      </c>
    </row>
    <row r="242" spans="66:70" x14ac:dyDescent="0.2">
      <c r="BN242" s="192" t="str">
        <f t="shared" si="13"/>
        <v/>
      </c>
      <c r="BO242" s="197" t="str">
        <f t="shared" si="12"/>
        <v/>
      </c>
      <c r="BP242" s="197" t="str">
        <f t="shared" si="14"/>
        <v/>
      </c>
      <c r="BQ242" s="197" t="str">
        <f>IF(C242="","",IF(COUNTIF(BP$6:BP242,BP242)&gt;1,"",BP242))</f>
        <v/>
      </c>
      <c r="BR242" s="197" t="str">
        <f t="shared" si="15"/>
        <v/>
      </c>
    </row>
    <row r="243" spans="66:70" x14ac:dyDescent="0.2">
      <c r="BN243" s="192" t="str">
        <f t="shared" si="13"/>
        <v/>
      </c>
      <c r="BO243" s="197" t="str">
        <f t="shared" si="12"/>
        <v/>
      </c>
      <c r="BP243" s="197" t="str">
        <f t="shared" si="14"/>
        <v/>
      </c>
      <c r="BQ243" s="197" t="str">
        <f>IF(C243="","",IF(COUNTIF(BP$6:BP243,BP243)&gt;1,"",BP243))</f>
        <v/>
      </c>
      <c r="BR243" s="197" t="str">
        <f t="shared" si="15"/>
        <v/>
      </c>
    </row>
    <row r="244" spans="66:70" x14ac:dyDescent="0.2">
      <c r="BN244" s="192" t="str">
        <f t="shared" si="13"/>
        <v/>
      </c>
      <c r="BO244" s="197" t="str">
        <f t="shared" si="12"/>
        <v/>
      </c>
      <c r="BP244" s="197" t="str">
        <f t="shared" si="14"/>
        <v/>
      </c>
      <c r="BQ244" s="197" t="str">
        <f>IF(C244="","",IF(COUNTIF(BP$6:BP244,BP244)&gt;1,"",BP244))</f>
        <v/>
      </c>
      <c r="BR244" s="197" t="str">
        <f t="shared" si="15"/>
        <v/>
      </c>
    </row>
    <row r="245" spans="66:70" x14ac:dyDescent="0.2">
      <c r="BN245" s="192" t="str">
        <f t="shared" si="13"/>
        <v/>
      </c>
      <c r="BO245" s="197" t="str">
        <f t="shared" si="12"/>
        <v/>
      </c>
      <c r="BP245" s="197" t="str">
        <f t="shared" si="14"/>
        <v/>
      </c>
      <c r="BQ245" s="197" t="str">
        <f>IF(C245="","",IF(COUNTIF(BP$6:BP245,BP245)&gt;1,"",BP245))</f>
        <v/>
      </c>
      <c r="BR245" s="197" t="str">
        <f t="shared" si="15"/>
        <v/>
      </c>
    </row>
    <row r="246" spans="66:70" x14ac:dyDescent="0.2">
      <c r="BN246" s="192" t="str">
        <f t="shared" si="13"/>
        <v/>
      </c>
      <c r="BO246" s="197" t="str">
        <f t="shared" si="12"/>
        <v/>
      </c>
      <c r="BP246" s="197" t="str">
        <f t="shared" si="14"/>
        <v/>
      </c>
      <c r="BQ246" s="197" t="str">
        <f>IF(C246="","",IF(COUNTIF(BP$6:BP246,BP246)&gt;1,"",BP246))</f>
        <v/>
      </c>
      <c r="BR246" s="197" t="str">
        <f t="shared" si="15"/>
        <v/>
      </c>
    </row>
    <row r="247" spans="66:70" x14ac:dyDescent="0.2">
      <c r="BN247" s="192" t="str">
        <f t="shared" si="13"/>
        <v/>
      </c>
      <c r="BO247" s="197" t="str">
        <f t="shared" si="12"/>
        <v/>
      </c>
      <c r="BP247" s="197" t="str">
        <f t="shared" si="14"/>
        <v/>
      </c>
      <c r="BQ247" s="197" t="str">
        <f>IF(C247="","",IF(COUNTIF(BP$6:BP247,BP247)&gt;1,"",BP247))</f>
        <v/>
      </c>
      <c r="BR247" s="197" t="str">
        <f t="shared" si="15"/>
        <v/>
      </c>
    </row>
    <row r="248" spans="66:70" x14ac:dyDescent="0.2">
      <c r="BN248" s="192" t="str">
        <f t="shared" si="13"/>
        <v/>
      </c>
      <c r="BO248" s="197" t="str">
        <f t="shared" si="12"/>
        <v/>
      </c>
      <c r="BP248" s="197" t="str">
        <f t="shared" si="14"/>
        <v/>
      </c>
      <c r="BQ248" s="197" t="str">
        <f>IF(C248="","",IF(COUNTIF(BP$6:BP248,BP248)&gt;1,"",BP248))</f>
        <v/>
      </c>
      <c r="BR248" s="197" t="str">
        <f t="shared" si="15"/>
        <v/>
      </c>
    </row>
    <row r="249" spans="66:70" x14ac:dyDescent="0.2">
      <c r="BN249" s="192" t="str">
        <f t="shared" si="13"/>
        <v/>
      </c>
      <c r="BO249" s="197" t="str">
        <f t="shared" si="12"/>
        <v/>
      </c>
      <c r="BP249" s="197" t="str">
        <f t="shared" si="14"/>
        <v/>
      </c>
      <c r="BQ249" s="197" t="str">
        <f>IF(C249="","",IF(COUNTIF(BP$6:BP249,BP249)&gt;1,"",BP249))</f>
        <v/>
      </c>
      <c r="BR249" s="197" t="str">
        <f t="shared" si="15"/>
        <v/>
      </c>
    </row>
    <row r="250" spans="66:70" x14ac:dyDescent="0.2">
      <c r="BN250" s="192" t="str">
        <f t="shared" si="13"/>
        <v/>
      </c>
      <c r="BO250" s="197" t="str">
        <f t="shared" si="12"/>
        <v/>
      </c>
      <c r="BP250" s="197" t="str">
        <f t="shared" si="14"/>
        <v/>
      </c>
      <c r="BQ250" s="197" t="str">
        <f>IF(C250="","",IF(COUNTIF(BP$6:BP250,BP250)&gt;1,"",BP250))</f>
        <v/>
      </c>
      <c r="BR250" s="197" t="str">
        <f t="shared" si="15"/>
        <v/>
      </c>
    </row>
    <row r="251" spans="66:70" x14ac:dyDescent="0.2">
      <c r="BN251" s="192" t="str">
        <f t="shared" si="13"/>
        <v/>
      </c>
      <c r="BO251" s="197" t="str">
        <f t="shared" si="12"/>
        <v/>
      </c>
      <c r="BP251" s="197" t="str">
        <f t="shared" si="14"/>
        <v/>
      </c>
      <c r="BQ251" s="197" t="str">
        <f>IF(C251="","",IF(COUNTIF(BP$6:BP251,BP251)&gt;1,"",BP251))</f>
        <v/>
      </c>
      <c r="BR251" s="197" t="str">
        <f t="shared" si="15"/>
        <v/>
      </c>
    </row>
    <row r="252" spans="66:70" x14ac:dyDescent="0.2">
      <c r="BN252" s="192" t="str">
        <f t="shared" si="13"/>
        <v/>
      </c>
      <c r="BO252" s="197" t="str">
        <f t="shared" si="12"/>
        <v/>
      </c>
      <c r="BP252" s="197" t="str">
        <f t="shared" si="14"/>
        <v/>
      </c>
      <c r="BQ252" s="197" t="str">
        <f>IF(C252="","",IF(COUNTIF(BP$6:BP252,BP252)&gt;1,"",BP252))</f>
        <v/>
      </c>
      <c r="BR252" s="197" t="str">
        <f t="shared" si="15"/>
        <v/>
      </c>
    </row>
    <row r="253" spans="66:70" x14ac:dyDescent="0.2">
      <c r="BN253" s="192" t="str">
        <f t="shared" si="13"/>
        <v/>
      </c>
      <c r="BO253" s="197" t="str">
        <f t="shared" si="12"/>
        <v/>
      </c>
      <c r="BP253" s="197" t="str">
        <f t="shared" si="14"/>
        <v/>
      </c>
      <c r="BQ253" s="197" t="str">
        <f>IF(C253="","",IF(COUNTIF(BP$6:BP253,BP253)&gt;1,"",BP253))</f>
        <v/>
      </c>
      <c r="BR253" s="197" t="str">
        <f t="shared" si="15"/>
        <v/>
      </c>
    </row>
    <row r="254" spans="66:70" x14ac:dyDescent="0.2">
      <c r="BN254" s="192" t="str">
        <f t="shared" si="13"/>
        <v/>
      </c>
      <c r="BO254" s="197" t="str">
        <f t="shared" si="12"/>
        <v/>
      </c>
      <c r="BP254" s="197" t="str">
        <f t="shared" si="14"/>
        <v/>
      </c>
      <c r="BQ254" s="197" t="str">
        <f>IF(C254="","",IF(COUNTIF(BP$6:BP254,BP254)&gt;1,"",BP254))</f>
        <v/>
      </c>
      <c r="BR254" s="197" t="str">
        <f t="shared" si="15"/>
        <v/>
      </c>
    </row>
    <row r="255" spans="66:70" x14ac:dyDescent="0.2">
      <c r="BN255" s="192" t="str">
        <f t="shared" si="13"/>
        <v/>
      </c>
      <c r="BO255" s="197" t="str">
        <f t="shared" si="12"/>
        <v/>
      </c>
      <c r="BP255" s="197" t="str">
        <f t="shared" si="14"/>
        <v/>
      </c>
      <c r="BQ255" s="197" t="str">
        <f>IF(C255="","",IF(COUNTIF(BP$6:BP255,BP255)&gt;1,"",BP255))</f>
        <v/>
      </c>
      <c r="BR255" s="197" t="str">
        <f t="shared" si="15"/>
        <v/>
      </c>
    </row>
    <row r="256" spans="66:70" x14ac:dyDescent="0.2">
      <c r="BN256" s="192" t="str">
        <f t="shared" si="13"/>
        <v/>
      </c>
      <c r="BO256" s="197" t="str">
        <f t="shared" si="12"/>
        <v/>
      </c>
      <c r="BP256" s="197" t="str">
        <f t="shared" si="14"/>
        <v/>
      </c>
      <c r="BQ256" s="197" t="str">
        <f>IF(C256="","",IF(COUNTIF(BP$6:BP256,BP256)&gt;1,"",BP256))</f>
        <v/>
      </c>
      <c r="BR256" s="197" t="str">
        <f t="shared" si="15"/>
        <v/>
      </c>
    </row>
    <row r="257" spans="66:70" x14ac:dyDescent="0.2">
      <c r="BN257" s="192" t="str">
        <f t="shared" si="13"/>
        <v/>
      </c>
      <c r="BO257" s="197" t="str">
        <f t="shared" si="12"/>
        <v/>
      </c>
      <c r="BP257" s="197" t="str">
        <f t="shared" si="14"/>
        <v/>
      </c>
      <c r="BQ257" s="197" t="str">
        <f>IF(C257="","",IF(COUNTIF(BP$6:BP257,BP257)&gt;1,"",BP257))</f>
        <v/>
      </c>
      <c r="BR257" s="197" t="str">
        <f t="shared" si="15"/>
        <v/>
      </c>
    </row>
    <row r="258" spans="66:70" x14ac:dyDescent="0.2">
      <c r="BN258" s="192" t="str">
        <f t="shared" si="13"/>
        <v/>
      </c>
      <c r="BO258" s="197" t="str">
        <f t="shared" si="12"/>
        <v/>
      </c>
      <c r="BP258" s="197" t="str">
        <f t="shared" si="14"/>
        <v/>
      </c>
      <c r="BQ258" s="197" t="str">
        <f>IF(C258="","",IF(COUNTIF(BP$6:BP258,BP258)&gt;1,"",BP258))</f>
        <v/>
      </c>
      <c r="BR258" s="197" t="str">
        <f t="shared" si="15"/>
        <v/>
      </c>
    </row>
    <row r="259" spans="66:70" x14ac:dyDescent="0.2">
      <c r="BN259" s="192" t="str">
        <f t="shared" si="13"/>
        <v/>
      </c>
      <c r="BO259" s="197" t="str">
        <f t="shared" si="12"/>
        <v/>
      </c>
      <c r="BP259" s="197" t="str">
        <f t="shared" si="14"/>
        <v/>
      </c>
      <c r="BQ259" s="197" t="str">
        <f>IF(C259="","",IF(COUNTIF(BP$6:BP259,BP259)&gt;1,"",BP259))</f>
        <v/>
      </c>
      <c r="BR259" s="197" t="str">
        <f t="shared" si="15"/>
        <v/>
      </c>
    </row>
    <row r="260" spans="66:70" x14ac:dyDescent="0.2">
      <c r="BN260" s="192" t="str">
        <f t="shared" si="13"/>
        <v/>
      </c>
      <c r="BO260" s="197" t="str">
        <f t="shared" si="12"/>
        <v/>
      </c>
      <c r="BP260" s="197" t="str">
        <f t="shared" si="14"/>
        <v/>
      </c>
      <c r="BQ260" s="197" t="str">
        <f>IF(C260="","",IF(COUNTIF(BP$6:BP260,BP260)&gt;1,"",BP260))</f>
        <v/>
      </c>
      <c r="BR260" s="197" t="str">
        <f t="shared" si="15"/>
        <v/>
      </c>
    </row>
    <row r="261" spans="66:70" x14ac:dyDescent="0.2">
      <c r="BN261" s="192" t="str">
        <f t="shared" si="13"/>
        <v/>
      </c>
      <c r="BO261" s="197" t="str">
        <f t="shared" si="12"/>
        <v/>
      </c>
      <c r="BP261" s="197" t="str">
        <f t="shared" si="14"/>
        <v/>
      </c>
      <c r="BQ261" s="197" t="str">
        <f>IF(C261="","",IF(COUNTIF(BP$6:BP261,BP261)&gt;1,"",BP261))</f>
        <v/>
      </c>
      <c r="BR261" s="197" t="str">
        <f t="shared" si="15"/>
        <v/>
      </c>
    </row>
    <row r="262" spans="66:70" x14ac:dyDescent="0.2">
      <c r="BN262" s="192" t="str">
        <f t="shared" si="13"/>
        <v/>
      </c>
      <c r="BO262" s="197" t="str">
        <f t="shared" ref="BO262:BO325" si="16">IF(C262="","",Q262+U262)</f>
        <v/>
      </c>
      <c r="BP262" s="197" t="str">
        <f t="shared" si="14"/>
        <v/>
      </c>
      <c r="BQ262" s="197" t="str">
        <f>IF(C262="","",IF(COUNTIF(BP$6:BP262,BP262)&gt;1,"",BP262))</f>
        <v/>
      </c>
      <c r="BR262" s="197" t="str">
        <f t="shared" si="15"/>
        <v/>
      </c>
    </row>
    <row r="263" spans="66:70" x14ac:dyDescent="0.2">
      <c r="BN263" s="192" t="str">
        <f t="shared" ref="BN263:BN326" si="17">IF(C263="","",1)</f>
        <v/>
      </c>
      <c r="BO263" s="197" t="str">
        <f t="shared" si="16"/>
        <v/>
      </c>
      <c r="BP263" s="197" t="str">
        <f t="shared" ref="BP263:BP326" si="18">IF(C263="","",IF(MAX($BO$6:$BO$506)-BO263=0,1,""))</f>
        <v/>
      </c>
      <c r="BQ263" s="197" t="str">
        <f>IF(C263="","",IF(COUNTIF(BP$6:BP263,BP263)&gt;1,"",BP263))</f>
        <v/>
      </c>
      <c r="BR263" s="197" t="str">
        <f t="shared" ref="BR263:BR326" si="19">IF(F263="","",IF(BQ263=1,MAX($BO$6:$BO$506),0))</f>
        <v/>
      </c>
    </row>
    <row r="264" spans="66:70" x14ac:dyDescent="0.2">
      <c r="BN264" s="192" t="str">
        <f t="shared" si="17"/>
        <v/>
      </c>
      <c r="BO264" s="197" t="str">
        <f t="shared" si="16"/>
        <v/>
      </c>
      <c r="BP264" s="197" t="str">
        <f t="shared" si="18"/>
        <v/>
      </c>
      <c r="BQ264" s="197" t="str">
        <f>IF(C264="","",IF(COUNTIF(BP$6:BP264,BP264)&gt;1,"",BP264))</f>
        <v/>
      </c>
      <c r="BR264" s="197" t="str">
        <f t="shared" si="19"/>
        <v/>
      </c>
    </row>
    <row r="265" spans="66:70" x14ac:dyDescent="0.2">
      <c r="BN265" s="192" t="str">
        <f t="shared" si="17"/>
        <v/>
      </c>
      <c r="BO265" s="197" t="str">
        <f t="shared" si="16"/>
        <v/>
      </c>
      <c r="BP265" s="197" t="str">
        <f t="shared" si="18"/>
        <v/>
      </c>
      <c r="BQ265" s="197" t="str">
        <f>IF(C265="","",IF(COUNTIF(BP$6:BP265,BP265)&gt;1,"",BP265))</f>
        <v/>
      </c>
      <c r="BR265" s="197" t="str">
        <f t="shared" si="19"/>
        <v/>
      </c>
    </row>
    <row r="266" spans="66:70" x14ac:dyDescent="0.2">
      <c r="BN266" s="192" t="str">
        <f t="shared" si="17"/>
        <v/>
      </c>
      <c r="BO266" s="197" t="str">
        <f t="shared" si="16"/>
        <v/>
      </c>
      <c r="BP266" s="197" t="str">
        <f t="shared" si="18"/>
        <v/>
      </c>
      <c r="BQ266" s="197" t="str">
        <f>IF(C266="","",IF(COUNTIF(BP$6:BP266,BP266)&gt;1,"",BP266))</f>
        <v/>
      </c>
      <c r="BR266" s="197" t="str">
        <f t="shared" si="19"/>
        <v/>
      </c>
    </row>
    <row r="267" spans="66:70" x14ac:dyDescent="0.2">
      <c r="BN267" s="192" t="str">
        <f t="shared" si="17"/>
        <v/>
      </c>
      <c r="BO267" s="197" t="str">
        <f t="shared" si="16"/>
        <v/>
      </c>
      <c r="BP267" s="197" t="str">
        <f t="shared" si="18"/>
        <v/>
      </c>
      <c r="BQ267" s="197" t="str">
        <f>IF(C267="","",IF(COUNTIF(BP$6:BP267,BP267)&gt;1,"",BP267))</f>
        <v/>
      </c>
      <c r="BR267" s="197" t="str">
        <f t="shared" si="19"/>
        <v/>
      </c>
    </row>
    <row r="268" spans="66:70" x14ac:dyDescent="0.2">
      <c r="BN268" s="192" t="str">
        <f t="shared" si="17"/>
        <v/>
      </c>
      <c r="BO268" s="197" t="str">
        <f t="shared" si="16"/>
        <v/>
      </c>
      <c r="BP268" s="197" t="str">
        <f t="shared" si="18"/>
        <v/>
      </c>
      <c r="BQ268" s="197" t="str">
        <f>IF(C268="","",IF(COUNTIF(BP$6:BP268,BP268)&gt;1,"",BP268))</f>
        <v/>
      </c>
      <c r="BR268" s="197" t="str">
        <f t="shared" si="19"/>
        <v/>
      </c>
    </row>
    <row r="269" spans="66:70" x14ac:dyDescent="0.2">
      <c r="BN269" s="192" t="str">
        <f t="shared" si="17"/>
        <v/>
      </c>
      <c r="BO269" s="197" t="str">
        <f t="shared" si="16"/>
        <v/>
      </c>
      <c r="BP269" s="197" t="str">
        <f t="shared" si="18"/>
        <v/>
      </c>
      <c r="BQ269" s="197" t="str">
        <f>IF(C269="","",IF(COUNTIF(BP$6:BP269,BP269)&gt;1,"",BP269))</f>
        <v/>
      </c>
      <c r="BR269" s="197" t="str">
        <f t="shared" si="19"/>
        <v/>
      </c>
    </row>
    <row r="270" spans="66:70" x14ac:dyDescent="0.2">
      <c r="BN270" s="192" t="str">
        <f t="shared" si="17"/>
        <v/>
      </c>
      <c r="BO270" s="197" t="str">
        <f t="shared" si="16"/>
        <v/>
      </c>
      <c r="BP270" s="197" t="str">
        <f t="shared" si="18"/>
        <v/>
      </c>
      <c r="BQ270" s="197" t="str">
        <f>IF(C270="","",IF(COUNTIF(BP$6:BP270,BP270)&gt;1,"",BP270))</f>
        <v/>
      </c>
      <c r="BR270" s="197" t="str">
        <f t="shared" si="19"/>
        <v/>
      </c>
    </row>
    <row r="271" spans="66:70" x14ac:dyDescent="0.2">
      <c r="BN271" s="192" t="str">
        <f t="shared" si="17"/>
        <v/>
      </c>
      <c r="BO271" s="197" t="str">
        <f t="shared" si="16"/>
        <v/>
      </c>
      <c r="BP271" s="197" t="str">
        <f t="shared" si="18"/>
        <v/>
      </c>
      <c r="BQ271" s="197" t="str">
        <f>IF(C271="","",IF(COUNTIF(BP$6:BP271,BP271)&gt;1,"",BP271))</f>
        <v/>
      </c>
      <c r="BR271" s="197" t="str">
        <f t="shared" si="19"/>
        <v/>
      </c>
    </row>
    <row r="272" spans="66:70" x14ac:dyDescent="0.2">
      <c r="BN272" s="192" t="str">
        <f t="shared" si="17"/>
        <v/>
      </c>
      <c r="BO272" s="197" t="str">
        <f t="shared" si="16"/>
        <v/>
      </c>
      <c r="BP272" s="197" t="str">
        <f t="shared" si="18"/>
        <v/>
      </c>
      <c r="BQ272" s="197" t="str">
        <f>IF(C272="","",IF(COUNTIF(BP$6:BP272,BP272)&gt;1,"",BP272))</f>
        <v/>
      </c>
      <c r="BR272" s="197" t="str">
        <f t="shared" si="19"/>
        <v/>
      </c>
    </row>
    <row r="273" spans="66:70" x14ac:dyDescent="0.2">
      <c r="BN273" s="192" t="str">
        <f t="shared" si="17"/>
        <v/>
      </c>
      <c r="BO273" s="197" t="str">
        <f t="shared" si="16"/>
        <v/>
      </c>
      <c r="BP273" s="197" t="str">
        <f t="shared" si="18"/>
        <v/>
      </c>
      <c r="BQ273" s="197" t="str">
        <f>IF(C273="","",IF(COUNTIF(BP$6:BP273,BP273)&gt;1,"",BP273))</f>
        <v/>
      </c>
      <c r="BR273" s="197" t="str">
        <f t="shared" si="19"/>
        <v/>
      </c>
    </row>
    <row r="274" spans="66:70" x14ac:dyDescent="0.2">
      <c r="BN274" s="192" t="str">
        <f t="shared" si="17"/>
        <v/>
      </c>
      <c r="BO274" s="197" t="str">
        <f t="shared" si="16"/>
        <v/>
      </c>
      <c r="BP274" s="197" t="str">
        <f t="shared" si="18"/>
        <v/>
      </c>
      <c r="BQ274" s="197" t="str">
        <f>IF(C274="","",IF(COUNTIF(BP$6:BP274,BP274)&gt;1,"",BP274))</f>
        <v/>
      </c>
      <c r="BR274" s="197" t="str">
        <f t="shared" si="19"/>
        <v/>
      </c>
    </row>
    <row r="275" spans="66:70" x14ac:dyDescent="0.2">
      <c r="BN275" s="192" t="str">
        <f t="shared" si="17"/>
        <v/>
      </c>
      <c r="BO275" s="197" t="str">
        <f t="shared" si="16"/>
        <v/>
      </c>
      <c r="BP275" s="197" t="str">
        <f t="shared" si="18"/>
        <v/>
      </c>
      <c r="BQ275" s="197" t="str">
        <f>IF(C275="","",IF(COUNTIF(BP$6:BP275,BP275)&gt;1,"",BP275))</f>
        <v/>
      </c>
      <c r="BR275" s="197" t="str">
        <f t="shared" si="19"/>
        <v/>
      </c>
    </row>
    <row r="276" spans="66:70" x14ac:dyDescent="0.2">
      <c r="BN276" s="192" t="str">
        <f t="shared" si="17"/>
        <v/>
      </c>
      <c r="BO276" s="197" t="str">
        <f t="shared" si="16"/>
        <v/>
      </c>
      <c r="BP276" s="197" t="str">
        <f t="shared" si="18"/>
        <v/>
      </c>
      <c r="BQ276" s="197" t="str">
        <f>IF(C276="","",IF(COUNTIF(BP$6:BP276,BP276)&gt;1,"",BP276))</f>
        <v/>
      </c>
      <c r="BR276" s="197" t="str">
        <f t="shared" si="19"/>
        <v/>
      </c>
    </row>
    <row r="277" spans="66:70" x14ac:dyDescent="0.2">
      <c r="BN277" s="192" t="str">
        <f t="shared" si="17"/>
        <v/>
      </c>
      <c r="BO277" s="197" t="str">
        <f t="shared" si="16"/>
        <v/>
      </c>
      <c r="BP277" s="197" t="str">
        <f t="shared" si="18"/>
        <v/>
      </c>
      <c r="BQ277" s="197" t="str">
        <f>IF(C277="","",IF(COUNTIF(BP$6:BP277,BP277)&gt;1,"",BP277))</f>
        <v/>
      </c>
      <c r="BR277" s="197" t="str">
        <f t="shared" si="19"/>
        <v/>
      </c>
    </row>
    <row r="278" spans="66:70" x14ac:dyDescent="0.2">
      <c r="BN278" s="192" t="str">
        <f t="shared" si="17"/>
        <v/>
      </c>
      <c r="BO278" s="197" t="str">
        <f t="shared" si="16"/>
        <v/>
      </c>
      <c r="BP278" s="197" t="str">
        <f t="shared" si="18"/>
        <v/>
      </c>
      <c r="BQ278" s="197" t="str">
        <f>IF(C278="","",IF(COUNTIF(BP$6:BP278,BP278)&gt;1,"",BP278))</f>
        <v/>
      </c>
      <c r="BR278" s="197" t="str">
        <f t="shared" si="19"/>
        <v/>
      </c>
    </row>
    <row r="279" spans="66:70" x14ac:dyDescent="0.2">
      <c r="BN279" s="192" t="str">
        <f t="shared" si="17"/>
        <v/>
      </c>
      <c r="BO279" s="197" t="str">
        <f t="shared" si="16"/>
        <v/>
      </c>
      <c r="BP279" s="197" t="str">
        <f t="shared" si="18"/>
        <v/>
      </c>
      <c r="BQ279" s="197" t="str">
        <f>IF(C279="","",IF(COUNTIF(BP$6:BP279,BP279)&gt;1,"",BP279))</f>
        <v/>
      </c>
      <c r="BR279" s="197" t="str">
        <f t="shared" si="19"/>
        <v/>
      </c>
    </row>
    <row r="280" spans="66:70" x14ac:dyDescent="0.2">
      <c r="BN280" s="192" t="str">
        <f t="shared" si="17"/>
        <v/>
      </c>
      <c r="BO280" s="197" t="str">
        <f t="shared" si="16"/>
        <v/>
      </c>
      <c r="BP280" s="197" t="str">
        <f t="shared" si="18"/>
        <v/>
      </c>
      <c r="BQ280" s="197" t="str">
        <f>IF(C280="","",IF(COUNTIF(BP$6:BP280,BP280)&gt;1,"",BP280))</f>
        <v/>
      </c>
      <c r="BR280" s="197" t="str">
        <f t="shared" si="19"/>
        <v/>
      </c>
    </row>
    <row r="281" spans="66:70" x14ac:dyDescent="0.2">
      <c r="BN281" s="192" t="str">
        <f t="shared" si="17"/>
        <v/>
      </c>
      <c r="BO281" s="197" t="str">
        <f t="shared" si="16"/>
        <v/>
      </c>
      <c r="BP281" s="197" t="str">
        <f t="shared" si="18"/>
        <v/>
      </c>
      <c r="BQ281" s="197" t="str">
        <f>IF(C281="","",IF(COUNTIF(BP$6:BP281,BP281)&gt;1,"",BP281))</f>
        <v/>
      </c>
      <c r="BR281" s="197" t="str">
        <f t="shared" si="19"/>
        <v/>
      </c>
    </row>
    <row r="282" spans="66:70" x14ac:dyDescent="0.2">
      <c r="BN282" s="192" t="str">
        <f t="shared" si="17"/>
        <v/>
      </c>
      <c r="BO282" s="197" t="str">
        <f t="shared" si="16"/>
        <v/>
      </c>
      <c r="BP282" s="197" t="str">
        <f t="shared" si="18"/>
        <v/>
      </c>
      <c r="BQ282" s="197" t="str">
        <f>IF(C282="","",IF(COUNTIF(BP$6:BP282,BP282)&gt;1,"",BP282))</f>
        <v/>
      </c>
      <c r="BR282" s="197" t="str">
        <f t="shared" si="19"/>
        <v/>
      </c>
    </row>
    <row r="283" spans="66:70" x14ac:dyDescent="0.2">
      <c r="BN283" s="192" t="str">
        <f t="shared" si="17"/>
        <v/>
      </c>
      <c r="BO283" s="197" t="str">
        <f t="shared" si="16"/>
        <v/>
      </c>
      <c r="BP283" s="197" t="str">
        <f t="shared" si="18"/>
        <v/>
      </c>
      <c r="BQ283" s="197" t="str">
        <f>IF(C283="","",IF(COUNTIF(BP$6:BP283,BP283)&gt;1,"",BP283))</f>
        <v/>
      </c>
      <c r="BR283" s="197" t="str">
        <f t="shared" si="19"/>
        <v/>
      </c>
    </row>
    <row r="284" spans="66:70" x14ac:dyDescent="0.2">
      <c r="BN284" s="192" t="str">
        <f t="shared" si="17"/>
        <v/>
      </c>
      <c r="BO284" s="197" t="str">
        <f t="shared" si="16"/>
        <v/>
      </c>
      <c r="BP284" s="197" t="str">
        <f t="shared" si="18"/>
        <v/>
      </c>
      <c r="BQ284" s="197" t="str">
        <f>IF(C284="","",IF(COUNTIF(BP$6:BP284,BP284)&gt;1,"",BP284))</f>
        <v/>
      </c>
      <c r="BR284" s="197" t="str">
        <f t="shared" si="19"/>
        <v/>
      </c>
    </row>
    <row r="285" spans="66:70" x14ac:dyDescent="0.2">
      <c r="BN285" s="192" t="str">
        <f t="shared" si="17"/>
        <v/>
      </c>
      <c r="BO285" s="197" t="str">
        <f t="shared" si="16"/>
        <v/>
      </c>
      <c r="BP285" s="197" t="str">
        <f t="shared" si="18"/>
        <v/>
      </c>
      <c r="BQ285" s="197" t="str">
        <f>IF(C285="","",IF(COUNTIF(BP$6:BP285,BP285)&gt;1,"",BP285))</f>
        <v/>
      </c>
      <c r="BR285" s="197" t="str">
        <f t="shared" si="19"/>
        <v/>
      </c>
    </row>
    <row r="286" spans="66:70" x14ac:dyDescent="0.2">
      <c r="BN286" s="192" t="str">
        <f t="shared" si="17"/>
        <v/>
      </c>
      <c r="BO286" s="197" t="str">
        <f t="shared" si="16"/>
        <v/>
      </c>
      <c r="BP286" s="197" t="str">
        <f t="shared" si="18"/>
        <v/>
      </c>
      <c r="BQ286" s="197" t="str">
        <f>IF(C286="","",IF(COUNTIF(BP$6:BP286,BP286)&gt;1,"",BP286))</f>
        <v/>
      </c>
      <c r="BR286" s="197" t="str">
        <f t="shared" si="19"/>
        <v/>
      </c>
    </row>
    <row r="287" spans="66:70" x14ac:dyDescent="0.2">
      <c r="BN287" s="192" t="str">
        <f t="shared" si="17"/>
        <v/>
      </c>
      <c r="BO287" s="197" t="str">
        <f t="shared" si="16"/>
        <v/>
      </c>
      <c r="BP287" s="197" t="str">
        <f t="shared" si="18"/>
        <v/>
      </c>
      <c r="BQ287" s="197" t="str">
        <f>IF(C287="","",IF(COUNTIF(BP$6:BP287,BP287)&gt;1,"",BP287))</f>
        <v/>
      </c>
      <c r="BR287" s="197" t="str">
        <f t="shared" si="19"/>
        <v/>
      </c>
    </row>
    <row r="288" spans="66:70" x14ac:dyDescent="0.2">
      <c r="BN288" s="192" t="str">
        <f t="shared" si="17"/>
        <v/>
      </c>
      <c r="BO288" s="197" t="str">
        <f t="shared" si="16"/>
        <v/>
      </c>
      <c r="BP288" s="197" t="str">
        <f t="shared" si="18"/>
        <v/>
      </c>
      <c r="BQ288" s="197" t="str">
        <f>IF(C288="","",IF(COUNTIF(BP$6:BP288,BP288)&gt;1,"",BP288))</f>
        <v/>
      </c>
      <c r="BR288" s="197" t="str">
        <f t="shared" si="19"/>
        <v/>
      </c>
    </row>
    <row r="289" spans="66:70" x14ac:dyDescent="0.2">
      <c r="BN289" s="192" t="str">
        <f t="shared" si="17"/>
        <v/>
      </c>
      <c r="BO289" s="197" t="str">
        <f t="shared" si="16"/>
        <v/>
      </c>
      <c r="BP289" s="197" t="str">
        <f t="shared" si="18"/>
        <v/>
      </c>
      <c r="BQ289" s="197" t="str">
        <f>IF(C289="","",IF(COUNTIF(BP$6:BP289,BP289)&gt;1,"",BP289))</f>
        <v/>
      </c>
      <c r="BR289" s="197" t="str">
        <f t="shared" si="19"/>
        <v/>
      </c>
    </row>
    <row r="290" spans="66:70" x14ac:dyDescent="0.2">
      <c r="BN290" s="192" t="str">
        <f t="shared" si="17"/>
        <v/>
      </c>
      <c r="BO290" s="197" t="str">
        <f t="shared" si="16"/>
        <v/>
      </c>
      <c r="BP290" s="197" t="str">
        <f t="shared" si="18"/>
        <v/>
      </c>
      <c r="BQ290" s="197" t="str">
        <f>IF(C290="","",IF(COUNTIF(BP$6:BP290,BP290)&gt;1,"",BP290))</f>
        <v/>
      </c>
      <c r="BR290" s="197" t="str">
        <f t="shared" si="19"/>
        <v/>
      </c>
    </row>
    <row r="291" spans="66:70" x14ac:dyDescent="0.2">
      <c r="BN291" s="192" t="str">
        <f t="shared" si="17"/>
        <v/>
      </c>
      <c r="BO291" s="197" t="str">
        <f t="shared" si="16"/>
        <v/>
      </c>
      <c r="BP291" s="197" t="str">
        <f t="shared" si="18"/>
        <v/>
      </c>
      <c r="BQ291" s="197" t="str">
        <f>IF(C291="","",IF(COUNTIF(BP$6:BP291,BP291)&gt;1,"",BP291))</f>
        <v/>
      </c>
      <c r="BR291" s="197" t="str">
        <f t="shared" si="19"/>
        <v/>
      </c>
    </row>
    <row r="292" spans="66:70" x14ac:dyDescent="0.2">
      <c r="BN292" s="192" t="str">
        <f t="shared" si="17"/>
        <v/>
      </c>
      <c r="BO292" s="197" t="str">
        <f t="shared" si="16"/>
        <v/>
      </c>
      <c r="BP292" s="197" t="str">
        <f t="shared" si="18"/>
        <v/>
      </c>
      <c r="BQ292" s="197" t="str">
        <f>IF(C292="","",IF(COUNTIF(BP$6:BP292,BP292)&gt;1,"",BP292))</f>
        <v/>
      </c>
      <c r="BR292" s="197" t="str">
        <f t="shared" si="19"/>
        <v/>
      </c>
    </row>
    <row r="293" spans="66:70" x14ac:dyDescent="0.2">
      <c r="BN293" s="192" t="str">
        <f t="shared" si="17"/>
        <v/>
      </c>
      <c r="BO293" s="197" t="str">
        <f t="shared" si="16"/>
        <v/>
      </c>
      <c r="BP293" s="197" t="str">
        <f t="shared" si="18"/>
        <v/>
      </c>
      <c r="BQ293" s="197" t="str">
        <f>IF(C293="","",IF(COUNTIF(BP$6:BP293,BP293)&gt;1,"",BP293))</f>
        <v/>
      </c>
      <c r="BR293" s="197" t="str">
        <f t="shared" si="19"/>
        <v/>
      </c>
    </row>
    <row r="294" spans="66:70" x14ac:dyDescent="0.2">
      <c r="BN294" s="192" t="str">
        <f t="shared" si="17"/>
        <v/>
      </c>
      <c r="BO294" s="197" t="str">
        <f t="shared" si="16"/>
        <v/>
      </c>
      <c r="BP294" s="197" t="str">
        <f t="shared" si="18"/>
        <v/>
      </c>
      <c r="BQ294" s="197" t="str">
        <f>IF(C294="","",IF(COUNTIF(BP$6:BP294,BP294)&gt;1,"",BP294))</f>
        <v/>
      </c>
      <c r="BR294" s="197" t="str">
        <f t="shared" si="19"/>
        <v/>
      </c>
    </row>
    <row r="295" spans="66:70" x14ac:dyDescent="0.2">
      <c r="BN295" s="192" t="str">
        <f t="shared" si="17"/>
        <v/>
      </c>
      <c r="BO295" s="197" t="str">
        <f t="shared" si="16"/>
        <v/>
      </c>
      <c r="BP295" s="197" t="str">
        <f t="shared" si="18"/>
        <v/>
      </c>
      <c r="BQ295" s="197" t="str">
        <f>IF(C295="","",IF(COUNTIF(BP$6:BP295,BP295)&gt;1,"",BP295))</f>
        <v/>
      </c>
      <c r="BR295" s="197" t="str">
        <f t="shared" si="19"/>
        <v/>
      </c>
    </row>
    <row r="296" spans="66:70" x14ac:dyDescent="0.2">
      <c r="BN296" s="192" t="str">
        <f t="shared" si="17"/>
        <v/>
      </c>
      <c r="BO296" s="197" t="str">
        <f t="shared" si="16"/>
        <v/>
      </c>
      <c r="BP296" s="197" t="str">
        <f t="shared" si="18"/>
        <v/>
      </c>
      <c r="BQ296" s="197" t="str">
        <f>IF(C296="","",IF(COUNTIF(BP$6:BP296,BP296)&gt;1,"",BP296))</f>
        <v/>
      </c>
      <c r="BR296" s="197" t="str">
        <f t="shared" si="19"/>
        <v/>
      </c>
    </row>
    <row r="297" spans="66:70" x14ac:dyDescent="0.2">
      <c r="BN297" s="192" t="str">
        <f t="shared" si="17"/>
        <v/>
      </c>
      <c r="BO297" s="197" t="str">
        <f t="shared" si="16"/>
        <v/>
      </c>
      <c r="BP297" s="197" t="str">
        <f t="shared" si="18"/>
        <v/>
      </c>
      <c r="BQ297" s="197" t="str">
        <f>IF(C297="","",IF(COUNTIF(BP$6:BP297,BP297)&gt;1,"",BP297))</f>
        <v/>
      </c>
      <c r="BR297" s="197" t="str">
        <f t="shared" si="19"/>
        <v/>
      </c>
    </row>
    <row r="298" spans="66:70" x14ac:dyDescent="0.2">
      <c r="BN298" s="192" t="str">
        <f t="shared" si="17"/>
        <v/>
      </c>
      <c r="BO298" s="197" t="str">
        <f t="shared" si="16"/>
        <v/>
      </c>
      <c r="BP298" s="197" t="str">
        <f t="shared" si="18"/>
        <v/>
      </c>
      <c r="BQ298" s="197" t="str">
        <f>IF(C298="","",IF(COUNTIF(BP$6:BP298,BP298)&gt;1,"",BP298))</f>
        <v/>
      </c>
      <c r="BR298" s="197" t="str">
        <f t="shared" si="19"/>
        <v/>
      </c>
    </row>
    <row r="299" spans="66:70" x14ac:dyDescent="0.2">
      <c r="BN299" s="192" t="str">
        <f t="shared" si="17"/>
        <v/>
      </c>
      <c r="BO299" s="197" t="str">
        <f t="shared" si="16"/>
        <v/>
      </c>
      <c r="BP299" s="197" t="str">
        <f t="shared" si="18"/>
        <v/>
      </c>
      <c r="BQ299" s="197" t="str">
        <f>IF(C299="","",IF(COUNTIF(BP$6:BP299,BP299)&gt;1,"",BP299))</f>
        <v/>
      </c>
      <c r="BR299" s="197" t="str">
        <f t="shared" si="19"/>
        <v/>
      </c>
    </row>
    <row r="300" spans="66:70" x14ac:dyDescent="0.2">
      <c r="BN300" s="192" t="str">
        <f t="shared" si="17"/>
        <v/>
      </c>
      <c r="BO300" s="197" t="str">
        <f t="shared" si="16"/>
        <v/>
      </c>
      <c r="BP300" s="197" t="str">
        <f t="shared" si="18"/>
        <v/>
      </c>
      <c r="BQ300" s="197" t="str">
        <f>IF(C300="","",IF(COUNTIF(BP$6:BP300,BP300)&gt;1,"",BP300))</f>
        <v/>
      </c>
      <c r="BR300" s="197" t="str">
        <f t="shared" si="19"/>
        <v/>
      </c>
    </row>
    <row r="301" spans="66:70" x14ac:dyDescent="0.2">
      <c r="BN301" s="192" t="str">
        <f t="shared" si="17"/>
        <v/>
      </c>
      <c r="BO301" s="197" t="str">
        <f t="shared" si="16"/>
        <v/>
      </c>
      <c r="BP301" s="197" t="str">
        <f t="shared" si="18"/>
        <v/>
      </c>
      <c r="BQ301" s="197" t="str">
        <f>IF(C301="","",IF(COUNTIF(BP$6:BP301,BP301)&gt;1,"",BP301))</f>
        <v/>
      </c>
      <c r="BR301" s="197" t="str">
        <f t="shared" si="19"/>
        <v/>
      </c>
    </row>
    <row r="302" spans="66:70" x14ac:dyDescent="0.2">
      <c r="BN302" s="192" t="str">
        <f t="shared" si="17"/>
        <v/>
      </c>
      <c r="BO302" s="197" t="str">
        <f t="shared" si="16"/>
        <v/>
      </c>
      <c r="BP302" s="197" t="str">
        <f t="shared" si="18"/>
        <v/>
      </c>
      <c r="BQ302" s="197" t="str">
        <f>IF(C302="","",IF(COUNTIF(BP$6:BP302,BP302)&gt;1,"",BP302))</f>
        <v/>
      </c>
      <c r="BR302" s="197" t="str">
        <f t="shared" si="19"/>
        <v/>
      </c>
    </row>
    <row r="303" spans="66:70" x14ac:dyDescent="0.2">
      <c r="BN303" s="192" t="str">
        <f t="shared" si="17"/>
        <v/>
      </c>
      <c r="BO303" s="197" t="str">
        <f t="shared" si="16"/>
        <v/>
      </c>
      <c r="BP303" s="197" t="str">
        <f t="shared" si="18"/>
        <v/>
      </c>
      <c r="BQ303" s="197" t="str">
        <f>IF(C303="","",IF(COUNTIF(BP$6:BP303,BP303)&gt;1,"",BP303))</f>
        <v/>
      </c>
      <c r="BR303" s="197" t="str">
        <f t="shared" si="19"/>
        <v/>
      </c>
    </row>
    <row r="304" spans="66:70" x14ac:dyDescent="0.2">
      <c r="BN304" s="192" t="str">
        <f t="shared" si="17"/>
        <v/>
      </c>
      <c r="BO304" s="197" t="str">
        <f t="shared" si="16"/>
        <v/>
      </c>
      <c r="BP304" s="197" t="str">
        <f t="shared" si="18"/>
        <v/>
      </c>
      <c r="BQ304" s="197" t="str">
        <f>IF(C304="","",IF(COUNTIF(BP$6:BP304,BP304)&gt;1,"",BP304))</f>
        <v/>
      </c>
      <c r="BR304" s="197" t="str">
        <f t="shared" si="19"/>
        <v/>
      </c>
    </row>
    <row r="305" spans="66:70" x14ac:dyDescent="0.2">
      <c r="BN305" s="192" t="str">
        <f t="shared" si="17"/>
        <v/>
      </c>
      <c r="BO305" s="197" t="str">
        <f t="shared" si="16"/>
        <v/>
      </c>
      <c r="BP305" s="197" t="str">
        <f t="shared" si="18"/>
        <v/>
      </c>
      <c r="BQ305" s="197" t="str">
        <f>IF(C305="","",IF(COUNTIF(BP$6:BP305,BP305)&gt;1,"",BP305))</f>
        <v/>
      </c>
      <c r="BR305" s="197" t="str">
        <f t="shared" si="19"/>
        <v/>
      </c>
    </row>
    <row r="306" spans="66:70" x14ac:dyDescent="0.2">
      <c r="BN306" s="192" t="str">
        <f t="shared" si="17"/>
        <v/>
      </c>
      <c r="BO306" s="197" t="str">
        <f t="shared" si="16"/>
        <v/>
      </c>
      <c r="BP306" s="197" t="str">
        <f t="shared" si="18"/>
        <v/>
      </c>
      <c r="BQ306" s="197" t="str">
        <f>IF(C306="","",IF(COUNTIF(BP$6:BP306,BP306)&gt;1,"",BP306))</f>
        <v/>
      </c>
      <c r="BR306" s="197" t="str">
        <f t="shared" si="19"/>
        <v/>
      </c>
    </row>
    <row r="307" spans="66:70" x14ac:dyDescent="0.2">
      <c r="BN307" s="192" t="str">
        <f t="shared" si="17"/>
        <v/>
      </c>
      <c r="BO307" s="197" t="str">
        <f t="shared" si="16"/>
        <v/>
      </c>
      <c r="BP307" s="197" t="str">
        <f t="shared" si="18"/>
        <v/>
      </c>
      <c r="BQ307" s="197" t="str">
        <f>IF(C307="","",IF(COUNTIF(BP$6:BP307,BP307)&gt;1,"",BP307))</f>
        <v/>
      </c>
      <c r="BR307" s="197" t="str">
        <f t="shared" si="19"/>
        <v/>
      </c>
    </row>
    <row r="308" spans="66:70" x14ac:dyDescent="0.2">
      <c r="BN308" s="192" t="str">
        <f t="shared" si="17"/>
        <v/>
      </c>
      <c r="BO308" s="197" t="str">
        <f t="shared" si="16"/>
        <v/>
      </c>
      <c r="BP308" s="197" t="str">
        <f t="shared" si="18"/>
        <v/>
      </c>
      <c r="BQ308" s="197" t="str">
        <f>IF(C308="","",IF(COUNTIF(BP$6:BP308,BP308)&gt;1,"",BP308))</f>
        <v/>
      </c>
      <c r="BR308" s="197" t="str">
        <f t="shared" si="19"/>
        <v/>
      </c>
    </row>
    <row r="309" spans="66:70" x14ac:dyDescent="0.2">
      <c r="BN309" s="192" t="str">
        <f t="shared" si="17"/>
        <v/>
      </c>
      <c r="BO309" s="197" t="str">
        <f t="shared" si="16"/>
        <v/>
      </c>
      <c r="BP309" s="197" t="str">
        <f t="shared" si="18"/>
        <v/>
      </c>
      <c r="BQ309" s="197" t="str">
        <f>IF(C309="","",IF(COUNTIF(BP$6:BP309,BP309)&gt;1,"",BP309))</f>
        <v/>
      </c>
      <c r="BR309" s="197" t="str">
        <f t="shared" si="19"/>
        <v/>
      </c>
    </row>
    <row r="310" spans="66:70" x14ac:dyDescent="0.2">
      <c r="BN310" s="192" t="str">
        <f t="shared" si="17"/>
        <v/>
      </c>
      <c r="BO310" s="197" t="str">
        <f t="shared" si="16"/>
        <v/>
      </c>
      <c r="BP310" s="197" t="str">
        <f t="shared" si="18"/>
        <v/>
      </c>
      <c r="BQ310" s="197" t="str">
        <f>IF(C310="","",IF(COUNTIF(BP$6:BP310,BP310)&gt;1,"",BP310))</f>
        <v/>
      </c>
      <c r="BR310" s="197" t="str">
        <f t="shared" si="19"/>
        <v/>
      </c>
    </row>
    <row r="311" spans="66:70" x14ac:dyDescent="0.2">
      <c r="BN311" s="192" t="str">
        <f t="shared" si="17"/>
        <v/>
      </c>
      <c r="BO311" s="197" t="str">
        <f t="shared" si="16"/>
        <v/>
      </c>
      <c r="BP311" s="197" t="str">
        <f t="shared" si="18"/>
        <v/>
      </c>
      <c r="BQ311" s="197" t="str">
        <f>IF(C311="","",IF(COUNTIF(BP$6:BP311,BP311)&gt;1,"",BP311))</f>
        <v/>
      </c>
      <c r="BR311" s="197" t="str">
        <f t="shared" si="19"/>
        <v/>
      </c>
    </row>
    <row r="312" spans="66:70" x14ac:dyDescent="0.2">
      <c r="BN312" s="192" t="str">
        <f t="shared" si="17"/>
        <v/>
      </c>
      <c r="BO312" s="197" t="str">
        <f t="shared" si="16"/>
        <v/>
      </c>
      <c r="BP312" s="197" t="str">
        <f t="shared" si="18"/>
        <v/>
      </c>
      <c r="BQ312" s="197" t="str">
        <f>IF(C312="","",IF(COUNTIF(BP$6:BP312,BP312)&gt;1,"",BP312))</f>
        <v/>
      </c>
      <c r="BR312" s="197" t="str">
        <f t="shared" si="19"/>
        <v/>
      </c>
    </row>
    <row r="313" spans="66:70" x14ac:dyDescent="0.2">
      <c r="BN313" s="192" t="str">
        <f t="shared" si="17"/>
        <v/>
      </c>
      <c r="BO313" s="197" t="str">
        <f t="shared" si="16"/>
        <v/>
      </c>
      <c r="BP313" s="197" t="str">
        <f t="shared" si="18"/>
        <v/>
      </c>
      <c r="BQ313" s="197" t="str">
        <f>IF(C313="","",IF(COUNTIF(BP$6:BP313,BP313)&gt;1,"",BP313))</f>
        <v/>
      </c>
      <c r="BR313" s="197" t="str">
        <f t="shared" si="19"/>
        <v/>
      </c>
    </row>
    <row r="314" spans="66:70" x14ac:dyDescent="0.2">
      <c r="BN314" s="192" t="str">
        <f t="shared" si="17"/>
        <v/>
      </c>
      <c r="BO314" s="197" t="str">
        <f t="shared" si="16"/>
        <v/>
      </c>
      <c r="BP314" s="197" t="str">
        <f t="shared" si="18"/>
        <v/>
      </c>
      <c r="BQ314" s="197" t="str">
        <f>IF(C314="","",IF(COUNTIF(BP$6:BP314,BP314)&gt;1,"",BP314))</f>
        <v/>
      </c>
      <c r="BR314" s="197" t="str">
        <f t="shared" si="19"/>
        <v/>
      </c>
    </row>
    <row r="315" spans="66:70" x14ac:dyDescent="0.2">
      <c r="BN315" s="192" t="str">
        <f t="shared" si="17"/>
        <v/>
      </c>
      <c r="BO315" s="197" t="str">
        <f t="shared" si="16"/>
        <v/>
      </c>
      <c r="BP315" s="197" t="str">
        <f t="shared" si="18"/>
        <v/>
      </c>
      <c r="BQ315" s="197" t="str">
        <f>IF(C315="","",IF(COUNTIF(BP$6:BP315,BP315)&gt;1,"",BP315))</f>
        <v/>
      </c>
      <c r="BR315" s="197" t="str">
        <f t="shared" si="19"/>
        <v/>
      </c>
    </row>
    <row r="316" spans="66:70" x14ac:dyDescent="0.2">
      <c r="BN316" s="192" t="str">
        <f t="shared" si="17"/>
        <v/>
      </c>
      <c r="BO316" s="197" t="str">
        <f t="shared" si="16"/>
        <v/>
      </c>
      <c r="BP316" s="197" t="str">
        <f t="shared" si="18"/>
        <v/>
      </c>
      <c r="BQ316" s="197" t="str">
        <f>IF(C316="","",IF(COUNTIF(BP$6:BP316,BP316)&gt;1,"",BP316))</f>
        <v/>
      </c>
      <c r="BR316" s="197" t="str">
        <f t="shared" si="19"/>
        <v/>
      </c>
    </row>
    <row r="317" spans="66:70" x14ac:dyDescent="0.2">
      <c r="BN317" s="192" t="str">
        <f t="shared" si="17"/>
        <v/>
      </c>
      <c r="BO317" s="197" t="str">
        <f t="shared" si="16"/>
        <v/>
      </c>
      <c r="BP317" s="197" t="str">
        <f t="shared" si="18"/>
        <v/>
      </c>
      <c r="BQ317" s="197" t="str">
        <f>IF(C317="","",IF(COUNTIF(BP$6:BP317,BP317)&gt;1,"",BP317))</f>
        <v/>
      </c>
      <c r="BR317" s="197" t="str">
        <f t="shared" si="19"/>
        <v/>
      </c>
    </row>
    <row r="318" spans="66:70" x14ac:dyDescent="0.2">
      <c r="BN318" s="192" t="str">
        <f t="shared" si="17"/>
        <v/>
      </c>
      <c r="BO318" s="197" t="str">
        <f t="shared" si="16"/>
        <v/>
      </c>
      <c r="BP318" s="197" t="str">
        <f t="shared" si="18"/>
        <v/>
      </c>
      <c r="BQ318" s="197" t="str">
        <f>IF(C318="","",IF(COUNTIF(BP$6:BP318,BP318)&gt;1,"",BP318))</f>
        <v/>
      </c>
      <c r="BR318" s="197" t="str">
        <f t="shared" si="19"/>
        <v/>
      </c>
    </row>
    <row r="319" spans="66:70" x14ac:dyDescent="0.2">
      <c r="BN319" s="192" t="str">
        <f t="shared" si="17"/>
        <v/>
      </c>
      <c r="BO319" s="197" t="str">
        <f t="shared" si="16"/>
        <v/>
      </c>
      <c r="BP319" s="197" t="str">
        <f t="shared" si="18"/>
        <v/>
      </c>
      <c r="BQ319" s="197" t="str">
        <f>IF(C319="","",IF(COUNTIF(BP$6:BP319,BP319)&gt;1,"",BP319))</f>
        <v/>
      </c>
      <c r="BR319" s="197" t="str">
        <f t="shared" si="19"/>
        <v/>
      </c>
    </row>
    <row r="320" spans="66:70" x14ac:dyDescent="0.2">
      <c r="BN320" s="192" t="str">
        <f t="shared" si="17"/>
        <v/>
      </c>
      <c r="BO320" s="197" t="str">
        <f t="shared" si="16"/>
        <v/>
      </c>
      <c r="BP320" s="197" t="str">
        <f t="shared" si="18"/>
        <v/>
      </c>
      <c r="BQ320" s="197" t="str">
        <f>IF(C320="","",IF(COUNTIF(BP$6:BP320,BP320)&gt;1,"",BP320))</f>
        <v/>
      </c>
      <c r="BR320" s="197" t="str">
        <f t="shared" si="19"/>
        <v/>
      </c>
    </row>
    <row r="321" spans="66:70" x14ac:dyDescent="0.2">
      <c r="BN321" s="192" t="str">
        <f t="shared" si="17"/>
        <v/>
      </c>
      <c r="BO321" s="197" t="str">
        <f t="shared" si="16"/>
        <v/>
      </c>
      <c r="BP321" s="197" t="str">
        <f t="shared" si="18"/>
        <v/>
      </c>
      <c r="BQ321" s="197" t="str">
        <f>IF(C321="","",IF(COUNTIF(BP$6:BP321,BP321)&gt;1,"",BP321))</f>
        <v/>
      </c>
      <c r="BR321" s="197" t="str">
        <f t="shared" si="19"/>
        <v/>
      </c>
    </row>
    <row r="322" spans="66:70" x14ac:dyDescent="0.2">
      <c r="BN322" s="192" t="str">
        <f t="shared" si="17"/>
        <v/>
      </c>
      <c r="BO322" s="197" t="str">
        <f t="shared" si="16"/>
        <v/>
      </c>
      <c r="BP322" s="197" t="str">
        <f t="shared" si="18"/>
        <v/>
      </c>
      <c r="BQ322" s="197" t="str">
        <f>IF(C322="","",IF(COUNTIF(BP$6:BP322,BP322)&gt;1,"",BP322))</f>
        <v/>
      </c>
      <c r="BR322" s="197" t="str">
        <f t="shared" si="19"/>
        <v/>
      </c>
    </row>
    <row r="323" spans="66:70" x14ac:dyDescent="0.2">
      <c r="BN323" s="192" t="str">
        <f t="shared" si="17"/>
        <v/>
      </c>
      <c r="BO323" s="197" t="str">
        <f t="shared" si="16"/>
        <v/>
      </c>
      <c r="BP323" s="197" t="str">
        <f t="shared" si="18"/>
        <v/>
      </c>
      <c r="BQ323" s="197" t="str">
        <f>IF(C323="","",IF(COUNTIF(BP$6:BP323,BP323)&gt;1,"",BP323))</f>
        <v/>
      </c>
      <c r="BR323" s="197" t="str">
        <f t="shared" si="19"/>
        <v/>
      </c>
    </row>
    <row r="324" spans="66:70" x14ac:dyDescent="0.2">
      <c r="BN324" s="192" t="str">
        <f t="shared" si="17"/>
        <v/>
      </c>
      <c r="BO324" s="197" t="str">
        <f t="shared" si="16"/>
        <v/>
      </c>
      <c r="BP324" s="197" t="str">
        <f t="shared" si="18"/>
        <v/>
      </c>
      <c r="BQ324" s="197" t="str">
        <f>IF(C324="","",IF(COUNTIF(BP$6:BP324,BP324)&gt;1,"",BP324))</f>
        <v/>
      </c>
      <c r="BR324" s="197" t="str">
        <f t="shared" si="19"/>
        <v/>
      </c>
    </row>
    <row r="325" spans="66:70" x14ac:dyDescent="0.2">
      <c r="BN325" s="192" t="str">
        <f t="shared" si="17"/>
        <v/>
      </c>
      <c r="BO325" s="197" t="str">
        <f t="shared" si="16"/>
        <v/>
      </c>
      <c r="BP325" s="197" t="str">
        <f t="shared" si="18"/>
        <v/>
      </c>
      <c r="BQ325" s="197" t="str">
        <f>IF(C325="","",IF(COUNTIF(BP$6:BP325,BP325)&gt;1,"",BP325))</f>
        <v/>
      </c>
      <c r="BR325" s="197" t="str">
        <f t="shared" si="19"/>
        <v/>
      </c>
    </row>
    <row r="326" spans="66:70" x14ac:dyDescent="0.2">
      <c r="BN326" s="192" t="str">
        <f t="shared" si="17"/>
        <v/>
      </c>
      <c r="BO326" s="197" t="str">
        <f t="shared" ref="BO326:BO389" si="20">IF(C326="","",Q326+U326)</f>
        <v/>
      </c>
      <c r="BP326" s="197" t="str">
        <f t="shared" si="18"/>
        <v/>
      </c>
      <c r="BQ326" s="197" t="str">
        <f>IF(C326="","",IF(COUNTIF(BP$6:BP326,BP326)&gt;1,"",BP326))</f>
        <v/>
      </c>
      <c r="BR326" s="197" t="str">
        <f t="shared" si="19"/>
        <v/>
      </c>
    </row>
    <row r="327" spans="66:70" x14ac:dyDescent="0.2">
      <c r="BN327" s="192" t="str">
        <f t="shared" ref="BN327:BN390" si="21">IF(C327="","",1)</f>
        <v/>
      </c>
      <c r="BO327" s="197" t="str">
        <f t="shared" si="20"/>
        <v/>
      </c>
      <c r="BP327" s="197" t="str">
        <f t="shared" ref="BP327:BP390" si="22">IF(C327="","",IF(MAX($BO$6:$BO$506)-BO327=0,1,""))</f>
        <v/>
      </c>
      <c r="BQ327" s="197" t="str">
        <f>IF(C327="","",IF(COUNTIF(BP$6:BP327,BP327)&gt;1,"",BP327))</f>
        <v/>
      </c>
      <c r="BR327" s="197" t="str">
        <f t="shared" ref="BR327:BR390" si="23">IF(F327="","",IF(BQ327=1,MAX($BO$6:$BO$506),0))</f>
        <v/>
      </c>
    </row>
    <row r="328" spans="66:70" x14ac:dyDescent="0.2">
      <c r="BN328" s="192" t="str">
        <f t="shared" si="21"/>
        <v/>
      </c>
      <c r="BO328" s="197" t="str">
        <f t="shared" si="20"/>
        <v/>
      </c>
      <c r="BP328" s="197" t="str">
        <f t="shared" si="22"/>
        <v/>
      </c>
      <c r="BQ328" s="197" t="str">
        <f>IF(C328="","",IF(COUNTIF(BP$6:BP328,BP328)&gt;1,"",BP328))</f>
        <v/>
      </c>
      <c r="BR328" s="197" t="str">
        <f t="shared" si="23"/>
        <v/>
      </c>
    </row>
    <row r="329" spans="66:70" x14ac:dyDescent="0.2">
      <c r="BN329" s="192" t="str">
        <f t="shared" si="21"/>
        <v/>
      </c>
      <c r="BO329" s="197" t="str">
        <f t="shared" si="20"/>
        <v/>
      </c>
      <c r="BP329" s="197" t="str">
        <f t="shared" si="22"/>
        <v/>
      </c>
      <c r="BQ329" s="197" t="str">
        <f>IF(C329="","",IF(COUNTIF(BP$6:BP329,BP329)&gt;1,"",BP329))</f>
        <v/>
      </c>
      <c r="BR329" s="197" t="str">
        <f t="shared" si="23"/>
        <v/>
      </c>
    </row>
    <row r="330" spans="66:70" x14ac:dyDescent="0.2">
      <c r="BN330" s="192" t="str">
        <f t="shared" si="21"/>
        <v/>
      </c>
      <c r="BO330" s="197" t="str">
        <f t="shared" si="20"/>
        <v/>
      </c>
      <c r="BP330" s="197" t="str">
        <f t="shared" si="22"/>
        <v/>
      </c>
      <c r="BQ330" s="197" t="str">
        <f>IF(C330="","",IF(COUNTIF(BP$6:BP330,BP330)&gt;1,"",BP330))</f>
        <v/>
      </c>
      <c r="BR330" s="197" t="str">
        <f t="shared" si="23"/>
        <v/>
      </c>
    </row>
    <row r="331" spans="66:70" x14ac:dyDescent="0.2">
      <c r="BN331" s="192" t="str">
        <f t="shared" si="21"/>
        <v/>
      </c>
      <c r="BO331" s="197" t="str">
        <f t="shared" si="20"/>
        <v/>
      </c>
      <c r="BP331" s="197" t="str">
        <f t="shared" si="22"/>
        <v/>
      </c>
      <c r="BQ331" s="197" t="str">
        <f>IF(C331="","",IF(COUNTIF(BP$6:BP331,BP331)&gt;1,"",BP331))</f>
        <v/>
      </c>
      <c r="BR331" s="197" t="str">
        <f t="shared" si="23"/>
        <v/>
      </c>
    </row>
    <row r="332" spans="66:70" x14ac:dyDescent="0.2">
      <c r="BN332" s="192" t="str">
        <f t="shared" si="21"/>
        <v/>
      </c>
      <c r="BO332" s="197" t="str">
        <f t="shared" si="20"/>
        <v/>
      </c>
      <c r="BP332" s="197" t="str">
        <f t="shared" si="22"/>
        <v/>
      </c>
      <c r="BQ332" s="197" t="str">
        <f>IF(C332="","",IF(COUNTIF(BP$6:BP332,BP332)&gt;1,"",BP332))</f>
        <v/>
      </c>
      <c r="BR332" s="197" t="str">
        <f t="shared" si="23"/>
        <v/>
      </c>
    </row>
    <row r="333" spans="66:70" x14ac:dyDescent="0.2">
      <c r="BN333" s="192" t="str">
        <f t="shared" si="21"/>
        <v/>
      </c>
      <c r="BO333" s="197" t="str">
        <f t="shared" si="20"/>
        <v/>
      </c>
      <c r="BP333" s="197" t="str">
        <f t="shared" si="22"/>
        <v/>
      </c>
      <c r="BQ333" s="197" t="str">
        <f>IF(C333="","",IF(COUNTIF(BP$6:BP333,BP333)&gt;1,"",BP333))</f>
        <v/>
      </c>
      <c r="BR333" s="197" t="str">
        <f t="shared" si="23"/>
        <v/>
      </c>
    </row>
    <row r="334" spans="66:70" x14ac:dyDescent="0.2">
      <c r="BN334" s="192" t="str">
        <f t="shared" si="21"/>
        <v/>
      </c>
      <c r="BO334" s="197" t="str">
        <f t="shared" si="20"/>
        <v/>
      </c>
      <c r="BP334" s="197" t="str">
        <f t="shared" si="22"/>
        <v/>
      </c>
      <c r="BQ334" s="197" t="str">
        <f>IF(C334="","",IF(COUNTIF(BP$6:BP334,BP334)&gt;1,"",BP334))</f>
        <v/>
      </c>
      <c r="BR334" s="197" t="str">
        <f t="shared" si="23"/>
        <v/>
      </c>
    </row>
    <row r="335" spans="66:70" x14ac:dyDescent="0.2">
      <c r="BN335" s="192" t="str">
        <f t="shared" si="21"/>
        <v/>
      </c>
      <c r="BO335" s="197" t="str">
        <f t="shared" si="20"/>
        <v/>
      </c>
      <c r="BP335" s="197" t="str">
        <f t="shared" si="22"/>
        <v/>
      </c>
      <c r="BQ335" s="197" t="str">
        <f>IF(C335="","",IF(COUNTIF(BP$6:BP335,BP335)&gt;1,"",BP335))</f>
        <v/>
      </c>
      <c r="BR335" s="197" t="str">
        <f t="shared" si="23"/>
        <v/>
      </c>
    </row>
    <row r="336" spans="66:70" x14ac:dyDescent="0.2">
      <c r="BN336" s="192" t="str">
        <f t="shared" si="21"/>
        <v/>
      </c>
      <c r="BO336" s="197" t="str">
        <f t="shared" si="20"/>
        <v/>
      </c>
      <c r="BP336" s="197" t="str">
        <f t="shared" si="22"/>
        <v/>
      </c>
      <c r="BQ336" s="197" t="str">
        <f>IF(C336="","",IF(COUNTIF(BP$6:BP336,BP336)&gt;1,"",BP336))</f>
        <v/>
      </c>
      <c r="BR336" s="197" t="str">
        <f t="shared" si="23"/>
        <v/>
      </c>
    </row>
    <row r="337" spans="66:70" x14ac:dyDescent="0.2">
      <c r="BN337" s="192" t="str">
        <f t="shared" si="21"/>
        <v/>
      </c>
      <c r="BO337" s="197" t="str">
        <f t="shared" si="20"/>
        <v/>
      </c>
      <c r="BP337" s="197" t="str">
        <f t="shared" si="22"/>
        <v/>
      </c>
      <c r="BQ337" s="197" t="str">
        <f>IF(C337="","",IF(COUNTIF(BP$6:BP337,BP337)&gt;1,"",BP337))</f>
        <v/>
      </c>
      <c r="BR337" s="197" t="str">
        <f t="shared" si="23"/>
        <v/>
      </c>
    </row>
    <row r="338" spans="66:70" x14ac:dyDescent="0.2">
      <c r="BN338" s="192" t="str">
        <f t="shared" si="21"/>
        <v/>
      </c>
      <c r="BO338" s="197" t="str">
        <f t="shared" si="20"/>
        <v/>
      </c>
      <c r="BP338" s="197" t="str">
        <f t="shared" si="22"/>
        <v/>
      </c>
      <c r="BQ338" s="197" t="str">
        <f>IF(C338="","",IF(COUNTIF(BP$6:BP338,BP338)&gt;1,"",BP338))</f>
        <v/>
      </c>
      <c r="BR338" s="197" t="str">
        <f t="shared" si="23"/>
        <v/>
      </c>
    </row>
    <row r="339" spans="66:70" x14ac:dyDescent="0.2">
      <c r="BN339" s="192" t="str">
        <f t="shared" si="21"/>
        <v/>
      </c>
      <c r="BO339" s="197" t="str">
        <f t="shared" si="20"/>
        <v/>
      </c>
      <c r="BP339" s="197" t="str">
        <f t="shared" si="22"/>
        <v/>
      </c>
      <c r="BQ339" s="197" t="str">
        <f>IF(C339="","",IF(COUNTIF(BP$6:BP339,BP339)&gt;1,"",BP339))</f>
        <v/>
      </c>
      <c r="BR339" s="197" t="str">
        <f t="shared" si="23"/>
        <v/>
      </c>
    </row>
    <row r="340" spans="66:70" x14ac:dyDescent="0.2">
      <c r="BN340" s="192" t="str">
        <f t="shared" si="21"/>
        <v/>
      </c>
      <c r="BO340" s="197" t="str">
        <f t="shared" si="20"/>
        <v/>
      </c>
      <c r="BP340" s="197" t="str">
        <f t="shared" si="22"/>
        <v/>
      </c>
      <c r="BQ340" s="197" t="str">
        <f>IF(C340="","",IF(COUNTIF(BP$6:BP340,BP340)&gt;1,"",BP340))</f>
        <v/>
      </c>
      <c r="BR340" s="197" t="str">
        <f t="shared" si="23"/>
        <v/>
      </c>
    </row>
    <row r="341" spans="66:70" x14ac:dyDescent="0.2">
      <c r="BN341" s="192" t="str">
        <f t="shared" si="21"/>
        <v/>
      </c>
      <c r="BO341" s="197" t="str">
        <f t="shared" si="20"/>
        <v/>
      </c>
      <c r="BP341" s="197" t="str">
        <f t="shared" si="22"/>
        <v/>
      </c>
      <c r="BQ341" s="197" t="str">
        <f>IF(C341="","",IF(COUNTIF(BP$6:BP341,BP341)&gt;1,"",BP341))</f>
        <v/>
      </c>
      <c r="BR341" s="197" t="str">
        <f t="shared" si="23"/>
        <v/>
      </c>
    </row>
    <row r="342" spans="66:70" x14ac:dyDescent="0.2">
      <c r="BN342" s="192" t="str">
        <f t="shared" si="21"/>
        <v/>
      </c>
      <c r="BO342" s="197" t="str">
        <f t="shared" si="20"/>
        <v/>
      </c>
      <c r="BP342" s="197" t="str">
        <f t="shared" si="22"/>
        <v/>
      </c>
      <c r="BQ342" s="197" t="str">
        <f>IF(C342="","",IF(COUNTIF(BP$6:BP342,BP342)&gt;1,"",BP342))</f>
        <v/>
      </c>
      <c r="BR342" s="197" t="str">
        <f t="shared" si="23"/>
        <v/>
      </c>
    </row>
    <row r="343" spans="66:70" x14ac:dyDescent="0.2">
      <c r="BN343" s="192" t="str">
        <f t="shared" si="21"/>
        <v/>
      </c>
      <c r="BO343" s="197" t="str">
        <f t="shared" si="20"/>
        <v/>
      </c>
      <c r="BP343" s="197" t="str">
        <f t="shared" si="22"/>
        <v/>
      </c>
      <c r="BQ343" s="197" t="str">
        <f>IF(C343="","",IF(COUNTIF(BP$6:BP343,BP343)&gt;1,"",BP343))</f>
        <v/>
      </c>
      <c r="BR343" s="197" t="str">
        <f t="shared" si="23"/>
        <v/>
      </c>
    </row>
    <row r="344" spans="66:70" x14ac:dyDescent="0.2">
      <c r="BN344" s="192" t="str">
        <f t="shared" si="21"/>
        <v/>
      </c>
      <c r="BO344" s="197" t="str">
        <f t="shared" si="20"/>
        <v/>
      </c>
      <c r="BP344" s="197" t="str">
        <f t="shared" si="22"/>
        <v/>
      </c>
      <c r="BQ344" s="197" t="str">
        <f>IF(C344="","",IF(COUNTIF(BP$6:BP344,BP344)&gt;1,"",BP344))</f>
        <v/>
      </c>
      <c r="BR344" s="197" t="str">
        <f t="shared" si="23"/>
        <v/>
      </c>
    </row>
    <row r="345" spans="66:70" x14ac:dyDescent="0.2">
      <c r="BN345" s="192" t="str">
        <f t="shared" si="21"/>
        <v/>
      </c>
      <c r="BO345" s="197" t="str">
        <f t="shared" si="20"/>
        <v/>
      </c>
      <c r="BP345" s="197" t="str">
        <f t="shared" si="22"/>
        <v/>
      </c>
      <c r="BQ345" s="197" t="str">
        <f>IF(C345="","",IF(COUNTIF(BP$6:BP345,BP345)&gt;1,"",BP345))</f>
        <v/>
      </c>
      <c r="BR345" s="197" t="str">
        <f t="shared" si="23"/>
        <v/>
      </c>
    </row>
    <row r="346" spans="66:70" x14ac:dyDescent="0.2">
      <c r="BN346" s="192" t="str">
        <f t="shared" si="21"/>
        <v/>
      </c>
      <c r="BO346" s="197" t="str">
        <f t="shared" si="20"/>
        <v/>
      </c>
      <c r="BP346" s="197" t="str">
        <f t="shared" si="22"/>
        <v/>
      </c>
      <c r="BQ346" s="197" t="str">
        <f>IF(C346="","",IF(COUNTIF(BP$6:BP346,BP346)&gt;1,"",BP346))</f>
        <v/>
      </c>
      <c r="BR346" s="197" t="str">
        <f t="shared" si="23"/>
        <v/>
      </c>
    </row>
    <row r="347" spans="66:70" x14ac:dyDescent="0.2">
      <c r="BN347" s="192" t="str">
        <f t="shared" si="21"/>
        <v/>
      </c>
      <c r="BO347" s="197" t="str">
        <f t="shared" si="20"/>
        <v/>
      </c>
      <c r="BP347" s="197" t="str">
        <f t="shared" si="22"/>
        <v/>
      </c>
      <c r="BQ347" s="197" t="str">
        <f>IF(C347="","",IF(COUNTIF(BP$6:BP347,BP347)&gt;1,"",BP347))</f>
        <v/>
      </c>
      <c r="BR347" s="197" t="str">
        <f t="shared" si="23"/>
        <v/>
      </c>
    </row>
    <row r="348" spans="66:70" x14ac:dyDescent="0.2">
      <c r="BN348" s="192" t="str">
        <f t="shared" si="21"/>
        <v/>
      </c>
      <c r="BO348" s="197" t="str">
        <f t="shared" si="20"/>
        <v/>
      </c>
      <c r="BP348" s="197" t="str">
        <f t="shared" si="22"/>
        <v/>
      </c>
      <c r="BQ348" s="197" t="str">
        <f>IF(C348="","",IF(COUNTIF(BP$6:BP348,BP348)&gt;1,"",BP348))</f>
        <v/>
      </c>
      <c r="BR348" s="197" t="str">
        <f t="shared" si="23"/>
        <v/>
      </c>
    </row>
    <row r="349" spans="66:70" x14ac:dyDescent="0.2">
      <c r="BN349" s="192" t="str">
        <f t="shared" si="21"/>
        <v/>
      </c>
      <c r="BO349" s="197" t="str">
        <f t="shared" si="20"/>
        <v/>
      </c>
      <c r="BP349" s="197" t="str">
        <f t="shared" si="22"/>
        <v/>
      </c>
      <c r="BQ349" s="197" t="str">
        <f>IF(C349="","",IF(COUNTIF(BP$6:BP349,BP349)&gt;1,"",BP349))</f>
        <v/>
      </c>
      <c r="BR349" s="197" t="str">
        <f t="shared" si="23"/>
        <v/>
      </c>
    </row>
    <row r="350" spans="66:70" x14ac:dyDescent="0.2">
      <c r="BN350" s="192" t="str">
        <f t="shared" si="21"/>
        <v/>
      </c>
      <c r="BO350" s="197" t="str">
        <f t="shared" si="20"/>
        <v/>
      </c>
      <c r="BP350" s="197" t="str">
        <f t="shared" si="22"/>
        <v/>
      </c>
      <c r="BQ350" s="197" t="str">
        <f>IF(C350="","",IF(COUNTIF(BP$6:BP350,BP350)&gt;1,"",BP350))</f>
        <v/>
      </c>
      <c r="BR350" s="197" t="str">
        <f t="shared" si="23"/>
        <v/>
      </c>
    </row>
    <row r="351" spans="66:70" x14ac:dyDescent="0.2">
      <c r="BN351" s="192" t="str">
        <f t="shared" si="21"/>
        <v/>
      </c>
      <c r="BO351" s="197" t="str">
        <f t="shared" si="20"/>
        <v/>
      </c>
      <c r="BP351" s="197" t="str">
        <f t="shared" si="22"/>
        <v/>
      </c>
      <c r="BQ351" s="197" t="str">
        <f>IF(C351="","",IF(COUNTIF(BP$6:BP351,BP351)&gt;1,"",BP351))</f>
        <v/>
      </c>
      <c r="BR351" s="197" t="str">
        <f t="shared" si="23"/>
        <v/>
      </c>
    </row>
    <row r="352" spans="66:70" x14ac:dyDescent="0.2">
      <c r="BN352" s="192" t="str">
        <f t="shared" si="21"/>
        <v/>
      </c>
      <c r="BO352" s="197" t="str">
        <f t="shared" si="20"/>
        <v/>
      </c>
      <c r="BP352" s="197" t="str">
        <f t="shared" si="22"/>
        <v/>
      </c>
      <c r="BQ352" s="197" t="str">
        <f>IF(C352="","",IF(COUNTIF(BP$6:BP352,BP352)&gt;1,"",BP352))</f>
        <v/>
      </c>
      <c r="BR352" s="197" t="str">
        <f t="shared" si="23"/>
        <v/>
      </c>
    </row>
    <row r="353" spans="66:70" x14ac:dyDescent="0.2">
      <c r="BN353" s="192" t="str">
        <f t="shared" si="21"/>
        <v/>
      </c>
      <c r="BO353" s="197" t="str">
        <f t="shared" si="20"/>
        <v/>
      </c>
      <c r="BP353" s="197" t="str">
        <f t="shared" si="22"/>
        <v/>
      </c>
      <c r="BQ353" s="197" t="str">
        <f>IF(C353="","",IF(COUNTIF(BP$6:BP353,BP353)&gt;1,"",BP353))</f>
        <v/>
      </c>
      <c r="BR353" s="197" t="str">
        <f t="shared" si="23"/>
        <v/>
      </c>
    </row>
    <row r="354" spans="66:70" x14ac:dyDescent="0.2">
      <c r="BN354" s="192" t="str">
        <f t="shared" si="21"/>
        <v/>
      </c>
      <c r="BO354" s="197" t="str">
        <f t="shared" si="20"/>
        <v/>
      </c>
      <c r="BP354" s="197" t="str">
        <f t="shared" si="22"/>
        <v/>
      </c>
      <c r="BQ354" s="197" t="str">
        <f>IF(C354="","",IF(COUNTIF(BP$6:BP354,BP354)&gt;1,"",BP354))</f>
        <v/>
      </c>
      <c r="BR354" s="197" t="str">
        <f t="shared" si="23"/>
        <v/>
      </c>
    </row>
    <row r="355" spans="66:70" x14ac:dyDescent="0.2">
      <c r="BN355" s="192" t="str">
        <f t="shared" si="21"/>
        <v/>
      </c>
      <c r="BO355" s="197" t="str">
        <f t="shared" si="20"/>
        <v/>
      </c>
      <c r="BP355" s="197" t="str">
        <f t="shared" si="22"/>
        <v/>
      </c>
      <c r="BQ355" s="197" t="str">
        <f>IF(C355="","",IF(COUNTIF(BP$6:BP355,BP355)&gt;1,"",BP355))</f>
        <v/>
      </c>
      <c r="BR355" s="197" t="str">
        <f t="shared" si="23"/>
        <v/>
      </c>
    </row>
    <row r="356" spans="66:70" x14ac:dyDescent="0.2">
      <c r="BN356" s="192" t="str">
        <f t="shared" si="21"/>
        <v/>
      </c>
      <c r="BO356" s="197" t="str">
        <f t="shared" si="20"/>
        <v/>
      </c>
      <c r="BP356" s="197" t="str">
        <f t="shared" si="22"/>
        <v/>
      </c>
      <c r="BQ356" s="197" t="str">
        <f>IF(C356="","",IF(COUNTIF(BP$6:BP356,BP356)&gt;1,"",BP356))</f>
        <v/>
      </c>
      <c r="BR356" s="197" t="str">
        <f t="shared" si="23"/>
        <v/>
      </c>
    </row>
    <row r="357" spans="66:70" x14ac:dyDescent="0.2">
      <c r="BN357" s="192" t="str">
        <f t="shared" si="21"/>
        <v/>
      </c>
      <c r="BO357" s="197" t="str">
        <f t="shared" si="20"/>
        <v/>
      </c>
      <c r="BP357" s="197" t="str">
        <f t="shared" si="22"/>
        <v/>
      </c>
      <c r="BQ357" s="197" t="str">
        <f>IF(C357="","",IF(COUNTIF(BP$6:BP357,BP357)&gt;1,"",BP357))</f>
        <v/>
      </c>
      <c r="BR357" s="197" t="str">
        <f t="shared" si="23"/>
        <v/>
      </c>
    </row>
    <row r="358" spans="66:70" x14ac:dyDescent="0.2">
      <c r="BN358" s="192" t="str">
        <f t="shared" si="21"/>
        <v/>
      </c>
      <c r="BO358" s="197" t="str">
        <f t="shared" si="20"/>
        <v/>
      </c>
      <c r="BP358" s="197" t="str">
        <f t="shared" si="22"/>
        <v/>
      </c>
      <c r="BQ358" s="197" t="str">
        <f>IF(C358="","",IF(COUNTIF(BP$6:BP358,BP358)&gt;1,"",BP358))</f>
        <v/>
      </c>
      <c r="BR358" s="197" t="str">
        <f t="shared" si="23"/>
        <v/>
      </c>
    </row>
    <row r="359" spans="66:70" x14ac:dyDescent="0.2">
      <c r="BN359" s="192" t="str">
        <f t="shared" si="21"/>
        <v/>
      </c>
      <c r="BO359" s="197" t="str">
        <f t="shared" si="20"/>
        <v/>
      </c>
      <c r="BP359" s="197" t="str">
        <f t="shared" si="22"/>
        <v/>
      </c>
      <c r="BQ359" s="197" t="str">
        <f>IF(C359="","",IF(COUNTIF(BP$6:BP359,BP359)&gt;1,"",BP359))</f>
        <v/>
      </c>
      <c r="BR359" s="197" t="str">
        <f t="shared" si="23"/>
        <v/>
      </c>
    </row>
    <row r="360" spans="66:70" x14ac:dyDescent="0.2">
      <c r="BN360" s="192" t="str">
        <f t="shared" si="21"/>
        <v/>
      </c>
      <c r="BO360" s="197" t="str">
        <f t="shared" si="20"/>
        <v/>
      </c>
      <c r="BP360" s="197" t="str">
        <f t="shared" si="22"/>
        <v/>
      </c>
      <c r="BQ360" s="197" t="str">
        <f>IF(C360="","",IF(COUNTIF(BP$6:BP360,BP360)&gt;1,"",BP360))</f>
        <v/>
      </c>
      <c r="BR360" s="197" t="str">
        <f t="shared" si="23"/>
        <v/>
      </c>
    </row>
    <row r="361" spans="66:70" x14ac:dyDescent="0.2">
      <c r="BN361" s="192" t="str">
        <f t="shared" si="21"/>
        <v/>
      </c>
      <c r="BO361" s="197" t="str">
        <f t="shared" si="20"/>
        <v/>
      </c>
      <c r="BP361" s="197" t="str">
        <f t="shared" si="22"/>
        <v/>
      </c>
      <c r="BQ361" s="197" t="str">
        <f>IF(C361="","",IF(COUNTIF(BP$6:BP361,BP361)&gt;1,"",BP361))</f>
        <v/>
      </c>
      <c r="BR361" s="197" t="str">
        <f t="shared" si="23"/>
        <v/>
      </c>
    </row>
    <row r="362" spans="66:70" x14ac:dyDescent="0.2">
      <c r="BN362" s="192" t="str">
        <f t="shared" si="21"/>
        <v/>
      </c>
      <c r="BO362" s="197" t="str">
        <f t="shared" si="20"/>
        <v/>
      </c>
      <c r="BP362" s="197" t="str">
        <f t="shared" si="22"/>
        <v/>
      </c>
      <c r="BQ362" s="197" t="str">
        <f>IF(C362="","",IF(COUNTIF(BP$6:BP362,BP362)&gt;1,"",BP362))</f>
        <v/>
      </c>
      <c r="BR362" s="197" t="str">
        <f t="shared" si="23"/>
        <v/>
      </c>
    </row>
    <row r="363" spans="66:70" x14ac:dyDescent="0.2">
      <c r="BN363" s="192" t="str">
        <f t="shared" si="21"/>
        <v/>
      </c>
      <c r="BO363" s="197" t="str">
        <f t="shared" si="20"/>
        <v/>
      </c>
      <c r="BP363" s="197" t="str">
        <f t="shared" si="22"/>
        <v/>
      </c>
      <c r="BQ363" s="197" t="str">
        <f>IF(C363="","",IF(COUNTIF(BP$6:BP363,BP363)&gt;1,"",BP363))</f>
        <v/>
      </c>
      <c r="BR363" s="197" t="str">
        <f t="shared" si="23"/>
        <v/>
      </c>
    </row>
    <row r="364" spans="66:70" x14ac:dyDescent="0.2">
      <c r="BN364" s="192" t="str">
        <f t="shared" si="21"/>
        <v/>
      </c>
      <c r="BO364" s="197" t="str">
        <f t="shared" si="20"/>
        <v/>
      </c>
      <c r="BP364" s="197" t="str">
        <f t="shared" si="22"/>
        <v/>
      </c>
      <c r="BQ364" s="197" t="str">
        <f>IF(C364="","",IF(COUNTIF(BP$6:BP364,BP364)&gt;1,"",BP364))</f>
        <v/>
      </c>
      <c r="BR364" s="197" t="str">
        <f t="shared" si="23"/>
        <v/>
      </c>
    </row>
    <row r="365" spans="66:70" x14ac:dyDescent="0.2">
      <c r="BN365" s="192" t="str">
        <f t="shared" si="21"/>
        <v/>
      </c>
      <c r="BO365" s="197" t="str">
        <f t="shared" si="20"/>
        <v/>
      </c>
      <c r="BP365" s="197" t="str">
        <f t="shared" si="22"/>
        <v/>
      </c>
      <c r="BQ365" s="197" t="str">
        <f>IF(C365="","",IF(COUNTIF(BP$6:BP365,BP365)&gt;1,"",BP365))</f>
        <v/>
      </c>
      <c r="BR365" s="197" t="str">
        <f t="shared" si="23"/>
        <v/>
      </c>
    </row>
    <row r="366" spans="66:70" x14ac:dyDescent="0.2">
      <c r="BN366" s="192" t="str">
        <f t="shared" si="21"/>
        <v/>
      </c>
      <c r="BO366" s="197" t="str">
        <f t="shared" si="20"/>
        <v/>
      </c>
      <c r="BP366" s="197" t="str">
        <f t="shared" si="22"/>
        <v/>
      </c>
      <c r="BQ366" s="197" t="str">
        <f>IF(C366="","",IF(COUNTIF(BP$6:BP366,BP366)&gt;1,"",BP366))</f>
        <v/>
      </c>
      <c r="BR366" s="197" t="str">
        <f t="shared" si="23"/>
        <v/>
      </c>
    </row>
    <row r="367" spans="66:70" x14ac:dyDescent="0.2">
      <c r="BN367" s="192" t="str">
        <f t="shared" si="21"/>
        <v/>
      </c>
      <c r="BO367" s="197" t="str">
        <f t="shared" si="20"/>
        <v/>
      </c>
      <c r="BP367" s="197" t="str">
        <f t="shared" si="22"/>
        <v/>
      </c>
      <c r="BQ367" s="197" t="str">
        <f>IF(C367="","",IF(COUNTIF(BP$6:BP367,BP367)&gt;1,"",BP367))</f>
        <v/>
      </c>
      <c r="BR367" s="197" t="str">
        <f t="shared" si="23"/>
        <v/>
      </c>
    </row>
    <row r="368" spans="66:70" x14ac:dyDescent="0.2">
      <c r="BN368" s="192" t="str">
        <f t="shared" si="21"/>
        <v/>
      </c>
      <c r="BO368" s="197" t="str">
        <f t="shared" si="20"/>
        <v/>
      </c>
      <c r="BP368" s="197" t="str">
        <f t="shared" si="22"/>
        <v/>
      </c>
      <c r="BQ368" s="197" t="str">
        <f>IF(C368="","",IF(COUNTIF(BP$6:BP368,BP368)&gt;1,"",BP368))</f>
        <v/>
      </c>
      <c r="BR368" s="197" t="str">
        <f t="shared" si="23"/>
        <v/>
      </c>
    </row>
    <row r="369" spans="66:70" x14ac:dyDescent="0.2">
      <c r="BN369" s="192" t="str">
        <f t="shared" si="21"/>
        <v/>
      </c>
      <c r="BO369" s="197" t="str">
        <f t="shared" si="20"/>
        <v/>
      </c>
      <c r="BP369" s="197" t="str">
        <f t="shared" si="22"/>
        <v/>
      </c>
      <c r="BQ369" s="197" t="str">
        <f>IF(C369="","",IF(COUNTIF(BP$6:BP369,BP369)&gt;1,"",BP369))</f>
        <v/>
      </c>
      <c r="BR369" s="197" t="str">
        <f t="shared" si="23"/>
        <v/>
      </c>
    </row>
    <row r="370" spans="66:70" x14ac:dyDescent="0.2">
      <c r="BN370" s="192" t="str">
        <f t="shared" si="21"/>
        <v/>
      </c>
      <c r="BO370" s="197" t="str">
        <f t="shared" si="20"/>
        <v/>
      </c>
      <c r="BP370" s="197" t="str">
        <f t="shared" si="22"/>
        <v/>
      </c>
      <c r="BQ370" s="197" t="str">
        <f>IF(C370="","",IF(COUNTIF(BP$6:BP370,BP370)&gt;1,"",BP370))</f>
        <v/>
      </c>
      <c r="BR370" s="197" t="str">
        <f t="shared" si="23"/>
        <v/>
      </c>
    </row>
    <row r="371" spans="66:70" x14ac:dyDescent="0.2">
      <c r="BN371" s="192" t="str">
        <f t="shared" si="21"/>
        <v/>
      </c>
      <c r="BO371" s="197" t="str">
        <f t="shared" si="20"/>
        <v/>
      </c>
      <c r="BP371" s="197" t="str">
        <f t="shared" si="22"/>
        <v/>
      </c>
      <c r="BQ371" s="197" t="str">
        <f>IF(C371="","",IF(COUNTIF(BP$6:BP371,BP371)&gt;1,"",BP371))</f>
        <v/>
      </c>
      <c r="BR371" s="197" t="str">
        <f t="shared" si="23"/>
        <v/>
      </c>
    </row>
    <row r="372" spans="66:70" x14ac:dyDescent="0.2">
      <c r="BN372" s="192" t="str">
        <f t="shared" si="21"/>
        <v/>
      </c>
      <c r="BO372" s="197" t="str">
        <f t="shared" si="20"/>
        <v/>
      </c>
      <c r="BP372" s="197" t="str">
        <f t="shared" si="22"/>
        <v/>
      </c>
      <c r="BQ372" s="197" t="str">
        <f>IF(C372="","",IF(COUNTIF(BP$6:BP372,BP372)&gt;1,"",BP372))</f>
        <v/>
      </c>
      <c r="BR372" s="197" t="str">
        <f t="shared" si="23"/>
        <v/>
      </c>
    </row>
    <row r="373" spans="66:70" x14ac:dyDescent="0.2">
      <c r="BN373" s="192" t="str">
        <f t="shared" si="21"/>
        <v/>
      </c>
      <c r="BO373" s="197" t="str">
        <f t="shared" si="20"/>
        <v/>
      </c>
      <c r="BP373" s="197" t="str">
        <f t="shared" si="22"/>
        <v/>
      </c>
      <c r="BQ373" s="197" t="str">
        <f>IF(C373="","",IF(COUNTIF(BP$6:BP373,BP373)&gt;1,"",BP373))</f>
        <v/>
      </c>
      <c r="BR373" s="197" t="str">
        <f t="shared" si="23"/>
        <v/>
      </c>
    </row>
    <row r="374" spans="66:70" x14ac:dyDescent="0.2">
      <c r="BN374" s="192" t="str">
        <f t="shared" si="21"/>
        <v/>
      </c>
      <c r="BO374" s="197" t="str">
        <f t="shared" si="20"/>
        <v/>
      </c>
      <c r="BP374" s="197" t="str">
        <f t="shared" si="22"/>
        <v/>
      </c>
      <c r="BQ374" s="197" t="str">
        <f>IF(C374="","",IF(COUNTIF(BP$6:BP374,BP374)&gt;1,"",BP374))</f>
        <v/>
      </c>
      <c r="BR374" s="197" t="str">
        <f t="shared" si="23"/>
        <v/>
      </c>
    </row>
    <row r="375" spans="66:70" x14ac:dyDescent="0.2">
      <c r="BN375" s="192" t="str">
        <f t="shared" si="21"/>
        <v/>
      </c>
      <c r="BO375" s="197" t="str">
        <f t="shared" si="20"/>
        <v/>
      </c>
      <c r="BP375" s="197" t="str">
        <f t="shared" si="22"/>
        <v/>
      </c>
      <c r="BQ375" s="197" t="str">
        <f>IF(C375="","",IF(COUNTIF(BP$6:BP375,BP375)&gt;1,"",BP375))</f>
        <v/>
      </c>
      <c r="BR375" s="197" t="str">
        <f t="shared" si="23"/>
        <v/>
      </c>
    </row>
    <row r="376" spans="66:70" x14ac:dyDescent="0.2">
      <c r="BN376" s="192" t="str">
        <f t="shared" si="21"/>
        <v/>
      </c>
      <c r="BO376" s="197" t="str">
        <f t="shared" si="20"/>
        <v/>
      </c>
      <c r="BP376" s="197" t="str">
        <f t="shared" si="22"/>
        <v/>
      </c>
      <c r="BQ376" s="197" t="str">
        <f>IF(C376="","",IF(COUNTIF(BP$6:BP376,BP376)&gt;1,"",BP376))</f>
        <v/>
      </c>
      <c r="BR376" s="197" t="str">
        <f t="shared" si="23"/>
        <v/>
      </c>
    </row>
    <row r="377" spans="66:70" x14ac:dyDescent="0.2">
      <c r="BN377" s="192" t="str">
        <f t="shared" si="21"/>
        <v/>
      </c>
      <c r="BO377" s="197" t="str">
        <f t="shared" si="20"/>
        <v/>
      </c>
      <c r="BP377" s="197" t="str">
        <f t="shared" si="22"/>
        <v/>
      </c>
      <c r="BQ377" s="197" t="str">
        <f>IF(C377="","",IF(COUNTIF(BP$6:BP377,BP377)&gt;1,"",BP377))</f>
        <v/>
      </c>
      <c r="BR377" s="197" t="str">
        <f t="shared" si="23"/>
        <v/>
      </c>
    </row>
    <row r="378" spans="66:70" x14ac:dyDescent="0.2">
      <c r="BN378" s="192" t="str">
        <f t="shared" si="21"/>
        <v/>
      </c>
      <c r="BO378" s="197" t="str">
        <f t="shared" si="20"/>
        <v/>
      </c>
      <c r="BP378" s="197" t="str">
        <f t="shared" si="22"/>
        <v/>
      </c>
      <c r="BQ378" s="197" t="str">
        <f>IF(C378="","",IF(COUNTIF(BP$6:BP378,BP378)&gt;1,"",BP378))</f>
        <v/>
      </c>
      <c r="BR378" s="197" t="str">
        <f t="shared" si="23"/>
        <v/>
      </c>
    </row>
    <row r="379" spans="66:70" x14ac:dyDescent="0.2">
      <c r="BN379" s="192" t="str">
        <f t="shared" si="21"/>
        <v/>
      </c>
      <c r="BO379" s="197" t="str">
        <f t="shared" si="20"/>
        <v/>
      </c>
      <c r="BP379" s="197" t="str">
        <f t="shared" si="22"/>
        <v/>
      </c>
      <c r="BQ379" s="197" t="str">
        <f>IF(C379="","",IF(COUNTIF(BP$6:BP379,BP379)&gt;1,"",BP379))</f>
        <v/>
      </c>
      <c r="BR379" s="197" t="str">
        <f t="shared" si="23"/>
        <v/>
      </c>
    </row>
    <row r="380" spans="66:70" x14ac:dyDescent="0.2">
      <c r="BN380" s="192" t="str">
        <f t="shared" si="21"/>
        <v/>
      </c>
      <c r="BO380" s="197" t="str">
        <f t="shared" si="20"/>
        <v/>
      </c>
      <c r="BP380" s="197" t="str">
        <f t="shared" si="22"/>
        <v/>
      </c>
      <c r="BQ380" s="197" t="str">
        <f>IF(C380="","",IF(COUNTIF(BP$6:BP380,BP380)&gt;1,"",BP380))</f>
        <v/>
      </c>
      <c r="BR380" s="197" t="str">
        <f t="shared" si="23"/>
        <v/>
      </c>
    </row>
    <row r="381" spans="66:70" x14ac:dyDescent="0.2">
      <c r="BN381" s="192" t="str">
        <f t="shared" si="21"/>
        <v/>
      </c>
      <c r="BO381" s="197" t="str">
        <f t="shared" si="20"/>
        <v/>
      </c>
      <c r="BP381" s="197" t="str">
        <f t="shared" si="22"/>
        <v/>
      </c>
      <c r="BQ381" s="197" t="str">
        <f>IF(C381="","",IF(COUNTIF(BP$6:BP381,BP381)&gt;1,"",BP381))</f>
        <v/>
      </c>
      <c r="BR381" s="197" t="str">
        <f t="shared" si="23"/>
        <v/>
      </c>
    </row>
    <row r="382" spans="66:70" x14ac:dyDescent="0.2">
      <c r="BN382" s="192" t="str">
        <f t="shared" si="21"/>
        <v/>
      </c>
      <c r="BO382" s="197" t="str">
        <f t="shared" si="20"/>
        <v/>
      </c>
      <c r="BP382" s="197" t="str">
        <f t="shared" si="22"/>
        <v/>
      </c>
      <c r="BQ382" s="197" t="str">
        <f>IF(C382="","",IF(COUNTIF(BP$6:BP382,BP382)&gt;1,"",BP382))</f>
        <v/>
      </c>
      <c r="BR382" s="197" t="str">
        <f t="shared" si="23"/>
        <v/>
      </c>
    </row>
    <row r="383" spans="66:70" x14ac:dyDescent="0.2">
      <c r="BN383" s="192" t="str">
        <f t="shared" si="21"/>
        <v/>
      </c>
      <c r="BO383" s="197" t="str">
        <f t="shared" si="20"/>
        <v/>
      </c>
      <c r="BP383" s="197" t="str">
        <f t="shared" si="22"/>
        <v/>
      </c>
      <c r="BQ383" s="197" t="str">
        <f>IF(C383="","",IF(COUNTIF(BP$6:BP383,BP383)&gt;1,"",BP383))</f>
        <v/>
      </c>
      <c r="BR383" s="197" t="str">
        <f t="shared" si="23"/>
        <v/>
      </c>
    </row>
    <row r="384" spans="66:70" x14ac:dyDescent="0.2">
      <c r="BN384" s="192" t="str">
        <f t="shared" si="21"/>
        <v/>
      </c>
      <c r="BO384" s="197" t="str">
        <f t="shared" si="20"/>
        <v/>
      </c>
      <c r="BP384" s="197" t="str">
        <f t="shared" si="22"/>
        <v/>
      </c>
      <c r="BQ384" s="197" t="str">
        <f>IF(C384="","",IF(COUNTIF(BP$6:BP384,BP384)&gt;1,"",BP384))</f>
        <v/>
      </c>
      <c r="BR384" s="197" t="str">
        <f t="shared" si="23"/>
        <v/>
      </c>
    </row>
    <row r="385" spans="66:70" x14ac:dyDescent="0.2">
      <c r="BN385" s="192" t="str">
        <f t="shared" si="21"/>
        <v/>
      </c>
      <c r="BO385" s="197" t="str">
        <f t="shared" si="20"/>
        <v/>
      </c>
      <c r="BP385" s="197" t="str">
        <f t="shared" si="22"/>
        <v/>
      </c>
      <c r="BQ385" s="197" t="str">
        <f>IF(C385="","",IF(COUNTIF(BP$6:BP385,BP385)&gt;1,"",BP385))</f>
        <v/>
      </c>
      <c r="BR385" s="197" t="str">
        <f t="shared" si="23"/>
        <v/>
      </c>
    </row>
    <row r="386" spans="66:70" x14ac:dyDescent="0.2">
      <c r="BN386" s="192" t="str">
        <f t="shared" si="21"/>
        <v/>
      </c>
      <c r="BO386" s="197" t="str">
        <f t="shared" si="20"/>
        <v/>
      </c>
      <c r="BP386" s="197" t="str">
        <f t="shared" si="22"/>
        <v/>
      </c>
      <c r="BQ386" s="197" t="str">
        <f>IF(C386="","",IF(COUNTIF(BP$6:BP386,BP386)&gt;1,"",BP386))</f>
        <v/>
      </c>
      <c r="BR386" s="197" t="str">
        <f t="shared" si="23"/>
        <v/>
      </c>
    </row>
    <row r="387" spans="66:70" x14ac:dyDescent="0.2">
      <c r="BN387" s="192" t="str">
        <f t="shared" si="21"/>
        <v/>
      </c>
      <c r="BO387" s="197" t="str">
        <f t="shared" si="20"/>
        <v/>
      </c>
      <c r="BP387" s="197" t="str">
        <f t="shared" si="22"/>
        <v/>
      </c>
      <c r="BQ387" s="197" t="str">
        <f>IF(C387="","",IF(COUNTIF(BP$6:BP387,BP387)&gt;1,"",BP387))</f>
        <v/>
      </c>
      <c r="BR387" s="197" t="str">
        <f t="shared" si="23"/>
        <v/>
      </c>
    </row>
    <row r="388" spans="66:70" x14ac:dyDescent="0.2">
      <c r="BN388" s="192" t="str">
        <f t="shared" si="21"/>
        <v/>
      </c>
      <c r="BO388" s="197" t="str">
        <f t="shared" si="20"/>
        <v/>
      </c>
      <c r="BP388" s="197" t="str">
        <f t="shared" si="22"/>
        <v/>
      </c>
      <c r="BQ388" s="197" t="str">
        <f>IF(C388="","",IF(COUNTIF(BP$6:BP388,BP388)&gt;1,"",BP388))</f>
        <v/>
      </c>
      <c r="BR388" s="197" t="str">
        <f t="shared" si="23"/>
        <v/>
      </c>
    </row>
    <row r="389" spans="66:70" x14ac:dyDescent="0.2">
      <c r="BN389" s="192" t="str">
        <f t="shared" si="21"/>
        <v/>
      </c>
      <c r="BO389" s="197" t="str">
        <f t="shared" si="20"/>
        <v/>
      </c>
      <c r="BP389" s="197" t="str">
        <f t="shared" si="22"/>
        <v/>
      </c>
      <c r="BQ389" s="197" t="str">
        <f>IF(C389="","",IF(COUNTIF(BP$6:BP389,BP389)&gt;1,"",BP389))</f>
        <v/>
      </c>
      <c r="BR389" s="197" t="str">
        <f t="shared" si="23"/>
        <v/>
      </c>
    </row>
    <row r="390" spans="66:70" x14ac:dyDescent="0.2">
      <c r="BN390" s="192" t="str">
        <f t="shared" si="21"/>
        <v/>
      </c>
      <c r="BO390" s="197" t="str">
        <f t="shared" ref="BO390:BO453" si="24">IF(C390="","",Q390+U390)</f>
        <v/>
      </c>
      <c r="BP390" s="197" t="str">
        <f t="shared" si="22"/>
        <v/>
      </c>
      <c r="BQ390" s="197" t="str">
        <f>IF(C390="","",IF(COUNTIF(BP$6:BP390,BP390)&gt;1,"",BP390))</f>
        <v/>
      </c>
      <c r="BR390" s="197" t="str">
        <f t="shared" si="23"/>
        <v/>
      </c>
    </row>
    <row r="391" spans="66:70" x14ac:dyDescent="0.2">
      <c r="BN391" s="192" t="str">
        <f t="shared" ref="BN391:BN454" si="25">IF(C391="","",1)</f>
        <v/>
      </c>
      <c r="BO391" s="197" t="str">
        <f t="shared" si="24"/>
        <v/>
      </c>
      <c r="BP391" s="197" t="str">
        <f t="shared" ref="BP391:BP454" si="26">IF(C391="","",IF(MAX($BO$6:$BO$506)-BO391=0,1,""))</f>
        <v/>
      </c>
      <c r="BQ391" s="197" t="str">
        <f>IF(C391="","",IF(COUNTIF(BP$6:BP391,BP391)&gt;1,"",BP391))</f>
        <v/>
      </c>
      <c r="BR391" s="197" t="str">
        <f t="shared" ref="BR391:BR454" si="27">IF(F391="","",IF(BQ391=1,MAX($BO$6:$BO$506),0))</f>
        <v/>
      </c>
    </row>
    <row r="392" spans="66:70" x14ac:dyDescent="0.2">
      <c r="BN392" s="192" t="str">
        <f t="shared" si="25"/>
        <v/>
      </c>
      <c r="BO392" s="197" t="str">
        <f t="shared" si="24"/>
        <v/>
      </c>
      <c r="BP392" s="197" t="str">
        <f t="shared" si="26"/>
        <v/>
      </c>
      <c r="BQ392" s="197" t="str">
        <f>IF(C392="","",IF(COUNTIF(BP$6:BP392,BP392)&gt;1,"",BP392))</f>
        <v/>
      </c>
      <c r="BR392" s="197" t="str">
        <f t="shared" si="27"/>
        <v/>
      </c>
    </row>
    <row r="393" spans="66:70" x14ac:dyDescent="0.2">
      <c r="BN393" s="192" t="str">
        <f t="shared" si="25"/>
        <v/>
      </c>
      <c r="BO393" s="197" t="str">
        <f t="shared" si="24"/>
        <v/>
      </c>
      <c r="BP393" s="197" t="str">
        <f t="shared" si="26"/>
        <v/>
      </c>
      <c r="BQ393" s="197" t="str">
        <f>IF(C393="","",IF(COUNTIF(BP$6:BP393,BP393)&gt;1,"",BP393))</f>
        <v/>
      </c>
      <c r="BR393" s="197" t="str">
        <f t="shared" si="27"/>
        <v/>
      </c>
    </row>
    <row r="394" spans="66:70" x14ac:dyDescent="0.2">
      <c r="BN394" s="192" t="str">
        <f t="shared" si="25"/>
        <v/>
      </c>
      <c r="BO394" s="197" t="str">
        <f t="shared" si="24"/>
        <v/>
      </c>
      <c r="BP394" s="197" t="str">
        <f t="shared" si="26"/>
        <v/>
      </c>
      <c r="BQ394" s="197" t="str">
        <f>IF(C394="","",IF(COUNTIF(BP$6:BP394,BP394)&gt;1,"",BP394))</f>
        <v/>
      </c>
      <c r="BR394" s="197" t="str">
        <f t="shared" si="27"/>
        <v/>
      </c>
    </row>
    <row r="395" spans="66:70" x14ac:dyDescent="0.2">
      <c r="BN395" s="192" t="str">
        <f t="shared" si="25"/>
        <v/>
      </c>
      <c r="BO395" s="197" t="str">
        <f t="shared" si="24"/>
        <v/>
      </c>
      <c r="BP395" s="197" t="str">
        <f t="shared" si="26"/>
        <v/>
      </c>
      <c r="BQ395" s="197" t="str">
        <f>IF(C395="","",IF(COUNTIF(BP$6:BP395,BP395)&gt;1,"",BP395))</f>
        <v/>
      </c>
      <c r="BR395" s="197" t="str">
        <f t="shared" si="27"/>
        <v/>
      </c>
    </row>
    <row r="396" spans="66:70" x14ac:dyDescent="0.2">
      <c r="BN396" s="192" t="str">
        <f t="shared" si="25"/>
        <v/>
      </c>
      <c r="BO396" s="197" t="str">
        <f t="shared" si="24"/>
        <v/>
      </c>
      <c r="BP396" s="197" t="str">
        <f t="shared" si="26"/>
        <v/>
      </c>
      <c r="BQ396" s="197" t="str">
        <f>IF(C396="","",IF(COUNTIF(BP$6:BP396,BP396)&gt;1,"",BP396))</f>
        <v/>
      </c>
      <c r="BR396" s="197" t="str">
        <f t="shared" si="27"/>
        <v/>
      </c>
    </row>
    <row r="397" spans="66:70" x14ac:dyDescent="0.2">
      <c r="BN397" s="192" t="str">
        <f t="shared" si="25"/>
        <v/>
      </c>
      <c r="BO397" s="197" t="str">
        <f t="shared" si="24"/>
        <v/>
      </c>
      <c r="BP397" s="197" t="str">
        <f t="shared" si="26"/>
        <v/>
      </c>
      <c r="BQ397" s="197" t="str">
        <f>IF(C397="","",IF(COUNTIF(BP$6:BP397,BP397)&gt;1,"",BP397))</f>
        <v/>
      </c>
      <c r="BR397" s="197" t="str">
        <f t="shared" si="27"/>
        <v/>
      </c>
    </row>
    <row r="398" spans="66:70" x14ac:dyDescent="0.2">
      <c r="BN398" s="192" t="str">
        <f t="shared" si="25"/>
        <v/>
      </c>
      <c r="BO398" s="197" t="str">
        <f t="shared" si="24"/>
        <v/>
      </c>
      <c r="BP398" s="197" t="str">
        <f t="shared" si="26"/>
        <v/>
      </c>
      <c r="BQ398" s="197" t="str">
        <f>IF(C398="","",IF(COUNTIF(BP$6:BP398,BP398)&gt;1,"",BP398))</f>
        <v/>
      </c>
      <c r="BR398" s="197" t="str">
        <f t="shared" si="27"/>
        <v/>
      </c>
    </row>
    <row r="399" spans="66:70" x14ac:dyDescent="0.2">
      <c r="BN399" s="192" t="str">
        <f t="shared" si="25"/>
        <v/>
      </c>
      <c r="BO399" s="197" t="str">
        <f t="shared" si="24"/>
        <v/>
      </c>
      <c r="BP399" s="197" t="str">
        <f t="shared" si="26"/>
        <v/>
      </c>
      <c r="BQ399" s="197" t="str">
        <f>IF(C399="","",IF(COUNTIF(BP$6:BP399,BP399)&gt;1,"",BP399))</f>
        <v/>
      </c>
      <c r="BR399" s="197" t="str">
        <f t="shared" si="27"/>
        <v/>
      </c>
    </row>
    <row r="400" spans="66:70" x14ac:dyDescent="0.2">
      <c r="BN400" s="192" t="str">
        <f t="shared" si="25"/>
        <v/>
      </c>
      <c r="BO400" s="197" t="str">
        <f t="shared" si="24"/>
        <v/>
      </c>
      <c r="BP400" s="197" t="str">
        <f t="shared" si="26"/>
        <v/>
      </c>
      <c r="BQ400" s="197" t="str">
        <f>IF(C400="","",IF(COUNTIF(BP$6:BP400,BP400)&gt;1,"",BP400))</f>
        <v/>
      </c>
      <c r="BR400" s="197" t="str">
        <f t="shared" si="27"/>
        <v/>
      </c>
    </row>
    <row r="401" spans="66:70" x14ac:dyDescent="0.2">
      <c r="BN401" s="192" t="str">
        <f t="shared" si="25"/>
        <v/>
      </c>
      <c r="BO401" s="197" t="str">
        <f t="shared" si="24"/>
        <v/>
      </c>
      <c r="BP401" s="197" t="str">
        <f t="shared" si="26"/>
        <v/>
      </c>
      <c r="BQ401" s="197" t="str">
        <f>IF(C401="","",IF(COUNTIF(BP$6:BP401,BP401)&gt;1,"",BP401))</f>
        <v/>
      </c>
      <c r="BR401" s="197" t="str">
        <f t="shared" si="27"/>
        <v/>
      </c>
    </row>
    <row r="402" spans="66:70" x14ac:dyDescent="0.2">
      <c r="BN402" s="192" t="str">
        <f t="shared" si="25"/>
        <v/>
      </c>
      <c r="BO402" s="197" t="str">
        <f t="shared" si="24"/>
        <v/>
      </c>
      <c r="BP402" s="197" t="str">
        <f t="shared" si="26"/>
        <v/>
      </c>
      <c r="BQ402" s="197" t="str">
        <f>IF(C402="","",IF(COUNTIF(BP$6:BP402,BP402)&gt;1,"",BP402))</f>
        <v/>
      </c>
      <c r="BR402" s="197" t="str">
        <f t="shared" si="27"/>
        <v/>
      </c>
    </row>
    <row r="403" spans="66:70" x14ac:dyDescent="0.2">
      <c r="BN403" s="192" t="str">
        <f t="shared" si="25"/>
        <v/>
      </c>
      <c r="BO403" s="197" t="str">
        <f t="shared" si="24"/>
        <v/>
      </c>
      <c r="BP403" s="197" t="str">
        <f t="shared" si="26"/>
        <v/>
      </c>
      <c r="BQ403" s="197" t="str">
        <f>IF(C403="","",IF(COUNTIF(BP$6:BP403,BP403)&gt;1,"",BP403))</f>
        <v/>
      </c>
      <c r="BR403" s="197" t="str">
        <f t="shared" si="27"/>
        <v/>
      </c>
    </row>
    <row r="404" spans="66:70" x14ac:dyDescent="0.2">
      <c r="BN404" s="192" t="str">
        <f t="shared" si="25"/>
        <v/>
      </c>
      <c r="BO404" s="197" t="str">
        <f t="shared" si="24"/>
        <v/>
      </c>
      <c r="BP404" s="197" t="str">
        <f t="shared" si="26"/>
        <v/>
      </c>
      <c r="BQ404" s="197" t="str">
        <f>IF(C404="","",IF(COUNTIF(BP$6:BP404,BP404)&gt;1,"",BP404))</f>
        <v/>
      </c>
      <c r="BR404" s="197" t="str">
        <f t="shared" si="27"/>
        <v/>
      </c>
    </row>
    <row r="405" spans="66:70" x14ac:dyDescent="0.2">
      <c r="BN405" s="192" t="str">
        <f t="shared" si="25"/>
        <v/>
      </c>
      <c r="BO405" s="197" t="str">
        <f t="shared" si="24"/>
        <v/>
      </c>
      <c r="BP405" s="197" t="str">
        <f t="shared" si="26"/>
        <v/>
      </c>
      <c r="BQ405" s="197" t="str">
        <f>IF(C405="","",IF(COUNTIF(BP$6:BP405,BP405)&gt;1,"",BP405))</f>
        <v/>
      </c>
      <c r="BR405" s="197" t="str">
        <f t="shared" si="27"/>
        <v/>
      </c>
    </row>
    <row r="406" spans="66:70" x14ac:dyDescent="0.2">
      <c r="BN406" s="192" t="str">
        <f t="shared" si="25"/>
        <v/>
      </c>
      <c r="BO406" s="197" t="str">
        <f t="shared" si="24"/>
        <v/>
      </c>
      <c r="BP406" s="197" t="str">
        <f t="shared" si="26"/>
        <v/>
      </c>
      <c r="BQ406" s="197" t="str">
        <f>IF(C406="","",IF(COUNTIF(BP$6:BP406,BP406)&gt;1,"",BP406))</f>
        <v/>
      </c>
      <c r="BR406" s="197" t="str">
        <f t="shared" si="27"/>
        <v/>
      </c>
    </row>
    <row r="407" spans="66:70" x14ac:dyDescent="0.2">
      <c r="BN407" s="192" t="str">
        <f t="shared" si="25"/>
        <v/>
      </c>
      <c r="BO407" s="197" t="str">
        <f t="shared" si="24"/>
        <v/>
      </c>
      <c r="BP407" s="197" t="str">
        <f t="shared" si="26"/>
        <v/>
      </c>
      <c r="BQ407" s="197" t="str">
        <f>IF(C407="","",IF(COUNTIF(BP$6:BP407,BP407)&gt;1,"",BP407))</f>
        <v/>
      </c>
      <c r="BR407" s="197" t="str">
        <f t="shared" si="27"/>
        <v/>
      </c>
    </row>
    <row r="408" spans="66:70" x14ac:dyDescent="0.2">
      <c r="BN408" s="192" t="str">
        <f t="shared" si="25"/>
        <v/>
      </c>
      <c r="BO408" s="197" t="str">
        <f t="shared" si="24"/>
        <v/>
      </c>
      <c r="BP408" s="197" t="str">
        <f t="shared" si="26"/>
        <v/>
      </c>
      <c r="BQ408" s="197" t="str">
        <f>IF(C408="","",IF(COUNTIF(BP$6:BP408,BP408)&gt;1,"",BP408))</f>
        <v/>
      </c>
      <c r="BR408" s="197" t="str">
        <f t="shared" si="27"/>
        <v/>
      </c>
    </row>
    <row r="409" spans="66:70" x14ac:dyDescent="0.2">
      <c r="BN409" s="192" t="str">
        <f t="shared" si="25"/>
        <v/>
      </c>
      <c r="BO409" s="197" t="str">
        <f t="shared" si="24"/>
        <v/>
      </c>
      <c r="BP409" s="197" t="str">
        <f t="shared" si="26"/>
        <v/>
      </c>
      <c r="BQ409" s="197" t="str">
        <f>IF(C409="","",IF(COUNTIF(BP$6:BP409,BP409)&gt;1,"",BP409))</f>
        <v/>
      </c>
      <c r="BR409" s="197" t="str">
        <f t="shared" si="27"/>
        <v/>
      </c>
    </row>
    <row r="410" spans="66:70" x14ac:dyDescent="0.2">
      <c r="BN410" s="192" t="str">
        <f t="shared" si="25"/>
        <v/>
      </c>
      <c r="BO410" s="197" t="str">
        <f t="shared" si="24"/>
        <v/>
      </c>
      <c r="BP410" s="197" t="str">
        <f t="shared" si="26"/>
        <v/>
      </c>
      <c r="BQ410" s="197" t="str">
        <f>IF(C410="","",IF(COUNTIF(BP$6:BP410,BP410)&gt;1,"",BP410))</f>
        <v/>
      </c>
      <c r="BR410" s="197" t="str">
        <f t="shared" si="27"/>
        <v/>
      </c>
    </row>
    <row r="411" spans="66:70" x14ac:dyDescent="0.2">
      <c r="BN411" s="192" t="str">
        <f t="shared" si="25"/>
        <v/>
      </c>
      <c r="BO411" s="197" t="str">
        <f t="shared" si="24"/>
        <v/>
      </c>
      <c r="BP411" s="197" t="str">
        <f t="shared" si="26"/>
        <v/>
      </c>
      <c r="BQ411" s="197" t="str">
        <f>IF(C411="","",IF(COUNTIF(BP$6:BP411,BP411)&gt;1,"",BP411))</f>
        <v/>
      </c>
      <c r="BR411" s="197" t="str">
        <f t="shared" si="27"/>
        <v/>
      </c>
    </row>
    <row r="412" spans="66:70" x14ac:dyDescent="0.2">
      <c r="BN412" s="192" t="str">
        <f t="shared" si="25"/>
        <v/>
      </c>
      <c r="BO412" s="197" t="str">
        <f t="shared" si="24"/>
        <v/>
      </c>
      <c r="BP412" s="197" t="str">
        <f t="shared" si="26"/>
        <v/>
      </c>
      <c r="BQ412" s="197" t="str">
        <f>IF(C412="","",IF(COUNTIF(BP$6:BP412,BP412)&gt;1,"",BP412))</f>
        <v/>
      </c>
      <c r="BR412" s="197" t="str">
        <f t="shared" si="27"/>
        <v/>
      </c>
    </row>
    <row r="413" spans="66:70" x14ac:dyDescent="0.2">
      <c r="BN413" s="192" t="str">
        <f t="shared" si="25"/>
        <v/>
      </c>
      <c r="BO413" s="197" t="str">
        <f t="shared" si="24"/>
        <v/>
      </c>
      <c r="BP413" s="197" t="str">
        <f t="shared" si="26"/>
        <v/>
      </c>
      <c r="BQ413" s="197" t="str">
        <f>IF(C413="","",IF(COUNTIF(BP$6:BP413,BP413)&gt;1,"",BP413))</f>
        <v/>
      </c>
      <c r="BR413" s="197" t="str">
        <f t="shared" si="27"/>
        <v/>
      </c>
    </row>
    <row r="414" spans="66:70" x14ac:dyDescent="0.2">
      <c r="BN414" s="192" t="str">
        <f t="shared" si="25"/>
        <v/>
      </c>
      <c r="BO414" s="197" t="str">
        <f t="shared" si="24"/>
        <v/>
      </c>
      <c r="BP414" s="197" t="str">
        <f t="shared" si="26"/>
        <v/>
      </c>
      <c r="BQ414" s="197" t="str">
        <f>IF(C414="","",IF(COUNTIF(BP$6:BP414,BP414)&gt;1,"",BP414))</f>
        <v/>
      </c>
      <c r="BR414" s="197" t="str">
        <f t="shared" si="27"/>
        <v/>
      </c>
    </row>
    <row r="415" spans="66:70" x14ac:dyDescent="0.2">
      <c r="BN415" s="192" t="str">
        <f t="shared" si="25"/>
        <v/>
      </c>
      <c r="BO415" s="197" t="str">
        <f t="shared" si="24"/>
        <v/>
      </c>
      <c r="BP415" s="197" t="str">
        <f t="shared" si="26"/>
        <v/>
      </c>
      <c r="BQ415" s="197" t="str">
        <f>IF(C415="","",IF(COUNTIF(BP$6:BP415,BP415)&gt;1,"",BP415))</f>
        <v/>
      </c>
      <c r="BR415" s="197" t="str">
        <f t="shared" si="27"/>
        <v/>
      </c>
    </row>
    <row r="416" spans="66:70" x14ac:dyDescent="0.2">
      <c r="BN416" s="192" t="str">
        <f t="shared" si="25"/>
        <v/>
      </c>
      <c r="BO416" s="197" t="str">
        <f t="shared" si="24"/>
        <v/>
      </c>
      <c r="BP416" s="197" t="str">
        <f t="shared" si="26"/>
        <v/>
      </c>
      <c r="BQ416" s="197" t="str">
        <f>IF(C416="","",IF(COUNTIF(BP$6:BP416,BP416)&gt;1,"",BP416))</f>
        <v/>
      </c>
      <c r="BR416" s="197" t="str">
        <f t="shared" si="27"/>
        <v/>
      </c>
    </row>
    <row r="417" spans="66:70" x14ac:dyDescent="0.2">
      <c r="BN417" s="192" t="str">
        <f t="shared" si="25"/>
        <v/>
      </c>
      <c r="BO417" s="197" t="str">
        <f t="shared" si="24"/>
        <v/>
      </c>
      <c r="BP417" s="197" t="str">
        <f t="shared" si="26"/>
        <v/>
      </c>
      <c r="BQ417" s="197" t="str">
        <f>IF(C417="","",IF(COUNTIF(BP$6:BP417,BP417)&gt;1,"",BP417))</f>
        <v/>
      </c>
      <c r="BR417" s="197" t="str">
        <f t="shared" si="27"/>
        <v/>
      </c>
    </row>
    <row r="418" spans="66:70" x14ac:dyDescent="0.2">
      <c r="BN418" s="192" t="str">
        <f t="shared" si="25"/>
        <v/>
      </c>
      <c r="BO418" s="197" t="str">
        <f t="shared" si="24"/>
        <v/>
      </c>
      <c r="BP418" s="197" t="str">
        <f t="shared" si="26"/>
        <v/>
      </c>
      <c r="BQ418" s="197" t="str">
        <f>IF(C418="","",IF(COUNTIF(BP$6:BP418,BP418)&gt;1,"",BP418))</f>
        <v/>
      </c>
      <c r="BR418" s="197" t="str">
        <f t="shared" si="27"/>
        <v/>
      </c>
    </row>
    <row r="419" spans="66:70" x14ac:dyDescent="0.2">
      <c r="BN419" s="192" t="str">
        <f t="shared" si="25"/>
        <v/>
      </c>
      <c r="BO419" s="197" t="str">
        <f t="shared" si="24"/>
        <v/>
      </c>
      <c r="BP419" s="197" t="str">
        <f t="shared" si="26"/>
        <v/>
      </c>
      <c r="BQ419" s="197" t="str">
        <f>IF(C419="","",IF(COUNTIF(BP$6:BP419,BP419)&gt;1,"",BP419))</f>
        <v/>
      </c>
      <c r="BR419" s="197" t="str">
        <f t="shared" si="27"/>
        <v/>
      </c>
    </row>
    <row r="420" spans="66:70" x14ac:dyDescent="0.2">
      <c r="BN420" s="192" t="str">
        <f t="shared" si="25"/>
        <v/>
      </c>
      <c r="BO420" s="197" t="str">
        <f t="shared" si="24"/>
        <v/>
      </c>
      <c r="BP420" s="197" t="str">
        <f t="shared" si="26"/>
        <v/>
      </c>
      <c r="BQ420" s="197" t="str">
        <f>IF(C420="","",IF(COUNTIF(BP$6:BP420,BP420)&gt;1,"",BP420))</f>
        <v/>
      </c>
      <c r="BR420" s="197" t="str">
        <f t="shared" si="27"/>
        <v/>
      </c>
    </row>
    <row r="421" spans="66:70" x14ac:dyDescent="0.2">
      <c r="BN421" s="192" t="str">
        <f t="shared" si="25"/>
        <v/>
      </c>
      <c r="BO421" s="197" t="str">
        <f t="shared" si="24"/>
        <v/>
      </c>
      <c r="BP421" s="197" t="str">
        <f t="shared" si="26"/>
        <v/>
      </c>
      <c r="BQ421" s="197" t="str">
        <f>IF(C421="","",IF(COUNTIF(BP$6:BP421,BP421)&gt;1,"",BP421))</f>
        <v/>
      </c>
      <c r="BR421" s="197" t="str">
        <f t="shared" si="27"/>
        <v/>
      </c>
    </row>
    <row r="422" spans="66:70" x14ac:dyDescent="0.2">
      <c r="BN422" s="192" t="str">
        <f t="shared" si="25"/>
        <v/>
      </c>
      <c r="BO422" s="197" t="str">
        <f t="shared" si="24"/>
        <v/>
      </c>
      <c r="BP422" s="197" t="str">
        <f t="shared" si="26"/>
        <v/>
      </c>
      <c r="BQ422" s="197" t="str">
        <f>IF(C422="","",IF(COUNTIF(BP$6:BP422,BP422)&gt;1,"",BP422))</f>
        <v/>
      </c>
      <c r="BR422" s="197" t="str">
        <f t="shared" si="27"/>
        <v/>
      </c>
    </row>
    <row r="423" spans="66:70" x14ac:dyDescent="0.2">
      <c r="BN423" s="192" t="str">
        <f t="shared" si="25"/>
        <v/>
      </c>
      <c r="BO423" s="197" t="str">
        <f t="shared" si="24"/>
        <v/>
      </c>
      <c r="BP423" s="197" t="str">
        <f t="shared" si="26"/>
        <v/>
      </c>
      <c r="BQ423" s="197" t="str">
        <f>IF(C423="","",IF(COUNTIF(BP$6:BP423,BP423)&gt;1,"",BP423))</f>
        <v/>
      </c>
      <c r="BR423" s="197" t="str">
        <f t="shared" si="27"/>
        <v/>
      </c>
    </row>
    <row r="424" spans="66:70" x14ac:dyDescent="0.2">
      <c r="BN424" s="192" t="str">
        <f t="shared" si="25"/>
        <v/>
      </c>
      <c r="BO424" s="197" t="str">
        <f t="shared" si="24"/>
        <v/>
      </c>
      <c r="BP424" s="197" t="str">
        <f t="shared" si="26"/>
        <v/>
      </c>
      <c r="BQ424" s="197" t="str">
        <f>IF(C424="","",IF(COUNTIF(BP$6:BP424,BP424)&gt;1,"",BP424))</f>
        <v/>
      </c>
      <c r="BR424" s="197" t="str">
        <f t="shared" si="27"/>
        <v/>
      </c>
    </row>
    <row r="425" spans="66:70" x14ac:dyDescent="0.2">
      <c r="BN425" s="192" t="str">
        <f t="shared" si="25"/>
        <v/>
      </c>
      <c r="BO425" s="197" t="str">
        <f t="shared" si="24"/>
        <v/>
      </c>
      <c r="BP425" s="197" t="str">
        <f t="shared" si="26"/>
        <v/>
      </c>
      <c r="BQ425" s="197" t="str">
        <f>IF(C425="","",IF(COUNTIF(BP$6:BP425,BP425)&gt;1,"",BP425))</f>
        <v/>
      </c>
      <c r="BR425" s="197" t="str">
        <f t="shared" si="27"/>
        <v/>
      </c>
    </row>
    <row r="426" spans="66:70" x14ac:dyDescent="0.2">
      <c r="BN426" s="192" t="str">
        <f t="shared" si="25"/>
        <v/>
      </c>
      <c r="BO426" s="197" t="str">
        <f t="shared" si="24"/>
        <v/>
      </c>
      <c r="BP426" s="197" t="str">
        <f t="shared" si="26"/>
        <v/>
      </c>
      <c r="BQ426" s="197" t="str">
        <f>IF(C426="","",IF(COUNTIF(BP$6:BP426,BP426)&gt;1,"",BP426))</f>
        <v/>
      </c>
      <c r="BR426" s="197" t="str">
        <f t="shared" si="27"/>
        <v/>
      </c>
    </row>
    <row r="427" spans="66:70" x14ac:dyDescent="0.2">
      <c r="BN427" s="192" t="str">
        <f t="shared" si="25"/>
        <v/>
      </c>
      <c r="BO427" s="197" t="str">
        <f t="shared" si="24"/>
        <v/>
      </c>
      <c r="BP427" s="197" t="str">
        <f t="shared" si="26"/>
        <v/>
      </c>
      <c r="BQ427" s="197" t="str">
        <f>IF(C427="","",IF(COUNTIF(BP$6:BP427,BP427)&gt;1,"",BP427))</f>
        <v/>
      </c>
      <c r="BR427" s="197" t="str">
        <f t="shared" si="27"/>
        <v/>
      </c>
    </row>
    <row r="428" spans="66:70" x14ac:dyDescent="0.2">
      <c r="BN428" s="192" t="str">
        <f t="shared" si="25"/>
        <v/>
      </c>
      <c r="BO428" s="197" t="str">
        <f t="shared" si="24"/>
        <v/>
      </c>
      <c r="BP428" s="197" t="str">
        <f t="shared" si="26"/>
        <v/>
      </c>
      <c r="BQ428" s="197" t="str">
        <f>IF(C428="","",IF(COUNTIF(BP$6:BP428,BP428)&gt;1,"",BP428))</f>
        <v/>
      </c>
      <c r="BR428" s="197" t="str">
        <f t="shared" si="27"/>
        <v/>
      </c>
    </row>
    <row r="429" spans="66:70" x14ac:dyDescent="0.2">
      <c r="BN429" s="192" t="str">
        <f t="shared" si="25"/>
        <v/>
      </c>
      <c r="BO429" s="197" t="str">
        <f t="shared" si="24"/>
        <v/>
      </c>
      <c r="BP429" s="197" t="str">
        <f t="shared" si="26"/>
        <v/>
      </c>
      <c r="BQ429" s="197" t="str">
        <f>IF(C429="","",IF(COUNTIF(BP$6:BP429,BP429)&gt;1,"",BP429))</f>
        <v/>
      </c>
      <c r="BR429" s="197" t="str">
        <f t="shared" si="27"/>
        <v/>
      </c>
    </row>
    <row r="430" spans="66:70" x14ac:dyDescent="0.2">
      <c r="BN430" s="192" t="str">
        <f t="shared" si="25"/>
        <v/>
      </c>
      <c r="BO430" s="197" t="str">
        <f t="shared" si="24"/>
        <v/>
      </c>
      <c r="BP430" s="197" t="str">
        <f t="shared" si="26"/>
        <v/>
      </c>
      <c r="BQ430" s="197" t="str">
        <f>IF(C430="","",IF(COUNTIF(BP$6:BP430,BP430)&gt;1,"",BP430))</f>
        <v/>
      </c>
      <c r="BR430" s="197" t="str">
        <f t="shared" si="27"/>
        <v/>
      </c>
    </row>
    <row r="431" spans="66:70" x14ac:dyDescent="0.2">
      <c r="BN431" s="192" t="str">
        <f t="shared" si="25"/>
        <v/>
      </c>
      <c r="BO431" s="197" t="str">
        <f t="shared" si="24"/>
        <v/>
      </c>
      <c r="BP431" s="197" t="str">
        <f t="shared" si="26"/>
        <v/>
      </c>
      <c r="BQ431" s="197" t="str">
        <f>IF(C431="","",IF(COUNTIF(BP$6:BP431,BP431)&gt;1,"",BP431))</f>
        <v/>
      </c>
      <c r="BR431" s="197" t="str">
        <f t="shared" si="27"/>
        <v/>
      </c>
    </row>
    <row r="432" spans="66:70" x14ac:dyDescent="0.2">
      <c r="BN432" s="192" t="str">
        <f t="shared" si="25"/>
        <v/>
      </c>
      <c r="BO432" s="197" t="str">
        <f t="shared" si="24"/>
        <v/>
      </c>
      <c r="BP432" s="197" t="str">
        <f t="shared" si="26"/>
        <v/>
      </c>
      <c r="BQ432" s="197" t="str">
        <f>IF(C432="","",IF(COUNTIF(BP$6:BP432,BP432)&gt;1,"",BP432))</f>
        <v/>
      </c>
      <c r="BR432" s="197" t="str">
        <f t="shared" si="27"/>
        <v/>
      </c>
    </row>
    <row r="433" spans="66:70" x14ac:dyDescent="0.2">
      <c r="BN433" s="192" t="str">
        <f t="shared" si="25"/>
        <v/>
      </c>
      <c r="BO433" s="197" t="str">
        <f t="shared" si="24"/>
        <v/>
      </c>
      <c r="BP433" s="197" t="str">
        <f t="shared" si="26"/>
        <v/>
      </c>
      <c r="BQ433" s="197" t="str">
        <f>IF(C433="","",IF(COUNTIF(BP$6:BP433,BP433)&gt;1,"",BP433))</f>
        <v/>
      </c>
      <c r="BR433" s="197" t="str">
        <f t="shared" si="27"/>
        <v/>
      </c>
    </row>
    <row r="434" spans="66:70" x14ac:dyDescent="0.2">
      <c r="BN434" s="192" t="str">
        <f t="shared" si="25"/>
        <v/>
      </c>
      <c r="BO434" s="197" t="str">
        <f t="shared" si="24"/>
        <v/>
      </c>
      <c r="BP434" s="197" t="str">
        <f t="shared" si="26"/>
        <v/>
      </c>
      <c r="BQ434" s="197" t="str">
        <f>IF(C434="","",IF(COUNTIF(BP$6:BP434,BP434)&gt;1,"",BP434))</f>
        <v/>
      </c>
      <c r="BR434" s="197" t="str">
        <f t="shared" si="27"/>
        <v/>
      </c>
    </row>
    <row r="435" spans="66:70" x14ac:dyDescent="0.2">
      <c r="BN435" s="192" t="str">
        <f t="shared" si="25"/>
        <v/>
      </c>
      <c r="BO435" s="197" t="str">
        <f t="shared" si="24"/>
        <v/>
      </c>
      <c r="BP435" s="197" t="str">
        <f t="shared" si="26"/>
        <v/>
      </c>
      <c r="BQ435" s="197" t="str">
        <f>IF(C435="","",IF(COUNTIF(BP$6:BP435,BP435)&gt;1,"",BP435))</f>
        <v/>
      </c>
      <c r="BR435" s="197" t="str">
        <f t="shared" si="27"/>
        <v/>
      </c>
    </row>
    <row r="436" spans="66:70" x14ac:dyDescent="0.2">
      <c r="BN436" s="192" t="str">
        <f t="shared" si="25"/>
        <v/>
      </c>
      <c r="BO436" s="197" t="str">
        <f t="shared" si="24"/>
        <v/>
      </c>
      <c r="BP436" s="197" t="str">
        <f t="shared" si="26"/>
        <v/>
      </c>
      <c r="BQ436" s="197" t="str">
        <f>IF(C436="","",IF(COUNTIF(BP$6:BP436,BP436)&gt;1,"",BP436))</f>
        <v/>
      </c>
      <c r="BR436" s="197" t="str">
        <f t="shared" si="27"/>
        <v/>
      </c>
    </row>
    <row r="437" spans="66:70" x14ac:dyDescent="0.2">
      <c r="BN437" s="192" t="str">
        <f t="shared" si="25"/>
        <v/>
      </c>
      <c r="BO437" s="197" t="str">
        <f t="shared" si="24"/>
        <v/>
      </c>
      <c r="BP437" s="197" t="str">
        <f t="shared" si="26"/>
        <v/>
      </c>
      <c r="BQ437" s="197" t="str">
        <f>IF(C437="","",IF(COUNTIF(BP$6:BP437,BP437)&gt;1,"",BP437))</f>
        <v/>
      </c>
      <c r="BR437" s="197" t="str">
        <f t="shared" si="27"/>
        <v/>
      </c>
    </row>
    <row r="438" spans="66:70" x14ac:dyDescent="0.2">
      <c r="BN438" s="192" t="str">
        <f t="shared" si="25"/>
        <v/>
      </c>
      <c r="BO438" s="197" t="str">
        <f t="shared" si="24"/>
        <v/>
      </c>
      <c r="BP438" s="197" t="str">
        <f t="shared" si="26"/>
        <v/>
      </c>
      <c r="BQ438" s="197" t="str">
        <f>IF(C438="","",IF(COUNTIF(BP$6:BP438,BP438)&gt;1,"",BP438))</f>
        <v/>
      </c>
      <c r="BR438" s="197" t="str">
        <f t="shared" si="27"/>
        <v/>
      </c>
    </row>
    <row r="439" spans="66:70" x14ac:dyDescent="0.2">
      <c r="BN439" s="192" t="str">
        <f t="shared" si="25"/>
        <v/>
      </c>
      <c r="BO439" s="197" t="str">
        <f t="shared" si="24"/>
        <v/>
      </c>
      <c r="BP439" s="197" t="str">
        <f t="shared" si="26"/>
        <v/>
      </c>
      <c r="BQ439" s="197" t="str">
        <f>IF(C439="","",IF(COUNTIF(BP$6:BP439,BP439)&gt;1,"",BP439))</f>
        <v/>
      </c>
      <c r="BR439" s="197" t="str">
        <f t="shared" si="27"/>
        <v/>
      </c>
    </row>
    <row r="440" spans="66:70" x14ac:dyDescent="0.2">
      <c r="BN440" s="192" t="str">
        <f t="shared" si="25"/>
        <v/>
      </c>
      <c r="BO440" s="197" t="str">
        <f t="shared" si="24"/>
        <v/>
      </c>
      <c r="BP440" s="197" t="str">
        <f t="shared" si="26"/>
        <v/>
      </c>
      <c r="BQ440" s="197" t="str">
        <f>IF(C440="","",IF(COUNTIF(BP$6:BP440,BP440)&gt;1,"",BP440))</f>
        <v/>
      </c>
      <c r="BR440" s="197" t="str">
        <f t="shared" si="27"/>
        <v/>
      </c>
    </row>
    <row r="441" spans="66:70" x14ac:dyDescent="0.2">
      <c r="BN441" s="192" t="str">
        <f t="shared" si="25"/>
        <v/>
      </c>
      <c r="BO441" s="197" t="str">
        <f t="shared" si="24"/>
        <v/>
      </c>
      <c r="BP441" s="197" t="str">
        <f t="shared" si="26"/>
        <v/>
      </c>
      <c r="BQ441" s="197" t="str">
        <f>IF(C441="","",IF(COUNTIF(BP$6:BP441,BP441)&gt;1,"",BP441))</f>
        <v/>
      </c>
      <c r="BR441" s="197" t="str">
        <f t="shared" si="27"/>
        <v/>
      </c>
    </row>
    <row r="442" spans="66:70" x14ac:dyDescent="0.2">
      <c r="BN442" s="192" t="str">
        <f t="shared" si="25"/>
        <v/>
      </c>
      <c r="BO442" s="197" t="str">
        <f t="shared" si="24"/>
        <v/>
      </c>
      <c r="BP442" s="197" t="str">
        <f t="shared" si="26"/>
        <v/>
      </c>
      <c r="BQ442" s="197" t="str">
        <f>IF(C442="","",IF(COUNTIF(BP$6:BP442,BP442)&gt;1,"",BP442))</f>
        <v/>
      </c>
      <c r="BR442" s="197" t="str">
        <f t="shared" si="27"/>
        <v/>
      </c>
    </row>
    <row r="443" spans="66:70" x14ac:dyDescent="0.2">
      <c r="BN443" s="192" t="str">
        <f t="shared" si="25"/>
        <v/>
      </c>
      <c r="BO443" s="197" t="str">
        <f t="shared" si="24"/>
        <v/>
      </c>
      <c r="BP443" s="197" t="str">
        <f t="shared" si="26"/>
        <v/>
      </c>
      <c r="BQ443" s="197" t="str">
        <f>IF(C443="","",IF(COUNTIF(BP$6:BP443,BP443)&gt;1,"",BP443))</f>
        <v/>
      </c>
      <c r="BR443" s="197" t="str">
        <f t="shared" si="27"/>
        <v/>
      </c>
    </row>
    <row r="444" spans="66:70" x14ac:dyDescent="0.2">
      <c r="BN444" s="192" t="str">
        <f t="shared" si="25"/>
        <v/>
      </c>
      <c r="BO444" s="197" t="str">
        <f t="shared" si="24"/>
        <v/>
      </c>
      <c r="BP444" s="197" t="str">
        <f t="shared" si="26"/>
        <v/>
      </c>
      <c r="BQ444" s="197" t="str">
        <f>IF(C444="","",IF(COUNTIF(BP$6:BP444,BP444)&gt;1,"",BP444))</f>
        <v/>
      </c>
      <c r="BR444" s="197" t="str">
        <f t="shared" si="27"/>
        <v/>
      </c>
    </row>
    <row r="445" spans="66:70" x14ac:dyDescent="0.2">
      <c r="BN445" s="192" t="str">
        <f t="shared" si="25"/>
        <v/>
      </c>
      <c r="BO445" s="197" t="str">
        <f t="shared" si="24"/>
        <v/>
      </c>
      <c r="BP445" s="197" t="str">
        <f t="shared" si="26"/>
        <v/>
      </c>
      <c r="BQ445" s="197" t="str">
        <f>IF(C445="","",IF(COUNTIF(BP$6:BP445,BP445)&gt;1,"",BP445))</f>
        <v/>
      </c>
      <c r="BR445" s="197" t="str">
        <f t="shared" si="27"/>
        <v/>
      </c>
    </row>
    <row r="446" spans="66:70" x14ac:dyDescent="0.2">
      <c r="BN446" s="192" t="str">
        <f t="shared" si="25"/>
        <v/>
      </c>
      <c r="BO446" s="197" t="str">
        <f t="shared" si="24"/>
        <v/>
      </c>
      <c r="BP446" s="197" t="str">
        <f t="shared" si="26"/>
        <v/>
      </c>
      <c r="BQ446" s="197" t="str">
        <f>IF(C446="","",IF(COUNTIF(BP$6:BP446,BP446)&gt;1,"",BP446))</f>
        <v/>
      </c>
      <c r="BR446" s="197" t="str">
        <f t="shared" si="27"/>
        <v/>
      </c>
    </row>
    <row r="447" spans="66:70" x14ac:dyDescent="0.2">
      <c r="BN447" s="192" t="str">
        <f t="shared" si="25"/>
        <v/>
      </c>
      <c r="BO447" s="197" t="str">
        <f t="shared" si="24"/>
        <v/>
      </c>
      <c r="BP447" s="197" t="str">
        <f t="shared" si="26"/>
        <v/>
      </c>
      <c r="BQ447" s="197" t="str">
        <f>IF(C447="","",IF(COUNTIF(BP$6:BP447,BP447)&gt;1,"",BP447))</f>
        <v/>
      </c>
      <c r="BR447" s="197" t="str">
        <f t="shared" si="27"/>
        <v/>
      </c>
    </row>
    <row r="448" spans="66:70" x14ac:dyDescent="0.2">
      <c r="BN448" s="192" t="str">
        <f t="shared" si="25"/>
        <v/>
      </c>
      <c r="BO448" s="197" t="str">
        <f t="shared" si="24"/>
        <v/>
      </c>
      <c r="BP448" s="197" t="str">
        <f t="shared" si="26"/>
        <v/>
      </c>
      <c r="BQ448" s="197" t="str">
        <f>IF(C448="","",IF(COUNTIF(BP$6:BP448,BP448)&gt;1,"",BP448))</f>
        <v/>
      </c>
      <c r="BR448" s="197" t="str">
        <f t="shared" si="27"/>
        <v/>
      </c>
    </row>
    <row r="449" spans="66:70" x14ac:dyDescent="0.2">
      <c r="BN449" s="192" t="str">
        <f t="shared" si="25"/>
        <v/>
      </c>
      <c r="BO449" s="197" t="str">
        <f t="shared" si="24"/>
        <v/>
      </c>
      <c r="BP449" s="197" t="str">
        <f t="shared" si="26"/>
        <v/>
      </c>
      <c r="BQ449" s="197" t="str">
        <f>IF(C449="","",IF(COUNTIF(BP$6:BP449,BP449)&gt;1,"",BP449))</f>
        <v/>
      </c>
      <c r="BR449" s="197" t="str">
        <f t="shared" si="27"/>
        <v/>
      </c>
    </row>
    <row r="450" spans="66:70" x14ac:dyDescent="0.2">
      <c r="BN450" s="192" t="str">
        <f t="shared" si="25"/>
        <v/>
      </c>
      <c r="BO450" s="197" t="str">
        <f t="shared" si="24"/>
        <v/>
      </c>
      <c r="BP450" s="197" t="str">
        <f t="shared" si="26"/>
        <v/>
      </c>
      <c r="BQ450" s="197" t="str">
        <f>IF(C450="","",IF(COUNTIF(BP$6:BP450,BP450)&gt;1,"",BP450))</f>
        <v/>
      </c>
      <c r="BR450" s="197" t="str">
        <f t="shared" si="27"/>
        <v/>
      </c>
    </row>
    <row r="451" spans="66:70" x14ac:dyDescent="0.2">
      <c r="BN451" s="192" t="str">
        <f t="shared" si="25"/>
        <v/>
      </c>
      <c r="BO451" s="197" t="str">
        <f t="shared" si="24"/>
        <v/>
      </c>
      <c r="BP451" s="197" t="str">
        <f t="shared" si="26"/>
        <v/>
      </c>
      <c r="BQ451" s="197" t="str">
        <f>IF(C451="","",IF(COUNTIF(BP$6:BP451,BP451)&gt;1,"",BP451))</f>
        <v/>
      </c>
      <c r="BR451" s="197" t="str">
        <f t="shared" si="27"/>
        <v/>
      </c>
    </row>
    <row r="452" spans="66:70" x14ac:dyDescent="0.2">
      <c r="BN452" s="192" t="str">
        <f t="shared" si="25"/>
        <v/>
      </c>
      <c r="BO452" s="197" t="str">
        <f t="shared" si="24"/>
        <v/>
      </c>
      <c r="BP452" s="197" t="str">
        <f t="shared" si="26"/>
        <v/>
      </c>
      <c r="BQ452" s="197" t="str">
        <f>IF(C452="","",IF(COUNTIF(BP$6:BP452,BP452)&gt;1,"",BP452))</f>
        <v/>
      </c>
      <c r="BR452" s="197" t="str">
        <f t="shared" si="27"/>
        <v/>
      </c>
    </row>
    <row r="453" spans="66:70" x14ac:dyDescent="0.2">
      <c r="BN453" s="192" t="str">
        <f t="shared" si="25"/>
        <v/>
      </c>
      <c r="BO453" s="197" t="str">
        <f t="shared" si="24"/>
        <v/>
      </c>
      <c r="BP453" s="197" t="str">
        <f t="shared" si="26"/>
        <v/>
      </c>
      <c r="BQ453" s="197" t="str">
        <f>IF(C453="","",IF(COUNTIF(BP$6:BP453,BP453)&gt;1,"",BP453))</f>
        <v/>
      </c>
      <c r="BR453" s="197" t="str">
        <f t="shared" si="27"/>
        <v/>
      </c>
    </row>
    <row r="454" spans="66:70" x14ac:dyDescent="0.2">
      <c r="BN454" s="192" t="str">
        <f t="shared" si="25"/>
        <v/>
      </c>
      <c r="BO454" s="197" t="str">
        <f t="shared" ref="BO454:BO506" si="28">IF(C454="","",Q454+U454)</f>
        <v/>
      </c>
      <c r="BP454" s="197" t="str">
        <f t="shared" si="26"/>
        <v/>
      </c>
      <c r="BQ454" s="197" t="str">
        <f>IF(C454="","",IF(COUNTIF(BP$6:BP454,BP454)&gt;1,"",BP454))</f>
        <v/>
      </c>
      <c r="BR454" s="197" t="str">
        <f t="shared" si="27"/>
        <v/>
      </c>
    </row>
    <row r="455" spans="66:70" x14ac:dyDescent="0.2">
      <c r="BN455" s="192" t="str">
        <f t="shared" ref="BN455:BN506" si="29">IF(C455="","",1)</f>
        <v/>
      </c>
      <c r="BO455" s="197" t="str">
        <f t="shared" si="28"/>
        <v/>
      </c>
      <c r="BP455" s="197" t="str">
        <f t="shared" ref="BP455:BP506" si="30">IF(C455="","",IF(MAX($BO$6:$BO$506)-BO455=0,1,""))</f>
        <v/>
      </c>
      <c r="BQ455" s="197" t="str">
        <f>IF(C455="","",IF(COUNTIF(BP$6:BP455,BP455)&gt;1,"",BP455))</f>
        <v/>
      </c>
      <c r="BR455" s="197" t="str">
        <f t="shared" ref="BR455:BR506" si="31">IF(F455="","",IF(BQ455=1,MAX($BO$6:$BO$506),0))</f>
        <v/>
      </c>
    </row>
    <row r="456" spans="66:70" x14ac:dyDescent="0.2">
      <c r="BN456" s="192" t="str">
        <f t="shared" si="29"/>
        <v/>
      </c>
      <c r="BO456" s="197" t="str">
        <f t="shared" si="28"/>
        <v/>
      </c>
      <c r="BP456" s="197" t="str">
        <f t="shared" si="30"/>
        <v/>
      </c>
      <c r="BQ456" s="197" t="str">
        <f>IF(C456="","",IF(COUNTIF(BP$6:BP456,BP456)&gt;1,"",BP456))</f>
        <v/>
      </c>
      <c r="BR456" s="197" t="str">
        <f t="shared" si="31"/>
        <v/>
      </c>
    </row>
    <row r="457" spans="66:70" x14ac:dyDescent="0.2">
      <c r="BN457" s="192" t="str">
        <f t="shared" si="29"/>
        <v/>
      </c>
      <c r="BO457" s="197" t="str">
        <f t="shared" si="28"/>
        <v/>
      </c>
      <c r="BP457" s="197" t="str">
        <f t="shared" si="30"/>
        <v/>
      </c>
      <c r="BQ457" s="197" t="str">
        <f>IF(C457="","",IF(COUNTIF(BP$6:BP457,BP457)&gt;1,"",BP457))</f>
        <v/>
      </c>
      <c r="BR457" s="197" t="str">
        <f t="shared" si="31"/>
        <v/>
      </c>
    </row>
    <row r="458" spans="66:70" x14ac:dyDescent="0.2">
      <c r="BN458" s="192" t="str">
        <f t="shared" si="29"/>
        <v/>
      </c>
      <c r="BO458" s="197" t="str">
        <f t="shared" si="28"/>
        <v/>
      </c>
      <c r="BP458" s="197" t="str">
        <f t="shared" si="30"/>
        <v/>
      </c>
      <c r="BQ458" s="197" t="str">
        <f>IF(C458="","",IF(COUNTIF(BP$6:BP458,BP458)&gt;1,"",BP458))</f>
        <v/>
      </c>
      <c r="BR458" s="197" t="str">
        <f t="shared" si="31"/>
        <v/>
      </c>
    </row>
    <row r="459" spans="66:70" x14ac:dyDescent="0.2">
      <c r="BN459" s="192" t="str">
        <f t="shared" si="29"/>
        <v/>
      </c>
      <c r="BO459" s="197" t="str">
        <f t="shared" si="28"/>
        <v/>
      </c>
      <c r="BP459" s="197" t="str">
        <f t="shared" si="30"/>
        <v/>
      </c>
      <c r="BQ459" s="197" t="str">
        <f>IF(C459="","",IF(COUNTIF(BP$6:BP459,BP459)&gt;1,"",BP459))</f>
        <v/>
      </c>
      <c r="BR459" s="197" t="str">
        <f t="shared" si="31"/>
        <v/>
      </c>
    </row>
    <row r="460" spans="66:70" x14ac:dyDescent="0.2">
      <c r="BN460" s="192" t="str">
        <f t="shared" si="29"/>
        <v/>
      </c>
      <c r="BO460" s="197" t="str">
        <f t="shared" si="28"/>
        <v/>
      </c>
      <c r="BP460" s="197" t="str">
        <f t="shared" si="30"/>
        <v/>
      </c>
      <c r="BQ460" s="197" t="str">
        <f>IF(C460="","",IF(COUNTIF(BP$6:BP460,BP460)&gt;1,"",BP460))</f>
        <v/>
      </c>
      <c r="BR460" s="197" t="str">
        <f t="shared" si="31"/>
        <v/>
      </c>
    </row>
    <row r="461" spans="66:70" x14ac:dyDescent="0.2">
      <c r="BN461" s="192" t="str">
        <f t="shared" si="29"/>
        <v/>
      </c>
      <c r="BO461" s="197" t="str">
        <f t="shared" si="28"/>
        <v/>
      </c>
      <c r="BP461" s="197" t="str">
        <f t="shared" si="30"/>
        <v/>
      </c>
      <c r="BQ461" s="197" t="str">
        <f>IF(C461="","",IF(COUNTIF(BP$6:BP461,BP461)&gt;1,"",BP461))</f>
        <v/>
      </c>
      <c r="BR461" s="197" t="str">
        <f t="shared" si="31"/>
        <v/>
      </c>
    </row>
    <row r="462" spans="66:70" x14ac:dyDescent="0.2">
      <c r="BN462" s="192" t="str">
        <f t="shared" si="29"/>
        <v/>
      </c>
      <c r="BO462" s="197" t="str">
        <f t="shared" si="28"/>
        <v/>
      </c>
      <c r="BP462" s="197" t="str">
        <f t="shared" si="30"/>
        <v/>
      </c>
      <c r="BQ462" s="197" t="str">
        <f>IF(C462="","",IF(COUNTIF(BP$6:BP462,BP462)&gt;1,"",BP462))</f>
        <v/>
      </c>
      <c r="BR462" s="197" t="str">
        <f t="shared" si="31"/>
        <v/>
      </c>
    </row>
    <row r="463" spans="66:70" x14ac:dyDescent="0.2">
      <c r="BN463" s="192" t="str">
        <f t="shared" si="29"/>
        <v/>
      </c>
      <c r="BO463" s="197" t="str">
        <f t="shared" si="28"/>
        <v/>
      </c>
      <c r="BP463" s="197" t="str">
        <f t="shared" si="30"/>
        <v/>
      </c>
      <c r="BQ463" s="197" t="str">
        <f>IF(C463="","",IF(COUNTIF(BP$6:BP463,BP463)&gt;1,"",BP463))</f>
        <v/>
      </c>
      <c r="BR463" s="197" t="str">
        <f t="shared" si="31"/>
        <v/>
      </c>
    </row>
    <row r="464" spans="66:70" x14ac:dyDescent="0.2">
      <c r="BN464" s="192" t="str">
        <f t="shared" si="29"/>
        <v/>
      </c>
      <c r="BO464" s="197" t="str">
        <f t="shared" si="28"/>
        <v/>
      </c>
      <c r="BP464" s="197" t="str">
        <f t="shared" si="30"/>
        <v/>
      </c>
      <c r="BQ464" s="197" t="str">
        <f>IF(C464="","",IF(COUNTIF(BP$6:BP464,BP464)&gt;1,"",BP464))</f>
        <v/>
      </c>
      <c r="BR464" s="197" t="str">
        <f t="shared" si="31"/>
        <v/>
      </c>
    </row>
    <row r="465" spans="66:70" x14ac:dyDescent="0.2">
      <c r="BN465" s="192" t="str">
        <f t="shared" si="29"/>
        <v/>
      </c>
      <c r="BO465" s="197" t="str">
        <f t="shared" si="28"/>
        <v/>
      </c>
      <c r="BP465" s="197" t="str">
        <f t="shared" si="30"/>
        <v/>
      </c>
      <c r="BQ465" s="197" t="str">
        <f>IF(C465="","",IF(COUNTIF(BP$6:BP465,BP465)&gt;1,"",BP465))</f>
        <v/>
      </c>
      <c r="BR465" s="197" t="str">
        <f t="shared" si="31"/>
        <v/>
      </c>
    </row>
    <row r="466" spans="66:70" x14ac:dyDescent="0.2">
      <c r="BN466" s="192" t="str">
        <f t="shared" si="29"/>
        <v/>
      </c>
      <c r="BO466" s="197" t="str">
        <f t="shared" si="28"/>
        <v/>
      </c>
      <c r="BP466" s="197" t="str">
        <f t="shared" si="30"/>
        <v/>
      </c>
      <c r="BQ466" s="197" t="str">
        <f>IF(C466="","",IF(COUNTIF(BP$6:BP466,BP466)&gt;1,"",BP466))</f>
        <v/>
      </c>
      <c r="BR466" s="197" t="str">
        <f t="shared" si="31"/>
        <v/>
      </c>
    </row>
    <row r="467" spans="66:70" x14ac:dyDescent="0.2">
      <c r="BN467" s="192" t="str">
        <f t="shared" si="29"/>
        <v/>
      </c>
      <c r="BO467" s="197" t="str">
        <f t="shared" si="28"/>
        <v/>
      </c>
      <c r="BP467" s="197" t="str">
        <f t="shared" si="30"/>
        <v/>
      </c>
      <c r="BQ467" s="197" t="str">
        <f>IF(C467="","",IF(COUNTIF(BP$6:BP467,BP467)&gt;1,"",BP467))</f>
        <v/>
      </c>
      <c r="BR467" s="197" t="str">
        <f t="shared" si="31"/>
        <v/>
      </c>
    </row>
    <row r="468" spans="66:70" x14ac:dyDescent="0.2">
      <c r="BN468" s="192" t="str">
        <f t="shared" si="29"/>
        <v/>
      </c>
      <c r="BO468" s="197" t="str">
        <f t="shared" si="28"/>
        <v/>
      </c>
      <c r="BP468" s="197" t="str">
        <f t="shared" si="30"/>
        <v/>
      </c>
      <c r="BQ468" s="197" t="str">
        <f>IF(C468="","",IF(COUNTIF(BP$6:BP468,BP468)&gt;1,"",BP468))</f>
        <v/>
      </c>
      <c r="BR468" s="197" t="str">
        <f t="shared" si="31"/>
        <v/>
      </c>
    </row>
    <row r="469" spans="66:70" x14ac:dyDescent="0.2">
      <c r="BN469" s="192" t="str">
        <f t="shared" si="29"/>
        <v/>
      </c>
      <c r="BO469" s="197" t="str">
        <f t="shared" si="28"/>
        <v/>
      </c>
      <c r="BP469" s="197" t="str">
        <f t="shared" si="30"/>
        <v/>
      </c>
      <c r="BQ469" s="197" t="str">
        <f>IF(C469="","",IF(COUNTIF(BP$6:BP469,BP469)&gt;1,"",BP469))</f>
        <v/>
      </c>
      <c r="BR469" s="197" t="str">
        <f t="shared" si="31"/>
        <v/>
      </c>
    </row>
    <row r="470" spans="66:70" x14ac:dyDescent="0.2">
      <c r="BN470" s="192" t="str">
        <f t="shared" si="29"/>
        <v/>
      </c>
      <c r="BO470" s="197" t="str">
        <f t="shared" si="28"/>
        <v/>
      </c>
      <c r="BP470" s="197" t="str">
        <f t="shared" si="30"/>
        <v/>
      </c>
      <c r="BQ470" s="197" t="str">
        <f>IF(C470="","",IF(COUNTIF(BP$6:BP470,BP470)&gt;1,"",BP470))</f>
        <v/>
      </c>
      <c r="BR470" s="197" t="str">
        <f t="shared" si="31"/>
        <v/>
      </c>
    </row>
    <row r="471" spans="66:70" x14ac:dyDescent="0.2">
      <c r="BN471" s="192" t="str">
        <f t="shared" si="29"/>
        <v/>
      </c>
      <c r="BO471" s="197" t="str">
        <f t="shared" si="28"/>
        <v/>
      </c>
      <c r="BP471" s="197" t="str">
        <f t="shared" si="30"/>
        <v/>
      </c>
      <c r="BQ471" s="197" t="str">
        <f>IF(C471="","",IF(COUNTIF(BP$6:BP471,BP471)&gt;1,"",BP471))</f>
        <v/>
      </c>
      <c r="BR471" s="197" t="str">
        <f t="shared" si="31"/>
        <v/>
      </c>
    </row>
    <row r="472" spans="66:70" x14ac:dyDescent="0.2">
      <c r="BN472" s="192" t="str">
        <f t="shared" si="29"/>
        <v/>
      </c>
      <c r="BO472" s="197" t="str">
        <f t="shared" si="28"/>
        <v/>
      </c>
      <c r="BP472" s="197" t="str">
        <f t="shared" si="30"/>
        <v/>
      </c>
      <c r="BQ472" s="197" t="str">
        <f>IF(C472="","",IF(COUNTIF(BP$6:BP472,BP472)&gt;1,"",BP472))</f>
        <v/>
      </c>
      <c r="BR472" s="197" t="str">
        <f t="shared" si="31"/>
        <v/>
      </c>
    </row>
    <row r="473" spans="66:70" x14ac:dyDescent="0.2">
      <c r="BN473" s="192" t="str">
        <f t="shared" si="29"/>
        <v/>
      </c>
      <c r="BO473" s="197" t="str">
        <f t="shared" si="28"/>
        <v/>
      </c>
      <c r="BP473" s="197" t="str">
        <f t="shared" si="30"/>
        <v/>
      </c>
      <c r="BQ473" s="197" t="str">
        <f>IF(C473="","",IF(COUNTIF(BP$6:BP473,BP473)&gt;1,"",BP473))</f>
        <v/>
      </c>
      <c r="BR473" s="197" t="str">
        <f t="shared" si="31"/>
        <v/>
      </c>
    </row>
    <row r="474" spans="66:70" x14ac:dyDescent="0.2">
      <c r="BN474" s="192" t="str">
        <f t="shared" si="29"/>
        <v/>
      </c>
      <c r="BO474" s="197" t="str">
        <f t="shared" si="28"/>
        <v/>
      </c>
      <c r="BP474" s="197" t="str">
        <f t="shared" si="30"/>
        <v/>
      </c>
      <c r="BQ474" s="197" t="str">
        <f>IF(C474="","",IF(COUNTIF(BP$6:BP474,BP474)&gt;1,"",BP474))</f>
        <v/>
      </c>
      <c r="BR474" s="197" t="str">
        <f t="shared" si="31"/>
        <v/>
      </c>
    </row>
    <row r="475" spans="66:70" x14ac:dyDescent="0.2">
      <c r="BN475" s="192" t="str">
        <f t="shared" si="29"/>
        <v/>
      </c>
      <c r="BO475" s="197" t="str">
        <f t="shared" si="28"/>
        <v/>
      </c>
      <c r="BP475" s="197" t="str">
        <f t="shared" si="30"/>
        <v/>
      </c>
      <c r="BQ475" s="197" t="str">
        <f>IF(C475="","",IF(COUNTIF(BP$6:BP475,BP475)&gt;1,"",BP475))</f>
        <v/>
      </c>
      <c r="BR475" s="197" t="str">
        <f t="shared" si="31"/>
        <v/>
      </c>
    </row>
    <row r="476" spans="66:70" x14ac:dyDescent="0.2">
      <c r="BN476" s="192" t="str">
        <f t="shared" si="29"/>
        <v/>
      </c>
      <c r="BO476" s="197" t="str">
        <f t="shared" si="28"/>
        <v/>
      </c>
      <c r="BP476" s="197" t="str">
        <f t="shared" si="30"/>
        <v/>
      </c>
      <c r="BQ476" s="197" t="str">
        <f>IF(C476="","",IF(COUNTIF(BP$6:BP476,BP476)&gt;1,"",BP476))</f>
        <v/>
      </c>
      <c r="BR476" s="197" t="str">
        <f t="shared" si="31"/>
        <v/>
      </c>
    </row>
    <row r="477" spans="66:70" x14ac:dyDescent="0.2">
      <c r="BN477" s="192" t="str">
        <f t="shared" si="29"/>
        <v/>
      </c>
      <c r="BO477" s="197" t="str">
        <f t="shared" si="28"/>
        <v/>
      </c>
      <c r="BP477" s="197" t="str">
        <f t="shared" si="30"/>
        <v/>
      </c>
      <c r="BQ477" s="197" t="str">
        <f>IF(C477="","",IF(COUNTIF(BP$6:BP477,BP477)&gt;1,"",BP477))</f>
        <v/>
      </c>
      <c r="BR477" s="197" t="str">
        <f t="shared" si="31"/>
        <v/>
      </c>
    </row>
    <row r="478" spans="66:70" x14ac:dyDescent="0.2">
      <c r="BN478" s="192" t="str">
        <f t="shared" si="29"/>
        <v/>
      </c>
      <c r="BO478" s="197" t="str">
        <f t="shared" si="28"/>
        <v/>
      </c>
      <c r="BP478" s="197" t="str">
        <f t="shared" si="30"/>
        <v/>
      </c>
      <c r="BQ478" s="197" t="str">
        <f>IF(C478="","",IF(COUNTIF(BP$6:BP478,BP478)&gt;1,"",BP478))</f>
        <v/>
      </c>
      <c r="BR478" s="197" t="str">
        <f t="shared" si="31"/>
        <v/>
      </c>
    </row>
    <row r="479" spans="66:70" x14ac:dyDescent="0.2">
      <c r="BN479" s="192" t="str">
        <f t="shared" si="29"/>
        <v/>
      </c>
      <c r="BO479" s="197" t="str">
        <f t="shared" si="28"/>
        <v/>
      </c>
      <c r="BP479" s="197" t="str">
        <f t="shared" si="30"/>
        <v/>
      </c>
      <c r="BQ479" s="197" t="str">
        <f>IF(C479="","",IF(COUNTIF(BP$6:BP479,BP479)&gt;1,"",BP479))</f>
        <v/>
      </c>
      <c r="BR479" s="197" t="str">
        <f t="shared" si="31"/>
        <v/>
      </c>
    </row>
    <row r="480" spans="66:70" x14ac:dyDescent="0.2">
      <c r="BN480" s="192" t="str">
        <f t="shared" si="29"/>
        <v/>
      </c>
      <c r="BO480" s="197" t="str">
        <f t="shared" si="28"/>
        <v/>
      </c>
      <c r="BP480" s="197" t="str">
        <f t="shared" si="30"/>
        <v/>
      </c>
      <c r="BQ480" s="197" t="str">
        <f>IF(C480="","",IF(COUNTIF(BP$6:BP480,BP480)&gt;1,"",BP480))</f>
        <v/>
      </c>
      <c r="BR480" s="197" t="str">
        <f t="shared" si="31"/>
        <v/>
      </c>
    </row>
    <row r="481" spans="66:70" x14ac:dyDescent="0.2">
      <c r="BN481" s="192" t="str">
        <f t="shared" si="29"/>
        <v/>
      </c>
      <c r="BO481" s="197" t="str">
        <f t="shared" si="28"/>
        <v/>
      </c>
      <c r="BP481" s="197" t="str">
        <f t="shared" si="30"/>
        <v/>
      </c>
      <c r="BQ481" s="197" t="str">
        <f>IF(C481="","",IF(COUNTIF(BP$6:BP481,BP481)&gt;1,"",BP481))</f>
        <v/>
      </c>
      <c r="BR481" s="197" t="str">
        <f t="shared" si="31"/>
        <v/>
      </c>
    </row>
    <row r="482" spans="66:70" x14ac:dyDescent="0.2">
      <c r="BN482" s="192" t="str">
        <f t="shared" si="29"/>
        <v/>
      </c>
      <c r="BO482" s="197" t="str">
        <f t="shared" si="28"/>
        <v/>
      </c>
      <c r="BP482" s="197" t="str">
        <f t="shared" si="30"/>
        <v/>
      </c>
      <c r="BQ482" s="197" t="str">
        <f>IF(C482="","",IF(COUNTIF(BP$6:BP482,BP482)&gt;1,"",BP482))</f>
        <v/>
      </c>
      <c r="BR482" s="197" t="str">
        <f t="shared" si="31"/>
        <v/>
      </c>
    </row>
    <row r="483" spans="66:70" x14ac:dyDescent="0.2">
      <c r="BN483" s="192" t="str">
        <f t="shared" si="29"/>
        <v/>
      </c>
      <c r="BO483" s="197" t="str">
        <f t="shared" si="28"/>
        <v/>
      </c>
      <c r="BP483" s="197" t="str">
        <f t="shared" si="30"/>
        <v/>
      </c>
      <c r="BQ483" s="197" t="str">
        <f>IF(C483="","",IF(COUNTIF(BP$6:BP483,BP483)&gt;1,"",BP483))</f>
        <v/>
      </c>
      <c r="BR483" s="197" t="str">
        <f t="shared" si="31"/>
        <v/>
      </c>
    </row>
    <row r="484" spans="66:70" x14ac:dyDescent="0.2">
      <c r="BN484" s="192" t="str">
        <f t="shared" si="29"/>
        <v/>
      </c>
      <c r="BO484" s="197" t="str">
        <f t="shared" si="28"/>
        <v/>
      </c>
      <c r="BP484" s="197" t="str">
        <f t="shared" si="30"/>
        <v/>
      </c>
      <c r="BQ484" s="197" t="str">
        <f>IF(C484="","",IF(COUNTIF(BP$6:BP484,BP484)&gt;1,"",BP484))</f>
        <v/>
      </c>
      <c r="BR484" s="197" t="str">
        <f t="shared" si="31"/>
        <v/>
      </c>
    </row>
    <row r="485" spans="66:70" x14ac:dyDescent="0.2">
      <c r="BN485" s="192" t="str">
        <f t="shared" si="29"/>
        <v/>
      </c>
      <c r="BO485" s="197" t="str">
        <f t="shared" si="28"/>
        <v/>
      </c>
      <c r="BP485" s="197" t="str">
        <f t="shared" si="30"/>
        <v/>
      </c>
      <c r="BQ485" s="197" t="str">
        <f>IF(C485="","",IF(COUNTIF(BP$6:BP485,BP485)&gt;1,"",BP485))</f>
        <v/>
      </c>
      <c r="BR485" s="197" t="str">
        <f t="shared" si="31"/>
        <v/>
      </c>
    </row>
    <row r="486" spans="66:70" x14ac:dyDescent="0.2">
      <c r="BN486" s="192" t="str">
        <f t="shared" si="29"/>
        <v/>
      </c>
      <c r="BO486" s="197" t="str">
        <f t="shared" si="28"/>
        <v/>
      </c>
      <c r="BP486" s="197" t="str">
        <f t="shared" si="30"/>
        <v/>
      </c>
      <c r="BQ486" s="197" t="str">
        <f>IF(C486="","",IF(COUNTIF(BP$6:BP486,BP486)&gt;1,"",BP486))</f>
        <v/>
      </c>
      <c r="BR486" s="197" t="str">
        <f t="shared" si="31"/>
        <v/>
      </c>
    </row>
    <row r="487" spans="66:70" x14ac:dyDescent="0.2">
      <c r="BN487" s="192" t="str">
        <f t="shared" si="29"/>
        <v/>
      </c>
      <c r="BO487" s="197" t="str">
        <f t="shared" si="28"/>
        <v/>
      </c>
      <c r="BP487" s="197" t="str">
        <f t="shared" si="30"/>
        <v/>
      </c>
      <c r="BQ487" s="197" t="str">
        <f>IF(C487="","",IF(COUNTIF(BP$6:BP487,BP487)&gt;1,"",BP487))</f>
        <v/>
      </c>
      <c r="BR487" s="197" t="str">
        <f t="shared" si="31"/>
        <v/>
      </c>
    </row>
    <row r="488" spans="66:70" x14ac:dyDescent="0.2">
      <c r="BN488" s="192" t="str">
        <f t="shared" si="29"/>
        <v/>
      </c>
      <c r="BO488" s="197" t="str">
        <f t="shared" si="28"/>
        <v/>
      </c>
      <c r="BP488" s="197" t="str">
        <f t="shared" si="30"/>
        <v/>
      </c>
      <c r="BQ488" s="197" t="str">
        <f>IF(C488="","",IF(COUNTIF(BP$6:BP488,BP488)&gt;1,"",BP488))</f>
        <v/>
      </c>
      <c r="BR488" s="197" t="str">
        <f t="shared" si="31"/>
        <v/>
      </c>
    </row>
    <row r="489" spans="66:70" x14ac:dyDescent="0.2">
      <c r="BN489" s="192" t="str">
        <f t="shared" si="29"/>
        <v/>
      </c>
      <c r="BO489" s="197" t="str">
        <f t="shared" si="28"/>
        <v/>
      </c>
      <c r="BP489" s="197" t="str">
        <f t="shared" si="30"/>
        <v/>
      </c>
      <c r="BQ489" s="197" t="str">
        <f>IF(C489="","",IF(COUNTIF(BP$6:BP489,BP489)&gt;1,"",BP489))</f>
        <v/>
      </c>
      <c r="BR489" s="197" t="str">
        <f t="shared" si="31"/>
        <v/>
      </c>
    </row>
    <row r="490" spans="66:70" x14ac:dyDescent="0.2">
      <c r="BN490" s="192" t="str">
        <f t="shared" si="29"/>
        <v/>
      </c>
      <c r="BO490" s="197" t="str">
        <f t="shared" si="28"/>
        <v/>
      </c>
      <c r="BP490" s="197" t="str">
        <f t="shared" si="30"/>
        <v/>
      </c>
      <c r="BQ490" s="197" t="str">
        <f>IF(C490="","",IF(COUNTIF(BP$6:BP490,BP490)&gt;1,"",BP490))</f>
        <v/>
      </c>
      <c r="BR490" s="197" t="str">
        <f t="shared" si="31"/>
        <v/>
      </c>
    </row>
    <row r="491" spans="66:70" x14ac:dyDescent="0.2">
      <c r="BN491" s="192" t="str">
        <f t="shared" si="29"/>
        <v/>
      </c>
      <c r="BO491" s="197" t="str">
        <f t="shared" si="28"/>
        <v/>
      </c>
      <c r="BP491" s="197" t="str">
        <f t="shared" si="30"/>
        <v/>
      </c>
      <c r="BQ491" s="197" t="str">
        <f>IF(C491="","",IF(COUNTIF(BP$6:BP491,BP491)&gt;1,"",BP491))</f>
        <v/>
      </c>
      <c r="BR491" s="197" t="str">
        <f t="shared" si="31"/>
        <v/>
      </c>
    </row>
    <row r="492" spans="66:70" x14ac:dyDescent="0.2">
      <c r="BN492" s="192" t="str">
        <f t="shared" si="29"/>
        <v/>
      </c>
      <c r="BO492" s="197" t="str">
        <f t="shared" si="28"/>
        <v/>
      </c>
      <c r="BP492" s="197" t="str">
        <f t="shared" si="30"/>
        <v/>
      </c>
      <c r="BQ492" s="197" t="str">
        <f>IF(C492="","",IF(COUNTIF(BP$6:BP492,BP492)&gt;1,"",BP492))</f>
        <v/>
      </c>
      <c r="BR492" s="197" t="str">
        <f t="shared" si="31"/>
        <v/>
      </c>
    </row>
    <row r="493" spans="66:70" x14ac:dyDescent="0.2">
      <c r="BN493" s="192" t="str">
        <f t="shared" si="29"/>
        <v/>
      </c>
      <c r="BO493" s="197" t="str">
        <f t="shared" si="28"/>
        <v/>
      </c>
      <c r="BP493" s="197" t="str">
        <f t="shared" si="30"/>
        <v/>
      </c>
      <c r="BQ493" s="197" t="str">
        <f>IF(C493="","",IF(COUNTIF(BP$6:BP493,BP493)&gt;1,"",BP493))</f>
        <v/>
      </c>
      <c r="BR493" s="197" t="str">
        <f t="shared" si="31"/>
        <v/>
      </c>
    </row>
    <row r="494" spans="66:70" x14ac:dyDescent="0.2">
      <c r="BN494" s="192" t="str">
        <f t="shared" si="29"/>
        <v/>
      </c>
      <c r="BO494" s="197" t="str">
        <f t="shared" si="28"/>
        <v/>
      </c>
      <c r="BP494" s="197" t="str">
        <f t="shared" si="30"/>
        <v/>
      </c>
      <c r="BQ494" s="197" t="str">
        <f>IF(C494="","",IF(COUNTIF(BP$6:BP494,BP494)&gt;1,"",BP494))</f>
        <v/>
      </c>
      <c r="BR494" s="197" t="str">
        <f t="shared" si="31"/>
        <v/>
      </c>
    </row>
    <row r="495" spans="66:70" x14ac:dyDescent="0.2">
      <c r="BN495" s="192" t="str">
        <f t="shared" si="29"/>
        <v/>
      </c>
      <c r="BO495" s="197" t="str">
        <f t="shared" si="28"/>
        <v/>
      </c>
      <c r="BP495" s="197" t="str">
        <f t="shared" si="30"/>
        <v/>
      </c>
      <c r="BQ495" s="197" t="str">
        <f>IF(C495="","",IF(COUNTIF(BP$6:BP495,BP495)&gt;1,"",BP495))</f>
        <v/>
      </c>
      <c r="BR495" s="197" t="str">
        <f t="shared" si="31"/>
        <v/>
      </c>
    </row>
    <row r="496" spans="66:70" x14ac:dyDescent="0.2">
      <c r="BN496" s="192" t="str">
        <f t="shared" si="29"/>
        <v/>
      </c>
      <c r="BO496" s="197" t="str">
        <f t="shared" si="28"/>
        <v/>
      </c>
      <c r="BP496" s="197" t="str">
        <f t="shared" si="30"/>
        <v/>
      </c>
      <c r="BQ496" s="197" t="str">
        <f>IF(C496="","",IF(COUNTIF(BP$6:BP496,BP496)&gt;1,"",BP496))</f>
        <v/>
      </c>
      <c r="BR496" s="197" t="str">
        <f t="shared" si="31"/>
        <v/>
      </c>
    </row>
    <row r="497" spans="66:70" x14ac:dyDescent="0.2">
      <c r="BN497" s="192" t="str">
        <f t="shared" si="29"/>
        <v/>
      </c>
      <c r="BO497" s="197" t="str">
        <f t="shared" si="28"/>
        <v/>
      </c>
      <c r="BP497" s="197" t="str">
        <f t="shared" si="30"/>
        <v/>
      </c>
      <c r="BQ497" s="197" t="str">
        <f>IF(C497="","",IF(COUNTIF(BP$6:BP497,BP497)&gt;1,"",BP497))</f>
        <v/>
      </c>
      <c r="BR497" s="197" t="str">
        <f t="shared" si="31"/>
        <v/>
      </c>
    </row>
    <row r="498" spans="66:70" x14ac:dyDescent="0.2">
      <c r="BN498" s="192" t="str">
        <f t="shared" si="29"/>
        <v/>
      </c>
      <c r="BO498" s="197" t="str">
        <f t="shared" si="28"/>
        <v/>
      </c>
      <c r="BP498" s="197" t="str">
        <f t="shared" si="30"/>
        <v/>
      </c>
      <c r="BQ498" s="197" t="str">
        <f>IF(C498="","",IF(COUNTIF(BP$6:BP498,BP498)&gt;1,"",BP498))</f>
        <v/>
      </c>
      <c r="BR498" s="197" t="str">
        <f t="shared" si="31"/>
        <v/>
      </c>
    </row>
    <row r="499" spans="66:70" x14ac:dyDescent="0.2">
      <c r="BN499" s="192" t="str">
        <f t="shared" si="29"/>
        <v/>
      </c>
      <c r="BO499" s="197" t="str">
        <f t="shared" si="28"/>
        <v/>
      </c>
      <c r="BP499" s="197" t="str">
        <f t="shared" si="30"/>
        <v/>
      </c>
      <c r="BQ499" s="197" t="str">
        <f>IF(C499="","",IF(COUNTIF(BP$6:BP499,BP499)&gt;1,"",BP499))</f>
        <v/>
      </c>
      <c r="BR499" s="197" t="str">
        <f t="shared" si="31"/>
        <v/>
      </c>
    </row>
    <row r="500" spans="66:70" x14ac:dyDescent="0.2">
      <c r="BN500" s="192" t="str">
        <f t="shared" si="29"/>
        <v/>
      </c>
      <c r="BO500" s="197" t="str">
        <f t="shared" si="28"/>
        <v/>
      </c>
      <c r="BP500" s="197" t="str">
        <f t="shared" si="30"/>
        <v/>
      </c>
      <c r="BQ500" s="197" t="str">
        <f>IF(C500="","",IF(COUNTIF(BP$6:BP500,BP500)&gt;1,"",BP500))</f>
        <v/>
      </c>
      <c r="BR500" s="197" t="str">
        <f t="shared" si="31"/>
        <v/>
      </c>
    </row>
    <row r="501" spans="66:70" x14ac:dyDescent="0.2">
      <c r="BN501" s="192" t="str">
        <f t="shared" si="29"/>
        <v/>
      </c>
      <c r="BO501" s="197" t="str">
        <f t="shared" si="28"/>
        <v/>
      </c>
      <c r="BP501" s="197" t="str">
        <f t="shared" si="30"/>
        <v/>
      </c>
      <c r="BQ501" s="197" t="str">
        <f>IF(C501="","",IF(COUNTIF(BP$6:BP501,BP501)&gt;1,"",BP501))</f>
        <v/>
      </c>
      <c r="BR501" s="197" t="str">
        <f t="shared" si="31"/>
        <v/>
      </c>
    </row>
    <row r="502" spans="66:70" x14ac:dyDescent="0.2">
      <c r="BN502" s="192" t="str">
        <f t="shared" si="29"/>
        <v/>
      </c>
      <c r="BO502" s="197" t="str">
        <f t="shared" si="28"/>
        <v/>
      </c>
      <c r="BP502" s="197" t="str">
        <f t="shared" si="30"/>
        <v/>
      </c>
      <c r="BQ502" s="197" t="str">
        <f>IF(C502="","",IF(COUNTIF(BP$6:BP502,BP502)&gt;1,"",BP502))</f>
        <v/>
      </c>
      <c r="BR502" s="197" t="str">
        <f t="shared" si="31"/>
        <v/>
      </c>
    </row>
    <row r="503" spans="66:70" x14ac:dyDescent="0.2">
      <c r="BN503" s="192" t="str">
        <f t="shared" si="29"/>
        <v/>
      </c>
      <c r="BO503" s="197" t="str">
        <f t="shared" si="28"/>
        <v/>
      </c>
      <c r="BP503" s="197" t="str">
        <f t="shared" si="30"/>
        <v/>
      </c>
      <c r="BQ503" s="197" t="str">
        <f>IF(C503="","",IF(COUNTIF(BP$6:BP503,BP503)&gt;1,"",BP503))</f>
        <v/>
      </c>
      <c r="BR503" s="197" t="str">
        <f t="shared" si="31"/>
        <v/>
      </c>
    </row>
    <row r="504" spans="66:70" x14ac:dyDescent="0.2">
      <c r="BN504" s="192" t="str">
        <f t="shared" si="29"/>
        <v/>
      </c>
      <c r="BO504" s="197" t="str">
        <f t="shared" si="28"/>
        <v/>
      </c>
      <c r="BP504" s="197" t="str">
        <f t="shared" si="30"/>
        <v/>
      </c>
      <c r="BQ504" s="197" t="str">
        <f>IF(C504="","",IF(COUNTIF(BP$6:BP504,BP504)&gt;1,"",BP504))</f>
        <v/>
      </c>
      <c r="BR504" s="197" t="str">
        <f t="shared" si="31"/>
        <v/>
      </c>
    </row>
    <row r="505" spans="66:70" x14ac:dyDescent="0.2">
      <c r="BN505" s="192" t="str">
        <f t="shared" si="29"/>
        <v/>
      </c>
      <c r="BO505" s="197" t="str">
        <f t="shared" si="28"/>
        <v/>
      </c>
      <c r="BP505" s="197" t="str">
        <f t="shared" si="30"/>
        <v/>
      </c>
      <c r="BQ505" s="197" t="str">
        <f>IF(C505="","",IF(COUNTIF(BP$6:BP505,BP505)&gt;1,"",BP505))</f>
        <v/>
      </c>
      <c r="BR505" s="197" t="str">
        <f t="shared" si="31"/>
        <v/>
      </c>
    </row>
    <row r="506" spans="66:70" x14ac:dyDescent="0.2">
      <c r="BN506" s="192" t="str">
        <f t="shared" si="29"/>
        <v/>
      </c>
      <c r="BO506" s="197" t="str">
        <f t="shared" si="28"/>
        <v/>
      </c>
      <c r="BP506" s="197" t="str">
        <f t="shared" si="30"/>
        <v/>
      </c>
      <c r="BQ506" s="197" t="str">
        <f>IF(C506="","",IF(COUNTIF(BP$6:BP506,BP506)&gt;1,"",BP506))</f>
        <v/>
      </c>
      <c r="BR506" s="197" t="str">
        <f t="shared" si="31"/>
        <v/>
      </c>
    </row>
    <row r="507" spans="66:70" x14ac:dyDescent="0.2">
      <c r="BN507" s="192"/>
      <c r="BO507" s="197"/>
      <c r="BP507" s="197"/>
      <c r="BQ507" s="197"/>
    </row>
    <row r="508" spans="66:70" x14ac:dyDescent="0.2">
      <c r="BN508" s="192"/>
      <c r="BO508" s="197"/>
      <c r="BP508" s="197"/>
      <c r="BQ508" s="197"/>
    </row>
    <row r="509" spans="66:70" x14ac:dyDescent="0.2">
      <c r="BN509" s="192"/>
      <c r="BO509" s="197"/>
      <c r="BP509" s="197"/>
      <c r="BQ509" s="197"/>
    </row>
    <row r="510" spans="66:70" x14ac:dyDescent="0.2">
      <c r="BN510" s="192"/>
      <c r="BO510" s="197"/>
      <c r="BP510" s="197"/>
      <c r="BQ510" s="197"/>
    </row>
    <row r="511" spans="66:70" x14ac:dyDescent="0.2">
      <c r="BN511" s="192"/>
      <c r="BO511" s="197"/>
      <c r="BP511" s="197"/>
      <c r="BQ511" s="197"/>
    </row>
    <row r="512" spans="66:70" x14ac:dyDescent="0.2">
      <c r="BN512" s="192"/>
      <c r="BO512" s="197"/>
      <c r="BP512" s="197"/>
      <c r="BQ512" s="197"/>
    </row>
    <row r="513" spans="66:69" x14ac:dyDescent="0.2">
      <c r="BN513" s="192"/>
      <c r="BO513" s="197"/>
      <c r="BP513" s="197"/>
      <c r="BQ513" s="197"/>
    </row>
    <row r="514" spans="66:69" x14ac:dyDescent="0.2">
      <c r="BN514" s="192"/>
      <c r="BO514" s="197"/>
      <c r="BP514" s="197"/>
      <c r="BQ514" s="197"/>
    </row>
    <row r="515" spans="66:69" x14ac:dyDescent="0.2">
      <c r="BN515" s="192"/>
      <c r="BO515" s="197"/>
      <c r="BP515" s="197"/>
      <c r="BQ515" s="197"/>
    </row>
    <row r="516" spans="66:69" x14ac:dyDescent="0.2">
      <c r="BN516" s="192"/>
      <c r="BO516" s="197"/>
      <c r="BP516" s="197"/>
      <c r="BQ516" s="197"/>
    </row>
    <row r="517" spans="66:69" x14ac:dyDescent="0.2">
      <c r="BN517" s="192"/>
      <c r="BO517" s="197"/>
      <c r="BP517" s="197"/>
      <c r="BQ517" s="197"/>
    </row>
    <row r="518" spans="66:69" x14ac:dyDescent="0.2">
      <c r="BN518" s="192"/>
      <c r="BO518" s="197"/>
      <c r="BP518" s="197"/>
      <c r="BQ518" s="197"/>
    </row>
    <row r="519" spans="66:69" x14ac:dyDescent="0.2">
      <c r="BN519" s="192"/>
      <c r="BO519" s="197"/>
      <c r="BP519" s="197"/>
      <c r="BQ519" s="197"/>
    </row>
    <row r="520" spans="66:69" x14ac:dyDescent="0.2">
      <c r="BN520" s="192"/>
      <c r="BO520" s="197"/>
      <c r="BP520" s="197"/>
      <c r="BQ520" s="197"/>
    </row>
    <row r="521" spans="66:69" x14ac:dyDescent="0.2">
      <c r="BN521" s="192"/>
      <c r="BO521" s="197"/>
      <c r="BP521" s="197"/>
      <c r="BQ521" s="197"/>
    </row>
    <row r="522" spans="66:69" x14ac:dyDescent="0.2">
      <c r="BN522" s="192"/>
      <c r="BO522" s="197"/>
      <c r="BP522" s="197"/>
      <c r="BQ522" s="197"/>
    </row>
    <row r="523" spans="66:69" x14ac:dyDescent="0.2">
      <c r="BN523" s="192"/>
      <c r="BO523" s="197"/>
      <c r="BP523" s="197"/>
      <c r="BQ523" s="197"/>
    </row>
    <row r="524" spans="66:69" x14ac:dyDescent="0.2">
      <c r="BN524" s="192"/>
      <c r="BO524" s="197"/>
      <c r="BP524" s="197"/>
      <c r="BQ524" s="197"/>
    </row>
    <row r="525" spans="66:69" x14ac:dyDescent="0.2">
      <c r="BN525" s="192"/>
      <c r="BO525" s="197"/>
      <c r="BP525" s="197"/>
      <c r="BQ525" s="197"/>
    </row>
    <row r="526" spans="66:69" x14ac:dyDescent="0.2">
      <c r="BN526" s="192"/>
      <c r="BO526" s="197"/>
      <c r="BP526" s="197"/>
      <c r="BQ526" s="197"/>
    </row>
    <row r="527" spans="66:69" x14ac:dyDescent="0.2">
      <c r="BN527" s="192"/>
      <c r="BO527" s="197"/>
      <c r="BP527" s="197"/>
      <c r="BQ527" s="197"/>
    </row>
    <row r="528" spans="66:69" x14ac:dyDescent="0.2">
      <c r="BN528" s="192"/>
      <c r="BO528" s="197"/>
      <c r="BP528" s="197"/>
      <c r="BQ528" s="197"/>
    </row>
    <row r="529" spans="66:69" x14ac:dyDescent="0.2">
      <c r="BN529" s="192"/>
      <c r="BO529" s="197"/>
      <c r="BP529" s="197"/>
      <c r="BQ529" s="197"/>
    </row>
    <row r="530" spans="66:69" x14ac:dyDescent="0.2">
      <c r="BN530" s="192"/>
      <c r="BO530" s="197"/>
      <c r="BP530" s="197"/>
      <c r="BQ530" s="197"/>
    </row>
    <row r="531" spans="66:69" x14ac:dyDescent="0.2">
      <c r="BN531" s="192"/>
      <c r="BO531" s="197"/>
      <c r="BP531" s="197"/>
      <c r="BQ531" s="197"/>
    </row>
    <row r="532" spans="66:69" x14ac:dyDescent="0.2">
      <c r="BN532" s="192"/>
      <c r="BO532" s="197"/>
      <c r="BP532" s="197"/>
      <c r="BQ532" s="197"/>
    </row>
    <row r="533" spans="66:69" x14ac:dyDescent="0.2">
      <c r="BN533" s="192"/>
      <c r="BO533" s="197"/>
      <c r="BP533" s="197"/>
      <c r="BQ533" s="197"/>
    </row>
    <row r="534" spans="66:69" x14ac:dyDescent="0.2">
      <c r="BN534" s="192"/>
      <c r="BO534" s="197"/>
      <c r="BP534" s="197"/>
      <c r="BQ534" s="197"/>
    </row>
    <row r="535" spans="66:69" x14ac:dyDescent="0.2">
      <c r="BN535" s="192"/>
      <c r="BO535" s="197"/>
      <c r="BP535" s="197"/>
      <c r="BQ535" s="197"/>
    </row>
    <row r="536" spans="66:69" x14ac:dyDescent="0.2">
      <c r="BN536" s="192"/>
      <c r="BO536" s="197"/>
      <c r="BP536" s="197"/>
      <c r="BQ536" s="197"/>
    </row>
    <row r="537" spans="66:69" x14ac:dyDescent="0.2">
      <c r="BN537" s="192"/>
      <c r="BO537" s="197"/>
      <c r="BP537" s="197"/>
      <c r="BQ537" s="197"/>
    </row>
    <row r="538" spans="66:69" x14ac:dyDescent="0.2">
      <c r="BN538" s="192"/>
      <c r="BO538" s="197"/>
      <c r="BP538" s="197"/>
      <c r="BQ538" s="197"/>
    </row>
    <row r="539" spans="66:69" x14ac:dyDescent="0.2">
      <c r="BN539" s="192"/>
      <c r="BO539" s="197"/>
      <c r="BP539" s="197"/>
      <c r="BQ539" s="197"/>
    </row>
    <row r="540" spans="66:69" x14ac:dyDescent="0.2">
      <c r="BN540" s="192"/>
      <c r="BO540" s="197"/>
      <c r="BP540" s="197"/>
      <c r="BQ540" s="197"/>
    </row>
    <row r="541" spans="66:69" x14ac:dyDescent="0.2">
      <c r="BN541" s="192"/>
      <c r="BO541" s="197"/>
      <c r="BP541" s="197"/>
      <c r="BQ541" s="197"/>
    </row>
    <row r="542" spans="66:69" x14ac:dyDescent="0.2">
      <c r="BN542" s="192"/>
      <c r="BO542" s="197"/>
      <c r="BP542" s="197"/>
      <c r="BQ542" s="197"/>
    </row>
    <row r="543" spans="66:69" x14ac:dyDescent="0.2">
      <c r="BN543" s="192"/>
      <c r="BO543" s="197"/>
      <c r="BP543" s="197"/>
      <c r="BQ543" s="197"/>
    </row>
    <row r="544" spans="66:69" x14ac:dyDescent="0.2">
      <c r="BN544" s="192"/>
      <c r="BO544" s="197"/>
      <c r="BP544" s="197"/>
      <c r="BQ544" s="197"/>
    </row>
    <row r="545" spans="66:69" x14ac:dyDescent="0.2">
      <c r="BN545" s="192"/>
      <c r="BO545" s="197"/>
      <c r="BP545" s="197"/>
      <c r="BQ545" s="197"/>
    </row>
    <row r="546" spans="66:69" x14ac:dyDescent="0.2">
      <c r="BN546" s="192"/>
      <c r="BO546" s="197"/>
      <c r="BP546" s="197"/>
      <c r="BQ546" s="197"/>
    </row>
    <row r="547" spans="66:69" x14ac:dyDescent="0.2">
      <c r="BN547" s="192"/>
      <c r="BO547" s="197"/>
      <c r="BP547" s="197"/>
      <c r="BQ547" s="197"/>
    </row>
    <row r="548" spans="66:69" x14ac:dyDescent="0.2">
      <c r="BN548" s="192"/>
      <c r="BO548" s="197"/>
      <c r="BP548" s="197"/>
      <c r="BQ548" s="197"/>
    </row>
    <row r="549" spans="66:69" x14ac:dyDescent="0.2">
      <c r="BN549" s="192"/>
      <c r="BO549" s="197"/>
      <c r="BP549" s="197"/>
      <c r="BQ549" s="197"/>
    </row>
    <row r="550" spans="66:69" x14ac:dyDescent="0.2">
      <c r="BN550" s="192"/>
      <c r="BO550" s="197"/>
      <c r="BP550" s="197"/>
      <c r="BQ550" s="197"/>
    </row>
    <row r="551" spans="66:69" x14ac:dyDescent="0.2">
      <c r="BN551" s="192"/>
      <c r="BO551" s="197"/>
      <c r="BP551" s="197"/>
      <c r="BQ551" s="197"/>
    </row>
    <row r="552" spans="66:69" x14ac:dyDescent="0.2">
      <c r="BN552" s="192"/>
      <c r="BO552" s="197"/>
      <c r="BP552" s="197"/>
      <c r="BQ552" s="197"/>
    </row>
    <row r="553" spans="66:69" x14ac:dyDescent="0.2">
      <c r="BN553" s="192"/>
      <c r="BO553" s="197"/>
      <c r="BP553" s="197"/>
      <c r="BQ553" s="197"/>
    </row>
    <row r="554" spans="66:69" x14ac:dyDescent="0.2">
      <c r="BN554" s="192"/>
      <c r="BO554" s="197"/>
      <c r="BP554" s="197"/>
      <c r="BQ554" s="197"/>
    </row>
    <row r="555" spans="66:69" x14ac:dyDescent="0.2">
      <c r="BN555" s="192"/>
      <c r="BO555" s="197"/>
      <c r="BP555" s="197"/>
      <c r="BQ555" s="197"/>
    </row>
    <row r="556" spans="66:69" x14ac:dyDescent="0.2">
      <c r="BN556" s="192"/>
      <c r="BO556" s="197"/>
      <c r="BP556" s="197"/>
      <c r="BQ556" s="197"/>
    </row>
    <row r="557" spans="66:69" x14ac:dyDescent="0.2">
      <c r="BN557" s="192"/>
      <c r="BO557" s="197"/>
      <c r="BP557" s="197"/>
      <c r="BQ557" s="197"/>
    </row>
    <row r="558" spans="66:69" x14ac:dyDescent="0.2">
      <c r="BN558" s="192"/>
      <c r="BO558" s="197"/>
      <c r="BP558" s="197"/>
      <c r="BQ558" s="197"/>
    </row>
    <row r="559" spans="66:69" x14ac:dyDescent="0.2">
      <c r="BN559" s="192"/>
      <c r="BO559" s="197"/>
      <c r="BP559" s="197"/>
      <c r="BQ559" s="197"/>
    </row>
    <row r="560" spans="66:69" x14ac:dyDescent="0.2">
      <c r="BN560" s="192"/>
      <c r="BO560" s="197"/>
      <c r="BP560" s="197"/>
      <c r="BQ560" s="197"/>
    </row>
    <row r="561" spans="66:69" x14ac:dyDescent="0.2">
      <c r="BN561" s="192"/>
      <c r="BO561" s="197"/>
      <c r="BP561" s="197"/>
      <c r="BQ561" s="197"/>
    </row>
    <row r="562" spans="66:69" x14ac:dyDescent="0.2">
      <c r="BN562" s="192"/>
      <c r="BO562" s="197"/>
      <c r="BP562" s="197"/>
      <c r="BQ562" s="197"/>
    </row>
    <row r="563" spans="66:69" x14ac:dyDescent="0.2">
      <c r="BN563" s="192"/>
      <c r="BO563" s="197"/>
      <c r="BP563" s="197"/>
      <c r="BQ563" s="197"/>
    </row>
    <row r="564" spans="66:69" x14ac:dyDescent="0.2">
      <c r="BN564" s="192"/>
      <c r="BO564" s="197"/>
      <c r="BP564" s="197"/>
      <c r="BQ564" s="197"/>
    </row>
    <row r="565" spans="66:69" x14ac:dyDescent="0.2">
      <c r="BN565" s="192"/>
      <c r="BO565" s="197"/>
      <c r="BP565" s="197"/>
      <c r="BQ565" s="197"/>
    </row>
    <row r="566" spans="66:69" x14ac:dyDescent="0.2">
      <c r="BN566" s="192"/>
      <c r="BO566" s="197"/>
      <c r="BP566" s="197"/>
      <c r="BQ566" s="197"/>
    </row>
    <row r="567" spans="66:69" x14ac:dyDescent="0.2">
      <c r="BN567" s="192"/>
      <c r="BO567" s="197"/>
      <c r="BP567" s="197"/>
      <c r="BQ567" s="197"/>
    </row>
    <row r="568" spans="66:69" x14ac:dyDescent="0.2">
      <c r="BN568" s="192"/>
      <c r="BO568" s="197"/>
      <c r="BP568" s="197"/>
      <c r="BQ568" s="197"/>
    </row>
    <row r="569" spans="66:69" x14ac:dyDescent="0.2">
      <c r="BN569" s="192"/>
      <c r="BO569" s="197"/>
      <c r="BP569" s="197"/>
      <c r="BQ569" s="197"/>
    </row>
    <row r="570" spans="66:69" x14ac:dyDescent="0.2">
      <c r="BN570" s="192"/>
      <c r="BO570" s="197"/>
      <c r="BP570" s="197"/>
      <c r="BQ570" s="197"/>
    </row>
    <row r="571" spans="66:69" x14ac:dyDescent="0.2">
      <c r="BN571" s="192"/>
      <c r="BO571" s="197"/>
      <c r="BP571" s="197"/>
      <c r="BQ571" s="197"/>
    </row>
    <row r="572" spans="66:69" x14ac:dyDescent="0.2">
      <c r="BN572" s="192"/>
      <c r="BO572" s="197"/>
      <c r="BP572" s="197"/>
      <c r="BQ572" s="197"/>
    </row>
    <row r="573" spans="66:69" x14ac:dyDescent="0.2">
      <c r="BN573" s="192"/>
      <c r="BO573" s="197"/>
      <c r="BP573" s="197"/>
      <c r="BQ573" s="197"/>
    </row>
    <row r="574" spans="66:69" x14ac:dyDescent="0.2">
      <c r="BN574" s="192"/>
      <c r="BO574" s="197"/>
      <c r="BP574" s="197"/>
      <c r="BQ574" s="197"/>
    </row>
    <row r="575" spans="66:69" x14ac:dyDescent="0.2">
      <c r="BN575" s="192"/>
      <c r="BO575" s="197"/>
      <c r="BP575" s="197"/>
      <c r="BQ575" s="197"/>
    </row>
    <row r="576" spans="66:69" x14ac:dyDescent="0.2">
      <c r="BN576" s="192"/>
      <c r="BO576" s="197"/>
      <c r="BP576" s="197"/>
      <c r="BQ576" s="197"/>
    </row>
    <row r="577" spans="66:69" x14ac:dyDescent="0.2">
      <c r="BN577" s="192"/>
      <c r="BO577" s="197"/>
      <c r="BP577" s="197"/>
      <c r="BQ577" s="197"/>
    </row>
    <row r="578" spans="66:69" x14ac:dyDescent="0.2">
      <c r="BN578" s="192"/>
      <c r="BO578" s="197"/>
      <c r="BP578" s="197"/>
      <c r="BQ578" s="197"/>
    </row>
    <row r="579" spans="66:69" x14ac:dyDescent="0.2">
      <c r="BN579" s="192"/>
      <c r="BO579" s="197"/>
      <c r="BP579" s="197"/>
      <c r="BQ579" s="197"/>
    </row>
    <row r="580" spans="66:69" x14ac:dyDescent="0.2">
      <c r="BN580" s="192"/>
      <c r="BO580" s="197"/>
      <c r="BP580" s="197"/>
      <c r="BQ580" s="197"/>
    </row>
    <row r="581" spans="66:69" x14ac:dyDescent="0.2">
      <c r="BN581" s="192"/>
      <c r="BO581" s="197"/>
      <c r="BP581" s="197"/>
      <c r="BQ581" s="197"/>
    </row>
    <row r="582" spans="66:69" x14ac:dyDescent="0.2">
      <c r="BN582" s="192"/>
      <c r="BO582" s="197"/>
      <c r="BP582" s="197"/>
      <c r="BQ582" s="197"/>
    </row>
    <row r="583" spans="66:69" x14ac:dyDescent="0.2">
      <c r="BN583" s="192"/>
      <c r="BO583" s="197"/>
      <c r="BP583" s="197"/>
      <c r="BQ583" s="197"/>
    </row>
    <row r="584" spans="66:69" x14ac:dyDescent="0.2">
      <c r="BN584" s="192"/>
      <c r="BO584" s="197"/>
      <c r="BP584" s="197"/>
      <c r="BQ584" s="197"/>
    </row>
    <row r="585" spans="66:69" x14ac:dyDescent="0.2">
      <c r="BN585" s="192"/>
      <c r="BO585" s="197"/>
      <c r="BP585" s="197"/>
      <c r="BQ585" s="197"/>
    </row>
    <row r="586" spans="66:69" x14ac:dyDescent="0.2">
      <c r="BN586" s="192"/>
      <c r="BO586" s="197"/>
      <c r="BP586" s="197"/>
      <c r="BQ586" s="197"/>
    </row>
    <row r="587" spans="66:69" x14ac:dyDescent="0.2">
      <c r="BN587" s="192"/>
      <c r="BO587" s="197"/>
      <c r="BP587" s="197"/>
      <c r="BQ587" s="197"/>
    </row>
    <row r="588" spans="66:69" x14ac:dyDescent="0.2">
      <c r="BN588" s="192"/>
      <c r="BO588" s="197"/>
      <c r="BP588" s="197"/>
      <c r="BQ588" s="197"/>
    </row>
    <row r="589" spans="66:69" x14ac:dyDescent="0.2">
      <c r="BN589" s="192"/>
      <c r="BO589" s="197"/>
      <c r="BP589" s="197"/>
      <c r="BQ589" s="197"/>
    </row>
    <row r="590" spans="66:69" x14ac:dyDescent="0.2">
      <c r="BN590" s="192"/>
      <c r="BO590" s="197"/>
      <c r="BP590" s="197"/>
      <c r="BQ590" s="197"/>
    </row>
    <row r="591" spans="66:69" x14ac:dyDescent="0.2">
      <c r="BN591" s="192"/>
      <c r="BO591" s="197"/>
      <c r="BP591" s="197"/>
      <c r="BQ591" s="197"/>
    </row>
    <row r="592" spans="66:69" x14ac:dyDescent="0.2">
      <c r="BN592" s="192"/>
      <c r="BO592" s="197"/>
      <c r="BP592" s="197"/>
      <c r="BQ592" s="197"/>
    </row>
    <row r="593" spans="66:69" x14ac:dyDescent="0.2">
      <c r="BN593" s="192"/>
      <c r="BO593" s="197"/>
      <c r="BP593" s="197"/>
      <c r="BQ593" s="197"/>
    </row>
    <row r="594" spans="66:69" x14ac:dyDescent="0.2">
      <c r="BN594" s="192"/>
      <c r="BO594" s="197"/>
      <c r="BP594" s="197"/>
      <c r="BQ594" s="197"/>
    </row>
    <row r="595" spans="66:69" x14ac:dyDescent="0.2">
      <c r="BN595" s="192"/>
      <c r="BO595" s="197"/>
      <c r="BP595" s="197"/>
      <c r="BQ595" s="197"/>
    </row>
    <row r="596" spans="66:69" x14ac:dyDescent="0.2">
      <c r="BN596" s="192"/>
      <c r="BO596" s="197"/>
      <c r="BP596" s="197"/>
      <c r="BQ596" s="197"/>
    </row>
    <row r="597" spans="66:69" x14ac:dyDescent="0.2">
      <c r="BN597" s="192"/>
      <c r="BO597" s="197"/>
      <c r="BP597" s="197"/>
      <c r="BQ597" s="197"/>
    </row>
    <row r="598" spans="66:69" x14ac:dyDescent="0.2">
      <c r="BN598" s="192"/>
      <c r="BO598" s="197"/>
      <c r="BP598" s="197"/>
      <c r="BQ598" s="197"/>
    </row>
    <row r="599" spans="66:69" x14ac:dyDescent="0.2">
      <c r="BN599" s="192"/>
      <c r="BO599" s="197"/>
      <c r="BP599" s="197"/>
      <c r="BQ599" s="197"/>
    </row>
    <row r="600" spans="66:69" x14ac:dyDescent="0.2">
      <c r="BN600" s="192"/>
      <c r="BO600" s="197"/>
      <c r="BP600" s="197"/>
      <c r="BQ600" s="197"/>
    </row>
    <row r="601" spans="66:69" x14ac:dyDescent="0.2">
      <c r="BN601" s="192"/>
      <c r="BO601" s="197"/>
      <c r="BP601" s="197"/>
      <c r="BQ601" s="197"/>
    </row>
    <row r="602" spans="66:69" x14ac:dyDescent="0.2">
      <c r="BN602" s="192"/>
      <c r="BO602" s="197"/>
      <c r="BP602" s="197"/>
      <c r="BQ602" s="197"/>
    </row>
    <row r="603" spans="66:69" x14ac:dyDescent="0.2">
      <c r="BN603" s="192"/>
      <c r="BO603" s="197"/>
      <c r="BP603" s="197"/>
      <c r="BQ603" s="197"/>
    </row>
    <row r="604" spans="66:69" x14ac:dyDescent="0.2">
      <c r="BN604" s="192"/>
      <c r="BO604" s="197"/>
      <c r="BP604" s="197"/>
      <c r="BQ604" s="197"/>
    </row>
    <row r="605" spans="66:69" x14ac:dyDescent="0.2">
      <c r="BN605" s="192"/>
      <c r="BO605" s="197"/>
      <c r="BP605" s="197"/>
      <c r="BQ605" s="197"/>
    </row>
    <row r="606" spans="66:69" x14ac:dyDescent="0.2">
      <c r="BN606" s="192"/>
      <c r="BO606" s="197"/>
      <c r="BP606" s="197"/>
      <c r="BQ606" s="197"/>
    </row>
    <row r="607" spans="66:69" x14ac:dyDescent="0.2">
      <c r="BN607" s="192"/>
      <c r="BO607" s="197"/>
      <c r="BP607" s="197"/>
      <c r="BQ607" s="197"/>
    </row>
    <row r="608" spans="66:69" x14ac:dyDescent="0.2">
      <c r="BN608" s="192"/>
      <c r="BO608" s="197"/>
      <c r="BP608" s="197"/>
      <c r="BQ608" s="197"/>
    </row>
    <row r="609" spans="66:69" x14ac:dyDescent="0.2">
      <c r="BN609" s="192"/>
      <c r="BO609" s="197"/>
      <c r="BP609" s="197"/>
      <c r="BQ609" s="197"/>
    </row>
    <row r="610" spans="66:69" x14ac:dyDescent="0.2">
      <c r="BN610" s="192"/>
      <c r="BO610" s="197"/>
      <c r="BP610" s="197"/>
      <c r="BQ610" s="197"/>
    </row>
    <row r="611" spans="66:69" x14ac:dyDescent="0.2">
      <c r="BN611" s="192"/>
      <c r="BO611" s="197"/>
      <c r="BP611" s="197"/>
      <c r="BQ611" s="197"/>
    </row>
    <row r="612" spans="66:69" x14ac:dyDescent="0.2">
      <c r="BN612" s="192"/>
      <c r="BO612" s="197"/>
      <c r="BP612" s="197"/>
      <c r="BQ612" s="197"/>
    </row>
    <row r="613" spans="66:69" x14ac:dyDescent="0.2">
      <c r="BN613" s="192"/>
      <c r="BO613" s="197"/>
      <c r="BP613" s="197"/>
      <c r="BQ613" s="197"/>
    </row>
    <row r="614" spans="66:69" x14ac:dyDescent="0.2">
      <c r="BN614" s="192"/>
      <c r="BO614" s="197"/>
      <c r="BP614" s="197"/>
      <c r="BQ614" s="197"/>
    </row>
    <row r="615" spans="66:69" x14ac:dyDescent="0.2">
      <c r="BN615" s="192"/>
      <c r="BO615" s="197"/>
      <c r="BP615" s="197"/>
      <c r="BQ615" s="197"/>
    </row>
    <row r="616" spans="66:69" x14ac:dyDescent="0.2">
      <c r="BN616" s="192"/>
      <c r="BO616" s="197"/>
      <c r="BP616" s="197"/>
      <c r="BQ616" s="197"/>
    </row>
    <row r="617" spans="66:69" x14ac:dyDescent="0.2">
      <c r="BN617" s="192"/>
      <c r="BO617" s="197"/>
      <c r="BP617" s="197"/>
      <c r="BQ617" s="197"/>
    </row>
    <row r="618" spans="66:69" x14ac:dyDescent="0.2">
      <c r="BN618" s="192"/>
      <c r="BO618" s="197"/>
      <c r="BP618" s="197"/>
      <c r="BQ618" s="197"/>
    </row>
    <row r="619" spans="66:69" x14ac:dyDescent="0.2">
      <c r="BN619" s="192"/>
      <c r="BO619" s="197"/>
      <c r="BP619" s="197"/>
      <c r="BQ619" s="197"/>
    </row>
    <row r="620" spans="66:69" x14ac:dyDescent="0.2">
      <c r="BN620" s="192"/>
      <c r="BO620" s="197"/>
      <c r="BP620" s="197"/>
      <c r="BQ620" s="197"/>
    </row>
    <row r="621" spans="66:69" x14ac:dyDescent="0.2">
      <c r="BN621" s="192"/>
      <c r="BO621" s="197"/>
      <c r="BP621" s="197"/>
      <c r="BQ621" s="197"/>
    </row>
    <row r="622" spans="66:69" x14ac:dyDescent="0.2">
      <c r="BN622" s="192"/>
      <c r="BO622" s="197"/>
      <c r="BP622" s="197"/>
      <c r="BQ622" s="197"/>
    </row>
    <row r="623" spans="66:69" x14ac:dyDescent="0.2">
      <c r="BN623" s="192"/>
      <c r="BO623" s="197"/>
      <c r="BP623" s="197"/>
      <c r="BQ623" s="197"/>
    </row>
    <row r="624" spans="66:69" x14ac:dyDescent="0.2">
      <c r="BN624" s="192"/>
      <c r="BO624" s="197"/>
      <c r="BP624" s="197"/>
      <c r="BQ624" s="197"/>
    </row>
    <row r="625" spans="66:69" x14ac:dyDescent="0.2">
      <c r="BN625" s="192"/>
      <c r="BO625" s="197"/>
      <c r="BP625" s="197"/>
      <c r="BQ625" s="197"/>
    </row>
    <row r="626" spans="66:69" x14ac:dyDescent="0.2">
      <c r="BN626" s="192"/>
      <c r="BO626" s="197"/>
      <c r="BP626" s="197"/>
      <c r="BQ626" s="197"/>
    </row>
    <row r="627" spans="66:69" x14ac:dyDescent="0.2">
      <c r="BN627" s="192"/>
      <c r="BO627" s="197"/>
      <c r="BP627" s="197"/>
      <c r="BQ627" s="197"/>
    </row>
    <row r="628" spans="66:69" x14ac:dyDescent="0.2">
      <c r="BN628" s="192"/>
      <c r="BO628" s="197"/>
      <c r="BP628" s="197"/>
      <c r="BQ628" s="197"/>
    </row>
    <row r="629" spans="66:69" x14ac:dyDescent="0.2">
      <c r="BN629" s="192"/>
      <c r="BO629" s="197"/>
      <c r="BP629" s="197"/>
      <c r="BQ629" s="197"/>
    </row>
    <row r="630" spans="66:69" x14ac:dyDescent="0.2">
      <c r="BN630" s="192"/>
      <c r="BO630" s="197"/>
      <c r="BP630" s="197"/>
      <c r="BQ630" s="197"/>
    </row>
    <row r="631" spans="66:69" x14ac:dyDescent="0.2">
      <c r="BN631" s="192"/>
      <c r="BO631" s="197"/>
      <c r="BP631" s="197"/>
      <c r="BQ631" s="197"/>
    </row>
    <row r="632" spans="66:69" x14ac:dyDescent="0.2">
      <c r="BN632" s="192"/>
      <c r="BO632" s="197"/>
      <c r="BP632" s="197"/>
      <c r="BQ632" s="197"/>
    </row>
    <row r="633" spans="66:69" x14ac:dyDescent="0.2">
      <c r="BN633" s="192"/>
      <c r="BO633" s="197"/>
      <c r="BP633" s="197"/>
      <c r="BQ633" s="197"/>
    </row>
    <row r="634" spans="66:69" x14ac:dyDescent="0.2">
      <c r="BN634" s="192"/>
      <c r="BO634" s="197"/>
      <c r="BP634" s="197"/>
      <c r="BQ634" s="197"/>
    </row>
    <row r="635" spans="66:69" x14ac:dyDescent="0.2">
      <c r="BN635" s="192"/>
      <c r="BO635" s="197"/>
      <c r="BP635" s="197"/>
      <c r="BQ635" s="197"/>
    </row>
    <row r="636" spans="66:69" x14ac:dyDescent="0.2">
      <c r="BN636" s="192"/>
      <c r="BO636" s="197"/>
      <c r="BP636" s="197"/>
      <c r="BQ636" s="197"/>
    </row>
    <row r="637" spans="66:69" x14ac:dyDescent="0.2">
      <c r="BN637" s="192"/>
      <c r="BO637" s="197"/>
      <c r="BP637" s="197"/>
      <c r="BQ637" s="197"/>
    </row>
    <row r="638" spans="66:69" x14ac:dyDescent="0.2">
      <c r="BN638" s="192"/>
      <c r="BO638" s="197"/>
      <c r="BP638" s="197"/>
      <c r="BQ638" s="197"/>
    </row>
    <row r="639" spans="66:69" x14ac:dyDescent="0.2">
      <c r="BN639" s="192"/>
      <c r="BO639" s="197"/>
      <c r="BP639" s="197"/>
      <c r="BQ639" s="197"/>
    </row>
    <row r="640" spans="66:69" x14ac:dyDescent="0.2">
      <c r="BN640" s="192"/>
      <c r="BO640" s="197"/>
      <c r="BP640" s="197"/>
      <c r="BQ640" s="197"/>
    </row>
    <row r="641" spans="66:69" x14ac:dyDescent="0.2">
      <c r="BN641" s="192"/>
      <c r="BO641" s="197"/>
      <c r="BP641" s="197"/>
      <c r="BQ641" s="197"/>
    </row>
    <row r="642" spans="66:69" x14ac:dyDescent="0.2">
      <c r="BN642" s="192"/>
      <c r="BO642" s="197"/>
      <c r="BP642" s="197"/>
      <c r="BQ642" s="197"/>
    </row>
    <row r="643" spans="66:69" x14ac:dyDescent="0.2">
      <c r="BN643" s="192"/>
      <c r="BO643" s="197"/>
      <c r="BP643" s="197"/>
      <c r="BQ643" s="197"/>
    </row>
    <row r="644" spans="66:69" x14ac:dyDescent="0.2">
      <c r="BN644" s="192"/>
      <c r="BO644" s="197"/>
      <c r="BP644" s="197"/>
      <c r="BQ644" s="197"/>
    </row>
    <row r="645" spans="66:69" x14ac:dyDescent="0.2">
      <c r="BN645" s="192"/>
      <c r="BO645" s="197"/>
      <c r="BP645" s="197"/>
      <c r="BQ645" s="197"/>
    </row>
    <row r="646" spans="66:69" x14ac:dyDescent="0.2">
      <c r="BN646" s="192"/>
      <c r="BO646" s="197"/>
      <c r="BP646" s="197"/>
      <c r="BQ646" s="197"/>
    </row>
    <row r="647" spans="66:69" x14ac:dyDescent="0.2">
      <c r="BN647" s="192"/>
      <c r="BO647" s="197"/>
      <c r="BP647" s="197"/>
      <c r="BQ647" s="197"/>
    </row>
    <row r="648" spans="66:69" x14ac:dyDescent="0.2">
      <c r="BN648" s="192"/>
      <c r="BO648" s="197"/>
      <c r="BP648" s="197"/>
      <c r="BQ648" s="197"/>
    </row>
    <row r="649" spans="66:69" x14ac:dyDescent="0.2">
      <c r="BN649" s="192"/>
      <c r="BO649" s="197"/>
      <c r="BP649" s="197"/>
      <c r="BQ649" s="197"/>
    </row>
    <row r="650" spans="66:69" x14ac:dyDescent="0.2">
      <c r="BN650" s="192"/>
      <c r="BO650" s="197"/>
      <c r="BP650" s="197"/>
      <c r="BQ650" s="197"/>
    </row>
    <row r="651" spans="66:69" x14ac:dyDescent="0.2">
      <c r="BN651" s="192"/>
      <c r="BO651" s="197"/>
      <c r="BP651" s="197"/>
      <c r="BQ651" s="197"/>
    </row>
    <row r="652" spans="66:69" x14ac:dyDescent="0.2">
      <c r="BN652" s="192"/>
      <c r="BO652" s="197"/>
      <c r="BP652" s="197"/>
      <c r="BQ652" s="197"/>
    </row>
    <row r="653" spans="66:69" x14ac:dyDescent="0.2">
      <c r="BN653" s="192"/>
      <c r="BO653" s="197"/>
      <c r="BP653" s="197"/>
      <c r="BQ653" s="197"/>
    </row>
    <row r="654" spans="66:69" x14ac:dyDescent="0.2">
      <c r="BN654" s="192"/>
      <c r="BO654" s="197"/>
      <c r="BP654" s="197"/>
      <c r="BQ654" s="197"/>
    </row>
    <row r="655" spans="66:69" x14ac:dyDescent="0.2">
      <c r="BN655" s="192"/>
      <c r="BO655" s="197"/>
      <c r="BP655" s="197"/>
      <c r="BQ655" s="197"/>
    </row>
    <row r="656" spans="66:69" x14ac:dyDescent="0.2">
      <c r="BN656" s="192"/>
      <c r="BO656" s="197"/>
      <c r="BP656" s="197"/>
      <c r="BQ656" s="197"/>
    </row>
    <row r="657" spans="66:69" x14ac:dyDescent="0.2">
      <c r="BN657" s="192"/>
      <c r="BO657" s="197"/>
      <c r="BP657" s="197"/>
      <c r="BQ657" s="197"/>
    </row>
    <row r="658" spans="66:69" x14ac:dyDescent="0.2">
      <c r="BN658" s="192"/>
      <c r="BO658" s="197"/>
      <c r="BP658" s="197"/>
      <c r="BQ658" s="197"/>
    </row>
    <row r="659" spans="66:69" x14ac:dyDescent="0.2">
      <c r="BN659" s="192"/>
      <c r="BO659" s="197"/>
      <c r="BP659" s="197"/>
      <c r="BQ659" s="197"/>
    </row>
    <row r="660" spans="66:69" x14ac:dyDescent="0.2">
      <c r="BN660" s="192"/>
      <c r="BO660" s="197"/>
      <c r="BP660" s="197"/>
      <c r="BQ660" s="197"/>
    </row>
    <row r="661" spans="66:69" x14ac:dyDescent="0.2">
      <c r="BN661" s="192"/>
      <c r="BO661" s="197"/>
      <c r="BP661" s="197"/>
      <c r="BQ661" s="197"/>
    </row>
    <row r="662" spans="66:69" x14ac:dyDescent="0.2">
      <c r="BN662" s="192"/>
      <c r="BO662" s="197"/>
      <c r="BP662" s="197"/>
      <c r="BQ662" s="197"/>
    </row>
    <row r="663" spans="66:69" x14ac:dyDescent="0.2">
      <c r="BN663" s="192"/>
      <c r="BO663" s="197"/>
      <c r="BP663" s="197"/>
      <c r="BQ663" s="197"/>
    </row>
    <row r="664" spans="66:69" x14ac:dyDescent="0.2">
      <c r="BN664" s="192"/>
      <c r="BO664" s="197"/>
      <c r="BP664" s="197"/>
      <c r="BQ664" s="197"/>
    </row>
    <row r="665" spans="66:69" x14ac:dyDescent="0.2">
      <c r="BN665" s="192"/>
      <c r="BO665" s="197"/>
      <c r="BP665" s="197"/>
      <c r="BQ665" s="197"/>
    </row>
    <row r="666" spans="66:69" x14ac:dyDescent="0.2">
      <c r="BN666" s="192"/>
      <c r="BO666" s="197"/>
      <c r="BP666" s="197"/>
      <c r="BQ666" s="197"/>
    </row>
    <row r="667" spans="66:69" x14ac:dyDescent="0.2">
      <c r="BN667" s="192"/>
      <c r="BO667" s="197"/>
      <c r="BP667" s="197"/>
      <c r="BQ667" s="197"/>
    </row>
    <row r="668" spans="66:69" x14ac:dyDescent="0.2">
      <c r="BN668" s="192"/>
      <c r="BO668" s="197"/>
      <c r="BP668" s="197"/>
      <c r="BQ668" s="197"/>
    </row>
    <row r="669" spans="66:69" x14ac:dyDescent="0.2">
      <c r="BN669" s="192"/>
      <c r="BO669" s="197"/>
      <c r="BP669" s="197"/>
      <c r="BQ669" s="197"/>
    </row>
    <row r="670" spans="66:69" x14ac:dyDescent="0.2">
      <c r="BN670" s="192"/>
      <c r="BO670" s="197"/>
      <c r="BP670" s="197"/>
      <c r="BQ670" s="197"/>
    </row>
    <row r="671" spans="66:69" x14ac:dyDescent="0.2">
      <c r="BN671" s="192"/>
      <c r="BO671" s="197"/>
      <c r="BP671" s="197"/>
      <c r="BQ671" s="197"/>
    </row>
    <row r="672" spans="66:69" x14ac:dyDescent="0.2">
      <c r="BN672" s="192"/>
      <c r="BO672" s="197"/>
      <c r="BP672" s="197"/>
      <c r="BQ672" s="197"/>
    </row>
    <row r="673" spans="66:69" x14ac:dyDescent="0.2">
      <c r="BN673" s="192"/>
      <c r="BO673" s="197"/>
      <c r="BP673" s="197"/>
      <c r="BQ673" s="197"/>
    </row>
    <row r="674" spans="66:69" x14ac:dyDescent="0.2">
      <c r="BN674" s="192"/>
      <c r="BO674" s="197"/>
      <c r="BP674" s="197"/>
      <c r="BQ674" s="197"/>
    </row>
    <row r="675" spans="66:69" x14ac:dyDescent="0.2">
      <c r="BN675" s="192"/>
      <c r="BO675" s="197"/>
      <c r="BP675" s="197"/>
      <c r="BQ675" s="197"/>
    </row>
    <row r="676" spans="66:69" x14ac:dyDescent="0.2">
      <c r="BN676" s="192"/>
      <c r="BO676" s="197"/>
      <c r="BP676" s="197"/>
      <c r="BQ676" s="197"/>
    </row>
    <row r="677" spans="66:69" x14ac:dyDescent="0.2">
      <c r="BN677" s="192"/>
      <c r="BO677" s="197"/>
      <c r="BP677" s="197"/>
      <c r="BQ677" s="197"/>
    </row>
    <row r="678" spans="66:69" x14ac:dyDescent="0.2">
      <c r="BN678" s="192"/>
      <c r="BO678" s="197"/>
      <c r="BP678" s="197"/>
      <c r="BQ678" s="197"/>
    </row>
    <row r="679" spans="66:69" x14ac:dyDescent="0.2">
      <c r="BN679" s="192"/>
      <c r="BO679" s="197"/>
      <c r="BP679" s="197"/>
      <c r="BQ679" s="197"/>
    </row>
    <row r="680" spans="66:69" x14ac:dyDescent="0.2">
      <c r="BN680" s="192"/>
      <c r="BO680" s="197"/>
      <c r="BP680" s="197"/>
      <c r="BQ680" s="197"/>
    </row>
    <row r="681" spans="66:69" x14ac:dyDescent="0.2">
      <c r="BN681" s="192"/>
      <c r="BO681" s="197"/>
      <c r="BP681" s="197"/>
      <c r="BQ681" s="197"/>
    </row>
    <row r="682" spans="66:69" x14ac:dyDescent="0.2">
      <c r="BN682" s="192"/>
      <c r="BO682" s="197"/>
      <c r="BP682" s="197"/>
      <c r="BQ682" s="197"/>
    </row>
    <row r="683" spans="66:69" x14ac:dyDescent="0.2">
      <c r="BN683" s="192"/>
      <c r="BO683" s="197"/>
      <c r="BP683" s="197"/>
      <c r="BQ683" s="197"/>
    </row>
    <row r="684" spans="66:69" x14ac:dyDescent="0.2">
      <c r="BN684" s="192"/>
      <c r="BO684" s="197"/>
      <c r="BP684" s="197"/>
      <c r="BQ684" s="197"/>
    </row>
    <row r="685" spans="66:69" x14ac:dyDescent="0.2">
      <c r="BN685" s="192"/>
      <c r="BO685" s="197"/>
      <c r="BP685" s="197"/>
      <c r="BQ685" s="197"/>
    </row>
    <row r="686" spans="66:69" x14ac:dyDescent="0.2">
      <c r="BN686" s="192"/>
      <c r="BO686" s="197"/>
      <c r="BP686" s="197"/>
      <c r="BQ686" s="197"/>
    </row>
    <row r="687" spans="66:69" x14ac:dyDescent="0.2">
      <c r="BN687" s="192"/>
      <c r="BO687" s="197"/>
      <c r="BP687" s="197"/>
      <c r="BQ687" s="197"/>
    </row>
    <row r="688" spans="66:69" x14ac:dyDescent="0.2">
      <c r="BN688" s="192"/>
      <c r="BO688" s="197"/>
      <c r="BP688" s="197"/>
      <c r="BQ688" s="197"/>
    </row>
    <row r="689" spans="66:69" x14ac:dyDescent="0.2">
      <c r="BN689" s="192"/>
      <c r="BO689" s="197"/>
      <c r="BP689" s="197"/>
      <c r="BQ689" s="197"/>
    </row>
    <row r="690" spans="66:69" x14ac:dyDescent="0.2">
      <c r="BN690" s="192"/>
      <c r="BO690" s="197"/>
      <c r="BP690" s="197"/>
      <c r="BQ690" s="197"/>
    </row>
    <row r="691" spans="66:69" x14ac:dyDescent="0.2">
      <c r="BN691" s="192"/>
      <c r="BO691" s="197"/>
      <c r="BP691" s="197"/>
      <c r="BQ691" s="197"/>
    </row>
    <row r="692" spans="66:69" x14ac:dyDescent="0.2">
      <c r="BN692" s="192"/>
      <c r="BO692" s="197"/>
      <c r="BP692" s="197"/>
      <c r="BQ692" s="197"/>
    </row>
    <row r="693" spans="66:69" x14ac:dyDescent="0.2">
      <c r="BN693" s="192"/>
      <c r="BO693" s="197"/>
      <c r="BP693" s="197"/>
      <c r="BQ693" s="197"/>
    </row>
    <row r="694" spans="66:69" x14ac:dyDescent="0.2">
      <c r="BN694" s="192"/>
      <c r="BO694" s="197"/>
      <c r="BP694" s="197"/>
      <c r="BQ694" s="197"/>
    </row>
    <row r="695" spans="66:69" x14ac:dyDescent="0.2">
      <c r="BN695" s="192"/>
      <c r="BO695" s="197"/>
      <c r="BP695" s="197"/>
      <c r="BQ695" s="197"/>
    </row>
    <row r="696" spans="66:69" x14ac:dyDescent="0.2">
      <c r="BN696" s="192"/>
      <c r="BO696" s="197"/>
      <c r="BP696" s="197"/>
      <c r="BQ696" s="197"/>
    </row>
    <row r="697" spans="66:69" x14ac:dyDescent="0.2">
      <c r="BN697" s="192"/>
      <c r="BO697" s="197"/>
      <c r="BP697" s="197"/>
      <c r="BQ697" s="197"/>
    </row>
    <row r="698" spans="66:69" x14ac:dyDescent="0.2">
      <c r="BN698" s="192"/>
      <c r="BO698" s="197"/>
      <c r="BP698" s="197"/>
      <c r="BQ698" s="197"/>
    </row>
    <row r="699" spans="66:69" x14ac:dyDescent="0.2">
      <c r="BN699" s="192"/>
      <c r="BO699" s="197"/>
      <c r="BP699" s="197"/>
      <c r="BQ699" s="197"/>
    </row>
    <row r="700" spans="66:69" x14ac:dyDescent="0.2">
      <c r="BN700" s="192"/>
      <c r="BO700" s="197"/>
      <c r="BP700" s="197"/>
      <c r="BQ700" s="197"/>
    </row>
    <row r="701" spans="66:69" x14ac:dyDescent="0.2">
      <c r="BN701" s="192"/>
      <c r="BO701" s="197"/>
      <c r="BP701" s="197"/>
      <c r="BQ701" s="197"/>
    </row>
    <row r="702" spans="66:69" x14ac:dyDescent="0.2">
      <c r="BN702" s="192"/>
      <c r="BO702" s="197"/>
      <c r="BP702" s="197"/>
      <c r="BQ702" s="197"/>
    </row>
    <row r="703" spans="66:69" x14ac:dyDescent="0.2">
      <c r="BN703" s="192"/>
      <c r="BO703" s="197"/>
      <c r="BP703" s="197"/>
      <c r="BQ703" s="197"/>
    </row>
    <row r="704" spans="66:69" x14ac:dyDescent="0.2">
      <c r="BN704" s="192"/>
      <c r="BO704" s="197"/>
      <c r="BP704" s="197"/>
      <c r="BQ704" s="197"/>
    </row>
    <row r="705" spans="66:69" x14ac:dyDescent="0.2">
      <c r="BN705" s="192"/>
      <c r="BO705" s="197"/>
      <c r="BP705" s="197"/>
      <c r="BQ705" s="197"/>
    </row>
    <row r="706" spans="66:69" x14ac:dyDescent="0.2">
      <c r="BN706" s="192"/>
      <c r="BO706" s="197"/>
      <c r="BP706" s="197"/>
      <c r="BQ706" s="197"/>
    </row>
    <row r="707" spans="66:69" x14ac:dyDescent="0.2">
      <c r="BN707" s="192"/>
      <c r="BO707" s="197"/>
      <c r="BP707" s="197"/>
      <c r="BQ707" s="197"/>
    </row>
    <row r="708" spans="66:69" x14ac:dyDescent="0.2">
      <c r="BN708" s="192"/>
      <c r="BO708" s="197"/>
      <c r="BP708" s="197"/>
      <c r="BQ708" s="197"/>
    </row>
    <row r="709" spans="66:69" x14ac:dyDescent="0.2">
      <c r="BN709" s="192"/>
      <c r="BO709" s="197"/>
      <c r="BP709" s="197"/>
      <c r="BQ709" s="197"/>
    </row>
    <row r="710" spans="66:69" x14ac:dyDescent="0.2">
      <c r="BN710" s="192"/>
      <c r="BO710" s="197"/>
      <c r="BP710" s="197"/>
      <c r="BQ710" s="197"/>
    </row>
    <row r="711" spans="66:69" x14ac:dyDescent="0.2">
      <c r="BN711" s="192"/>
      <c r="BO711" s="197"/>
      <c r="BP711" s="197"/>
      <c r="BQ711" s="197"/>
    </row>
    <row r="712" spans="66:69" x14ac:dyDescent="0.2">
      <c r="BN712" s="192"/>
      <c r="BO712" s="197"/>
      <c r="BP712" s="197"/>
      <c r="BQ712" s="197"/>
    </row>
    <row r="713" spans="66:69" x14ac:dyDescent="0.2">
      <c r="BN713" s="192"/>
      <c r="BO713" s="197"/>
      <c r="BP713" s="197"/>
      <c r="BQ713" s="197"/>
    </row>
    <row r="714" spans="66:69" x14ac:dyDescent="0.2">
      <c r="BN714" s="192"/>
      <c r="BO714" s="197"/>
      <c r="BP714" s="197"/>
      <c r="BQ714" s="197"/>
    </row>
    <row r="715" spans="66:69" x14ac:dyDescent="0.2">
      <c r="BN715" s="192"/>
      <c r="BO715" s="197"/>
      <c r="BP715" s="197"/>
      <c r="BQ715" s="197"/>
    </row>
    <row r="716" spans="66:69" x14ac:dyDescent="0.2">
      <c r="BN716" s="192"/>
      <c r="BO716" s="197"/>
      <c r="BP716" s="197"/>
      <c r="BQ716" s="197"/>
    </row>
    <row r="717" spans="66:69" x14ac:dyDescent="0.2">
      <c r="BN717" s="192"/>
      <c r="BO717" s="197"/>
      <c r="BP717" s="197"/>
      <c r="BQ717" s="197"/>
    </row>
    <row r="718" spans="66:69" x14ac:dyDescent="0.2">
      <c r="BN718" s="192"/>
      <c r="BO718" s="197"/>
      <c r="BP718" s="197"/>
      <c r="BQ718" s="197"/>
    </row>
    <row r="719" spans="66:69" x14ac:dyDescent="0.2">
      <c r="BN719" s="192"/>
      <c r="BO719" s="197"/>
      <c r="BP719" s="197"/>
      <c r="BQ719" s="197"/>
    </row>
    <row r="720" spans="66:69" x14ac:dyDescent="0.2">
      <c r="BN720" s="192"/>
      <c r="BO720" s="197"/>
      <c r="BP720" s="197"/>
      <c r="BQ720" s="197"/>
    </row>
    <row r="721" spans="66:69" x14ac:dyDescent="0.2">
      <c r="BN721" s="192"/>
      <c r="BO721" s="197"/>
      <c r="BP721" s="197"/>
      <c r="BQ721" s="197"/>
    </row>
    <row r="722" spans="66:69" x14ac:dyDescent="0.2">
      <c r="BN722" s="192"/>
      <c r="BO722" s="197"/>
      <c r="BP722" s="197"/>
      <c r="BQ722" s="197"/>
    </row>
    <row r="723" spans="66:69" x14ac:dyDescent="0.2">
      <c r="BN723" s="192"/>
      <c r="BO723" s="197"/>
      <c r="BP723" s="197"/>
      <c r="BQ723" s="197"/>
    </row>
    <row r="724" spans="66:69" x14ac:dyDescent="0.2">
      <c r="BN724" s="192"/>
      <c r="BO724" s="197"/>
      <c r="BP724" s="197"/>
      <c r="BQ724" s="197"/>
    </row>
    <row r="725" spans="66:69" x14ac:dyDescent="0.2">
      <c r="BN725" s="192"/>
      <c r="BO725" s="197"/>
      <c r="BP725" s="197"/>
      <c r="BQ725" s="197"/>
    </row>
    <row r="726" spans="66:69" x14ac:dyDescent="0.2">
      <c r="BN726" s="192"/>
      <c r="BO726" s="197"/>
      <c r="BP726" s="197"/>
      <c r="BQ726" s="197"/>
    </row>
    <row r="727" spans="66:69" x14ac:dyDescent="0.2">
      <c r="BN727" s="192"/>
      <c r="BO727" s="197"/>
      <c r="BP727" s="197"/>
      <c r="BQ727" s="197"/>
    </row>
    <row r="728" spans="66:69" x14ac:dyDescent="0.2">
      <c r="BN728" s="192"/>
      <c r="BO728" s="197"/>
      <c r="BP728" s="197"/>
      <c r="BQ728" s="197"/>
    </row>
    <row r="729" spans="66:69" x14ac:dyDescent="0.2">
      <c r="BN729" s="192"/>
      <c r="BO729" s="197"/>
      <c r="BP729" s="197"/>
      <c r="BQ729" s="197"/>
    </row>
    <row r="730" spans="66:69" x14ac:dyDescent="0.2">
      <c r="BN730" s="192"/>
      <c r="BO730" s="197"/>
      <c r="BP730" s="197"/>
      <c r="BQ730" s="197"/>
    </row>
    <row r="731" spans="66:69" x14ac:dyDescent="0.2">
      <c r="BN731" s="192"/>
      <c r="BO731" s="197"/>
      <c r="BP731" s="197"/>
      <c r="BQ731" s="197"/>
    </row>
    <row r="732" spans="66:69" x14ac:dyDescent="0.2">
      <c r="BN732" s="192"/>
      <c r="BO732" s="197"/>
      <c r="BP732" s="197"/>
      <c r="BQ732" s="197"/>
    </row>
    <row r="733" spans="66:69" x14ac:dyDescent="0.2">
      <c r="BN733" s="192"/>
      <c r="BO733" s="197"/>
      <c r="BP733" s="197"/>
      <c r="BQ733" s="197"/>
    </row>
    <row r="734" spans="66:69" x14ac:dyDescent="0.2">
      <c r="BN734" s="192"/>
      <c r="BO734" s="197"/>
      <c r="BP734" s="197"/>
      <c r="BQ734" s="197"/>
    </row>
    <row r="735" spans="66:69" x14ac:dyDescent="0.2">
      <c r="BN735" s="192"/>
      <c r="BO735" s="197"/>
      <c r="BP735" s="197"/>
      <c r="BQ735" s="197"/>
    </row>
    <row r="736" spans="66:69" x14ac:dyDescent="0.2">
      <c r="BN736" s="192"/>
      <c r="BO736" s="197"/>
      <c r="BP736" s="197"/>
      <c r="BQ736" s="197"/>
    </row>
    <row r="737" spans="66:69" x14ac:dyDescent="0.2">
      <c r="BN737" s="192"/>
      <c r="BO737" s="197"/>
      <c r="BP737" s="197"/>
      <c r="BQ737" s="197"/>
    </row>
    <row r="738" spans="66:69" x14ac:dyDescent="0.2">
      <c r="BN738" s="192"/>
      <c r="BO738" s="197"/>
      <c r="BP738" s="197"/>
      <c r="BQ738" s="197"/>
    </row>
    <row r="739" spans="66:69" x14ac:dyDescent="0.2">
      <c r="BN739" s="192"/>
      <c r="BO739" s="197"/>
      <c r="BP739" s="197"/>
      <c r="BQ739" s="197"/>
    </row>
    <row r="740" spans="66:69" x14ac:dyDescent="0.2">
      <c r="BN740" s="192"/>
      <c r="BO740" s="197"/>
      <c r="BP740" s="197"/>
      <c r="BQ740" s="197"/>
    </row>
    <row r="741" spans="66:69" x14ac:dyDescent="0.2">
      <c r="BN741" s="192"/>
      <c r="BO741" s="197"/>
      <c r="BP741" s="197"/>
      <c r="BQ741" s="197"/>
    </row>
    <row r="742" spans="66:69" x14ac:dyDescent="0.2">
      <c r="BN742" s="192"/>
      <c r="BO742" s="197"/>
      <c r="BP742" s="197"/>
      <c r="BQ742" s="197"/>
    </row>
    <row r="743" spans="66:69" x14ac:dyDescent="0.2">
      <c r="BN743" s="192"/>
      <c r="BO743" s="197"/>
      <c r="BP743" s="197"/>
      <c r="BQ743" s="197"/>
    </row>
    <row r="744" spans="66:69" x14ac:dyDescent="0.2">
      <c r="BN744" s="192"/>
      <c r="BO744" s="197"/>
      <c r="BP744" s="197"/>
      <c r="BQ744" s="197"/>
    </row>
    <row r="745" spans="66:69" x14ac:dyDescent="0.2">
      <c r="BN745" s="192"/>
      <c r="BO745" s="197"/>
      <c r="BP745" s="197"/>
      <c r="BQ745" s="197"/>
    </row>
    <row r="746" spans="66:69" x14ac:dyDescent="0.2">
      <c r="BN746" s="192"/>
      <c r="BO746" s="197"/>
      <c r="BP746" s="197"/>
      <c r="BQ746" s="197"/>
    </row>
    <row r="747" spans="66:69" x14ac:dyDescent="0.2">
      <c r="BN747" s="192"/>
      <c r="BO747" s="197"/>
      <c r="BP747" s="197"/>
      <c r="BQ747" s="197"/>
    </row>
    <row r="748" spans="66:69" x14ac:dyDescent="0.2">
      <c r="BN748" s="192"/>
      <c r="BO748" s="197"/>
      <c r="BP748" s="197"/>
      <c r="BQ748" s="197"/>
    </row>
    <row r="749" spans="66:69" x14ac:dyDescent="0.2">
      <c r="BN749" s="192"/>
      <c r="BO749" s="197"/>
      <c r="BP749" s="197"/>
      <c r="BQ749" s="197"/>
    </row>
    <row r="750" spans="66:69" x14ac:dyDescent="0.2">
      <c r="BN750" s="192"/>
      <c r="BO750" s="197"/>
      <c r="BP750" s="197"/>
      <c r="BQ750" s="197"/>
    </row>
    <row r="751" spans="66:69" x14ac:dyDescent="0.2">
      <c r="BN751" s="192"/>
      <c r="BO751" s="197"/>
      <c r="BP751" s="197"/>
      <c r="BQ751" s="197"/>
    </row>
    <row r="752" spans="66:69" x14ac:dyDescent="0.2">
      <c r="BN752" s="192"/>
      <c r="BO752" s="197"/>
      <c r="BP752" s="197"/>
      <c r="BQ752" s="197"/>
    </row>
    <row r="753" spans="66:69" x14ac:dyDescent="0.2">
      <c r="BN753" s="192"/>
      <c r="BO753" s="197"/>
      <c r="BP753" s="197"/>
      <c r="BQ753" s="197"/>
    </row>
    <row r="754" spans="66:69" x14ac:dyDescent="0.2">
      <c r="BN754" s="192"/>
      <c r="BO754" s="197"/>
      <c r="BP754" s="197"/>
      <c r="BQ754" s="197"/>
    </row>
    <row r="755" spans="66:69" x14ac:dyDescent="0.2">
      <c r="BN755" s="192"/>
      <c r="BO755" s="197"/>
      <c r="BP755" s="197"/>
      <c r="BQ755" s="197"/>
    </row>
    <row r="756" spans="66:69" x14ac:dyDescent="0.2">
      <c r="BN756" s="192"/>
      <c r="BO756" s="197"/>
      <c r="BP756" s="197"/>
      <c r="BQ756" s="197"/>
    </row>
    <row r="757" spans="66:69" x14ac:dyDescent="0.2">
      <c r="BN757" s="192"/>
      <c r="BO757" s="197"/>
      <c r="BP757" s="197"/>
      <c r="BQ757" s="197"/>
    </row>
    <row r="758" spans="66:69" x14ac:dyDescent="0.2">
      <c r="BN758" s="192"/>
      <c r="BO758" s="197"/>
      <c r="BP758" s="197"/>
      <c r="BQ758" s="197"/>
    </row>
    <row r="759" spans="66:69" x14ac:dyDescent="0.2">
      <c r="BN759" s="192"/>
      <c r="BO759" s="197"/>
      <c r="BP759" s="197"/>
      <c r="BQ759" s="197"/>
    </row>
    <row r="760" spans="66:69" x14ac:dyDescent="0.2">
      <c r="BN760" s="192"/>
      <c r="BO760" s="197"/>
      <c r="BP760" s="197"/>
      <c r="BQ760" s="197"/>
    </row>
    <row r="761" spans="66:69" x14ac:dyDescent="0.2">
      <c r="BN761" s="192"/>
      <c r="BO761" s="197"/>
      <c r="BP761" s="197"/>
      <c r="BQ761" s="197"/>
    </row>
    <row r="762" spans="66:69" x14ac:dyDescent="0.2">
      <c r="BN762" s="192"/>
      <c r="BO762" s="197"/>
      <c r="BP762" s="197"/>
      <c r="BQ762" s="197"/>
    </row>
    <row r="763" spans="66:69" x14ac:dyDescent="0.2">
      <c r="BN763" s="192"/>
      <c r="BO763" s="197"/>
      <c r="BP763" s="197"/>
      <c r="BQ763" s="197"/>
    </row>
    <row r="764" spans="66:69" x14ac:dyDescent="0.2">
      <c r="BN764" s="192"/>
      <c r="BO764" s="197"/>
      <c r="BP764" s="197"/>
      <c r="BQ764" s="197"/>
    </row>
    <row r="765" spans="66:69" x14ac:dyDescent="0.2">
      <c r="BN765" s="192"/>
      <c r="BO765" s="197"/>
      <c r="BP765" s="197"/>
      <c r="BQ765" s="197"/>
    </row>
    <row r="766" spans="66:69" x14ac:dyDescent="0.2">
      <c r="BN766" s="192"/>
      <c r="BO766" s="197"/>
      <c r="BP766" s="197"/>
      <c r="BQ766" s="197"/>
    </row>
    <row r="767" spans="66:69" x14ac:dyDescent="0.2">
      <c r="BN767" s="192"/>
      <c r="BO767" s="197"/>
      <c r="BP767" s="197"/>
      <c r="BQ767" s="197"/>
    </row>
    <row r="768" spans="66:69" x14ac:dyDescent="0.2">
      <c r="BN768" s="192"/>
      <c r="BO768" s="197"/>
      <c r="BP768" s="197"/>
      <c r="BQ768" s="197"/>
    </row>
    <row r="769" spans="66:69" x14ac:dyDescent="0.2">
      <c r="BN769" s="192"/>
      <c r="BO769" s="197"/>
      <c r="BP769" s="197"/>
      <c r="BQ769" s="197"/>
    </row>
    <row r="770" spans="66:69" x14ac:dyDescent="0.2">
      <c r="BN770" s="192"/>
      <c r="BO770" s="197"/>
      <c r="BP770" s="197"/>
      <c r="BQ770" s="197"/>
    </row>
    <row r="771" spans="66:69" x14ac:dyDescent="0.2">
      <c r="BN771" s="192"/>
      <c r="BO771" s="197"/>
      <c r="BP771" s="197"/>
      <c r="BQ771" s="197"/>
    </row>
    <row r="772" spans="66:69" x14ac:dyDescent="0.2">
      <c r="BN772" s="192"/>
      <c r="BO772" s="197"/>
      <c r="BP772" s="197"/>
      <c r="BQ772" s="197"/>
    </row>
    <row r="773" spans="66:69" x14ac:dyDescent="0.2">
      <c r="BN773" s="192"/>
      <c r="BO773" s="197"/>
      <c r="BP773" s="197"/>
      <c r="BQ773" s="197"/>
    </row>
    <row r="774" spans="66:69" x14ac:dyDescent="0.2">
      <c r="BN774" s="192"/>
      <c r="BO774" s="197"/>
      <c r="BP774" s="197"/>
      <c r="BQ774" s="197"/>
    </row>
    <row r="775" spans="66:69" x14ac:dyDescent="0.2">
      <c r="BN775" s="192"/>
      <c r="BO775" s="197"/>
      <c r="BP775" s="197"/>
      <c r="BQ775" s="197"/>
    </row>
    <row r="776" spans="66:69" x14ac:dyDescent="0.2">
      <c r="BN776" s="192"/>
      <c r="BO776" s="197"/>
      <c r="BP776" s="197"/>
      <c r="BQ776" s="197"/>
    </row>
    <row r="777" spans="66:69" x14ac:dyDescent="0.2">
      <c r="BN777" s="192"/>
      <c r="BO777" s="197"/>
      <c r="BP777" s="197"/>
      <c r="BQ777" s="197"/>
    </row>
    <row r="778" spans="66:69" x14ac:dyDescent="0.2">
      <c r="BN778" s="192"/>
      <c r="BO778" s="197"/>
      <c r="BP778" s="197"/>
      <c r="BQ778" s="197"/>
    </row>
    <row r="779" spans="66:69" x14ac:dyDescent="0.2">
      <c r="BN779" s="192"/>
      <c r="BO779" s="197"/>
      <c r="BP779" s="197"/>
      <c r="BQ779" s="197"/>
    </row>
    <row r="780" spans="66:69" x14ac:dyDescent="0.2">
      <c r="BN780" s="192"/>
      <c r="BO780" s="197"/>
      <c r="BP780" s="197"/>
      <c r="BQ780" s="197"/>
    </row>
    <row r="781" spans="66:69" x14ac:dyDescent="0.2">
      <c r="BN781" s="192"/>
      <c r="BO781" s="197"/>
      <c r="BP781" s="197"/>
      <c r="BQ781" s="197"/>
    </row>
    <row r="782" spans="66:69" x14ac:dyDescent="0.2">
      <c r="BN782" s="192"/>
      <c r="BO782" s="197"/>
      <c r="BP782" s="197"/>
      <c r="BQ782" s="197"/>
    </row>
    <row r="783" spans="66:69" x14ac:dyDescent="0.2">
      <c r="BN783" s="192"/>
      <c r="BO783" s="197"/>
      <c r="BP783" s="197"/>
      <c r="BQ783" s="197"/>
    </row>
    <row r="784" spans="66:69" x14ac:dyDescent="0.2">
      <c r="BN784" s="192"/>
      <c r="BO784" s="197"/>
      <c r="BP784" s="197"/>
      <c r="BQ784" s="197"/>
    </row>
    <row r="785" spans="66:69" x14ac:dyDescent="0.2">
      <c r="BN785" s="192"/>
      <c r="BO785" s="197"/>
      <c r="BP785" s="197"/>
      <c r="BQ785" s="197"/>
    </row>
    <row r="786" spans="66:69" x14ac:dyDescent="0.2">
      <c r="BN786" s="192"/>
      <c r="BO786" s="197"/>
      <c r="BP786" s="197"/>
      <c r="BQ786" s="197"/>
    </row>
    <row r="787" spans="66:69" x14ac:dyDescent="0.2">
      <c r="BN787" s="192"/>
      <c r="BO787" s="197"/>
      <c r="BP787" s="197"/>
      <c r="BQ787" s="197"/>
    </row>
    <row r="788" spans="66:69" x14ac:dyDescent="0.2">
      <c r="BN788" s="192"/>
      <c r="BO788" s="197"/>
      <c r="BP788" s="197"/>
      <c r="BQ788" s="197"/>
    </row>
    <row r="789" spans="66:69" x14ac:dyDescent="0.2">
      <c r="BN789" s="192"/>
      <c r="BO789" s="197"/>
      <c r="BP789" s="197"/>
      <c r="BQ789" s="197"/>
    </row>
    <row r="790" spans="66:69" x14ac:dyDescent="0.2">
      <c r="BN790" s="192"/>
      <c r="BO790" s="197"/>
      <c r="BP790" s="197"/>
      <c r="BQ790" s="197"/>
    </row>
    <row r="791" spans="66:69" x14ac:dyDescent="0.2">
      <c r="BN791" s="192"/>
      <c r="BO791" s="197"/>
      <c r="BP791" s="197"/>
      <c r="BQ791" s="197"/>
    </row>
    <row r="792" spans="66:69" x14ac:dyDescent="0.2">
      <c r="BN792" s="192"/>
      <c r="BO792" s="197"/>
      <c r="BP792" s="197"/>
      <c r="BQ792" s="197"/>
    </row>
    <row r="793" spans="66:69" x14ac:dyDescent="0.2">
      <c r="BN793" s="192"/>
      <c r="BO793" s="197"/>
      <c r="BP793" s="197"/>
      <c r="BQ793" s="197"/>
    </row>
    <row r="794" spans="66:69" x14ac:dyDescent="0.2">
      <c r="BN794" s="192"/>
      <c r="BO794" s="197"/>
      <c r="BP794" s="197"/>
      <c r="BQ794" s="197"/>
    </row>
    <row r="795" spans="66:69" x14ac:dyDescent="0.2">
      <c r="BN795" s="192"/>
      <c r="BO795" s="197"/>
      <c r="BP795" s="197"/>
      <c r="BQ795" s="197"/>
    </row>
    <row r="796" spans="66:69" x14ac:dyDescent="0.2">
      <c r="BN796" s="192"/>
      <c r="BO796" s="197"/>
      <c r="BP796" s="197"/>
      <c r="BQ796" s="197"/>
    </row>
    <row r="797" spans="66:69" x14ac:dyDescent="0.2">
      <c r="BN797" s="192"/>
      <c r="BO797" s="197"/>
      <c r="BP797" s="197"/>
      <c r="BQ797" s="197"/>
    </row>
    <row r="798" spans="66:69" x14ac:dyDescent="0.2">
      <c r="BN798" s="192"/>
      <c r="BO798" s="197"/>
      <c r="BP798" s="197"/>
      <c r="BQ798" s="197"/>
    </row>
    <row r="799" spans="66:69" x14ac:dyDescent="0.2">
      <c r="BN799" s="192"/>
      <c r="BO799" s="197"/>
      <c r="BP799" s="197"/>
      <c r="BQ799" s="197"/>
    </row>
    <row r="800" spans="66:69" x14ac:dyDescent="0.2">
      <c r="BN800" s="192"/>
      <c r="BO800" s="197"/>
      <c r="BP800" s="197"/>
      <c r="BQ800" s="197"/>
    </row>
    <row r="801" spans="66:69" x14ac:dyDescent="0.2">
      <c r="BN801" s="192"/>
      <c r="BO801" s="197"/>
      <c r="BP801" s="197"/>
      <c r="BQ801" s="197"/>
    </row>
    <row r="802" spans="66:69" x14ac:dyDescent="0.2">
      <c r="BN802" s="192"/>
      <c r="BO802" s="197"/>
      <c r="BP802" s="197"/>
      <c r="BQ802" s="197"/>
    </row>
    <row r="803" spans="66:69" x14ac:dyDescent="0.2">
      <c r="BN803" s="192"/>
      <c r="BO803" s="197"/>
      <c r="BP803" s="197"/>
      <c r="BQ803" s="197"/>
    </row>
    <row r="804" spans="66:69" x14ac:dyDescent="0.2">
      <c r="BN804" s="192"/>
      <c r="BO804" s="197"/>
      <c r="BP804" s="197"/>
      <c r="BQ804" s="197"/>
    </row>
    <row r="805" spans="66:69" x14ac:dyDescent="0.2">
      <c r="BN805" s="192"/>
      <c r="BO805" s="197"/>
      <c r="BP805" s="197"/>
      <c r="BQ805" s="197"/>
    </row>
    <row r="806" spans="66:69" x14ac:dyDescent="0.2">
      <c r="BN806" s="192"/>
      <c r="BO806" s="197"/>
      <c r="BP806" s="197"/>
      <c r="BQ806" s="197"/>
    </row>
    <row r="807" spans="66:69" x14ac:dyDescent="0.2">
      <c r="BN807" s="192"/>
      <c r="BO807" s="197"/>
      <c r="BP807" s="197"/>
      <c r="BQ807" s="197"/>
    </row>
    <row r="808" spans="66:69" x14ac:dyDescent="0.2">
      <c r="BN808" s="192"/>
      <c r="BO808" s="197"/>
      <c r="BP808" s="197"/>
      <c r="BQ808" s="197"/>
    </row>
    <row r="809" spans="66:69" x14ac:dyDescent="0.2">
      <c r="BN809" s="192"/>
      <c r="BO809" s="197"/>
      <c r="BP809" s="197"/>
      <c r="BQ809" s="197"/>
    </row>
    <row r="810" spans="66:69" x14ac:dyDescent="0.2">
      <c r="BN810" s="192"/>
      <c r="BO810" s="197"/>
      <c r="BP810" s="197"/>
      <c r="BQ810" s="197"/>
    </row>
    <row r="811" spans="66:69" x14ac:dyDescent="0.2">
      <c r="BN811" s="192"/>
      <c r="BO811" s="197"/>
      <c r="BP811" s="197"/>
      <c r="BQ811" s="197"/>
    </row>
    <row r="812" spans="66:69" x14ac:dyDescent="0.2">
      <c r="BN812" s="192"/>
      <c r="BO812" s="197"/>
      <c r="BP812" s="197"/>
      <c r="BQ812" s="197"/>
    </row>
    <row r="813" spans="66:69" x14ac:dyDescent="0.2">
      <c r="BN813" s="192"/>
      <c r="BO813" s="197"/>
      <c r="BP813" s="197"/>
      <c r="BQ813" s="197"/>
    </row>
    <row r="814" spans="66:69" x14ac:dyDescent="0.2">
      <c r="BN814" s="192"/>
      <c r="BO814" s="197"/>
      <c r="BP814" s="197"/>
      <c r="BQ814" s="197"/>
    </row>
    <row r="815" spans="66:69" x14ac:dyDescent="0.2">
      <c r="BN815" s="192"/>
      <c r="BO815" s="197"/>
      <c r="BP815" s="197"/>
      <c r="BQ815" s="197"/>
    </row>
    <row r="816" spans="66:69" x14ac:dyDescent="0.2">
      <c r="BN816" s="192"/>
      <c r="BO816" s="197"/>
      <c r="BP816" s="197"/>
      <c r="BQ816" s="197"/>
    </row>
    <row r="817" spans="66:69" x14ac:dyDescent="0.2">
      <c r="BN817" s="192"/>
      <c r="BO817" s="197"/>
      <c r="BP817" s="197"/>
      <c r="BQ817" s="197"/>
    </row>
    <row r="818" spans="66:69" x14ac:dyDescent="0.2">
      <c r="BN818" s="192"/>
      <c r="BO818" s="197"/>
      <c r="BP818" s="197"/>
      <c r="BQ818" s="197"/>
    </row>
    <row r="819" spans="66:69" x14ac:dyDescent="0.2">
      <c r="BN819" s="192"/>
      <c r="BO819" s="197"/>
      <c r="BP819" s="197"/>
      <c r="BQ819" s="197"/>
    </row>
    <row r="820" spans="66:69" x14ac:dyDescent="0.2">
      <c r="BN820" s="192"/>
      <c r="BO820" s="197"/>
      <c r="BP820" s="197"/>
      <c r="BQ820" s="197"/>
    </row>
    <row r="821" spans="66:69" x14ac:dyDescent="0.2">
      <c r="BN821" s="192"/>
      <c r="BO821" s="197"/>
      <c r="BP821" s="197"/>
      <c r="BQ821" s="197"/>
    </row>
    <row r="822" spans="66:69" x14ac:dyDescent="0.2">
      <c r="BN822" s="192"/>
      <c r="BO822" s="197"/>
      <c r="BP822" s="197"/>
      <c r="BQ822" s="197"/>
    </row>
    <row r="823" spans="66:69" x14ac:dyDescent="0.2">
      <c r="BN823" s="192"/>
      <c r="BO823" s="197"/>
      <c r="BP823" s="197"/>
      <c r="BQ823" s="197"/>
    </row>
    <row r="824" spans="66:69" x14ac:dyDescent="0.2">
      <c r="BN824" s="192"/>
      <c r="BO824" s="197"/>
      <c r="BP824" s="197"/>
      <c r="BQ824" s="197"/>
    </row>
    <row r="825" spans="66:69" x14ac:dyDescent="0.2">
      <c r="BN825" s="192"/>
      <c r="BO825" s="197"/>
      <c r="BP825" s="197"/>
      <c r="BQ825" s="197"/>
    </row>
    <row r="826" spans="66:69" x14ac:dyDescent="0.2">
      <c r="BN826" s="192"/>
      <c r="BO826" s="197"/>
      <c r="BP826" s="197"/>
      <c r="BQ826" s="197"/>
    </row>
    <row r="827" spans="66:69" x14ac:dyDescent="0.2">
      <c r="BN827" s="192"/>
      <c r="BO827" s="197"/>
      <c r="BP827" s="197"/>
      <c r="BQ827" s="197"/>
    </row>
    <row r="828" spans="66:69" x14ac:dyDescent="0.2">
      <c r="BN828" s="192"/>
      <c r="BO828" s="197"/>
      <c r="BP828" s="197"/>
      <c r="BQ828" s="197"/>
    </row>
    <row r="829" spans="66:69" x14ac:dyDescent="0.2">
      <c r="BN829" s="192"/>
      <c r="BO829" s="197"/>
      <c r="BP829" s="197"/>
      <c r="BQ829" s="197"/>
    </row>
    <row r="830" spans="66:69" x14ac:dyDescent="0.2">
      <c r="BN830" s="192"/>
      <c r="BO830" s="197"/>
      <c r="BP830" s="197"/>
      <c r="BQ830" s="197"/>
    </row>
    <row r="831" spans="66:69" x14ac:dyDescent="0.2">
      <c r="BN831" s="192"/>
      <c r="BO831" s="197"/>
      <c r="BP831" s="197"/>
      <c r="BQ831" s="197"/>
    </row>
    <row r="832" spans="66:69" x14ac:dyDescent="0.2">
      <c r="BN832" s="192"/>
      <c r="BO832" s="197"/>
      <c r="BP832" s="197"/>
      <c r="BQ832" s="197"/>
    </row>
    <row r="833" spans="66:69" x14ac:dyDescent="0.2">
      <c r="BN833" s="192"/>
      <c r="BO833" s="197"/>
      <c r="BP833" s="197"/>
      <c r="BQ833" s="197"/>
    </row>
    <row r="834" spans="66:69" x14ac:dyDescent="0.2">
      <c r="BN834" s="192"/>
      <c r="BO834" s="197"/>
      <c r="BP834" s="197"/>
      <c r="BQ834" s="197"/>
    </row>
    <row r="835" spans="66:69" x14ac:dyDescent="0.2">
      <c r="BN835" s="192"/>
      <c r="BO835" s="197"/>
      <c r="BP835" s="197"/>
      <c r="BQ835" s="197"/>
    </row>
    <row r="836" spans="66:69" x14ac:dyDescent="0.2">
      <c r="BN836" s="192"/>
      <c r="BO836" s="197"/>
      <c r="BP836" s="197"/>
      <c r="BQ836" s="197"/>
    </row>
    <row r="837" spans="66:69" x14ac:dyDescent="0.2">
      <c r="BN837" s="192"/>
      <c r="BO837" s="197"/>
      <c r="BP837" s="197"/>
      <c r="BQ837" s="197"/>
    </row>
    <row r="838" spans="66:69" x14ac:dyDescent="0.2">
      <c r="BN838" s="192"/>
      <c r="BO838" s="197"/>
      <c r="BP838" s="197"/>
      <c r="BQ838" s="197"/>
    </row>
    <row r="839" spans="66:69" x14ac:dyDescent="0.2">
      <c r="BN839" s="192"/>
      <c r="BO839" s="197"/>
      <c r="BP839" s="197"/>
      <c r="BQ839" s="197"/>
    </row>
    <row r="840" spans="66:69" x14ac:dyDescent="0.2">
      <c r="BN840" s="192"/>
      <c r="BO840" s="197"/>
      <c r="BP840" s="197"/>
      <c r="BQ840" s="197"/>
    </row>
    <row r="841" spans="66:69" x14ac:dyDescent="0.2">
      <c r="BN841" s="192"/>
      <c r="BO841" s="197"/>
      <c r="BP841" s="197"/>
      <c r="BQ841" s="197"/>
    </row>
    <row r="842" spans="66:69" x14ac:dyDescent="0.2">
      <c r="BN842" s="192"/>
      <c r="BO842" s="197"/>
      <c r="BP842" s="197"/>
      <c r="BQ842" s="197"/>
    </row>
    <row r="843" spans="66:69" x14ac:dyDescent="0.2">
      <c r="BN843" s="192"/>
      <c r="BO843" s="197"/>
      <c r="BP843" s="197"/>
      <c r="BQ843" s="197"/>
    </row>
    <row r="844" spans="66:69" x14ac:dyDescent="0.2">
      <c r="BN844" s="192"/>
      <c r="BO844" s="197"/>
      <c r="BP844" s="197"/>
      <c r="BQ844" s="197"/>
    </row>
    <row r="845" spans="66:69" x14ac:dyDescent="0.2">
      <c r="BN845" s="192"/>
      <c r="BO845" s="197"/>
      <c r="BP845" s="197"/>
      <c r="BQ845" s="197"/>
    </row>
    <row r="846" spans="66:69" x14ac:dyDescent="0.2">
      <c r="BN846" s="192"/>
      <c r="BO846" s="197"/>
      <c r="BP846" s="197"/>
      <c r="BQ846" s="197"/>
    </row>
    <row r="847" spans="66:69" x14ac:dyDescent="0.2">
      <c r="BN847" s="192"/>
      <c r="BO847" s="197"/>
      <c r="BP847" s="197"/>
      <c r="BQ847" s="197"/>
    </row>
    <row r="848" spans="66:69" x14ac:dyDescent="0.2">
      <c r="BN848" s="192"/>
      <c r="BO848" s="197"/>
      <c r="BP848" s="197"/>
      <c r="BQ848" s="197"/>
    </row>
    <row r="849" spans="66:69" x14ac:dyDescent="0.2">
      <c r="BN849" s="192"/>
      <c r="BO849" s="197"/>
      <c r="BP849" s="197"/>
      <c r="BQ849" s="197"/>
    </row>
    <row r="850" spans="66:69" x14ac:dyDescent="0.2">
      <c r="BN850" s="192"/>
      <c r="BO850" s="197"/>
      <c r="BP850" s="197"/>
      <c r="BQ850" s="197"/>
    </row>
    <row r="851" spans="66:69" x14ac:dyDescent="0.2">
      <c r="BN851" s="192"/>
      <c r="BO851" s="197"/>
      <c r="BP851" s="197"/>
      <c r="BQ851" s="197"/>
    </row>
    <row r="852" spans="66:69" x14ac:dyDescent="0.2">
      <c r="BN852" s="192"/>
      <c r="BO852" s="197"/>
      <c r="BP852" s="197"/>
      <c r="BQ852" s="197"/>
    </row>
    <row r="853" spans="66:69" x14ac:dyDescent="0.2">
      <c r="BN853" s="192"/>
      <c r="BO853" s="197"/>
      <c r="BP853" s="197"/>
      <c r="BQ853" s="197"/>
    </row>
    <row r="854" spans="66:69" x14ac:dyDescent="0.2">
      <c r="BN854" s="192"/>
      <c r="BO854" s="197"/>
      <c r="BP854" s="197"/>
      <c r="BQ854" s="197"/>
    </row>
    <row r="855" spans="66:69" x14ac:dyDescent="0.2">
      <c r="BN855" s="192"/>
      <c r="BO855" s="197"/>
      <c r="BP855" s="197"/>
      <c r="BQ855" s="197"/>
    </row>
    <row r="856" spans="66:69" x14ac:dyDescent="0.2">
      <c r="BN856" s="192"/>
      <c r="BO856" s="197"/>
      <c r="BP856" s="197"/>
      <c r="BQ856" s="197"/>
    </row>
    <row r="857" spans="66:69" x14ac:dyDescent="0.2">
      <c r="BN857" s="192"/>
      <c r="BO857" s="197"/>
      <c r="BP857" s="197"/>
      <c r="BQ857" s="197"/>
    </row>
    <row r="858" spans="66:69" x14ac:dyDescent="0.2">
      <c r="BN858" s="192"/>
      <c r="BO858" s="197"/>
      <c r="BP858" s="197"/>
      <c r="BQ858" s="197"/>
    </row>
    <row r="859" spans="66:69" x14ac:dyDescent="0.2">
      <c r="BN859" s="192"/>
      <c r="BO859" s="197"/>
      <c r="BP859" s="197"/>
      <c r="BQ859" s="197"/>
    </row>
    <row r="860" spans="66:69" x14ac:dyDescent="0.2">
      <c r="BN860" s="192"/>
      <c r="BO860" s="197"/>
      <c r="BP860" s="197"/>
      <c r="BQ860" s="197"/>
    </row>
    <row r="861" spans="66:69" x14ac:dyDescent="0.2">
      <c r="BN861" s="192"/>
      <c r="BO861" s="197"/>
      <c r="BP861" s="197"/>
      <c r="BQ861" s="197"/>
    </row>
    <row r="862" spans="66:69" x14ac:dyDescent="0.2">
      <c r="BN862" s="192"/>
      <c r="BO862" s="197"/>
      <c r="BP862" s="197"/>
      <c r="BQ862" s="197"/>
    </row>
    <row r="863" spans="66:69" x14ac:dyDescent="0.2">
      <c r="BN863" s="192"/>
      <c r="BO863" s="197"/>
      <c r="BP863" s="197"/>
      <c r="BQ863" s="197"/>
    </row>
    <row r="864" spans="66:69" x14ac:dyDescent="0.2">
      <c r="BN864" s="192"/>
      <c r="BO864" s="197"/>
      <c r="BP864" s="197"/>
      <c r="BQ864" s="197"/>
    </row>
    <row r="865" spans="66:69" x14ac:dyDescent="0.2">
      <c r="BN865" s="192"/>
      <c r="BO865" s="197"/>
      <c r="BP865" s="197"/>
      <c r="BQ865" s="197"/>
    </row>
    <row r="866" spans="66:69" x14ac:dyDescent="0.2">
      <c r="BN866" s="192"/>
      <c r="BO866" s="197"/>
      <c r="BP866" s="197"/>
      <c r="BQ866" s="197"/>
    </row>
    <row r="867" spans="66:69" x14ac:dyDescent="0.2">
      <c r="BN867" s="192"/>
      <c r="BO867" s="197"/>
      <c r="BP867" s="197"/>
      <c r="BQ867" s="197"/>
    </row>
    <row r="868" spans="66:69" x14ac:dyDescent="0.2">
      <c r="BN868" s="192"/>
      <c r="BO868" s="197"/>
      <c r="BP868" s="197"/>
      <c r="BQ868" s="197"/>
    </row>
    <row r="869" spans="66:69" x14ac:dyDescent="0.2">
      <c r="BN869" s="192"/>
      <c r="BO869" s="197"/>
      <c r="BP869" s="197"/>
      <c r="BQ869" s="197"/>
    </row>
    <row r="870" spans="66:69" x14ac:dyDescent="0.2">
      <c r="BN870" s="192"/>
      <c r="BO870" s="197"/>
      <c r="BP870" s="197"/>
      <c r="BQ870" s="197"/>
    </row>
    <row r="871" spans="66:69" x14ac:dyDescent="0.2">
      <c r="BN871" s="192"/>
      <c r="BO871" s="197"/>
      <c r="BP871" s="197"/>
      <c r="BQ871" s="197"/>
    </row>
    <row r="872" spans="66:69" x14ac:dyDescent="0.2">
      <c r="BN872" s="192"/>
      <c r="BO872" s="197"/>
      <c r="BP872" s="197"/>
      <c r="BQ872" s="197"/>
    </row>
    <row r="873" spans="66:69" x14ac:dyDescent="0.2">
      <c r="BN873" s="192"/>
      <c r="BO873" s="197"/>
      <c r="BP873" s="197"/>
      <c r="BQ873" s="197"/>
    </row>
    <row r="874" spans="66:69" x14ac:dyDescent="0.2">
      <c r="BN874" s="192"/>
      <c r="BO874" s="197"/>
      <c r="BP874" s="197"/>
      <c r="BQ874" s="197"/>
    </row>
    <row r="875" spans="66:69" x14ac:dyDescent="0.2">
      <c r="BN875" s="192"/>
      <c r="BO875" s="197"/>
      <c r="BP875" s="197"/>
      <c r="BQ875" s="197"/>
    </row>
    <row r="876" spans="66:69" x14ac:dyDescent="0.2">
      <c r="BN876" s="192"/>
      <c r="BO876" s="197"/>
      <c r="BP876" s="197"/>
      <c r="BQ876" s="197"/>
    </row>
    <row r="877" spans="66:69" x14ac:dyDescent="0.2">
      <c r="BN877" s="192"/>
      <c r="BO877" s="197"/>
      <c r="BP877" s="197"/>
      <c r="BQ877" s="197"/>
    </row>
    <row r="878" spans="66:69" x14ac:dyDescent="0.2">
      <c r="BN878" s="192"/>
      <c r="BO878" s="197"/>
      <c r="BP878" s="197"/>
      <c r="BQ878" s="197"/>
    </row>
    <row r="879" spans="66:69" x14ac:dyDescent="0.2">
      <c r="BN879" s="192"/>
      <c r="BO879" s="197"/>
      <c r="BP879" s="197"/>
      <c r="BQ879" s="197"/>
    </row>
    <row r="880" spans="66:69" x14ac:dyDescent="0.2">
      <c r="BN880" s="192"/>
      <c r="BO880" s="197"/>
      <c r="BP880" s="197"/>
      <c r="BQ880" s="197"/>
    </row>
    <row r="881" spans="66:69" x14ac:dyDescent="0.2">
      <c r="BN881" s="192"/>
      <c r="BO881" s="197"/>
      <c r="BP881" s="197"/>
      <c r="BQ881" s="197"/>
    </row>
    <row r="882" spans="66:69" x14ac:dyDescent="0.2">
      <c r="BN882" s="192"/>
      <c r="BO882" s="197"/>
      <c r="BP882" s="197"/>
      <c r="BQ882" s="197"/>
    </row>
    <row r="883" spans="66:69" x14ac:dyDescent="0.2">
      <c r="BN883" s="192"/>
      <c r="BO883" s="197"/>
      <c r="BP883" s="197"/>
      <c r="BQ883" s="197"/>
    </row>
    <row r="884" spans="66:69" x14ac:dyDescent="0.2">
      <c r="BN884" s="192"/>
      <c r="BO884" s="197"/>
      <c r="BP884" s="197"/>
      <c r="BQ884" s="197"/>
    </row>
    <row r="885" spans="66:69" x14ac:dyDescent="0.2">
      <c r="BN885" s="192"/>
      <c r="BO885" s="197"/>
      <c r="BP885" s="197"/>
      <c r="BQ885" s="197"/>
    </row>
    <row r="886" spans="66:69" x14ac:dyDescent="0.2">
      <c r="BN886" s="192"/>
      <c r="BO886" s="197"/>
      <c r="BP886" s="197"/>
      <c r="BQ886" s="197"/>
    </row>
    <row r="887" spans="66:69" x14ac:dyDescent="0.2">
      <c r="BN887" s="192"/>
      <c r="BO887" s="197"/>
      <c r="BP887" s="197"/>
      <c r="BQ887" s="197"/>
    </row>
    <row r="888" spans="66:69" x14ac:dyDescent="0.2">
      <c r="BN888" s="192"/>
      <c r="BO888" s="197"/>
      <c r="BP888" s="197"/>
      <c r="BQ888" s="197"/>
    </row>
    <row r="889" spans="66:69" x14ac:dyDescent="0.2">
      <c r="BN889" s="192"/>
      <c r="BO889" s="197"/>
      <c r="BP889" s="197"/>
      <c r="BQ889" s="197"/>
    </row>
    <row r="890" spans="66:69" x14ac:dyDescent="0.2">
      <c r="BN890" s="192"/>
      <c r="BO890" s="197"/>
      <c r="BP890" s="197"/>
      <c r="BQ890" s="197"/>
    </row>
    <row r="891" spans="66:69" x14ac:dyDescent="0.2">
      <c r="BN891" s="192"/>
      <c r="BO891" s="197"/>
      <c r="BP891" s="197"/>
      <c r="BQ891" s="197"/>
    </row>
    <row r="892" spans="66:69" x14ac:dyDescent="0.2">
      <c r="BN892" s="192"/>
      <c r="BO892" s="197"/>
      <c r="BP892" s="197"/>
      <c r="BQ892" s="197"/>
    </row>
    <row r="893" spans="66:69" x14ac:dyDescent="0.2">
      <c r="BN893" s="192"/>
      <c r="BO893" s="197"/>
      <c r="BP893" s="197"/>
      <c r="BQ893" s="197"/>
    </row>
    <row r="894" spans="66:69" x14ac:dyDescent="0.2">
      <c r="BN894" s="192"/>
      <c r="BO894" s="197"/>
      <c r="BP894" s="197"/>
      <c r="BQ894" s="197"/>
    </row>
    <row r="895" spans="66:69" x14ac:dyDescent="0.2">
      <c r="BN895" s="192"/>
      <c r="BO895" s="197"/>
      <c r="BP895" s="197"/>
      <c r="BQ895" s="197"/>
    </row>
    <row r="896" spans="66:69" x14ac:dyDescent="0.2">
      <c r="BN896" s="192"/>
      <c r="BO896" s="197"/>
      <c r="BP896" s="197"/>
      <c r="BQ896" s="197"/>
    </row>
    <row r="897" spans="66:69" x14ac:dyDescent="0.2">
      <c r="BN897" s="192"/>
      <c r="BO897" s="197"/>
      <c r="BP897" s="197"/>
      <c r="BQ897" s="197"/>
    </row>
    <row r="898" spans="66:69" x14ac:dyDescent="0.2">
      <c r="BN898" s="192"/>
      <c r="BO898" s="197"/>
      <c r="BP898" s="197"/>
      <c r="BQ898" s="197"/>
    </row>
    <row r="899" spans="66:69" x14ac:dyDescent="0.2">
      <c r="BN899" s="192"/>
      <c r="BO899" s="197"/>
      <c r="BP899" s="197"/>
      <c r="BQ899" s="197"/>
    </row>
    <row r="900" spans="66:69" x14ac:dyDescent="0.2">
      <c r="BN900" s="192"/>
      <c r="BO900" s="197"/>
      <c r="BP900" s="197"/>
      <c r="BQ900" s="197"/>
    </row>
    <row r="901" spans="66:69" x14ac:dyDescent="0.2">
      <c r="BN901" s="192"/>
      <c r="BO901" s="197"/>
      <c r="BP901" s="197"/>
      <c r="BQ901" s="197"/>
    </row>
    <row r="902" spans="66:69" x14ac:dyDescent="0.2">
      <c r="BN902" s="192"/>
      <c r="BO902" s="197"/>
      <c r="BP902" s="197"/>
      <c r="BQ902" s="197"/>
    </row>
    <row r="903" spans="66:69" x14ac:dyDescent="0.2">
      <c r="BN903" s="192"/>
      <c r="BO903" s="197"/>
      <c r="BP903" s="197"/>
      <c r="BQ903" s="197"/>
    </row>
    <row r="904" spans="66:69" x14ac:dyDescent="0.2">
      <c r="BN904" s="192"/>
      <c r="BO904" s="197"/>
      <c r="BP904" s="197"/>
      <c r="BQ904" s="197"/>
    </row>
    <row r="905" spans="66:69" x14ac:dyDescent="0.2">
      <c r="BN905" s="192"/>
      <c r="BO905" s="197"/>
      <c r="BP905" s="197"/>
      <c r="BQ905" s="197"/>
    </row>
    <row r="906" spans="66:69" x14ac:dyDescent="0.2">
      <c r="BN906" s="192"/>
      <c r="BO906" s="197"/>
      <c r="BP906" s="197"/>
      <c r="BQ906" s="197"/>
    </row>
    <row r="907" spans="66:69" x14ac:dyDescent="0.2">
      <c r="BN907" s="192"/>
      <c r="BO907" s="197"/>
      <c r="BP907" s="197"/>
      <c r="BQ907" s="197"/>
    </row>
    <row r="908" spans="66:69" x14ac:dyDescent="0.2">
      <c r="BN908" s="192"/>
      <c r="BO908" s="197"/>
      <c r="BP908" s="197"/>
      <c r="BQ908" s="197"/>
    </row>
    <row r="909" spans="66:69" x14ac:dyDescent="0.2">
      <c r="BN909" s="192"/>
      <c r="BO909" s="197"/>
      <c r="BP909" s="197"/>
      <c r="BQ909" s="197"/>
    </row>
    <row r="910" spans="66:69" x14ac:dyDescent="0.2">
      <c r="BN910" s="192"/>
      <c r="BO910" s="197"/>
      <c r="BP910" s="197"/>
      <c r="BQ910" s="197"/>
    </row>
    <row r="911" spans="66:69" x14ac:dyDescent="0.2">
      <c r="BN911" s="192"/>
      <c r="BO911" s="197"/>
      <c r="BP911" s="197"/>
      <c r="BQ911" s="197"/>
    </row>
    <row r="912" spans="66:69" x14ac:dyDescent="0.2">
      <c r="BN912" s="192"/>
      <c r="BO912" s="197"/>
      <c r="BP912" s="197"/>
      <c r="BQ912" s="197"/>
    </row>
    <row r="913" spans="66:69" x14ac:dyDescent="0.2">
      <c r="BN913" s="192"/>
      <c r="BO913" s="197"/>
      <c r="BP913" s="197"/>
      <c r="BQ913" s="197"/>
    </row>
    <row r="914" spans="66:69" x14ac:dyDescent="0.2">
      <c r="BN914" s="192"/>
      <c r="BO914" s="197"/>
      <c r="BP914" s="197"/>
      <c r="BQ914" s="197"/>
    </row>
    <row r="915" spans="66:69" x14ac:dyDescent="0.2">
      <c r="BN915" s="192"/>
      <c r="BO915" s="197"/>
      <c r="BP915" s="197"/>
      <c r="BQ915" s="197"/>
    </row>
    <row r="916" spans="66:69" x14ac:dyDescent="0.2">
      <c r="BN916" s="192"/>
      <c r="BO916" s="197"/>
      <c r="BP916" s="197"/>
      <c r="BQ916" s="197"/>
    </row>
    <row r="917" spans="66:69" x14ac:dyDescent="0.2">
      <c r="BN917" s="192"/>
      <c r="BO917" s="197"/>
      <c r="BP917" s="197"/>
      <c r="BQ917" s="197"/>
    </row>
    <row r="918" spans="66:69" x14ac:dyDescent="0.2">
      <c r="BN918" s="192"/>
      <c r="BO918" s="197"/>
      <c r="BP918" s="197"/>
      <c r="BQ918" s="197"/>
    </row>
    <row r="919" spans="66:69" x14ac:dyDescent="0.2">
      <c r="BN919" s="192"/>
      <c r="BO919" s="197"/>
      <c r="BP919" s="197"/>
      <c r="BQ919" s="197"/>
    </row>
    <row r="920" spans="66:69" x14ac:dyDescent="0.2">
      <c r="BN920" s="192"/>
      <c r="BO920" s="197"/>
      <c r="BP920" s="197"/>
      <c r="BQ920" s="197"/>
    </row>
    <row r="921" spans="66:69" x14ac:dyDescent="0.2">
      <c r="BN921" s="192"/>
      <c r="BO921" s="197"/>
      <c r="BP921" s="197"/>
      <c r="BQ921" s="197"/>
    </row>
    <row r="922" spans="66:69" x14ac:dyDescent="0.2">
      <c r="BN922" s="192"/>
      <c r="BO922" s="197"/>
      <c r="BP922" s="197"/>
      <c r="BQ922" s="197"/>
    </row>
    <row r="923" spans="66:69" x14ac:dyDescent="0.2">
      <c r="BN923" s="192"/>
      <c r="BO923" s="197"/>
      <c r="BP923" s="197"/>
      <c r="BQ923" s="197"/>
    </row>
    <row r="924" spans="66:69" x14ac:dyDescent="0.2">
      <c r="BN924" s="192"/>
      <c r="BO924" s="197"/>
      <c r="BP924" s="197"/>
      <c r="BQ924" s="197"/>
    </row>
    <row r="925" spans="66:69" x14ac:dyDescent="0.2">
      <c r="BN925" s="192"/>
      <c r="BO925" s="197"/>
      <c r="BP925" s="197"/>
      <c r="BQ925" s="197"/>
    </row>
    <row r="926" spans="66:69" x14ac:dyDescent="0.2">
      <c r="BN926" s="192"/>
      <c r="BO926" s="197"/>
      <c r="BP926" s="197"/>
      <c r="BQ926" s="197"/>
    </row>
    <row r="927" spans="66:69" x14ac:dyDescent="0.2">
      <c r="BN927" s="192"/>
      <c r="BO927" s="197"/>
      <c r="BP927" s="197"/>
      <c r="BQ927" s="197"/>
    </row>
    <row r="928" spans="66:69" x14ac:dyDescent="0.2">
      <c r="BN928" s="192"/>
      <c r="BO928" s="197"/>
      <c r="BP928" s="197"/>
      <c r="BQ928" s="197"/>
    </row>
    <row r="929" spans="66:69" x14ac:dyDescent="0.2">
      <c r="BN929" s="192"/>
      <c r="BO929" s="197"/>
      <c r="BP929" s="197"/>
      <c r="BQ929" s="197"/>
    </row>
    <row r="930" spans="66:69" x14ac:dyDescent="0.2">
      <c r="BN930" s="192"/>
      <c r="BO930" s="197"/>
      <c r="BP930" s="197"/>
      <c r="BQ930" s="197"/>
    </row>
    <row r="931" spans="66:69" x14ac:dyDescent="0.2">
      <c r="BN931" s="192"/>
      <c r="BO931" s="197"/>
      <c r="BP931" s="197"/>
      <c r="BQ931" s="197"/>
    </row>
    <row r="932" spans="66:69" x14ac:dyDescent="0.2">
      <c r="BN932" s="192"/>
      <c r="BO932" s="197"/>
      <c r="BP932" s="197"/>
      <c r="BQ932" s="197"/>
    </row>
    <row r="933" spans="66:69" x14ac:dyDescent="0.2">
      <c r="BN933" s="192"/>
      <c r="BO933" s="197"/>
      <c r="BP933" s="197"/>
      <c r="BQ933" s="197"/>
    </row>
    <row r="934" spans="66:69" x14ac:dyDescent="0.2">
      <c r="BN934" s="192"/>
      <c r="BO934" s="197"/>
      <c r="BP934" s="197"/>
      <c r="BQ934" s="197"/>
    </row>
    <row r="935" spans="66:69" x14ac:dyDescent="0.2">
      <c r="BN935" s="192"/>
      <c r="BO935" s="197"/>
      <c r="BP935" s="197"/>
      <c r="BQ935" s="197"/>
    </row>
    <row r="936" spans="66:69" x14ac:dyDescent="0.2">
      <c r="BN936" s="192"/>
      <c r="BO936" s="197"/>
      <c r="BP936" s="197"/>
      <c r="BQ936" s="197"/>
    </row>
    <row r="937" spans="66:69" x14ac:dyDescent="0.2">
      <c r="BN937" s="192"/>
      <c r="BO937" s="197"/>
      <c r="BP937" s="197"/>
      <c r="BQ937" s="197"/>
    </row>
    <row r="938" spans="66:69" x14ac:dyDescent="0.2">
      <c r="BN938" s="192"/>
      <c r="BO938" s="197"/>
      <c r="BP938" s="197"/>
      <c r="BQ938" s="197"/>
    </row>
    <row r="939" spans="66:69" x14ac:dyDescent="0.2">
      <c r="BN939" s="192"/>
      <c r="BO939" s="197"/>
      <c r="BP939" s="197"/>
      <c r="BQ939" s="197"/>
    </row>
    <row r="940" spans="66:69" x14ac:dyDescent="0.2">
      <c r="BN940" s="192"/>
      <c r="BO940" s="197"/>
      <c r="BP940" s="197"/>
      <c r="BQ940" s="197"/>
    </row>
    <row r="941" spans="66:69" x14ac:dyDescent="0.2">
      <c r="BN941" s="192"/>
      <c r="BO941" s="197"/>
      <c r="BP941" s="197"/>
      <c r="BQ941" s="197"/>
    </row>
    <row r="942" spans="66:69" x14ac:dyDescent="0.2">
      <c r="BN942" s="192"/>
      <c r="BO942" s="197"/>
      <c r="BP942" s="197"/>
      <c r="BQ942" s="197"/>
    </row>
    <row r="943" spans="66:69" x14ac:dyDescent="0.2">
      <c r="BN943" s="192"/>
      <c r="BO943" s="197"/>
      <c r="BP943" s="197"/>
      <c r="BQ943" s="197"/>
    </row>
    <row r="944" spans="66:69" x14ac:dyDescent="0.2">
      <c r="BN944" s="192"/>
      <c r="BO944" s="197"/>
      <c r="BP944" s="197"/>
      <c r="BQ944" s="197"/>
    </row>
    <row r="945" spans="66:69" x14ac:dyDescent="0.2">
      <c r="BN945" s="192"/>
      <c r="BO945" s="197"/>
      <c r="BP945" s="197"/>
      <c r="BQ945" s="197"/>
    </row>
    <row r="946" spans="66:69" x14ac:dyDescent="0.2">
      <c r="BN946" s="192"/>
      <c r="BO946" s="197"/>
      <c r="BP946" s="197"/>
      <c r="BQ946" s="197"/>
    </row>
    <row r="947" spans="66:69" x14ac:dyDescent="0.2">
      <c r="BN947" s="192"/>
      <c r="BO947" s="197"/>
      <c r="BP947" s="197"/>
      <c r="BQ947" s="197"/>
    </row>
    <row r="948" spans="66:69" x14ac:dyDescent="0.2">
      <c r="BN948" s="192"/>
      <c r="BO948" s="197"/>
      <c r="BP948" s="197"/>
      <c r="BQ948" s="197"/>
    </row>
    <row r="949" spans="66:69" x14ac:dyDescent="0.2">
      <c r="BN949" s="192"/>
      <c r="BO949" s="197"/>
      <c r="BP949" s="197"/>
      <c r="BQ949" s="197"/>
    </row>
    <row r="950" spans="66:69" x14ac:dyDescent="0.2">
      <c r="BN950" s="192"/>
      <c r="BO950" s="197"/>
      <c r="BP950" s="197"/>
      <c r="BQ950" s="197"/>
    </row>
    <row r="951" spans="66:69" x14ac:dyDescent="0.2">
      <c r="BN951" s="192"/>
      <c r="BO951" s="197"/>
      <c r="BP951" s="197"/>
      <c r="BQ951" s="197"/>
    </row>
    <row r="952" spans="66:69" x14ac:dyDescent="0.2">
      <c r="BN952" s="192"/>
      <c r="BO952" s="197"/>
      <c r="BP952" s="197"/>
      <c r="BQ952" s="197"/>
    </row>
    <row r="953" spans="66:69" x14ac:dyDescent="0.2">
      <c r="BN953" s="192"/>
      <c r="BO953" s="197"/>
      <c r="BP953" s="197"/>
      <c r="BQ953" s="197"/>
    </row>
    <row r="954" spans="66:69" x14ac:dyDescent="0.2">
      <c r="BN954" s="192"/>
      <c r="BO954" s="197"/>
      <c r="BP954" s="197"/>
      <c r="BQ954" s="197"/>
    </row>
    <row r="955" spans="66:69" x14ac:dyDescent="0.2">
      <c r="BN955" s="192"/>
      <c r="BO955" s="197"/>
      <c r="BP955" s="197"/>
      <c r="BQ955" s="197"/>
    </row>
    <row r="956" spans="66:69" x14ac:dyDescent="0.2">
      <c r="BN956" s="192"/>
      <c r="BO956" s="197"/>
      <c r="BP956" s="197"/>
      <c r="BQ956" s="197"/>
    </row>
    <row r="957" spans="66:69" x14ac:dyDescent="0.2">
      <c r="BN957" s="192"/>
      <c r="BO957" s="197"/>
      <c r="BP957" s="197"/>
      <c r="BQ957" s="197"/>
    </row>
    <row r="958" spans="66:69" x14ac:dyDescent="0.2">
      <c r="BN958" s="192"/>
      <c r="BO958" s="197"/>
      <c r="BP958" s="197"/>
      <c r="BQ958" s="197"/>
    </row>
    <row r="959" spans="66:69" x14ac:dyDescent="0.2">
      <c r="BN959" s="192"/>
      <c r="BO959" s="197"/>
      <c r="BP959" s="197"/>
      <c r="BQ959" s="197"/>
    </row>
    <row r="960" spans="66:69" x14ac:dyDescent="0.2">
      <c r="BN960" s="192"/>
      <c r="BO960" s="197"/>
      <c r="BP960" s="197"/>
      <c r="BQ960" s="197"/>
    </row>
    <row r="961" spans="66:69" x14ac:dyDescent="0.2">
      <c r="BN961" s="192"/>
      <c r="BO961" s="197"/>
      <c r="BP961" s="197"/>
      <c r="BQ961" s="197"/>
    </row>
    <row r="962" spans="66:69" x14ac:dyDescent="0.2">
      <c r="BN962" s="192"/>
      <c r="BO962" s="197"/>
      <c r="BP962" s="197"/>
      <c r="BQ962" s="197"/>
    </row>
    <row r="963" spans="66:69" x14ac:dyDescent="0.2">
      <c r="BN963" s="192"/>
      <c r="BO963" s="197"/>
      <c r="BP963" s="197"/>
      <c r="BQ963" s="197"/>
    </row>
    <row r="964" spans="66:69" x14ac:dyDescent="0.2">
      <c r="BN964" s="192"/>
      <c r="BO964" s="197"/>
      <c r="BP964" s="197"/>
      <c r="BQ964" s="197"/>
    </row>
    <row r="965" spans="66:69" x14ac:dyDescent="0.2">
      <c r="BN965" s="192"/>
      <c r="BO965" s="197"/>
      <c r="BP965" s="197"/>
      <c r="BQ965" s="197"/>
    </row>
    <row r="966" spans="66:69" x14ac:dyDescent="0.2">
      <c r="BN966" s="192"/>
      <c r="BO966" s="197"/>
      <c r="BP966" s="197"/>
      <c r="BQ966" s="197"/>
    </row>
    <row r="967" spans="66:69" x14ac:dyDescent="0.2">
      <c r="BN967" s="192"/>
      <c r="BO967" s="197"/>
      <c r="BP967" s="197"/>
      <c r="BQ967" s="197"/>
    </row>
    <row r="968" spans="66:69" x14ac:dyDescent="0.2">
      <c r="BN968" s="192"/>
      <c r="BO968" s="197"/>
      <c r="BP968" s="197"/>
      <c r="BQ968" s="197"/>
    </row>
    <row r="969" spans="66:69" x14ac:dyDescent="0.2">
      <c r="BN969" s="192"/>
      <c r="BO969" s="197"/>
      <c r="BP969" s="197"/>
      <c r="BQ969" s="197"/>
    </row>
    <row r="970" spans="66:69" x14ac:dyDescent="0.2">
      <c r="BN970" s="192"/>
      <c r="BO970" s="197"/>
      <c r="BP970" s="197"/>
      <c r="BQ970" s="197"/>
    </row>
    <row r="971" spans="66:69" x14ac:dyDescent="0.2">
      <c r="BN971" s="192"/>
      <c r="BO971" s="197"/>
      <c r="BP971" s="197"/>
      <c r="BQ971" s="197"/>
    </row>
    <row r="972" spans="66:69" x14ac:dyDescent="0.2">
      <c r="BN972" s="192"/>
      <c r="BO972" s="197"/>
      <c r="BP972" s="197"/>
      <c r="BQ972" s="197"/>
    </row>
    <row r="973" spans="66:69" x14ac:dyDescent="0.2">
      <c r="BN973" s="192"/>
      <c r="BO973" s="197"/>
      <c r="BP973" s="197"/>
      <c r="BQ973" s="197"/>
    </row>
    <row r="974" spans="66:69" x14ac:dyDescent="0.2">
      <c r="BN974" s="192"/>
      <c r="BO974" s="197"/>
      <c r="BP974" s="197"/>
      <c r="BQ974" s="197"/>
    </row>
    <row r="975" spans="66:69" x14ac:dyDescent="0.2">
      <c r="BN975" s="192"/>
      <c r="BO975" s="197"/>
      <c r="BP975" s="197"/>
      <c r="BQ975" s="197"/>
    </row>
    <row r="976" spans="66:69" x14ac:dyDescent="0.2">
      <c r="BN976" s="192"/>
      <c r="BO976" s="197"/>
      <c r="BP976" s="197"/>
      <c r="BQ976" s="197"/>
    </row>
    <row r="977" spans="66:69" x14ac:dyDescent="0.2">
      <c r="BN977" s="192"/>
      <c r="BO977" s="197"/>
      <c r="BP977" s="197"/>
      <c r="BQ977" s="197"/>
    </row>
    <row r="978" spans="66:69" x14ac:dyDescent="0.2">
      <c r="BN978" s="192"/>
      <c r="BO978" s="197"/>
      <c r="BP978" s="197"/>
      <c r="BQ978" s="197"/>
    </row>
    <row r="979" spans="66:69" x14ac:dyDescent="0.2">
      <c r="BN979" s="192"/>
      <c r="BO979" s="197"/>
      <c r="BP979" s="197"/>
      <c r="BQ979" s="197"/>
    </row>
    <row r="980" spans="66:69" x14ac:dyDescent="0.2">
      <c r="BN980" s="192"/>
      <c r="BO980" s="197"/>
      <c r="BP980" s="197"/>
      <c r="BQ980" s="197"/>
    </row>
    <row r="981" spans="66:69" x14ac:dyDescent="0.2">
      <c r="BN981" s="192"/>
      <c r="BO981" s="197"/>
      <c r="BP981" s="197"/>
      <c r="BQ981" s="197"/>
    </row>
    <row r="982" spans="66:69" x14ac:dyDescent="0.2">
      <c r="BN982" s="192"/>
      <c r="BO982" s="197"/>
      <c r="BP982" s="197"/>
      <c r="BQ982" s="197"/>
    </row>
    <row r="983" spans="66:69" x14ac:dyDescent="0.2">
      <c r="BN983" s="192"/>
      <c r="BO983" s="197"/>
      <c r="BP983" s="197"/>
      <c r="BQ983" s="197"/>
    </row>
    <row r="984" spans="66:69" x14ac:dyDescent="0.2">
      <c r="BN984" s="192"/>
      <c r="BO984" s="197"/>
      <c r="BP984" s="197"/>
      <c r="BQ984" s="197"/>
    </row>
    <row r="985" spans="66:69" x14ac:dyDescent="0.2">
      <c r="BN985" s="192"/>
      <c r="BO985" s="197"/>
      <c r="BP985" s="197"/>
      <c r="BQ985" s="197"/>
    </row>
    <row r="986" spans="66:69" x14ac:dyDescent="0.2">
      <c r="BN986" s="192"/>
      <c r="BO986" s="197"/>
      <c r="BP986" s="197"/>
      <c r="BQ986" s="197"/>
    </row>
    <row r="987" spans="66:69" x14ac:dyDescent="0.2">
      <c r="BN987" s="192"/>
      <c r="BO987" s="197"/>
      <c r="BP987" s="197"/>
      <c r="BQ987" s="197"/>
    </row>
    <row r="988" spans="66:69" x14ac:dyDescent="0.2">
      <c r="BN988" s="192"/>
      <c r="BO988" s="197"/>
      <c r="BP988" s="197"/>
      <c r="BQ988" s="197"/>
    </row>
    <row r="989" spans="66:69" x14ac:dyDescent="0.2">
      <c r="BN989" s="192"/>
      <c r="BO989" s="197"/>
      <c r="BP989" s="197"/>
      <c r="BQ989" s="197"/>
    </row>
    <row r="990" spans="66:69" x14ac:dyDescent="0.2">
      <c r="BN990" s="192"/>
      <c r="BO990" s="197"/>
      <c r="BP990" s="197"/>
      <c r="BQ990" s="197"/>
    </row>
    <row r="991" spans="66:69" x14ac:dyDescent="0.2">
      <c r="BN991" s="192"/>
      <c r="BO991" s="197"/>
      <c r="BP991" s="197"/>
      <c r="BQ991" s="197"/>
    </row>
    <row r="992" spans="66:69" x14ac:dyDescent="0.2">
      <c r="BN992" s="192"/>
      <c r="BO992" s="197"/>
      <c r="BP992" s="197"/>
      <c r="BQ992" s="197"/>
    </row>
    <row r="993" spans="66:69" x14ac:dyDescent="0.2">
      <c r="BN993" s="192"/>
      <c r="BO993" s="197"/>
      <c r="BP993" s="197"/>
      <c r="BQ993" s="197"/>
    </row>
    <row r="994" spans="66:69" x14ac:dyDescent="0.2">
      <c r="BN994" s="192"/>
      <c r="BO994" s="197"/>
      <c r="BP994" s="197"/>
      <c r="BQ994" s="197"/>
    </row>
    <row r="995" spans="66:69" x14ac:dyDescent="0.2">
      <c r="BN995" s="192"/>
      <c r="BO995" s="197"/>
      <c r="BP995" s="197"/>
      <c r="BQ995" s="197"/>
    </row>
    <row r="996" spans="66:69" x14ac:dyDescent="0.2">
      <c r="BN996" s="192"/>
      <c r="BO996" s="197"/>
      <c r="BP996" s="197"/>
      <c r="BQ996" s="197"/>
    </row>
    <row r="997" spans="66:69" x14ac:dyDescent="0.2">
      <c r="BN997" s="192"/>
      <c r="BO997" s="197"/>
      <c r="BP997" s="197"/>
      <c r="BQ997" s="197"/>
    </row>
    <row r="998" spans="66:69" x14ac:dyDescent="0.2">
      <c r="BN998" s="192"/>
      <c r="BO998" s="197"/>
      <c r="BP998" s="197"/>
      <c r="BQ998" s="197"/>
    </row>
    <row r="999" spans="66:69" x14ac:dyDescent="0.2">
      <c r="BN999" s="192"/>
      <c r="BO999" s="197"/>
      <c r="BP999" s="197"/>
      <c r="BQ999" s="197"/>
    </row>
    <row r="1000" spans="66:69" x14ac:dyDescent="0.2">
      <c r="BN1000" s="192"/>
      <c r="BO1000" s="197"/>
      <c r="BP1000" s="197"/>
      <c r="BQ1000" s="197"/>
    </row>
    <row r="1001" spans="66:69" x14ac:dyDescent="0.2">
      <c r="BN1001" s="192"/>
      <c r="BO1001" s="197"/>
      <c r="BP1001" s="197"/>
      <c r="BQ1001" s="197"/>
    </row>
    <row r="1002" spans="66:69" x14ac:dyDescent="0.2">
      <c r="BN1002" s="192"/>
      <c r="BO1002" s="197"/>
      <c r="BP1002" s="197"/>
      <c r="BQ1002" s="197"/>
    </row>
    <row r="1003" spans="66:69" x14ac:dyDescent="0.2">
      <c r="BN1003" s="192"/>
      <c r="BO1003" s="197"/>
      <c r="BP1003" s="197"/>
      <c r="BQ1003" s="197"/>
    </row>
    <row r="1004" spans="66:69" x14ac:dyDescent="0.2">
      <c r="BN1004" s="192"/>
      <c r="BO1004" s="197"/>
      <c r="BP1004" s="197"/>
      <c r="BQ1004" s="197"/>
    </row>
    <row r="1005" spans="66:69" x14ac:dyDescent="0.2">
      <c r="BN1005" s="192"/>
      <c r="BO1005" s="197"/>
      <c r="BP1005" s="197"/>
      <c r="BQ1005" s="197"/>
    </row>
    <row r="1006" spans="66:69" x14ac:dyDescent="0.2">
      <c r="BN1006" s="192"/>
      <c r="BO1006" s="197"/>
      <c r="BP1006" s="197"/>
      <c r="BQ1006" s="197"/>
    </row>
    <row r="1007" spans="66:69" x14ac:dyDescent="0.2">
      <c r="BN1007" s="192"/>
      <c r="BO1007" s="197"/>
      <c r="BP1007" s="197"/>
      <c r="BQ1007" s="197"/>
    </row>
    <row r="1008" spans="66:69" x14ac:dyDescent="0.2">
      <c r="BN1008" s="192"/>
      <c r="BO1008" s="197"/>
      <c r="BP1008" s="197"/>
      <c r="BQ1008" s="197"/>
    </row>
    <row r="1009" spans="66:69" x14ac:dyDescent="0.2">
      <c r="BN1009" s="192"/>
      <c r="BO1009" s="197"/>
      <c r="BP1009" s="197"/>
      <c r="BQ1009" s="197"/>
    </row>
    <row r="1010" spans="66:69" x14ac:dyDescent="0.2">
      <c r="BN1010" s="192"/>
      <c r="BO1010" s="197"/>
      <c r="BP1010" s="197"/>
      <c r="BQ1010" s="197"/>
    </row>
    <row r="1011" spans="66:69" x14ac:dyDescent="0.2">
      <c r="BN1011" s="192"/>
      <c r="BO1011" s="197"/>
      <c r="BP1011" s="197"/>
      <c r="BQ1011" s="197"/>
    </row>
    <row r="1012" spans="66:69" x14ac:dyDescent="0.2">
      <c r="BN1012" s="192"/>
      <c r="BO1012" s="197"/>
      <c r="BP1012" s="197"/>
      <c r="BQ1012" s="197"/>
    </row>
    <row r="1013" spans="66:69" x14ac:dyDescent="0.2">
      <c r="BN1013" s="192"/>
      <c r="BO1013" s="197"/>
      <c r="BP1013" s="197"/>
      <c r="BQ1013" s="197"/>
    </row>
    <row r="1014" spans="66:69" x14ac:dyDescent="0.2">
      <c r="BN1014" s="192"/>
      <c r="BO1014" s="197"/>
      <c r="BP1014" s="197"/>
      <c r="BQ1014" s="197"/>
    </row>
    <row r="1015" spans="66:69" x14ac:dyDescent="0.2">
      <c r="BN1015" s="192"/>
      <c r="BO1015" s="197"/>
      <c r="BP1015" s="197"/>
      <c r="BQ1015" s="197"/>
    </row>
    <row r="1016" spans="66:69" x14ac:dyDescent="0.2">
      <c r="BN1016" s="192"/>
      <c r="BO1016" s="197"/>
      <c r="BP1016" s="197"/>
      <c r="BQ1016" s="197"/>
    </row>
    <row r="1017" spans="66:69" x14ac:dyDescent="0.2">
      <c r="BN1017" s="192"/>
      <c r="BO1017" s="197"/>
      <c r="BP1017" s="197"/>
      <c r="BQ1017" s="197"/>
    </row>
    <row r="1018" spans="66:69" x14ac:dyDescent="0.2">
      <c r="BN1018" s="192"/>
      <c r="BO1018" s="197"/>
      <c r="BP1018" s="197"/>
      <c r="BQ1018" s="197"/>
    </row>
    <row r="1019" spans="66:69" x14ac:dyDescent="0.2">
      <c r="BN1019" s="192"/>
      <c r="BO1019" s="197"/>
      <c r="BP1019" s="197"/>
      <c r="BQ1019" s="197"/>
    </row>
    <row r="1020" spans="66:69" x14ac:dyDescent="0.2">
      <c r="BN1020" s="192"/>
      <c r="BO1020" s="197"/>
      <c r="BP1020" s="197"/>
      <c r="BQ1020" s="197"/>
    </row>
    <row r="1021" spans="66:69" x14ac:dyDescent="0.2">
      <c r="BN1021" s="192"/>
      <c r="BO1021" s="197"/>
      <c r="BP1021" s="197"/>
      <c r="BQ1021" s="197"/>
    </row>
    <row r="1022" spans="66:69" x14ac:dyDescent="0.2">
      <c r="BN1022" s="192"/>
      <c r="BO1022" s="197"/>
      <c r="BP1022" s="197"/>
      <c r="BQ1022" s="197"/>
    </row>
    <row r="1023" spans="66:69" x14ac:dyDescent="0.2">
      <c r="BN1023" s="192"/>
      <c r="BO1023" s="197"/>
      <c r="BP1023" s="197"/>
      <c r="BQ1023" s="197"/>
    </row>
    <row r="1024" spans="66:69" x14ac:dyDescent="0.2">
      <c r="BN1024" s="192"/>
      <c r="BO1024" s="197"/>
      <c r="BP1024" s="197"/>
      <c r="BQ1024" s="197"/>
    </row>
    <row r="1025" spans="66:69" x14ac:dyDescent="0.2">
      <c r="BN1025" s="192"/>
      <c r="BO1025" s="197"/>
      <c r="BP1025" s="197"/>
      <c r="BQ1025" s="197"/>
    </row>
    <row r="1026" spans="66:69" x14ac:dyDescent="0.2">
      <c r="BN1026" s="192"/>
      <c r="BO1026" s="197"/>
      <c r="BP1026" s="197"/>
      <c r="BQ1026" s="197"/>
    </row>
    <row r="1027" spans="66:69" x14ac:dyDescent="0.2">
      <c r="BN1027" s="192"/>
      <c r="BO1027" s="197"/>
      <c r="BP1027" s="197"/>
      <c r="BQ1027" s="197"/>
    </row>
    <row r="1028" spans="66:69" x14ac:dyDescent="0.2">
      <c r="BN1028" s="192"/>
      <c r="BO1028" s="197"/>
      <c r="BP1028" s="197"/>
      <c r="BQ1028" s="197"/>
    </row>
    <row r="1029" spans="66:69" x14ac:dyDescent="0.2">
      <c r="BN1029" s="192"/>
      <c r="BO1029" s="197"/>
      <c r="BP1029" s="197"/>
      <c r="BQ1029" s="197"/>
    </row>
    <row r="1030" spans="66:69" x14ac:dyDescent="0.2">
      <c r="BN1030" s="192"/>
      <c r="BO1030" s="197"/>
      <c r="BP1030" s="197"/>
      <c r="BQ1030" s="197"/>
    </row>
    <row r="1031" spans="66:69" x14ac:dyDescent="0.2">
      <c r="BN1031" s="192"/>
      <c r="BO1031" s="197"/>
      <c r="BP1031" s="197"/>
      <c r="BQ1031" s="197"/>
    </row>
    <row r="1032" spans="66:69" x14ac:dyDescent="0.2">
      <c r="BN1032" s="192"/>
      <c r="BO1032" s="197"/>
      <c r="BP1032" s="197"/>
      <c r="BQ1032" s="197"/>
    </row>
    <row r="1033" spans="66:69" x14ac:dyDescent="0.2">
      <c r="BN1033" s="192"/>
      <c r="BO1033" s="197"/>
      <c r="BP1033" s="197"/>
      <c r="BQ1033" s="197"/>
    </row>
    <row r="1034" spans="66:69" x14ac:dyDescent="0.2">
      <c r="BN1034" s="192"/>
      <c r="BO1034" s="197"/>
      <c r="BP1034" s="197"/>
      <c r="BQ1034" s="197"/>
    </row>
    <row r="1035" spans="66:69" x14ac:dyDescent="0.2">
      <c r="BN1035" s="192"/>
      <c r="BO1035" s="197"/>
      <c r="BP1035" s="197"/>
      <c r="BQ1035" s="197"/>
    </row>
    <row r="1036" spans="66:69" x14ac:dyDescent="0.2">
      <c r="BN1036" s="192"/>
      <c r="BO1036" s="197"/>
      <c r="BP1036" s="197"/>
      <c r="BQ1036" s="197"/>
    </row>
    <row r="1037" spans="66:69" x14ac:dyDescent="0.2">
      <c r="BN1037" s="192"/>
      <c r="BO1037" s="197"/>
      <c r="BP1037" s="197"/>
      <c r="BQ1037" s="197"/>
    </row>
    <row r="1038" spans="66:69" x14ac:dyDescent="0.2">
      <c r="BN1038" s="192"/>
      <c r="BO1038" s="197"/>
      <c r="BP1038" s="197"/>
      <c r="BQ1038" s="197"/>
    </row>
    <row r="1039" spans="66:69" x14ac:dyDescent="0.2">
      <c r="BN1039" s="192"/>
      <c r="BO1039" s="197"/>
      <c r="BP1039" s="197"/>
      <c r="BQ1039" s="197"/>
    </row>
    <row r="1040" spans="66:69" x14ac:dyDescent="0.2">
      <c r="BN1040" s="192"/>
      <c r="BO1040" s="197"/>
      <c r="BP1040" s="197"/>
      <c r="BQ1040" s="197"/>
    </row>
    <row r="1041" spans="66:69" x14ac:dyDescent="0.2">
      <c r="BN1041" s="192"/>
      <c r="BO1041" s="197"/>
      <c r="BP1041" s="197"/>
      <c r="BQ1041" s="197"/>
    </row>
    <row r="1042" spans="66:69" x14ac:dyDescent="0.2">
      <c r="BN1042" s="192"/>
      <c r="BO1042" s="197"/>
      <c r="BP1042" s="197"/>
      <c r="BQ1042" s="197"/>
    </row>
    <row r="1043" spans="66:69" x14ac:dyDescent="0.2">
      <c r="BN1043" s="192"/>
      <c r="BO1043" s="197"/>
      <c r="BP1043" s="197"/>
      <c r="BQ1043" s="197"/>
    </row>
    <row r="1044" spans="66:69" x14ac:dyDescent="0.2">
      <c r="BN1044" s="192"/>
      <c r="BO1044" s="197"/>
      <c r="BP1044" s="197"/>
      <c r="BQ1044" s="197"/>
    </row>
    <row r="1045" spans="66:69" x14ac:dyDescent="0.2">
      <c r="BN1045" s="192"/>
      <c r="BO1045" s="197"/>
      <c r="BP1045" s="197"/>
      <c r="BQ1045" s="197"/>
    </row>
    <row r="1046" spans="66:69" x14ac:dyDescent="0.2">
      <c r="BN1046" s="192"/>
      <c r="BO1046" s="197"/>
      <c r="BP1046" s="197"/>
      <c r="BQ1046" s="197"/>
    </row>
    <row r="1047" spans="66:69" x14ac:dyDescent="0.2">
      <c r="BN1047" s="192"/>
      <c r="BO1047" s="197"/>
      <c r="BP1047" s="197"/>
      <c r="BQ1047" s="197"/>
    </row>
    <row r="1048" spans="66:69" x14ac:dyDescent="0.2">
      <c r="BN1048" s="192"/>
      <c r="BO1048" s="197"/>
      <c r="BP1048" s="197"/>
      <c r="BQ1048" s="197"/>
    </row>
    <row r="1049" spans="66:69" x14ac:dyDescent="0.2">
      <c r="BN1049" s="192"/>
      <c r="BO1049" s="197"/>
      <c r="BP1049" s="197"/>
      <c r="BQ1049" s="197"/>
    </row>
    <row r="1050" spans="66:69" x14ac:dyDescent="0.2">
      <c r="BN1050" s="192"/>
      <c r="BO1050" s="197"/>
      <c r="BP1050" s="197"/>
      <c r="BQ1050" s="197"/>
    </row>
    <row r="1051" spans="66:69" x14ac:dyDescent="0.2">
      <c r="BN1051" s="192"/>
      <c r="BO1051" s="197"/>
      <c r="BP1051" s="197"/>
      <c r="BQ1051" s="197"/>
    </row>
    <row r="1052" spans="66:69" x14ac:dyDescent="0.2">
      <c r="BN1052" s="192"/>
      <c r="BO1052" s="197"/>
      <c r="BP1052" s="197"/>
      <c r="BQ1052" s="197"/>
    </row>
    <row r="1053" spans="66:69" x14ac:dyDescent="0.2">
      <c r="BN1053" s="192"/>
      <c r="BO1053" s="197"/>
      <c r="BP1053" s="197"/>
      <c r="BQ1053" s="197"/>
    </row>
    <row r="1054" spans="66:69" x14ac:dyDescent="0.2">
      <c r="BN1054" s="192"/>
      <c r="BO1054" s="197"/>
      <c r="BP1054" s="197"/>
      <c r="BQ1054" s="197"/>
    </row>
    <row r="1055" spans="66:69" x14ac:dyDescent="0.2">
      <c r="BN1055" s="192"/>
      <c r="BO1055" s="197"/>
      <c r="BP1055" s="197"/>
      <c r="BQ1055" s="197"/>
    </row>
    <row r="1056" spans="66:69" x14ac:dyDescent="0.2">
      <c r="BN1056" s="192"/>
      <c r="BO1056" s="197"/>
      <c r="BP1056" s="197"/>
      <c r="BQ1056" s="197"/>
    </row>
    <row r="1057" spans="66:69" x14ac:dyDescent="0.2">
      <c r="BN1057" s="192"/>
      <c r="BO1057" s="197"/>
      <c r="BP1057" s="197"/>
      <c r="BQ1057" s="197"/>
    </row>
    <row r="1058" spans="66:69" x14ac:dyDescent="0.2">
      <c r="BN1058" s="192"/>
      <c r="BO1058" s="197"/>
      <c r="BP1058" s="197"/>
      <c r="BQ1058" s="197"/>
    </row>
    <row r="1059" spans="66:69" x14ac:dyDescent="0.2">
      <c r="BN1059" s="192"/>
      <c r="BO1059" s="197"/>
      <c r="BP1059" s="197"/>
      <c r="BQ1059" s="197"/>
    </row>
    <row r="1060" spans="66:69" x14ac:dyDescent="0.2">
      <c r="BN1060" s="192"/>
      <c r="BO1060" s="197"/>
      <c r="BP1060" s="197"/>
      <c r="BQ1060" s="197"/>
    </row>
    <row r="1061" spans="66:69" x14ac:dyDescent="0.2">
      <c r="BN1061" s="192"/>
      <c r="BO1061" s="197"/>
      <c r="BP1061" s="197"/>
      <c r="BQ1061" s="197"/>
    </row>
    <row r="1062" spans="66:69" x14ac:dyDescent="0.2">
      <c r="BN1062" s="192"/>
      <c r="BO1062" s="197"/>
      <c r="BP1062" s="197"/>
      <c r="BQ1062" s="197"/>
    </row>
    <row r="1063" spans="66:69" x14ac:dyDescent="0.2">
      <c r="BN1063" s="192"/>
      <c r="BO1063" s="197"/>
      <c r="BP1063" s="197"/>
      <c r="BQ1063" s="197"/>
    </row>
    <row r="1064" spans="66:69" x14ac:dyDescent="0.2">
      <c r="BN1064" s="192"/>
      <c r="BO1064" s="197"/>
      <c r="BP1064" s="197"/>
      <c r="BQ1064" s="197"/>
    </row>
    <row r="1065" spans="66:69" x14ac:dyDescent="0.2">
      <c r="BN1065" s="192"/>
      <c r="BO1065" s="197"/>
      <c r="BP1065" s="197"/>
      <c r="BQ1065" s="197"/>
    </row>
    <row r="1066" spans="66:69" x14ac:dyDescent="0.2">
      <c r="BN1066" s="192"/>
      <c r="BO1066" s="197"/>
      <c r="BP1066" s="197"/>
      <c r="BQ1066" s="197"/>
    </row>
    <row r="1067" spans="66:69" x14ac:dyDescent="0.2">
      <c r="BN1067" s="192"/>
      <c r="BO1067" s="197"/>
      <c r="BP1067" s="197"/>
      <c r="BQ1067" s="197"/>
    </row>
    <row r="1068" spans="66:69" x14ac:dyDescent="0.2">
      <c r="BN1068" s="192"/>
      <c r="BO1068" s="197"/>
      <c r="BP1068" s="197"/>
      <c r="BQ1068" s="197"/>
    </row>
    <row r="1069" spans="66:69" x14ac:dyDescent="0.2">
      <c r="BN1069" s="192"/>
      <c r="BO1069" s="197"/>
      <c r="BP1069" s="197"/>
      <c r="BQ1069" s="197"/>
    </row>
    <row r="1070" spans="66:69" x14ac:dyDescent="0.2">
      <c r="BN1070" s="192"/>
      <c r="BO1070" s="197"/>
      <c r="BP1070" s="197"/>
      <c r="BQ1070" s="197"/>
    </row>
    <row r="1071" spans="66:69" x14ac:dyDescent="0.2">
      <c r="BN1071" s="192"/>
      <c r="BO1071" s="197"/>
      <c r="BP1071" s="197"/>
      <c r="BQ1071" s="197"/>
    </row>
    <row r="1072" spans="66:69" x14ac:dyDescent="0.2">
      <c r="BN1072" s="192"/>
      <c r="BO1072" s="197"/>
      <c r="BP1072" s="197"/>
      <c r="BQ1072" s="197"/>
    </row>
    <row r="1073" spans="66:69" x14ac:dyDescent="0.2">
      <c r="BN1073" s="192"/>
      <c r="BO1073" s="197"/>
      <c r="BP1073" s="197"/>
      <c r="BQ1073" s="197"/>
    </row>
    <row r="1074" spans="66:69" x14ac:dyDescent="0.2">
      <c r="BN1074" s="192"/>
      <c r="BO1074" s="197"/>
      <c r="BP1074" s="197"/>
      <c r="BQ1074" s="197"/>
    </row>
    <row r="1075" spans="66:69" x14ac:dyDescent="0.2">
      <c r="BN1075" s="192"/>
      <c r="BO1075" s="197"/>
      <c r="BP1075" s="197"/>
      <c r="BQ1075" s="197"/>
    </row>
    <row r="1076" spans="66:69" x14ac:dyDescent="0.2">
      <c r="BN1076" s="192"/>
      <c r="BO1076" s="197"/>
      <c r="BP1076" s="197"/>
      <c r="BQ1076" s="197"/>
    </row>
    <row r="1077" spans="66:69" x14ac:dyDescent="0.2">
      <c r="BN1077" s="192"/>
      <c r="BO1077" s="197"/>
      <c r="BP1077" s="197"/>
      <c r="BQ1077" s="197"/>
    </row>
    <row r="1078" spans="66:69" x14ac:dyDescent="0.2">
      <c r="BN1078" s="192"/>
      <c r="BO1078" s="197"/>
      <c r="BP1078" s="197"/>
      <c r="BQ1078" s="197"/>
    </row>
    <row r="1079" spans="66:69" x14ac:dyDescent="0.2">
      <c r="BN1079" s="192"/>
      <c r="BO1079" s="197"/>
      <c r="BP1079" s="197"/>
      <c r="BQ1079" s="197"/>
    </row>
    <row r="1080" spans="66:69" x14ac:dyDescent="0.2">
      <c r="BN1080" s="192"/>
      <c r="BO1080" s="197"/>
      <c r="BP1080" s="197"/>
      <c r="BQ1080" s="197"/>
    </row>
    <row r="1081" spans="66:69" x14ac:dyDescent="0.2">
      <c r="BN1081" s="192"/>
      <c r="BO1081" s="197"/>
      <c r="BP1081" s="197"/>
      <c r="BQ1081" s="197"/>
    </row>
    <row r="1082" spans="66:69" x14ac:dyDescent="0.2">
      <c r="BN1082" s="192"/>
      <c r="BO1082" s="197"/>
      <c r="BP1082" s="197"/>
      <c r="BQ1082" s="197"/>
    </row>
    <row r="1083" spans="66:69" x14ac:dyDescent="0.2">
      <c r="BN1083" s="192"/>
      <c r="BO1083" s="197"/>
      <c r="BP1083" s="197"/>
      <c r="BQ1083" s="197"/>
    </row>
    <row r="1084" spans="66:69" x14ac:dyDescent="0.2">
      <c r="BN1084" s="192"/>
      <c r="BO1084" s="197"/>
      <c r="BP1084" s="197"/>
      <c r="BQ1084" s="197"/>
    </row>
    <row r="1085" spans="66:69" x14ac:dyDescent="0.2">
      <c r="BN1085" s="192"/>
      <c r="BO1085" s="197"/>
      <c r="BP1085" s="197"/>
      <c r="BQ1085" s="197"/>
    </row>
    <row r="1086" spans="66:69" x14ac:dyDescent="0.2">
      <c r="BN1086" s="192"/>
      <c r="BO1086" s="197"/>
      <c r="BP1086" s="197"/>
      <c r="BQ1086" s="197"/>
    </row>
    <row r="1087" spans="66:69" x14ac:dyDescent="0.2">
      <c r="BN1087" s="192"/>
      <c r="BO1087" s="197"/>
      <c r="BP1087" s="197"/>
      <c r="BQ1087" s="197"/>
    </row>
    <row r="1088" spans="66:69" x14ac:dyDescent="0.2">
      <c r="BN1088" s="192"/>
      <c r="BO1088" s="197"/>
      <c r="BP1088" s="197"/>
      <c r="BQ1088" s="197"/>
    </row>
    <row r="1089" spans="66:69" x14ac:dyDescent="0.2">
      <c r="BN1089" s="192"/>
      <c r="BO1089" s="197"/>
      <c r="BP1089" s="197"/>
      <c r="BQ1089" s="197"/>
    </row>
    <row r="1090" spans="66:69" x14ac:dyDescent="0.2">
      <c r="BN1090" s="192"/>
      <c r="BO1090" s="197"/>
      <c r="BP1090" s="197"/>
      <c r="BQ1090" s="197"/>
    </row>
    <row r="1091" spans="66:69" x14ac:dyDescent="0.2">
      <c r="BN1091" s="192"/>
      <c r="BO1091" s="197"/>
      <c r="BP1091" s="197"/>
      <c r="BQ1091" s="197"/>
    </row>
    <row r="1092" spans="66:69" x14ac:dyDescent="0.2">
      <c r="BN1092" s="192"/>
      <c r="BO1092" s="197"/>
      <c r="BP1092" s="197"/>
      <c r="BQ1092" s="197"/>
    </row>
    <row r="1093" spans="66:69" x14ac:dyDescent="0.2">
      <c r="BN1093" s="192"/>
      <c r="BO1093" s="197"/>
      <c r="BP1093" s="197"/>
      <c r="BQ1093" s="197"/>
    </row>
    <row r="1094" spans="66:69" x14ac:dyDescent="0.2">
      <c r="BN1094" s="192"/>
      <c r="BO1094" s="197"/>
      <c r="BP1094" s="197"/>
      <c r="BQ1094" s="197"/>
    </row>
    <row r="1095" spans="66:69" x14ac:dyDescent="0.2">
      <c r="BN1095" s="192"/>
      <c r="BO1095" s="197"/>
      <c r="BP1095" s="197"/>
      <c r="BQ1095" s="197"/>
    </row>
    <row r="1096" spans="66:69" x14ac:dyDescent="0.2">
      <c r="BN1096" s="192"/>
      <c r="BO1096" s="197"/>
      <c r="BP1096" s="197"/>
      <c r="BQ1096" s="197"/>
    </row>
    <row r="1097" spans="66:69" x14ac:dyDescent="0.2">
      <c r="BN1097" s="192"/>
      <c r="BO1097" s="197"/>
      <c r="BP1097" s="197"/>
      <c r="BQ1097" s="197"/>
    </row>
    <row r="1098" spans="66:69" x14ac:dyDescent="0.2">
      <c r="BN1098" s="192"/>
      <c r="BO1098" s="197"/>
      <c r="BP1098" s="197"/>
      <c r="BQ1098" s="197"/>
    </row>
    <row r="1099" spans="66:69" x14ac:dyDescent="0.2">
      <c r="BN1099" s="192"/>
      <c r="BO1099" s="197"/>
      <c r="BP1099" s="197"/>
      <c r="BQ1099" s="197"/>
    </row>
    <row r="1100" spans="66:69" x14ac:dyDescent="0.2">
      <c r="BN1100" s="192"/>
      <c r="BO1100" s="197"/>
      <c r="BP1100" s="197"/>
      <c r="BQ1100" s="197"/>
    </row>
    <row r="1101" spans="66:69" x14ac:dyDescent="0.2">
      <c r="BN1101" s="192"/>
      <c r="BO1101" s="197"/>
      <c r="BP1101" s="197"/>
      <c r="BQ1101" s="197"/>
    </row>
    <row r="1102" spans="66:69" x14ac:dyDescent="0.2">
      <c r="BN1102" s="192"/>
      <c r="BO1102" s="197"/>
      <c r="BP1102" s="197"/>
      <c r="BQ1102" s="197"/>
    </row>
    <row r="1103" spans="66:69" x14ac:dyDescent="0.2">
      <c r="BN1103" s="192"/>
      <c r="BO1103" s="197"/>
      <c r="BP1103" s="197"/>
      <c r="BQ1103" s="197"/>
    </row>
    <row r="1104" spans="66:69" x14ac:dyDescent="0.2">
      <c r="BN1104" s="192"/>
      <c r="BO1104" s="197"/>
      <c r="BP1104" s="197"/>
      <c r="BQ1104" s="197"/>
    </row>
    <row r="1105" spans="66:69" x14ac:dyDescent="0.2">
      <c r="BN1105" s="192"/>
      <c r="BO1105" s="197"/>
      <c r="BP1105" s="197"/>
      <c r="BQ1105" s="197"/>
    </row>
    <row r="1106" spans="66:69" x14ac:dyDescent="0.2">
      <c r="BN1106" s="192"/>
      <c r="BO1106" s="197"/>
      <c r="BP1106" s="197"/>
      <c r="BQ1106" s="197"/>
    </row>
    <row r="1107" spans="66:69" x14ac:dyDescent="0.2">
      <c r="BN1107" s="192"/>
      <c r="BO1107" s="197"/>
      <c r="BP1107" s="197"/>
      <c r="BQ1107" s="197"/>
    </row>
    <row r="1108" spans="66:69" x14ac:dyDescent="0.2">
      <c r="BN1108" s="192"/>
      <c r="BO1108" s="197"/>
      <c r="BP1108" s="197"/>
      <c r="BQ1108" s="197"/>
    </row>
    <row r="1109" spans="66:69" x14ac:dyDescent="0.2">
      <c r="BN1109" s="192"/>
      <c r="BO1109" s="197"/>
      <c r="BP1109" s="197"/>
      <c r="BQ1109" s="197"/>
    </row>
    <row r="1110" spans="66:69" x14ac:dyDescent="0.2">
      <c r="BN1110" s="192"/>
      <c r="BO1110" s="197"/>
      <c r="BP1110" s="197"/>
      <c r="BQ1110" s="197"/>
    </row>
    <row r="1111" spans="66:69" x14ac:dyDescent="0.2">
      <c r="BN1111" s="192"/>
      <c r="BO1111" s="197"/>
      <c r="BP1111" s="197"/>
      <c r="BQ1111" s="197"/>
    </row>
    <row r="1112" spans="66:69" x14ac:dyDescent="0.2">
      <c r="BN1112" s="192"/>
      <c r="BO1112" s="197"/>
      <c r="BP1112" s="197"/>
      <c r="BQ1112" s="197"/>
    </row>
    <row r="1113" spans="66:69" x14ac:dyDescent="0.2">
      <c r="BN1113" s="192"/>
      <c r="BO1113" s="197"/>
      <c r="BP1113" s="197"/>
      <c r="BQ1113" s="197"/>
    </row>
    <row r="1114" spans="66:69" x14ac:dyDescent="0.2">
      <c r="BN1114" s="192"/>
      <c r="BO1114" s="197"/>
      <c r="BP1114" s="197"/>
      <c r="BQ1114" s="197"/>
    </row>
    <row r="1115" spans="66:69" x14ac:dyDescent="0.2">
      <c r="BN1115" s="192"/>
      <c r="BO1115" s="197"/>
      <c r="BP1115" s="197"/>
      <c r="BQ1115" s="197"/>
    </row>
    <row r="1116" spans="66:69" x14ac:dyDescent="0.2">
      <c r="BN1116" s="192"/>
      <c r="BO1116" s="197"/>
      <c r="BP1116" s="197"/>
      <c r="BQ1116" s="197"/>
    </row>
    <row r="1117" spans="66:69" x14ac:dyDescent="0.2">
      <c r="BN1117" s="192"/>
      <c r="BO1117" s="197"/>
      <c r="BP1117" s="197"/>
      <c r="BQ1117" s="197"/>
    </row>
    <row r="1118" spans="66:69" x14ac:dyDescent="0.2">
      <c r="BN1118" s="192"/>
      <c r="BO1118" s="197"/>
      <c r="BP1118" s="197"/>
      <c r="BQ1118" s="197"/>
    </row>
    <row r="1119" spans="66:69" x14ac:dyDescent="0.2">
      <c r="BN1119" s="192"/>
      <c r="BO1119" s="197"/>
      <c r="BP1119" s="197"/>
      <c r="BQ1119" s="197"/>
    </row>
    <row r="1120" spans="66:69" x14ac:dyDescent="0.2">
      <c r="BN1120" s="192"/>
      <c r="BO1120" s="197"/>
      <c r="BP1120" s="197"/>
      <c r="BQ1120" s="197"/>
    </row>
    <row r="1121" spans="66:69" x14ac:dyDescent="0.2">
      <c r="BN1121" s="192"/>
      <c r="BO1121" s="197"/>
      <c r="BP1121" s="197"/>
      <c r="BQ1121" s="197"/>
    </row>
    <row r="1122" spans="66:69" x14ac:dyDescent="0.2">
      <c r="BN1122" s="192"/>
      <c r="BO1122" s="197"/>
      <c r="BP1122" s="197"/>
      <c r="BQ1122" s="197"/>
    </row>
    <row r="1123" spans="66:69" x14ac:dyDescent="0.2">
      <c r="BN1123" s="192"/>
      <c r="BO1123" s="197"/>
      <c r="BP1123" s="197"/>
      <c r="BQ1123" s="197"/>
    </row>
    <row r="1124" spans="66:69" x14ac:dyDescent="0.2">
      <c r="BN1124" s="192"/>
      <c r="BO1124" s="197"/>
      <c r="BP1124" s="197"/>
      <c r="BQ1124" s="197"/>
    </row>
    <row r="1125" spans="66:69" x14ac:dyDescent="0.2">
      <c r="BN1125" s="192"/>
      <c r="BO1125" s="197"/>
      <c r="BP1125" s="197"/>
      <c r="BQ1125" s="197"/>
    </row>
    <row r="1126" spans="66:69" x14ac:dyDescent="0.2">
      <c r="BN1126" s="192"/>
      <c r="BO1126" s="197"/>
      <c r="BP1126" s="197"/>
      <c r="BQ1126" s="197"/>
    </row>
    <row r="1127" spans="66:69" x14ac:dyDescent="0.2">
      <c r="BN1127" s="192"/>
      <c r="BO1127" s="197"/>
      <c r="BP1127" s="197"/>
      <c r="BQ1127" s="197"/>
    </row>
    <row r="1128" spans="66:69" x14ac:dyDescent="0.2">
      <c r="BN1128" s="192"/>
      <c r="BO1128" s="197"/>
      <c r="BP1128" s="197"/>
      <c r="BQ1128" s="197"/>
    </row>
    <row r="1129" spans="66:69" x14ac:dyDescent="0.2">
      <c r="BN1129" s="192"/>
      <c r="BO1129" s="197"/>
      <c r="BP1129" s="197"/>
      <c r="BQ1129" s="197"/>
    </row>
    <row r="1130" spans="66:69" x14ac:dyDescent="0.2">
      <c r="BN1130" s="192"/>
      <c r="BO1130" s="197"/>
      <c r="BP1130" s="197"/>
      <c r="BQ1130" s="197"/>
    </row>
    <row r="1131" spans="66:69" x14ac:dyDescent="0.2">
      <c r="BN1131" s="192"/>
      <c r="BO1131" s="197"/>
      <c r="BP1131" s="197"/>
      <c r="BQ1131" s="197"/>
    </row>
    <row r="1132" spans="66:69" x14ac:dyDescent="0.2">
      <c r="BN1132" s="192"/>
      <c r="BO1132" s="197"/>
      <c r="BP1132" s="197"/>
      <c r="BQ1132" s="197"/>
    </row>
    <row r="1133" spans="66:69" x14ac:dyDescent="0.2">
      <c r="BN1133" s="192"/>
      <c r="BO1133" s="197"/>
      <c r="BP1133" s="197"/>
      <c r="BQ1133" s="197"/>
    </row>
    <row r="1134" spans="66:69" x14ac:dyDescent="0.2">
      <c r="BN1134" s="192"/>
      <c r="BO1134" s="197"/>
      <c r="BP1134" s="197"/>
      <c r="BQ1134" s="197"/>
    </row>
    <row r="1135" spans="66:69" x14ac:dyDescent="0.2">
      <c r="BN1135" s="192"/>
      <c r="BO1135" s="197"/>
      <c r="BP1135" s="197"/>
      <c r="BQ1135" s="197"/>
    </row>
    <row r="1136" spans="66:69" x14ac:dyDescent="0.2">
      <c r="BN1136" s="192"/>
      <c r="BO1136" s="197"/>
      <c r="BP1136" s="197"/>
      <c r="BQ1136" s="197"/>
    </row>
    <row r="1137" spans="66:69" x14ac:dyDescent="0.2">
      <c r="BN1137" s="192"/>
      <c r="BO1137" s="197"/>
      <c r="BP1137" s="197"/>
      <c r="BQ1137" s="197"/>
    </row>
    <row r="1138" spans="66:69" x14ac:dyDescent="0.2">
      <c r="BN1138" s="192"/>
      <c r="BO1138" s="197"/>
      <c r="BP1138" s="197"/>
      <c r="BQ1138" s="197"/>
    </row>
    <row r="1139" spans="66:69" x14ac:dyDescent="0.2">
      <c r="BN1139" s="192"/>
      <c r="BO1139" s="197"/>
      <c r="BP1139" s="197"/>
      <c r="BQ1139" s="197"/>
    </row>
    <row r="1140" spans="66:69" x14ac:dyDescent="0.2">
      <c r="BN1140" s="192"/>
      <c r="BO1140" s="197"/>
      <c r="BP1140" s="197"/>
      <c r="BQ1140" s="197"/>
    </row>
    <row r="1141" spans="66:69" x14ac:dyDescent="0.2">
      <c r="BN1141" s="192"/>
      <c r="BO1141" s="197"/>
      <c r="BP1141" s="197"/>
      <c r="BQ1141" s="197"/>
    </row>
    <row r="1142" spans="66:69" x14ac:dyDescent="0.2">
      <c r="BN1142" s="192"/>
      <c r="BO1142" s="197"/>
      <c r="BP1142" s="197"/>
      <c r="BQ1142" s="197"/>
    </row>
    <row r="1143" spans="66:69" x14ac:dyDescent="0.2">
      <c r="BN1143" s="192"/>
      <c r="BO1143" s="197"/>
      <c r="BP1143" s="197"/>
      <c r="BQ1143" s="197"/>
    </row>
    <row r="1144" spans="66:69" x14ac:dyDescent="0.2">
      <c r="BN1144" s="192"/>
      <c r="BO1144" s="197"/>
      <c r="BP1144" s="197"/>
      <c r="BQ1144" s="197"/>
    </row>
    <row r="1145" spans="66:69" x14ac:dyDescent="0.2">
      <c r="BN1145" s="192"/>
      <c r="BO1145" s="197"/>
      <c r="BP1145" s="197"/>
      <c r="BQ1145" s="197"/>
    </row>
    <row r="1146" spans="66:69" x14ac:dyDescent="0.2">
      <c r="BN1146" s="192"/>
      <c r="BO1146" s="197"/>
      <c r="BP1146" s="197"/>
      <c r="BQ1146" s="197"/>
    </row>
    <row r="1147" spans="66:69" x14ac:dyDescent="0.2">
      <c r="BN1147" s="192"/>
      <c r="BO1147" s="197"/>
      <c r="BP1147" s="197"/>
      <c r="BQ1147" s="197"/>
    </row>
    <row r="1148" spans="66:69" x14ac:dyDescent="0.2">
      <c r="BN1148" s="192"/>
      <c r="BO1148" s="197"/>
      <c r="BP1148" s="197"/>
      <c r="BQ1148" s="197"/>
    </row>
    <row r="1149" spans="66:69" x14ac:dyDescent="0.2">
      <c r="BN1149" s="192"/>
      <c r="BO1149" s="197"/>
      <c r="BP1149" s="197"/>
      <c r="BQ1149" s="197"/>
    </row>
    <row r="1150" spans="66:69" x14ac:dyDescent="0.2">
      <c r="BN1150" s="192"/>
      <c r="BO1150" s="197"/>
      <c r="BP1150" s="197"/>
      <c r="BQ1150" s="197"/>
    </row>
    <row r="1151" spans="66:69" x14ac:dyDescent="0.2">
      <c r="BN1151" s="192"/>
      <c r="BO1151" s="197"/>
      <c r="BP1151" s="197"/>
      <c r="BQ1151" s="197"/>
    </row>
    <row r="1152" spans="66:69" x14ac:dyDescent="0.2">
      <c r="BN1152" s="192"/>
      <c r="BO1152" s="197"/>
      <c r="BP1152" s="197"/>
      <c r="BQ1152" s="197"/>
    </row>
    <row r="1153" spans="66:69" x14ac:dyDescent="0.2">
      <c r="BN1153" s="192"/>
      <c r="BO1153" s="197"/>
      <c r="BP1153" s="197"/>
      <c r="BQ1153" s="197"/>
    </row>
    <row r="1154" spans="66:69" x14ac:dyDescent="0.2">
      <c r="BN1154" s="192"/>
      <c r="BO1154" s="197"/>
      <c r="BP1154" s="197"/>
      <c r="BQ1154" s="197"/>
    </row>
    <row r="1155" spans="66:69" x14ac:dyDescent="0.2">
      <c r="BN1155" s="192"/>
      <c r="BO1155" s="197"/>
      <c r="BP1155" s="197"/>
      <c r="BQ1155" s="197"/>
    </row>
    <row r="1156" spans="66:69" x14ac:dyDescent="0.2">
      <c r="BN1156" s="192"/>
      <c r="BO1156" s="197"/>
      <c r="BP1156" s="197"/>
      <c r="BQ1156" s="197"/>
    </row>
    <row r="1157" spans="66:69" x14ac:dyDescent="0.2">
      <c r="BN1157" s="192"/>
      <c r="BO1157" s="197"/>
      <c r="BP1157" s="197"/>
      <c r="BQ1157" s="197"/>
    </row>
    <row r="1158" spans="66:69" x14ac:dyDescent="0.2">
      <c r="BN1158" s="192"/>
      <c r="BO1158" s="197"/>
      <c r="BP1158" s="197"/>
      <c r="BQ1158" s="197"/>
    </row>
    <row r="1159" spans="66:69" x14ac:dyDescent="0.2">
      <c r="BN1159" s="192"/>
      <c r="BO1159" s="197"/>
      <c r="BP1159" s="197"/>
      <c r="BQ1159" s="197"/>
    </row>
    <row r="1160" spans="66:69" x14ac:dyDescent="0.2">
      <c r="BN1160" s="192"/>
      <c r="BO1160" s="197"/>
      <c r="BP1160" s="197"/>
      <c r="BQ1160" s="197"/>
    </row>
    <row r="1161" spans="66:69" x14ac:dyDescent="0.2">
      <c r="BN1161" s="192"/>
      <c r="BO1161" s="197"/>
      <c r="BP1161" s="197"/>
      <c r="BQ1161" s="197"/>
    </row>
    <row r="1162" spans="66:69" x14ac:dyDescent="0.2">
      <c r="BN1162" s="192"/>
      <c r="BO1162" s="197"/>
      <c r="BP1162" s="197"/>
      <c r="BQ1162" s="197"/>
    </row>
    <row r="1163" spans="66:69" x14ac:dyDescent="0.2">
      <c r="BN1163" s="192"/>
      <c r="BO1163" s="197"/>
      <c r="BP1163" s="197"/>
      <c r="BQ1163" s="197"/>
    </row>
    <row r="1164" spans="66:69" x14ac:dyDescent="0.2">
      <c r="BN1164" s="192"/>
      <c r="BO1164" s="197"/>
      <c r="BP1164" s="197"/>
      <c r="BQ1164" s="197"/>
    </row>
    <row r="1165" spans="66:69" x14ac:dyDescent="0.2">
      <c r="BN1165" s="192"/>
      <c r="BO1165" s="197"/>
      <c r="BP1165" s="197"/>
      <c r="BQ1165" s="197"/>
    </row>
    <row r="1166" spans="66:69" x14ac:dyDescent="0.2">
      <c r="BN1166" s="192"/>
      <c r="BO1166" s="197"/>
      <c r="BP1166" s="197"/>
      <c r="BQ1166" s="197"/>
    </row>
    <row r="1167" spans="66:69" x14ac:dyDescent="0.2">
      <c r="BN1167" s="192"/>
      <c r="BO1167" s="197"/>
      <c r="BP1167" s="197"/>
      <c r="BQ1167" s="197"/>
    </row>
    <row r="1168" spans="66:69" x14ac:dyDescent="0.2">
      <c r="BN1168" s="192"/>
      <c r="BO1168" s="197"/>
      <c r="BP1168" s="197"/>
      <c r="BQ1168" s="197"/>
    </row>
    <row r="1169" spans="66:69" x14ac:dyDescent="0.2">
      <c r="BN1169" s="192"/>
      <c r="BO1169" s="197"/>
      <c r="BP1169" s="197"/>
      <c r="BQ1169" s="197"/>
    </row>
    <row r="1170" spans="66:69" x14ac:dyDescent="0.2">
      <c r="BN1170" s="192"/>
      <c r="BO1170" s="197"/>
      <c r="BP1170" s="197"/>
      <c r="BQ1170" s="197"/>
    </row>
    <row r="1171" spans="66:69" x14ac:dyDescent="0.2">
      <c r="BN1171" s="192"/>
      <c r="BO1171" s="197"/>
      <c r="BP1171" s="197"/>
      <c r="BQ1171" s="197"/>
    </row>
    <row r="1172" spans="66:69" x14ac:dyDescent="0.2">
      <c r="BN1172" s="192"/>
      <c r="BO1172" s="197"/>
      <c r="BP1172" s="197"/>
      <c r="BQ1172" s="197"/>
    </row>
    <row r="1173" spans="66:69" x14ac:dyDescent="0.2">
      <c r="BN1173" s="192"/>
      <c r="BO1173" s="197"/>
      <c r="BP1173" s="197"/>
      <c r="BQ1173" s="197"/>
    </row>
    <row r="1174" spans="66:69" x14ac:dyDescent="0.2">
      <c r="BN1174" s="192"/>
      <c r="BO1174" s="197"/>
      <c r="BP1174" s="197"/>
      <c r="BQ1174" s="197"/>
    </row>
    <row r="1175" spans="66:69" x14ac:dyDescent="0.2">
      <c r="BN1175" s="192"/>
      <c r="BO1175" s="197"/>
      <c r="BP1175" s="197"/>
      <c r="BQ1175" s="197"/>
    </row>
    <row r="1176" spans="66:69" x14ac:dyDescent="0.2">
      <c r="BN1176" s="192"/>
      <c r="BO1176" s="197"/>
      <c r="BP1176" s="197"/>
      <c r="BQ1176" s="197"/>
    </row>
    <row r="1177" spans="66:69" x14ac:dyDescent="0.2">
      <c r="BN1177" s="192"/>
      <c r="BO1177" s="197"/>
      <c r="BP1177" s="197"/>
      <c r="BQ1177" s="197"/>
    </row>
    <row r="1178" spans="66:69" x14ac:dyDescent="0.2">
      <c r="BN1178" s="192"/>
      <c r="BO1178" s="197"/>
      <c r="BP1178" s="197"/>
      <c r="BQ1178" s="197"/>
    </row>
    <row r="1179" spans="66:69" x14ac:dyDescent="0.2">
      <c r="BN1179" s="192"/>
      <c r="BO1179" s="197"/>
      <c r="BP1179" s="197"/>
      <c r="BQ1179" s="197"/>
    </row>
    <row r="1180" spans="66:69" x14ac:dyDescent="0.2">
      <c r="BN1180" s="192"/>
      <c r="BO1180" s="197"/>
      <c r="BP1180" s="197"/>
      <c r="BQ1180" s="197"/>
    </row>
    <row r="1181" spans="66:69" x14ac:dyDescent="0.2">
      <c r="BN1181" s="192"/>
      <c r="BO1181" s="197"/>
      <c r="BP1181" s="197"/>
      <c r="BQ1181" s="197"/>
    </row>
    <row r="1182" spans="66:69" x14ac:dyDescent="0.2">
      <c r="BN1182" s="192"/>
      <c r="BO1182" s="197"/>
      <c r="BP1182" s="197"/>
      <c r="BQ1182" s="197"/>
    </row>
    <row r="1183" spans="66:69" x14ac:dyDescent="0.2">
      <c r="BN1183" s="192"/>
      <c r="BO1183" s="197"/>
      <c r="BP1183" s="197"/>
      <c r="BQ1183" s="197"/>
    </row>
    <row r="1184" spans="66:69" x14ac:dyDescent="0.2">
      <c r="BN1184" s="192"/>
      <c r="BO1184" s="197"/>
      <c r="BP1184" s="197"/>
      <c r="BQ1184" s="197"/>
    </row>
    <row r="1185" spans="66:69" x14ac:dyDescent="0.2">
      <c r="BN1185" s="192"/>
      <c r="BO1185" s="197"/>
      <c r="BP1185" s="197"/>
      <c r="BQ1185" s="197"/>
    </row>
    <row r="1186" spans="66:69" x14ac:dyDescent="0.2">
      <c r="BN1186" s="192"/>
      <c r="BO1186" s="197"/>
      <c r="BP1186" s="197"/>
      <c r="BQ1186" s="197"/>
    </row>
    <row r="1187" spans="66:69" x14ac:dyDescent="0.2">
      <c r="BN1187" s="192"/>
      <c r="BO1187" s="197"/>
      <c r="BP1187" s="197"/>
      <c r="BQ1187" s="197"/>
    </row>
    <row r="1188" spans="66:69" x14ac:dyDescent="0.2">
      <c r="BN1188" s="192"/>
      <c r="BO1188" s="197"/>
      <c r="BP1188" s="197"/>
      <c r="BQ1188" s="197"/>
    </row>
    <row r="1189" spans="66:69" x14ac:dyDescent="0.2">
      <c r="BN1189" s="192"/>
      <c r="BO1189" s="197"/>
      <c r="BP1189" s="197"/>
      <c r="BQ1189" s="197"/>
    </row>
    <row r="1190" spans="66:69" x14ac:dyDescent="0.2">
      <c r="BN1190" s="192"/>
      <c r="BO1190" s="197"/>
      <c r="BP1190" s="197"/>
      <c r="BQ1190" s="197"/>
    </row>
    <row r="1191" spans="66:69" x14ac:dyDescent="0.2">
      <c r="BN1191" s="192"/>
      <c r="BO1191" s="197"/>
      <c r="BP1191" s="197"/>
      <c r="BQ1191" s="197"/>
    </row>
    <row r="1192" spans="66:69" x14ac:dyDescent="0.2">
      <c r="BN1192" s="192"/>
      <c r="BO1192" s="197"/>
      <c r="BP1192" s="197"/>
      <c r="BQ1192" s="197"/>
    </row>
    <row r="1193" spans="66:69" x14ac:dyDescent="0.2">
      <c r="BN1193" s="192"/>
      <c r="BO1193" s="197"/>
      <c r="BP1193" s="197"/>
      <c r="BQ1193" s="197"/>
    </row>
    <row r="1194" spans="66:69" x14ac:dyDescent="0.2">
      <c r="BN1194" s="192"/>
      <c r="BO1194" s="197"/>
      <c r="BP1194" s="197"/>
      <c r="BQ1194" s="197"/>
    </row>
    <row r="1195" spans="66:69" x14ac:dyDescent="0.2">
      <c r="BN1195" s="192"/>
      <c r="BO1195" s="197"/>
      <c r="BP1195" s="197"/>
      <c r="BQ1195" s="197"/>
    </row>
    <row r="1196" spans="66:69" x14ac:dyDescent="0.2">
      <c r="BN1196" s="192"/>
      <c r="BO1196" s="197"/>
      <c r="BP1196" s="197"/>
      <c r="BQ1196" s="197"/>
    </row>
    <row r="1197" spans="66:69" x14ac:dyDescent="0.2">
      <c r="BN1197" s="192"/>
      <c r="BO1197" s="197"/>
      <c r="BP1197" s="197"/>
      <c r="BQ1197" s="197"/>
    </row>
    <row r="1198" spans="66:69" x14ac:dyDescent="0.2">
      <c r="BN1198" s="192"/>
      <c r="BO1198" s="197"/>
      <c r="BP1198" s="197"/>
      <c r="BQ1198" s="197"/>
    </row>
    <row r="1199" spans="66:69" x14ac:dyDescent="0.2">
      <c r="BN1199" s="192"/>
      <c r="BO1199" s="197"/>
      <c r="BP1199" s="197"/>
      <c r="BQ1199" s="197"/>
    </row>
    <row r="1200" spans="66:69" x14ac:dyDescent="0.2">
      <c r="BN1200" s="192"/>
      <c r="BO1200" s="197"/>
      <c r="BP1200" s="197"/>
      <c r="BQ1200" s="197"/>
    </row>
    <row r="1201" spans="66:69" x14ac:dyDescent="0.2">
      <c r="BN1201" s="192"/>
      <c r="BO1201" s="197"/>
      <c r="BP1201" s="197"/>
      <c r="BQ1201" s="197"/>
    </row>
    <row r="1202" spans="66:69" x14ac:dyDescent="0.2">
      <c r="BN1202" s="192"/>
      <c r="BO1202" s="197"/>
      <c r="BP1202" s="197"/>
      <c r="BQ1202" s="197"/>
    </row>
    <row r="1203" spans="66:69" x14ac:dyDescent="0.2">
      <c r="BN1203" s="192"/>
      <c r="BO1203" s="197"/>
      <c r="BP1203" s="197"/>
      <c r="BQ1203" s="197"/>
    </row>
    <row r="1204" spans="66:69" x14ac:dyDescent="0.2">
      <c r="BN1204" s="192"/>
      <c r="BO1204" s="197"/>
      <c r="BP1204" s="197"/>
      <c r="BQ1204" s="197"/>
    </row>
    <row r="1205" spans="66:69" x14ac:dyDescent="0.2">
      <c r="BN1205" s="192"/>
      <c r="BO1205" s="197"/>
      <c r="BP1205" s="197"/>
      <c r="BQ1205" s="197"/>
    </row>
    <row r="1206" spans="66:69" x14ac:dyDescent="0.2">
      <c r="BN1206" s="192"/>
      <c r="BO1206" s="197"/>
      <c r="BP1206" s="197"/>
      <c r="BQ1206" s="197"/>
    </row>
    <row r="1207" spans="66:69" x14ac:dyDescent="0.2">
      <c r="BN1207" s="192"/>
      <c r="BO1207" s="197"/>
      <c r="BP1207" s="197"/>
      <c r="BQ1207" s="197"/>
    </row>
    <row r="1208" spans="66:69" x14ac:dyDescent="0.2">
      <c r="BN1208" s="192"/>
      <c r="BO1208" s="197"/>
      <c r="BP1208" s="197"/>
      <c r="BQ1208" s="197"/>
    </row>
    <row r="1209" spans="66:69" x14ac:dyDescent="0.2">
      <c r="BN1209" s="192"/>
      <c r="BO1209" s="197"/>
      <c r="BP1209" s="197"/>
      <c r="BQ1209" s="197"/>
    </row>
    <row r="1210" spans="66:69" x14ac:dyDescent="0.2">
      <c r="BN1210" s="192"/>
      <c r="BO1210" s="197"/>
      <c r="BP1210" s="197"/>
      <c r="BQ1210" s="197"/>
    </row>
    <row r="1211" spans="66:69" x14ac:dyDescent="0.2">
      <c r="BN1211" s="192"/>
      <c r="BO1211" s="197"/>
      <c r="BP1211" s="197"/>
      <c r="BQ1211" s="197"/>
    </row>
    <row r="1212" spans="66:69" x14ac:dyDescent="0.2">
      <c r="BN1212" s="192"/>
      <c r="BO1212" s="197"/>
      <c r="BP1212" s="197"/>
      <c r="BQ1212" s="197"/>
    </row>
    <row r="1213" spans="66:69" x14ac:dyDescent="0.2">
      <c r="BN1213" s="192"/>
      <c r="BO1213" s="197"/>
      <c r="BP1213" s="197"/>
      <c r="BQ1213" s="197"/>
    </row>
    <row r="1214" spans="66:69" x14ac:dyDescent="0.2">
      <c r="BN1214" s="192"/>
      <c r="BO1214" s="197"/>
      <c r="BP1214" s="197"/>
      <c r="BQ1214" s="197"/>
    </row>
    <row r="1215" spans="66:69" x14ac:dyDescent="0.2">
      <c r="BN1215" s="192"/>
      <c r="BO1215" s="197"/>
      <c r="BP1215" s="197"/>
      <c r="BQ1215" s="197"/>
    </row>
    <row r="1216" spans="66:69" x14ac:dyDescent="0.2">
      <c r="BN1216" s="192"/>
      <c r="BO1216" s="197"/>
      <c r="BP1216" s="197"/>
      <c r="BQ1216" s="197"/>
    </row>
    <row r="1217" spans="66:69" x14ac:dyDescent="0.2">
      <c r="BN1217" s="192"/>
      <c r="BO1217" s="197"/>
      <c r="BP1217" s="197"/>
      <c r="BQ1217" s="197"/>
    </row>
    <row r="1218" spans="66:69" x14ac:dyDescent="0.2">
      <c r="BN1218" s="192"/>
      <c r="BO1218" s="197"/>
      <c r="BP1218" s="197"/>
      <c r="BQ1218" s="197"/>
    </row>
    <row r="1219" spans="66:69" x14ac:dyDescent="0.2">
      <c r="BN1219" s="192"/>
      <c r="BO1219" s="197"/>
      <c r="BP1219" s="197"/>
      <c r="BQ1219" s="197"/>
    </row>
    <row r="1220" spans="66:69" x14ac:dyDescent="0.2">
      <c r="BN1220" s="192"/>
      <c r="BO1220" s="197"/>
      <c r="BP1220" s="197"/>
      <c r="BQ1220" s="197"/>
    </row>
    <row r="1221" spans="66:69" x14ac:dyDescent="0.2">
      <c r="BN1221" s="192"/>
      <c r="BO1221" s="197"/>
      <c r="BP1221" s="197"/>
      <c r="BQ1221" s="197"/>
    </row>
    <row r="1222" spans="66:69" x14ac:dyDescent="0.2">
      <c r="BN1222" s="192"/>
      <c r="BO1222" s="197"/>
      <c r="BP1222" s="197"/>
      <c r="BQ1222" s="197"/>
    </row>
    <row r="1223" spans="66:69" x14ac:dyDescent="0.2">
      <c r="BN1223" s="192"/>
      <c r="BO1223" s="197"/>
      <c r="BP1223" s="197"/>
      <c r="BQ1223" s="197"/>
    </row>
    <row r="1224" spans="66:69" x14ac:dyDescent="0.2">
      <c r="BN1224" s="192"/>
      <c r="BO1224" s="197"/>
      <c r="BP1224" s="197"/>
      <c r="BQ1224" s="197"/>
    </row>
    <row r="1225" spans="66:69" x14ac:dyDescent="0.2">
      <c r="BN1225" s="192"/>
      <c r="BO1225" s="197"/>
      <c r="BP1225" s="197"/>
      <c r="BQ1225" s="197"/>
    </row>
    <row r="1226" spans="66:69" x14ac:dyDescent="0.2">
      <c r="BN1226" s="192"/>
      <c r="BO1226" s="197"/>
      <c r="BP1226" s="197"/>
      <c r="BQ1226" s="197"/>
    </row>
    <row r="1227" spans="66:69" x14ac:dyDescent="0.2">
      <c r="BN1227" s="192"/>
      <c r="BO1227" s="197"/>
      <c r="BP1227" s="197"/>
      <c r="BQ1227" s="197"/>
    </row>
    <row r="1228" spans="66:69" x14ac:dyDescent="0.2">
      <c r="BN1228" s="192"/>
      <c r="BO1228" s="197"/>
      <c r="BP1228" s="197"/>
      <c r="BQ1228" s="197"/>
    </row>
    <row r="1229" spans="66:69" x14ac:dyDescent="0.2">
      <c r="BN1229" s="192"/>
      <c r="BO1229" s="197"/>
      <c r="BP1229" s="197"/>
      <c r="BQ1229" s="197"/>
    </row>
    <row r="1230" spans="66:69" x14ac:dyDescent="0.2">
      <c r="BN1230" s="192"/>
      <c r="BO1230" s="197"/>
      <c r="BP1230" s="197"/>
      <c r="BQ1230" s="197"/>
    </row>
    <row r="1231" spans="66:69" x14ac:dyDescent="0.2">
      <c r="BN1231" s="192"/>
      <c r="BO1231" s="197"/>
      <c r="BP1231" s="197"/>
      <c r="BQ1231" s="197"/>
    </row>
    <row r="1232" spans="66:69" x14ac:dyDescent="0.2">
      <c r="BN1232" s="192"/>
      <c r="BO1232" s="197"/>
      <c r="BP1232" s="197"/>
      <c r="BQ1232" s="197"/>
    </row>
    <row r="1233" spans="66:69" x14ac:dyDescent="0.2">
      <c r="BN1233" s="192"/>
      <c r="BO1233" s="197"/>
      <c r="BP1233" s="197"/>
      <c r="BQ1233" s="197"/>
    </row>
    <row r="1234" spans="66:69" x14ac:dyDescent="0.2">
      <c r="BN1234" s="192"/>
      <c r="BO1234" s="197"/>
      <c r="BP1234" s="197"/>
      <c r="BQ1234" s="197"/>
    </row>
    <row r="1235" spans="66:69" x14ac:dyDescent="0.2">
      <c r="BN1235" s="192"/>
      <c r="BO1235" s="197"/>
      <c r="BP1235" s="197"/>
      <c r="BQ1235" s="197"/>
    </row>
    <row r="1236" spans="66:69" x14ac:dyDescent="0.2">
      <c r="BN1236" s="192"/>
      <c r="BO1236" s="197"/>
      <c r="BP1236" s="197"/>
      <c r="BQ1236" s="197"/>
    </row>
    <row r="1237" spans="66:69" x14ac:dyDescent="0.2">
      <c r="BN1237" s="192"/>
      <c r="BO1237" s="197"/>
      <c r="BP1237" s="197"/>
      <c r="BQ1237" s="197"/>
    </row>
    <row r="1238" spans="66:69" x14ac:dyDescent="0.2">
      <c r="BN1238" s="192"/>
      <c r="BO1238" s="197"/>
      <c r="BP1238" s="197"/>
      <c r="BQ1238" s="197"/>
    </row>
    <row r="1239" spans="66:69" x14ac:dyDescent="0.2">
      <c r="BN1239" s="192"/>
      <c r="BO1239" s="197"/>
      <c r="BP1239" s="197"/>
      <c r="BQ1239" s="197"/>
    </row>
    <row r="1240" spans="66:69" x14ac:dyDescent="0.2">
      <c r="BN1240" s="192"/>
      <c r="BO1240" s="197"/>
      <c r="BP1240" s="197"/>
      <c r="BQ1240" s="197"/>
    </row>
    <row r="1241" spans="66:69" x14ac:dyDescent="0.2">
      <c r="BN1241" s="192"/>
      <c r="BO1241" s="197"/>
      <c r="BP1241" s="197"/>
      <c r="BQ1241" s="197"/>
    </row>
    <row r="1242" spans="66:69" x14ac:dyDescent="0.2">
      <c r="BN1242" s="192"/>
      <c r="BO1242" s="197"/>
      <c r="BP1242" s="197"/>
      <c r="BQ1242" s="197"/>
    </row>
    <row r="1243" spans="66:69" x14ac:dyDescent="0.2">
      <c r="BN1243" s="192"/>
      <c r="BO1243" s="197"/>
      <c r="BP1243" s="197"/>
      <c r="BQ1243" s="197"/>
    </row>
    <row r="1244" spans="66:69" x14ac:dyDescent="0.2">
      <c r="BN1244" s="192"/>
      <c r="BO1244" s="197"/>
      <c r="BP1244" s="197"/>
      <c r="BQ1244" s="197"/>
    </row>
    <row r="1245" spans="66:69" x14ac:dyDescent="0.2">
      <c r="BN1245" s="192"/>
      <c r="BO1245" s="197"/>
      <c r="BP1245" s="197"/>
      <c r="BQ1245" s="197"/>
    </row>
    <row r="1246" spans="66:69" x14ac:dyDescent="0.2">
      <c r="BN1246" s="192"/>
      <c r="BO1246" s="197"/>
      <c r="BP1246" s="197"/>
      <c r="BQ1246" s="197"/>
    </row>
    <row r="1247" spans="66:69" x14ac:dyDescent="0.2">
      <c r="BN1247" s="192"/>
      <c r="BO1247" s="197"/>
      <c r="BP1247" s="197"/>
      <c r="BQ1247" s="197"/>
    </row>
    <row r="1248" spans="66:69" x14ac:dyDescent="0.2">
      <c r="BN1248" s="192"/>
      <c r="BO1248" s="197"/>
      <c r="BP1248" s="197"/>
      <c r="BQ1248" s="197"/>
    </row>
    <row r="1249" spans="66:69" x14ac:dyDescent="0.2">
      <c r="BN1249" s="192"/>
      <c r="BO1249" s="197"/>
      <c r="BP1249" s="197"/>
      <c r="BQ1249" s="197"/>
    </row>
    <row r="1250" spans="66:69" x14ac:dyDescent="0.2">
      <c r="BN1250" s="192"/>
      <c r="BO1250" s="197"/>
      <c r="BP1250" s="197"/>
      <c r="BQ1250" s="197"/>
    </row>
    <row r="1251" spans="66:69" x14ac:dyDescent="0.2">
      <c r="BN1251" s="192"/>
      <c r="BO1251" s="197"/>
      <c r="BP1251" s="197"/>
      <c r="BQ1251" s="197"/>
    </row>
    <row r="1252" spans="66:69" x14ac:dyDescent="0.2">
      <c r="BN1252" s="192"/>
      <c r="BO1252" s="197"/>
      <c r="BP1252" s="197"/>
      <c r="BQ1252" s="197"/>
    </row>
    <row r="1253" spans="66:69" x14ac:dyDescent="0.2">
      <c r="BN1253" s="192"/>
      <c r="BO1253" s="197"/>
      <c r="BP1253" s="197"/>
      <c r="BQ1253" s="197"/>
    </row>
    <row r="1254" spans="66:69" x14ac:dyDescent="0.2">
      <c r="BN1254" s="192"/>
      <c r="BO1254" s="197"/>
      <c r="BP1254" s="197"/>
      <c r="BQ1254" s="197"/>
    </row>
    <row r="1255" spans="66:69" x14ac:dyDescent="0.2">
      <c r="BN1255" s="192"/>
      <c r="BO1255" s="197"/>
      <c r="BP1255" s="197"/>
      <c r="BQ1255" s="197"/>
    </row>
    <row r="1256" spans="66:69" x14ac:dyDescent="0.2">
      <c r="BN1256" s="192"/>
      <c r="BO1256" s="197"/>
      <c r="BP1256" s="197"/>
      <c r="BQ1256" s="197"/>
    </row>
    <row r="1257" spans="66:69" x14ac:dyDescent="0.2">
      <c r="BN1257" s="192"/>
      <c r="BO1257" s="197"/>
      <c r="BP1257" s="197"/>
      <c r="BQ1257" s="197"/>
    </row>
    <row r="1258" spans="66:69" x14ac:dyDescent="0.2">
      <c r="BN1258" s="192"/>
      <c r="BO1258" s="197"/>
      <c r="BP1258" s="197"/>
      <c r="BQ1258" s="197"/>
    </row>
    <row r="1259" spans="66:69" x14ac:dyDescent="0.2">
      <c r="BN1259" s="192"/>
      <c r="BO1259" s="197"/>
      <c r="BP1259" s="197"/>
      <c r="BQ1259" s="197"/>
    </row>
    <row r="1260" spans="66:69" x14ac:dyDescent="0.2">
      <c r="BN1260" s="192"/>
      <c r="BO1260" s="197"/>
      <c r="BP1260" s="197"/>
      <c r="BQ1260" s="197"/>
    </row>
    <row r="1261" spans="66:69" x14ac:dyDescent="0.2">
      <c r="BN1261" s="192"/>
      <c r="BO1261" s="197"/>
      <c r="BP1261" s="197"/>
      <c r="BQ1261" s="197"/>
    </row>
    <row r="1262" spans="66:69" x14ac:dyDescent="0.2">
      <c r="BN1262" s="192"/>
      <c r="BO1262" s="197"/>
      <c r="BP1262" s="197"/>
      <c r="BQ1262" s="197"/>
    </row>
    <row r="1263" spans="66:69" x14ac:dyDescent="0.2">
      <c r="BN1263" s="192"/>
      <c r="BO1263" s="197"/>
      <c r="BP1263" s="197"/>
      <c r="BQ1263" s="197"/>
    </row>
    <row r="1264" spans="66:69" x14ac:dyDescent="0.2">
      <c r="BN1264" s="192"/>
      <c r="BO1264" s="197"/>
      <c r="BP1264" s="197"/>
      <c r="BQ1264" s="197"/>
    </row>
    <row r="1265" spans="66:69" x14ac:dyDescent="0.2">
      <c r="BN1265" s="192"/>
      <c r="BO1265" s="197"/>
      <c r="BP1265" s="197"/>
      <c r="BQ1265" s="197"/>
    </row>
    <row r="1266" spans="66:69" x14ac:dyDescent="0.2">
      <c r="BN1266" s="192"/>
      <c r="BO1266" s="197"/>
      <c r="BP1266" s="197"/>
      <c r="BQ1266" s="197"/>
    </row>
    <row r="1267" spans="66:69" x14ac:dyDescent="0.2">
      <c r="BN1267" s="192"/>
      <c r="BO1267" s="197"/>
      <c r="BP1267" s="197"/>
      <c r="BQ1267" s="197"/>
    </row>
    <row r="1268" spans="66:69" x14ac:dyDescent="0.2">
      <c r="BN1268" s="192"/>
      <c r="BO1268" s="197"/>
      <c r="BP1268" s="197"/>
      <c r="BQ1268" s="197"/>
    </row>
    <row r="1269" spans="66:69" x14ac:dyDescent="0.2">
      <c r="BN1269" s="192"/>
      <c r="BO1269" s="197"/>
      <c r="BP1269" s="197"/>
      <c r="BQ1269" s="197"/>
    </row>
    <row r="1270" spans="66:69" x14ac:dyDescent="0.2">
      <c r="BN1270" s="192"/>
      <c r="BO1270" s="197"/>
      <c r="BP1270" s="197"/>
      <c r="BQ1270" s="197"/>
    </row>
    <row r="1271" spans="66:69" x14ac:dyDescent="0.2">
      <c r="BN1271" s="192"/>
      <c r="BO1271" s="197"/>
      <c r="BP1271" s="197"/>
      <c r="BQ1271" s="197"/>
    </row>
    <row r="1272" spans="66:69" x14ac:dyDescent="0.2">
      <c r="BN1272" s="192"/>
      <c r="BO1272" s="197"/>
      <c r="BP1272" s="197"/>
      <c r="BQ1272" s="197"/>
    </row>
    <row r="1273" spans="66:69" x14ac:dyDescent="0.2">
      <c r="BN1273" s="192"/>
      <c r="BO1273" s="197"/>
      <c r="BP1273" s="197"/>
      <c r="BQ1273" s="197"/>
    </row>
    <row r="1274" spans="66:69" x14ac:dyDescent="0.2">
      <c r="BN1274" s="192"/>
      <c r="BO1274" s="197"/>
      <c r="BP1274" s="197"/>
      <c r="BQ1274" s="197"/>
    </row>
    <row r="1275" spans="66:69" x14ac:dyDescent="0.2">
      <c r="BN1275" s="192"/>
      <c r="BO1275" s="197"/>
      <c r="BP1275" s="197"/>
      <c r="BQ1275" s="197"/>
    </row>
    <row r="1276" spans="66:69" x14ac:dyDescent="0.2">
      <c r="BN1276" s="192"/>
      <c r="BO1276" s="197"/>
      <c r="BP1276" s="197"/>
      <c r="BQ1276" s="197"/>
    </row>
    <row r="1277" spans="66:69" x14ac:dyDescent="0.2">
      <c r="BN1277" s="192"/>
      <c r="BO1277" s="197"/>
      <c r="BP1277" s="197"/>
      <c r="BQ1277" s="197"/>
    </row>
    <row r="1278" spans="66:69" x14ac:dyDescent="0.2">
      <c r="BN1278" s="192"/>
      <c r="BO1278" s="197"/>
      <c r="BP1278" s="197"/>
      <c r="BQ1278" s="197"/>
    </row>
    <row r="1279" spans="66:69" x14ac:dyDescent="0.2">
      <c r="BN1279" s="192"/>
      <c r="BO1279" s="197"/>
      <c r="BP1279" s="197"/>
      <c r="BQ1279" s="197"/>
    </row>
    <row r="1280" spans="66:69" x14ac:dyDescent="0.2">
      <c r="BN1280" s="192"/>
      <c r="BO1280" s="197"/>
      <c r="BP1280" s="197"/>
      <c r="BQ1280" s="197"/>
    </row>
    <row r="1281" spans="66:69" x14ac:dyDescent="0.2">
      <c r="BN1281" s="192"/>
      <c r="BO1281" s="197"/>
      <c r="BP1281" s="197"/>
      <c r="BQ1281" s="197"/>
    </row>
    <row r="1282" spans="66:69" x14ac:dyDescent="0.2">
      <c r="BN1282" s="192"/>
      <c r="BO1282" s="197"/>
      <c r="BP1282" s="197"/>
      <c r="BQ1282" s="197"/>
    </row>
    <row r="1283" spans="66:69" x14ac:dyDescent="0.2">
      <c r="BN1283" s="192"/>
      <c r="BO1283" s="197"/>
      <c r="BP1283" s="197"/>
      <c r="BQ1283" s="197"/>
    </row>
    <row r="1284" spans="66:69" x14ac:dyDescent="0.2">
      <c r="BN1284" s="192"/>
      <c r="BO1284" s="197"/>
      <c r="BP1284" s="197"/>
      <c r="BQ1284" s="197"/>
    </row>
    <row r="1285" spans="66:69" x14ac:dyDescent="0.2">
      <c r="BN1285" s="192"/>
      <c r="BO1285" s="197"/>
      <c r="BP1285" s="197"/>
      <c r="BQ1285" s="197"/>
    </row>
    <row r="1286" spans="66:69" x14ac:dyDescent="0.2">
      <c r="BN1286" s="192"/>
      <c r="BO1286" s="197"/>
      <c r="BP1286" s="197"/>
      <c r="BQ1286" s="197"/>
    </row>
    <row r="1287" spans="66:69" x14ac:dyDescent="0.2">
      <c r="BN1287" s="192"/>
      <c r="BO1287" s="197"/>
      <c r="BP1287" s="197"/>
      <c r="BQ1287" s="197"/>
    </row>
    <row r="1288" spans="66:69" x14ac:dyDescent="0.2">
      <c r="BN1288" s="192"/>
      <c r="BO1288" s="197"/>
      <c r="BP1288" s="197"/>
      <c r="BQ1288" s="197"/>
    </row>
    <row r="1289" spans="66:69" x14ac:dyDescent="0.2">
      <c r="BN1289" s="192"/>
      <c r="BO1289" s="197"/>
      <c r="BP1289" s="197"/>
      <c r="BQ1289" s="197"/>
    </row>
    <row r="1290" spans="66:69" x14ac:dyDescent="0.2">
      <c r="BN1290" s="192"/>
      <c r="BO1290" s="197"/>
      <c r="BP1290" s="197"/>
      <c r="BQ1290" s="197"/>
    </row>
    <row r="1291" spans="66:69" x14ac:dyDescent="0.2">
      <c r="BN1291" s="192"/>
      <c r="BO1291" s="197"/>
      <c r="BP1291" s="197"/>
      <c r="BQ1291" s="197"/>
    </row>
    <row r="1292" spans="66:69" x14ac:dyDescent="0.2">
      <c r="BN1292" s="192"/>
      <c r="BO1292" s="197"/>
      <c r="BP1292" s="197"/>
      <c r="BQ1292" s="197"/>
    </row>
    <row r="1293" spans="66:69" x14ac:dyDescent="0.2">
      <c r="BN1293" s="192"/>
      <c r="BO1293" s="197"/>
      <c r="BP1293" s="197"/>
      <c r="BQ1293" s="197"/>
    </row>
    <row r="1294" spans="66:69" x14ac:dyDescent="0.2">
      <c r="BN1294" s="192"/>
      <c r="BO1294" s="197"/>
      <c r="BP1294" s="197"/>
      <c r="BQ1294" s="197"/>
    </row>
    <row r="1295" spans="66:69" x14ac:dyDescent="0.2">
      <c r="BN1295" s="192"/>
      <c r="BO1295" s="197"/>
      <c r="BP1295" s="197"/>
      <c r="BQ1295" s="197"/>
    </row>
    <row r="1296" spans="66:69" x14ac:dyDescent="0.2">
      <c r="BN1296" s="192"/>
      <c r="BO1296" s="197"/>
      <c r="BP1296" s="197"/>
      <c r="BQ1296" s="197"/>
    </row>
    <row r="1297" spans="66:69" x14ac:dyDescent="0.2">
      <c r="BN1297" s="192"/>
      <c r="BO1297" s="197"/>
      <c r="BP1297" s="197"/>
      <c r="BQ1297" s="197"/>
    </row>
    <row r="1298" spans="66:69" x14ac:dyDescent="0.2">
      <c r="BN1298" s="192"/>
      <c r="BO1298" s="197"/>
      <c r="BP1298" s="197"/>
      <c r="BQ1298" s="197"/>
    </row>
    <row r="1299" spans="66:69" x14ac:dyDescent="0.2">
      <c r="BN1299" s="192"/>
      <c r="BO1299" s="197"/>
      <c r="BP1299" s="197"/>
      <c r="BQ1299" s="197"/>
    </row>
    <row r="1300" spans="66:69" x14ac:dyDescent="0.2">
      <c r="BN1300" s="192"/>
      <c r="BO1300" s="197"/>
      <c r="BP1300" s="197"/>
      <c r="BQ1300" s="197"/>
    </row>
    <row r="1301" spans="66:69" x14ac:dyDescent="0.2">
      <c r="BN1301" s="192"/>
      <c r="BO1301" s="197"/>
      <c r="BP1301" s="197"/>
      <c r="BQ1301" s="197"/>
    </row>
    <row r="1302" spans="66:69" x14ac:dyDescent="0.2">
      <c r="BN1302" s="192"/>
      <c r="BO1302" s="197"/>
      <c r="BP1302" s="197"/>
      <c r="BQ1302" s="197"/>
    </row>
    <row r="1303" spans="66:69" x14ac:dyDescent="0.2">
      <c r="BN1303" s="192"/>
      <c r="BO1303" s="197"/>
      <c r="BP1303" s="197"/>
      <c r="BQ1303" s="197"/>
    </row>
    <row r="1304" spans="66:69" x14ac:dyDescent="0.2">
      <c r="BN1304" s="192"/>
      <c r="BO1304" s="197"/>
      <c r="BP1304" s="197"/>
      <c r="BQ1304" s="197"/>
    </row>
    <row r="1305" spans="66:69" x14ac:dyDescent="0.2">
      <c r="BN1305" s="192"/>
      <c r="BO1305" s="197"/>
      <c r="BP1305" s="197"/>
      <c r="BQ1305" s="197"/>
    </row>
    <row r="1306" spans="66:69" x14ac:dyDescent="0.2">
      <c r="BN1306" s="192"/>
      <c r="BO1306" s="197"/>
      <c r="BP1306" s="197"/>
      <c r="BQ1306" s="197"/>
    </row>
    <row r="1307" spans="66:69" x14ac:dyDescent="0.2">
      <c r="BN1307" s="192"/>
      <c r="BO1307" s="197"/>
      <c r="BP1307" s="197"/>
      <c r="BQ1307" s="197"/>
    </row>
    <row r="1308" spans="66:69" x14ac:dyDescent="0.2">
      <c r="BN1308" s="192"/>
      <c r="BO1308" s="197"/>
      <c r="BP1308" s="197"/>
      <c r="BQ1308" s="197"/>
    </row>
    <row r="1309" spans="66:69" x14ac:dyDescent="0.2">
      <c r="BN1309" s="192"/>
      <c r="BO1309" s="197"/>
      <c r="BP1309" s="197"/>
      <c r="BQ1309" s="197"/>
    </row>
    <row r="1310" spans="66:69" x14ac:dyDescent="0.2">
      <c r="BN1310" s="192"/>
      <c r="BO1310" s="197"/>
      <c r="BP1310" s="197"/>
      <c r="BQ1310" s="197"/>
    </row>
    <row r="1311" spans="66:69" x14ac:dyDescent="0.2">
      <c r="BN1311" s="192"/>
      <c r="BO1311" s="197"/>
      <c r="BP1311" s="197"/>
      <c r="BQ1311" s="197"/>
    </row>
    <row r="1312" spans="66:69" x14ac:dyDescent="0.2">
      <c r="BN1312" s="192"/>
      <c r="BO1312" s="197"/>
      <c r="BP1312" s="197"/>
      <c r="BQ1312" s="197"/>
    </row>
    <row r="1313" spans="66:69" x14ac:dyDescent="0.2">
      <c r="BN1313" s="192"/>
      <c r="BO1313" s="197"/>
      <c r="BP1313" s="197"/>
      <c r="BQ1313" s="197"/>
    </row>
    <row r="1314" spans="66:69" x14ac:dyDescent="0.2">
      <c r="BN1314" s="192"/>
      <c r="BO1314" s="197"/>
      <c r="BP1314" s="197"/>
      <c r="BQ1314" s="197"/>
    </row>
    <row r="1315" spans="66:69" x14ac:dyDescent="0.2">
      <c r="BN1315" s="192"/>
      <c r="BO1315" s="197"/>
      <c r="BP1315" s="197"/>
      <c r="BQ1315" s="197"/>
    </row>
    <row r="1316" spans="66:69" x14ac:dyDescent="0.2">
      <c r="BN1316" s="192"/>
      <c r="BO1316" s="197"/>
      <c r="BP1316" s="197"/>
      <c r="BQ1316" s="197"/>
    </row>
    <row r="1317" spans="66:69" x14ac:dyDescent="0.2">
      <c r="BN1317" s="192"/>
      <c r="BO1317" s="197"/>
      <c r="BP1317" s="197"/>
      <c r="BQ1317" s="197"/>
    </row>
    <row r="1318" spans="66:69" x14ac:dyDescent="0.2">
      <c r="BN1318" s="192"/>
      <c r="BO1318" s="197"/>
      <c r="BP1318" s="197"/>
      <c r="BQ1318" s="197"/>
    </row>
    <row r="1319" spans="66:69" x14ac:dyDescent="0.2">
      <c r="BN1319" s="192"/>
      <c r="BO1319" s="197"/>
      <c r="BP1319" s="197"/>
      <c r="BQ1319" s="197"/>
    </row>
    <row r="1320" spans="66:69" x14ac:dyDescent="0.2">
      <c r="BN1320" s="192"/>
      <c r="BO1320" s="197"/>
      <c r="BP1320" s="197"/>
      <c r="BQ1320" s="197"/>
    </row>
    <row r="1321" spans="66:69" x14ac:dyDescent="0.2">
      <c r="BN1321" s="192"/>
      <c r="BO1321" s="197"/>
      <c r="BP1321" s="197"/>
      <c r="BQ1321" s="197"/>
    </row>
    <row r="1322" spans="66:69" x14ac:dyDescent="0.2">
      <c r="BN1322" s="192"/>
      <c r="BO1322" s="197"/>
      <c r="BP1322" s="197"/>
      <c r="BQ1322" s="197"/>
    </row>
    <row r="1323" spans="66:69" x14ac:dyDescent="0.2">
      <c r="BN1323" s="192"/>
      <c r="BO1323" s="197"/>
      <c r="BP1323" s="197"/>
      <c r="BQ1323" s="197"/>
    </row>
    <row r="1324" spans="66:69" x14ac:dyDescent="0.2">
      <c r="BN1324" s="192"/>
      <c r="BO1324" s="197"/>
      <c r="BP1324" s="197"/>
      <c r="BQ1324" s="197"/>
    </row>
    <row r="1325" spans="66:69" x14ac:dyDescent="0.2">
      <c r="BN1325" s="192"/>
      <c r="BO1325" s="197"/>
      <c r="BP1325" s="197"/>
      <c r="BQ1325" s="197"/>
    </row>
    <row r="1326" spans="66:69" x14ac:dyDescent="0.2">
      <c r="BN1326" s="192"/>
      <c r="BO1326" s="197"/>
      <c r="BP1326" s="197"/>
      <c r="BQ1326" s="197"/>
    </row>
    <row r="1327" spans="66:69" x14ac:dyDescent="0.2">
      <c r="BN1327" s="192"/>
      <c r="BO1327" s="197"/>
      <c r="BP1327" s="197"/>
      <c r="BQ1327" s="197"/>
    </row>
    <row r="1328" spans="66:69" x14ac:dyDescent="0.2">
      <c r="BN1328" s="192"/>
      <c r="BO1328" s="197"/>
      <c r="BP1328" s="197"/>
      <c r="BQ1328" s="197"/>
    </row>
    <row r="1329" spans="66:69" x14ac:dyDescent="0.2">
      <c r="BN1329" s="192"/>
      <c r="BO1329" s="197"/>
      <c r="BP1329" s="197"/>
      <c r="BQ1329" s="197"/>
    </row>
    <row r="1330" spans="66:69" x14ac:dyDescent="0.2">
      <c r="BN1330" s="192"/>
      <c r="BO1330" s="197"/>
      <c r="BP1330" s="197"/>
      <c r="BQ1330" s="197"/>
    </row>
    <row r="1331" spans="66:69" x14ac:dyDescent="0.2">
      <c r="BN1331" s="192"/>
      <c r="BO1331" s="197"/>
      <c r="BP1331" s="197"/>
      <c r="BQ1331" s="197"/>
    </row>
    <row r="1332" spans="66:69" x14ac:dyDescent="0.2">
      <c r="BN1332" s="192"/>
      <c r="BO1332" s="197"/>
      <c r="BP1332" s="197"/>
      <c r="BQ1332" s="197"/>
    </row>
    <row r="1333" spans="66:69" x14ac:dyDescent="0.2">
      <c r="BN1333" s="192"/>
      <c r="BO1333" s="197"/>
      <c r="BP1333" s="197"/>
      <c r="BQ1333" s="197"/>
    </row>
    <row r="1334" spans="66:69" x14ac:dyDescent="0.2">
      <c r="BN1334" s="192"/>
      <c r="BO1334" s="197"/>
      <c r="BP1334" s="197"/>
      <c r="BQ1334" s="197"/>
    </row>
    <row r="1335" spans="66:69" x14ac:dyDescent="0.2">
      <c r="BN1335" s="192"/>
      <c r="BO1335" s="197"/>
      <c r="BP1335" s="197"/>
      <c r="BQ1335" s="197"/>
    </row>
    <row r="1336" spans="66:69" x14ac:dyDescent="0.2">
      <c r="BN1336" s="192"/>
      <c r="BO1336" s="197"/>
      <c r="BP1336" s="197"/>
      <c r="BQ1336" s="197"/>
    </row>
    <row r="1337" spans="66:69" x14ac:dyDescent="0.2">
      <c r="BN1337" s="192"/>
      <c r="BO1337" s="197"/>
      <c r="BP1337" s="197"/>
      <c r="BQ1337" s="197"/>
    </row>
    <row r="1338" spans="66:69" x14ac:dyDescent="0.2">
      <c r="BN1338" s="192"/>
      <c r="BO1338" s="197"/>
      <c r="BP1338" s="197"/>
      <c r="BQ1338" s="197"/>
    </row>
    <row r="1339" spans="66:69" x14ac:dyDescent="0.2">
      <c r="BN1339" s="192"/>
      <c r="BO1339" s="197"/>
      <c r="BP1339" s="197"/>
      <c r="BQ1339" s="197"/>
    </row>
    <row r="1340" spans="66:69" x14ac:dyDescent="0.2">
      <c r="BN1340" s="192"/>
      <c r="BO1340" s="197"/>
      <c r="BP1340" s="197"/>
      <c r="BQ1340" s="197"/>
    </row>
    <row r="1341" spans="66:69" x14ac:dyDescent="0.2">
      <c r="BN1341" s="192"/>
      <c r="BO1341" s="197"/>
      <c r="BP1341" s="197"/>
      <c r="BQ1341" s="197"/>
    </row>
    <row r="1342" spans="66:69" x14ac:dyDescent="0.2">
      <c r="BN1342" s="192"/>
      <c r="BO1342" s="197"/>
      <c r="BP1342" s="197"/>
      <c r="BQ1342" s="197"/>
    </row>
    <row r="1343" spans="66:69" x14ac:dyDescent="0.2">
      <c r="BN1343" s="192"/>
      <c r="BO1343" s="197"/>
      <c r="BP1343" s="197"/>
      <c r="BQ1343" s="197"/>
    </row>
    <row r="1344" spans="66:69" x14ac:dyDescent="0.2">
      <c r="BN1344" s="192"/>
      <c r="BO1344" s="197"/>
      <c r="BP1344" s="197"/>
      <c r="BQ1344" s="197"/>
    </row>
    <row r="1345" spans="66:69" x14ac:dyDescent="0.2">
      <c r="BN1345" s="192"/>
      <c r="BO1345" s="197"/>
      <c r="BP1345" s="197"/>
      <c r="BQ1345" s="197"/>
    </row>
    <row r="1346" spans="66:69" x14ac:dyDescent="0.2">
      <c r="BN1346" s="192"/>
      <c r="BO1346" s="197"/>
      <c r="BP1346" s="197"/>
      <c r="BQ1346" s="197"/>
    </row>
    <row r="1347" spans="66:69" x14ac:dyDescent="0.2">
      <c r="BN1347" s="192"/>
      <c r="BO1347" s="197"/>
      <c r="BP1347" s="197"/>
      <c r="BQ1347" s="197"/>
    </row>
    <row r="1348" spans="66:69" x14ac:dyDescent="0.2">
      <c r="BN1348" s="192"/>
      <c r="BO1348" s="197"/>
      <c r="BP1348" s="197"/>
      <c r="BQ1348" s="197"/>
    </row>
    <row r="1349" spans="66:69" x14ac:dyDescent="0.2">
      <c r="BN1349" s="192"/>
      <c r="BO1349" s="197"/>
      <c r="BP1349" s="197"/>
      <c r="BQ1349" s="197"/>
    </row>
    <row r="1350" spans="66:69" x14ac:dyDescent="0.2">
      <c r="BN1350" s="192"/>
      <c r="BO1350" s="197"/>
      <c r="BP1350" s="197"/>
      <c r="BQ1350" s="197"/>
    </row>
    <row r="1351" spans="66:69" x14ac:dyDescent="0.2">
      <c r="BN1351" s="192"/>
      <c r="BO1351" s="197"/>
      <c r="BP1351" s="197"/>
      <c r="BQ1351" s="197"/>
    </row>
    <row r="1352" spans="66:69" x14ac:dyDescent="0.2">
      <c r="BN1352" s="192"/>
      <c r="BO1352" s="197"/>
      <c r="BP1352" s="197"/>
      <c r="BQ1352" s="197"/>
    </row>
    <row r="1353" spans="66:69" x14ac:dyDescent="0.2">
      <c r="BN1353" s="192"/>
      <c r="BO1353" s="197"/>
      <c r="BP1353" s="197"/>
      <c r="BQ1353" s="197"/>
    </row>
    <row r="1354" spans="66:69" x14ac:dyDescent="0.2">
      <c r="BN1354" s="192"/>
      <c r="BO1354" s="197"/>
      <c r="BP1354" s="197"/>
      <c r="BQ1354" s="197"/>
    </row>
    <row r="1355" spans="66:69" x14ac:dyDescent="0.2">
      <c r="BN1355" s="192"/>
      <c r="BO1355" s="197"/>
      <c r="BP1355" s="197"/>
      <c r="BQ1355" s="197"/>
    </row>
    <row r="1356" spans="66:69" x14ac:dyDescent="0.2">
      <c r="BN1356" s="192"/>
      <c r="BO1356" s="197"/>
      <c r="BP1356" s="197"/>
      <c r="BQ1356" s="197"/>
    </row>
    <row r="1357" spans="66:69" x14ac:dyDescent="0.2">
      <c r="BN1357" s="192"/>
      <c r="BO1357" s="197"/>
      <c r="BP1357" s="197"/>
      <c r="BQ1357" s="197"/>
    </row>
    <row r="1358" spans="66:69" x14ac:dyDescent="0.2">
      <c r="BN1358" s="192"/>
      <c r="BO1358" s="197"/>
      <c r="BP1358" s="197"/>
      <c r="BQ1358" s="197"/>
    </row>
    <row r="1359" spans="66:69" x14ac:dyDescent="0.2">
      <c r="BN1359" s="192"/>
      <c r="BO1359" s="197"/>
      <c r="BP1359" s="197"/>
      <c r="BQ1359" s="197"/>
    </row>
    <row r="1360" spans="66:69" x14ac:dyDescent="0.2">
      <c r="BN1360" s="192"/>
      <c r="BO1360" s="197"/>
      <c r="BP1360" s="197"/>
      <c r="BQ1360" s="197"/>
    </row>
    <row r="1361" spans="66:69" x14ac:dyDescent="0.2">
      <c r="BN1361" s="192"/>
      <c r="BO1361" s="197"/>
      <c r="BP1361" s="197"/>
      <c r="BQ1361" s="197"/>
    </row>
    <row r="1362" spans="66:69" x14ac:dyDescent="0.2">
      <c r="BN1362" s="192"/>
      <c r="BO1362" s="197"/>
      <c r="BP1362" s="197"/>
      <c r="BQ1362" s="197"/>
    </row>
    <row r="1363" spans="66:69" x14ac:dyDescent="0.2">
      <c r="BN1363" s="192"/>
      <c r="BO1363" s="197"/>
      <c r="BP1363" s="197"/>
      <c r="BQ1363" s="197"/>
    </row>
    <row r="1364" spans="66:69" x14ac:dyDescent="0.2">
      <c r="BN1364" s="192"/>
      <c r="BO1364" s="197"/>
      <c r="BP1364" s="197"/>
      <c r="BQ1364" s="197"/>
    </row>
    <row r="1365" spans="66:69" x14ac:dyDescent="0.2">
      <c r="BN1365" s="192"/>
      <c r="BO1365" s="197"/>
      <c r="BP1365" s="197"/>
      <c r="BQ1365" s="197"/>
    </row>
    <row r="1366" spans="66:69" x14ac:dyDescent="0.2">
      <c r="BN1366" s="192"/>
      <c r="BO1366" s="197"/>
      <c r="BP1366" s="197"/>
      <c r="BQ1366" s="197"/>
    </row>
    <row r="1367" spans="66:69" x14ac:dyDescent="0.2">
      <c r="BN1367" s="192"/>
      <c r="BO1367" s="197"/>
      <c r="BP1367" s="197"/>
      <c r="BQ1367" s="197"/>
    </row>
    <row r="1368" spans="66:69" x14ac:dyDescent="0.2">
      <c r="BN1368" s="192"/>
      <c r="BO1368" s="197"/>
      <c r="BP1368" s="197"/>
      <c r="BQ1368" s="197"/>
    </row>
    <row r="1369" spans="66:69" x14ac:dyDescent="0.2">
      <c r="BN1369" s="192"/>
      <c r="BO1369" s="197"/>
      <c r="BP1369" s="197"/>
      <c r="BQ1369" s="197"/>
    </row>
    <row r="1370" spans="66:69" x14ac:dyDescent="0.2">
      <c r="BN1370" s="192"/>
      <c r="BO1370" s="197"/>
      <c r="BP1370" s="197"/>
      <c r="BQ1370" s="197"/>
    </row>
    <row r="1371" spans="66:69" x14ac:dyDescent="0.2">
      <c r="BN1371" s="192"/>
      <c r="BO1371" s="197"/>
      <c r="BP1371" s="197"/>
      <c r="BQ1371" s="197"/>
    </row>
    <row r="1372" spans="66:69" x14ac:dyDescent="0.2">
      <c r="BN1372" s="192"/>
      <c r="BO1372" s="197"/>
      <c r="BP1372" s="197"/>
      <c r="BQ1372" s="197"/>
    </row>
    <row r="1373" spans="66:69" x14ac:dyDescent="0.2">
      <c r="BN1373" s="192"/>
      <c r="BO1373" s="197"/>
      <c r="BP1373" s="197"/>
      <c r="BQ1373" s="197"/>
    </row>
    <row r="1374" spans="66:69" x14ac:dyDescent="0.2">
      <c r="BN1374" s="192"/>
      <c r="BO1374" s="197"/>
      <c r="BP1374" s="197"/>
      <c r="BQ1374" s="197"/>
    </row>
    <row r="1375" spans="66:69" x14ac:dyDescent="0.2">
      <c r="BN1375" s="192"/>
      <c r="BO1375" s="197"/>
      <c r="BP1375" s="197"/>
      <c r="BQ1375" s="197"/>
    </row>
    <row r="1376" spans="66:69" x14ac:dyDescent="0.2">
      <c r="BN1376" s="192"/>
      <c r="BO1376" s="197"/>
      <c r="BP1376" s="197"/>
      <c r="BQ1376" s="197"/>
    </row>
    <row r="1377" spans="66:69" x14ac:dyDescent="0.2">
      <c r="BN1377" s="192"/>
      <c r="BO1377" s="197"/>
      <c r="BP1377" s="197"/>
      <c r="BQ1377" s="197"/>
    </row>
    <row r="1378" spans="66:69" x14ac:dyDescent="0.2">
      <c r="BN1378" s="192"/>
      <c r="BO1378" s="197"/>
      <c r="BP1378" s="197"/>
      <c r="BQ1378" s="197"/>
    </row>
    <row r="1379" spans="66:69" x14ac:dyDescent="0.2">
      <c r="BN1379" s="192"/>
      <c r="BO1379" s="197"/>
      <c r="BP1379" s="197"/>
      <c r="BQ1379" s="197"/>
    </row>
    <row r="1380" spans="66:69" x14ac:dyDescent="0.2">
      <c r="BN1380" s="192"/>
      <c r="BO1380" s="197"/>
      <c r="BP1380" s="197"/>
      <c r="BQ1380" s="197"/>
    </row>
    <row r="1381" spans="66:69" x14ac:dyDescent="0.2">
      <c r="BN1381" s="192"/>
      <c r="BO1381" s="197"/>
      <c r="BP1381" s="197"/>
      <c r="BQ1381" s="197"/>
    </row>
    <row r="1382" spans="66:69" x14ac:dyDescent="0.2">
      <c r="BN1382" s="192"/>
      <c r="BO1382" s="197"/>
      <c r="BP1382" s="197"/>
      <c r="BQ1382" s="197"/>
    </row>
    <row r="1383" spans="66:69" x14ac:dyDescent="0.2">
      <c r="BN1383" s="192"/>
      <c r="BO1383" s="197"/>
      <c r="BP1383" s="197"/>
      <c r="BQ1383" s="197"/>
    </row>
    <row r="1384" spans="66:69" x14ac:dyDescent="0.2">
      <c r="BN1384" s="192"/>
      <c r="BO1384" s="197"/>
      <c r="BP1384" s="197"/>
      <c r="BQ1384" s="197"/>
    </row>
    <row r="1385" spans="66:69" x14ac:dyDescent="0.2">
      <c r="BN1385" s="192"/>
      <c r="BO1385" s="197"/>
      <c r="BP1385" s="197"/>
      <c r="BQ1385" s="197"/>
    </row>
    <row r="1386" spans="66:69" x14ac:dyDescent="0.2">
      <c r="BN1386" s="192"/>
      <c r="BO1386" s="197"/>
      <c r="BP1386" s="197"/>
      <c r="BQ1386" s="197"/>
    </row>
    <row r="1387" spans="66:69" x14ac:dyDescent="0.2">
      <c r="BN1387" s="192"/>
      <c r="BO1387" s="197"/>
      <c r="BP1387" s="197"/>
      <c r="BQ1387" s="197"/>
    </row>
    <row r="1388" spans="66:69" x14ac:dyDescent="0.2">
      <c r="BN1388" s="192"/>
      <c r="BO1388" s="197"/>
      <c r="BP1388" s="197"/>
      <c r="BQ1388" s="197"/>
    </row>
    <row r="1389" spans="66:69" x14ac:dyDescent="0.2">
      <c r="BN1389" s="192"/>
      <c r="BO1389" s="197"/>
      <c r="BP1389" s="197"/>
      <c r="BQ1389" s="197"/>
    </row>
    <row r="1390" spans="66:69" x14ac:dyDescent="0.2">
      <c r="BN1390" s="192"/>
      <c r="BO1390" s="197"/>
      <c r="BP1390" s="197"/>
      <c r="BQ1390" s="197"/>
    </row>
    <row r="1391" spans="66:69" x14ac:dyDescent="0.2">
      <c r="BN1391" s="192"/>
      <c r="BO1391" s="197"/>
      <c r="BP1391" s="197"/>
      <c r="BQ1391" s="197"/>
    </row>
    <row r="1392" spans="66:69" x14ac:dyDescent="0.2">
      <c r="BN1392" s="192"/>
      <c r="BO1392" s="197"/>
      <c r="BP1392" s="197"/>
      <c r="BQ1392" s="197"/>
    </row>
    <row r="1393" spans="66:69" x14ac:dyDescent="0.2">
      <c r="BN1393" s="192"/>
      <c r="BO1393" s="197"/>
      <c r="BP1393" s="197"/>
      <c r="BQ1393" s="197"/>
    </row>
    <row r="1394" spans="66:69" x14ac:dyDescent="0.2">
      <c r="BN1394" s="192"/>
      <c r="BO1394" s="197"/>
      <c r="BP1394" s="197"/>
      <c r="BQ1394" s="197"/>
    </row>
    <row r="1395" spans="66:69" x14ac:dyDescent="0.2">
      <c r="BN1395" s="192"/>
      <c r="BO1395" s="197"/>
      <c r="BP1395" s="197"/>
      <c r="BQ1395" s="197"/>
    </row>
    <row r="1396" spans="66:69" x14ac:dyDescent="0.2">
      <c r="BN1396" s="192"/>
      <c r="BO1396" s="197"/>
      <c r="BP1396" s="197"/>
      <c r="BQ1396" s="197"/>
    </row>
    <row r="1397" spans="66:69" x14ac:dyDescent="0.2">
      <c r="BN1397" s="192"/>
      <c r="BO1397" s="197"/>
      <c r="BP1397" s="197"/>
      <c r="BQ1397" s="197"/>
    </row>
    <row r="1398" spans="66:69" x14ac:dyDescent="0.2">
      <c r="BN1398" s="192"/>
      <c r="BO1398" s="197"/>
      <c r="BP1398" s="197"/>
      <c r="BQ1398" s="197"/>
    </row>
    <row r="1399" spans="66:69" x14ac:dyDescent="0.2">
      <c r="BN1399" s="192"/>
      <c r="BO1399" s="197"/>
      <c r="BP1399" s="197"/>
      <c r="BQ1399" s="197"/>
    </row>
    <row r="1400" spans="66:69" x14ac:dyDescent="0.2">
      <c r="BN1400" s="192"/>
      <c r="BO1400" s="197"/>
      <c r="BP1400" s="197"/>
      <c r="BQ1400" s="197"/>
    </row>
    <row r="1401" spans="66:69" x14ac:dyDescent="0.2">
      <c r="BN1401" s="192"/>
      <c r="BO1401" s="197"/>
      <c r="BP1401" s="197"/>
      <c r="BQ1401" s="197"/>
    </row>
    <row r="1402" spans="66:69" x14ac:dyDescent="0.2">
      <c r="BN1402" s="192"/>
      <c r="BO1402" s="197"/>
      <c r="BP1402" s="197"/>
      <c r="BQ1402" s="197"/>
    </row>
    <row r="1403" spans="66:69" x14ac:dyDescent="0.2">
      <c r="BN1403" s="192"/>
      <c r="BO1403" s="197"/>
      <c r="BP1403" s="197"/>
      <c r="BQ1403" s="197"/>
    </row>
    <row r="1404" spans="66:69" x14ac:dyDescent="0.2">
      <c r="BN1404" s="192"/>
      <c r="BO1404" s="197"/>
      <c r="BP1404" s="197"/>
      <c r="BQ1404" s="197"/>
    </row>
    <row r="1405" spans="66:69" x14ac:dyDescent="0.2">
      <c r="BN1405" s="192"/>
      <c r="BO1405" s="197"/>
      <c r="BP1405" s="197"/>
      <c r="BQ1405" s="197"/>
    </row>
    <row r="1406" spans="66:69" x14ac:dyDescent="0.2">
      <c r="BN1406" s="192"/>
      <c r="BO1406" s="197"/>
      <c r="BP1406" s="197"/>
      <c r="BQ1406" s="197"/>
    </row>
    <row r="1407" spans="66:69" x14ac:dyDescent="0.2">
      <c r="BN1407" s="192"/>
      <c r="BO1407" s="197"/>
      <c r="BP1407" s="197"/>
      <c r="BQ1407" s="197"/>
    </row>
    <row r="1408" spans="66:69" x14ac:dyDescent="0.2">
      <c r="BN1408" s="192"/>
      <c r="BO1408" s="197"/>
      <c r="BP1408" s="197"/>
      <c r="BQ1408" s="197"/>
    </row>
    <row r="1409" spans="66:69" x14ac:dyDescent="0.2">
      <c r="BN1409" s="192"/>
      <c r="BO1409" s="197"/>
      <c r="BP1409" s="197"/>
      <c r="BQ1409" s="197"/>
    </row>
    <row r="1410" spans="66:69" x14ac:dyDescent="0.2">
      <c r="BN1410" s="192"/>
      <c r="BO1410" s="197"/>
      <c r="BP1410" s="197"/>
      <c r="BQ1410" s="197"/>
    </row>
    <row r="1411" spans="66:69" x14ac:dyDescent="0.2">
      <c r="BN1411" s="192"/>
      <c r="BO1411" s="197"/>
      <c r="BP1411" s="197"/>
      <c r="BQ1411" s="197"/>
    </row>
    <row r="1412" spans="66:69" x14ac:dyDescent="0.2">
      <c r="BN1412" s="192"/>
      <c r="BO1412" s="197"/>
      <c r="BP1412" s="197"/>
      <c r="BQ1412" s="197"/>
    </row>
    <row r="1413" spans="66:69" x14ac:dyDescent="0.2">
      <c r="BN1413" s="192"/>
      <c r="BO1413" s="197"/>
      <c r="BP1413" s="197"/>
      <c r="BQ1413" s="197"/>
    </row>
    <row r="1414" spans="66:69" x14ac:dyDescent="0.2">
      <c r="BN1414" s="192"/>
      <c r="BO1414" s="197"/>
      <c r="BP1414" s="197"/>
      <c r="BQ1414" s="197"/>
    </row>
    <row r="1415" spans="66:69" x14ac:dyDescent="0.2">
      <c r="BN1415" s="192"/>
      <c r="BO1415" s="197"/>
      <c r="BP1415" s="197"/>
      <c r="BQ1415" s="197"/>
    </row>
    <row r="1416" spans="66:69" x14ac:dyDescent="0.2">
      <c r="BN1416" s="192"/>
      <c r="BO1416" s="197"/>
      <c r="BP1416" s="197"/>
      <c r="BQ1416" s="197"/>
    </row>
    <row r="1417" spans="66:69" x14ac:dyDescent="0.2">
      <c r="BN1417" s="192"/>
      <c r="BO1417" s="197"/>
      <c r="BP1417" s="197"/>
      <c r="BQ1417" s="197"/>
    </row>
    <row r="1418" spans="66:69" x14ac:dyDescent="0.2">
      <c r="BN1418" s="192"/>
      <c r="BO1418" s="197"/>
      <c r="BP1418" s="197"/>
      <c r="BQ1418" s="197"/>
    </row>
    <row r="1419" spans="66:69" x14ac:dyDescent="0.2">
      <c r="BN1419" s="192"/>
      <c r="BO1419" s="197"/>
      <c r="BP1419" s="197"/>
      <c r="BQ1419" s="197"/>
    </row>
    <row r="1420" spans="66:69" x14ac:dyDescent="0.2">
      <c r="BN1420" s="192"/>
      <c r="BO1420" s="197"/>
      <c r="BP1420" s="197"/>
      <c r="BQ1420" s="197"/>
    </row>
    <row r="1421" spans="66:69" x14ac:dyDescent="0.2">
      <c r="BN1421" s="192"/>
      <c r="BO1421" s="197"/>
      <c r="BP1421" s="197"/>
      <c r="BQ1421" s="197"/>
    </row>
    <row r="1422" spans="66:69" x14ac:dyDescent="0.2">
      <c r="BN1422" s="192"/>
      <c r="BO1422" s="197"/>
      <c r="BP1422" s="197"/>
      <c r="BQ1422" s="197"/>
    </row>
    <row r="1423" spans="66:69" x14ac:dyDescent="0.2">
      <c r="BN1423" s="192"/>
      <c r="BO1423" s="197"/>
      <c r="BP1423" s="197"/>
      <c r="BQ1423" s="197"/>
    </row>
    <row r="1424" spans="66:69" x14ac:dyDescent="0.2">
      <c r="BN1424" s="192"/>
      <c r="BO1424" s="197"/>
      <c r="BP1424" s="197"/>
      <c r="BQ1424" s="197"/>
    </row>
    <row r="1425" spans="66:69" x14ac:dyDescent="0.2">
      <c r="BN1425" s="192"/>
      <c r="BO1425" s="197"/>
      <c r="BP1425" s="197"/>
      <c r="BQ1425" s="197"/>
    </row>
    <row r="1426" spans="66:69" x14ac:dyDescent="0.2">
      <c r="BN1426" s="192"/>
      <c r="BO1426" s="197"/>
      <c r="BP1426" s="197"/>
      <c r="BQ1426" s="197"/>
    </row>
    <row r="1427" spans="66:69" x14ac:dyDescent="0.2">
      <c r="BN1427" s="192"/>
      <c r="BO1427" s="197"/>
      <c r="BP1427" s="197"/>
      <c r="BQ1427" s="197"/>
    </row>
    <row r="1428" spans="66:69" x14ac:dyDescent="0.2">
      <c r="BN1428" s="192"/>
      <c r="BO1428" s="197"/>
      <c r="BP1428" s="197"/>
      <c r="BQ1428" s="197"/>
    </row>
    <row r="1429" spans="66:69" x14ac:dyDescent="0.2">
      <c r="BN1429" s="192"/>
      <c r="BO1429" s="197"/>
      <c r="BP1429" s="197"/>
      <c r="BQ1429" s="197"/>
    </row>
    <row r="1430" spans="66:69" x14ac:dyDescent="0.2">
      <c r="BN1430" s="192"/>
      <c r="BO1430" s="197"/>
      <c r="BP1430" s="197"/>
      <c r="BQ1430" s="197"/>
    </row>
    <row r="1431" spans="66:69" x14ac:dyDescent="0.2">
      <c r="BN1431" s="192"/>
      <c r="BO1431" s="197"/>
      <c r="BP1431" s="197"/>
      <c r="BQ1431" s="197"/>
    </row>
    <row r="1432" spans="66:69" x14ac:dyDescent="0.2">
      <c r="BN1432" s="192"/>
      <c r="BO1432" s="197"/>
      <c r="BP1432" s="197"/>
      <c r="BQ1432" s="197"/>
    </row>
    <row r="1433" spans="66:69" x14ac:dyDescent="0.2">
      <c r="BN1433" s="192"/>
      <c r="BO1433" s="197"/>
      <c r="BP1433" s="197"/>
      <c r="BQ1433" s="197"/>
    </row>
    <row r="1434" spans="66:69" x14ac:dyDescent="0.2">
      <c r="BN1434" s="192"/>
      <c r="BO1434" s="197"/>
      <c r="BP1434" s="197"/>
      <c r="BQ1434" s="197"/>
    </row>
    <row r="1435" spans="66:69" x14ac:dyDescent="0.2">
      <c r="BN1435" s="192"/>
      <c r="BO1435" s="197"/>
      <c r="BP1435" s="197"/>
      <c r="BQ1435" s="197"/>
    </row>
    <row r="1436" spans="66:69" x14ac:dyDescent="0.2">
      <c r="BN1436" s="192"/>
      <c r="BO1436" s="197"/>
      <c r="BP1436" s="197"/>
      <c r="BQ1436" s="197"/>
    </row>
    <row r="1437" spans="66:69" x14ac:dyDescent="0.2">
      <c r="BN1437" s="192"/>
      <c r="BO1437" s="197"/>
      <c r="BP1437" s="197"/>
      <c r="BQ1437" s="197"/>
    </row>
    <row r="1438" spans="66:69" x14ac:dyDescent="0.2">
      <c r="BN1438" s="192"/>
      <c r="BO1438" s="197"/>
      <c r="BP1438" s="197"/>
      <c r="BQ1438" s="197"/>
    </row>
    <row r="1439" spans="66:69" x14ac:dyDescent="0.2">
      <c r="BN1439" s="192"/>
      <c r="BO1439" s="197"/>
      <c r="BP1439" s="197"/>
      <c r="BQ1439" s="197"/>
    </row>
    <row r="1440" spans="66:69" x14ac:dyDescent="0.2">
      <c r="BN1440" s="192"/>
      <c r="BO1440" s="197"/>
      <c r="BP1440" s="197"/>
      <c r="BQ1440" s="197"/>
    </row>
    <row r="1441" spans="66:69" x14ac:dyDescent="0.2">
      <c r="BN1441" s="192"/>
      <c r="BO1441" s="197"/>
      <c r="BP1441" s="197"/>
      <c r="BQ1441" s="197"/>
    </row>
    <row r="1442" spans="66:69" x14ac:dyDescent="0.2">
      <c r="BN1442" s="192"/>
      <c r="BO1442" s="197"/>
      <c r="BP1442" s="197"/>
      <c r="BQ1442" s="197"/>
    </row>
    <row r="1443" spans="66:69" x14ac:dyDescent="0.2">
      <c r="BN1443" s="192"/>
      <c r="BO1443" s="197"/>
      <c r="BP1443" s="197"/>
      <c r="BQ1443" s="197"/>
    </row>
    <row r="1444" spans="66:69" x14ac:dyDescent="0.2">
      <c r="BN1444" s="192"/>
      <c r="BO1444" s="197"/>
      <c r="BP1444" s="197"/>
      <c r="BQ1444" s="197"/>
    </row>
    <row r="1445" spans="66:69" x14ac:dyDescent="0.2">
      <c r="BN1445" s="192"/>
      <c r="BO1445" s="197"/>
      <c r="BP1445" s="197"/>
      <c r="BQ1445" s="197"/>
    </row>
    <row r="1446" spans="66:69" x14ac:dyDescent="0.2">
      <c r="BN1446" s="192"/>
      <c r="BO1446" s="197"/>
      <c r="BP1446" s="197"/>
      <c r="BQ1446" s="197"/>
    </row>
    <row r="1447" spans="66:69" x14ac:dyDescent="0.2">
      <c r="BN1447" s="192"/>
      <c r="BO1447" s="197"/>
      <c r="BP1447" s="197"/>
      <c r="BQ1447" s="197"/>
    </row>
    <row r="1448" spans="66:69" x14ac:dyDescent="0.2">
      <c r="BN1448" s="192"/>
      <c r="BO1448" s="197"/>
      <c r="BP1448" s="197"/>
      <c r="BQ1448" s="197"/>
    </row>
    <row r="1449" spans="66:69" x14ac:dyDescent="0.2">
      <c r="BN1449" s="192"/>
      <c r="BO1449" s="197"/>
      <c r="BP1449" s="197"/>
      <c r="BQ1449" s="197"/>
    </row>
    <row r="1450" spans="66:69" x14ac:dyDescent="0.2">
      <c r="BN1450" s="192"/>
      <c r="BO1450" s="197"/>
      <c r="BP1450" s="197"/>
      <c r="BQ1450" s="197"/>
    </row>
    <row r="1451" spans="66:69" x14ac:dyDescent="0.2">
      <c r="BN1451" s="192"/>
      <c r="BO1451" s="197"/>
      <c r="BP1451" s="197"/>
      <c r="BQ1451" s="197"/>
    </row>
    <row r="1452" spans="66:69" x14ac:dyDescent="0.2">
      <c r="BN1452" s="192"/>
      <c r="BO1452" s="197"/>
      <c r="BP1452" s="197"/>
      <c r="BQ1452" s="197"/>
    </row>
    <row r="1453" spans="66:69" x14ac:dyDescent="0.2">
      <c r="BN1453" s="192"/>
      <c r="BO1453" s="197"/>
      <c r="BP1453" s="197"/>
      <c r="BQ1453" s="197"/>
    </row>
    <row r="1454" spans="66:69" x14ac:dyDescent="0.2">
      <c r="BN1454" s="192"/>
      <c r="BO1454" s="197"/>
      <c r="BP1454" s="197"/>
      <c r="BQ1454" s="197"/>
    </row>
    <row r="1455" spans="66:69" x14ac:dyDescent="0.2">
      <c r="BN1455" s="192"/>
      <c r="BO1455" s="197"/>
      <c r="BP1455" s="197"/>
      <c r="BQ1455" s="197"/>
    </row>
    <row r="1456" spans="66:69" x14ac:dyDescent="0.2">
      <c r="BN1456" s="192"/>
      <c r="BO1456" s="197"/>
      <c r="BP1456" s="197"/>
      <c r="BQ1456" s="197"/>
    </row>
    <row r="1457" spans="66:69" x14ac:dyDescent="0.2">
      <c r="BN1457" s="192"/>
      <c r="BO1457" s="197"/>
      <c r="BP1457" s="197"/>
      <c r="BQ1457" s="197"/>
    </row>
    <row r="1458" spans="66:69" x14ac:dyDescent="0.2">
      <c r="BN1458" s="192"/>
      <c r="BO1458" s="197"/>
      <c r="BP1458" s="197"/>
      <c r="BQ1458" s="197"/>
    </row>
    <row r="1459" spans="66:69" x14ac:dyDescent="0.2">
      <c r="BN1459" s="192"/>
      <c r="BO1459" s="197"/>
      <c r="BP1459" s="197"/>
      <c r="BQ1459" s="197"/>
    </row>
    <row r="1460" spans="66:69" x14ac:dyDescent="0.2">
      <c r="BN1460" s="192"/>
      <c r="BO1460" s="197"/>
      <c r="BP1460" s="197"/>
      <c r="BQ1460" s="197"/>
    </row>
    <row r="1461" spans="66:69" x14ac:dyDescent="0.2">
      <c r="BN1461" s="192"/>
      <c r="BO1461" s="197"/>
      <c r="BP1461" s="197"/>
      <c r="BQ1461" s="197"/>
    </row>
    <row r="1462" spans="66:69" x14ac:dyDescent="0.2">
      <c r="BN1462" s="192"/>
      <c r="BO1462" s="197"/>
      <c r="BP1462" s="197"/>
      <c r="BQ1462" s="197"/>
    </row>
    <row r="1463" spans="66:69" x14ac:dyDescent="0.2">
      <c r="BN1463" s="192"/>
      <c r="BO1463" s="197"/>
      <c r="BP1463" s="197"/>
      <c r="BQ1463" s="197"/>
    </row>
    <row r="1464" spans="66:69" x14ac:dyDescent="0.2">
      <c r="BN1464" s="192"/>
      <c r="BO1464" s="197"/>
      <c r="BP1464" s="197"/>
      <c r="BQ1464" s="197"/>
    </row>
    <row r="1465" spans="66:69" x14ac:dyDescent="0.2">
      <c r="BN1465" s="192"/>
      <c r="BO1465" s="197"/>
      <c r="BP1465" s="197"/>
      <c r="BQ1465" s="197"/>
    </row>
    <row r="1466" spans="66:69" x14ac:dyDescent="0.2">
      <c r="BN1466" s="192"/>
      <c r="BO1466" s="197"/>
      <c r="BP1466" s="197"/>
      <c r="BQ1466" s="197"/>
    </row>
    <row r="1467" spans="66:69" x14ac:dyDescent="0.2">
      <c r="BN1467" s="192"/>
      <c r="BO1467" s="197"/>
      <c r="BP1467" s="197"/>
      <c r="BQ1467" s="197"/>
    </row>
    <row r="1468" spans="66:69" x14ac:dyDescent="0.2">
      <c r="BN1468" s="192"/>
      <c r="BO1468" s="197"/>
      <c r="BP1468" s="197"/>
      <c r="BQ1468" s="197"/>
    </row>
    <row r="1469" spans="66:69" x14ac:dyDescent="0.2">
      <c r="BN1469" s="192"/>
      <c r="BO1469" s="197"/>
      <c r="BP1469" s="197"/>
      <c r="BQ1469" s="197"/>
    </row>
    <row r="1470" spans="66:69" x14ac:dyDescent="0.2">
      <c r="BN1470" s="192"/>
      <c r="BO1470" s="197"/>
      <c r="BP1470" s="197"/>
      <c r="BQ1470" s="197"/>
    </row>
    <row r="1471" spans="66:69" x14ac:dyDescent="0.2">
      <c r="BN1471" s="192"/>
      <c r="BO1471" s="197"/>
      <c r="BP1471" s="197"/>
      <c r="BQ1471" s="197"/>
    </row>
    <row r="1472" spans="66:69" x14ac:dyDescent="0.2">
      <c r="BN1472" s="192"/>
      <c r="BO1472" s="197"/>
      <c r="BP1472" s="197"/>
      <c r="BQ1472" s="197"/>
    </row>
    <row r="1473" spans="66:69" x14ac:dyDescent="0.2">
      <c r="BN1473" s="192"/>
      <c r="BO1473" s="197"/>
      <c r="BP1473" s="197"/>
      <c r="BQ1473" s="197"/>
    </row>
    <row r="1474" spans="66:69" x14ac:dyDescent="0.2">
      <c r="BN1474" s="192"/>
      <c r="BO1474" s="197"/>
      <c r="BP1474" s="197"/>
      <c r="BQ1474" s="197"/>
    </row>
    <row r="1475" spans="66:69" x14ac:dyDescent="0.2">
      <c r="BN1475" s="192"/>
      <c r="BO1475" s="197"/>
      <c r="BP1475" s="197"/>
      <c r="BQ1475" s="197"/>
    </row>
    <row r="1476" spans="66:69" x14ac:dyDescent="0.2">
      <c r="BN1476" s="192"/>
      <c r="BO1476" s="197"/>
      <c r="BP1476" s="197"/>
      <c r="BQ1476" s="197"/>
    </row>
    <row r="1477" spans="66:69" x14ac:dyDescent="0.2">
      <c r="BN1477" s="192"/>
      <c r="BO1477" s="197"/>
      <c r="BP1477" s="197"/>
      <c r="BQ1477" s="197"/>
    </row>
    <row r="1478" spans="66:69" x14ac:dyDescent="0.2">
      <c r="BN1478" s="192"/>
      <c r="BO1478" s="197"/>
      <c r="BP1478" s="197"/>
      <c r="BQ1478" s="197"/>
    </row>
    <row r="1479" spans="66:69" x14ac:dyDescent="0.2">
      <c r="BN1479" s="192"/>
      <c r="BO1479" s="197"/>
      <c r="BP1479" s="197"/>
      <c r="BQ1479" s="197"/>
    </row>
    <row r="1480" spans="66:69" x14ac:dyDescent="0.2">
      <c r="BN1480" s="192"/>
      <c r="BO1480" s="197"/>
      <c r="BP1480" s="197"/>
      <c r="BQ1480" s="197"/>
    </row>
    <row r="1481" spans="66:69" x14ac:dyDescent="0.2">
      <c r="BN1481" s="192"/>
      <c r="BO1481" s="197"/>
      <c r="BP1481" s="197"/>
      <c r="BQ1481" s="197"/>
    </row>
    <row r="1482" spans="66:69" x14ac:dyDescent="0.2">
      <c r="BN1482" s="192"/>
      <c r="BO1482" s="197"/>
      <c r="BP1482" s="197"/>
      <c r="BQ1482" s="197"/>
    </row>
    <row r="1483" spans="66:69" x14ac:dyDescent="0.2">
      <c r="BN1483" s="192"/>
      <c r="BO1483" s="197"/>
      <c r="BP1483" s="197"/>
      <c r="BQ1483" s="197"/>
    </row>
    <row r="1484" spans="66:69" x14ac:dyDescent="0.2">
      <c r="BN1484" s="192"/>
      <c r="BO1484" s="197"/>
      <c r="BP1484" s="197"/>
      <c r="BQ1484" s="197"/>
    </row>
    <row r="1485" spans="66:69" x14ac:dyDescent="0.2">
      <c r="BN1485" s="192"/>
      <c r="BO1485" s="197"/>
      <c r="BP1485" s="197"/>
      <c r="BQ1485" s="197"/>
    </row>
    <row r="1486" spans="66:69" x14ac:dyDescent="0.2">
      <c r="BN1486" s="192"/>
      <c r="BO1486" s="197"/>
      <c r="BP1486" s="197"/>
      <c r="BQ1486" s="197"/>
    </row>
    <row r="1487" spans="66:69" x14ac:dyDescent="0.2">
      <c r="BN1487" s="192"/>
      <c r="BO1487" s="197"/>
      <c r="BP1487" s="197"/>
      <c r="BQ1487" s="197"/>
    </row>
    <row r="1488" spans="66:69" x14ac:dyDescent="0.2">
      <c r="BN1488" s="192"/>
      <c r="BO1488" s="197"/>
      <c r="BP1488" s="197"/>
      <c r="BQ1488" s="197"/>
    </row>
    <row r="1489" spans="66:69" x14ac:dyDescent="0.2">
      <c r="BN1489" s="192"/>
      <c r="BO1489" s="197"/>
      <c r="BP1489" s="197"/>
      <c r="BQ1489" s="197"/>
    </row>
    <row r="1490" spans="66:69" x14ac:dyDescent="0.2">
      <c r="BN1490" s="192"/>
      <c r="BO1490" s="197"/>
      <c r="BP1490" s="197"/>
      <c r="BQ1490" s="197"/>
    </row>
    <row r="1491" spans="66:69" x14ac:dyDescent="0.2">
      <c r="BN1491" s="192"/>
      <c r="BO1491" s="197"/>
      <c r="BP1491" s="197"/>
      <c r="BQ1491" s="197"/>
    </row>
    <row r="1492" spans="66:69" x14ac:dyDescent="0.2">
      <c r="BN1492" s="192"/>
      <c r="BO1492" s="197"/>
      <c r="BP1492" s="197"/>
      <c r="BQ1492" s="197"/>
    </row>
    <row r="1493" spans="66:69" x14ac:dyDescent="0.2">
      <c r="BN1493" s="192"/>
      <c r="BO1493" s="197"/>
      <c r="BP1493" s="197"/>
      <c r="BQ1493" s="197"/>
    </row>
    <row r="1494" spans="66:69" x14ac:dyDescent="0.2">
      <c r="BN1494" s="192"/>
      <c r="BO1494" s="197"/>
      <c r="BP1494" s="197"/>
      <c r="BQ1494" s="197"/>
    </row>
    <row r="1495" spans="66:69" x14ac:dyDescent="0.2">
      <c r="BN1495" s="192"/>
      <c r="BO1495" s="197"/>
      <c r="BP1495" s="197"/>
      <c r="BQ1495" s="197"/>
    </row>
    <row r="1496" spans="66:69" x14ac:dyDescent="0.2">
      <c r="BN1496" s="192"/>
      <c r="BO1496" s="197"/>
      <c r="BP1496" s="197"/>
      <c r="BQ1496" s="197"/>
    </row>
    <row r="1497" spans="66:69" x14ac:dyDescent="0.2">
      <c r="BN1497" s="192"/>
      <c r="BO1497" s="197"/>
      <c r="BP1497" s="197"/>
      <c r="BQ1497" s="197"/>
    </row>
    <row r="1498" spans="66:69" x14ac:dyDescent="0.2">
      <c r="BN1498" s="192"/>
      <c r="BO1498" s="197"/>
      <c r="BP1498" s="197"/>
      <c r="BQ1498" s="197"/>
    </row>
    <row r="1499" spans="66:69" x14ac:dyDescent="0.2">
      <c r="BN1499" s="192"/>
      <c r="BO1499" s="197"/>
      <c r="BP1499" s="197"/>
      <c r="BQ1499" s="197"/>
    </row>
    <row r="1500" spans="66:69" x14ac:dyDescent="0.2">
      <c r="BN1500" s="192"/>
      <c r="BO1500" s="197"/>
      <c r="BP1500" s="197"/>
      <c r="BQ1500" s="197"/>
    </row>
    <row r="1501" spans="66:69" x14ac:dyDescent="0.2">
      <c r="BN1501" s="192"/>
      <c r="BO1501" s="197"/>
      <c r="BP1501" s="197"/>
      <c r="BQ1501" s="197"/>
    </row>
    <row r="1502" spans="66:69" x14ac:dyDescent="0.2">
      <c r="BN1502" s="192"/>
      <c r="BO1502" s="197"/>
      <c r="BP1502" s="197"/>
      <c r="BQ1502" s="197"/>
    </row>
    <row r="1503" spans="66:69" x14ac:dyDescent="0.2">
      <c r="BN1503" s="192"/>
      <c r="BO1503" s="197"/>
      <c r="BP1503" s="197"/>
      <c r="BQ1503" s="197"/>
    </row>
    <row r="1504" spans="66:69" x14ac:dyDescent="0.2">
      <c r="BN1504" s="192"/>
      <c r="BO1504" s="197"/>
      <c r="BP1504" s="197"/>
      <c r="BQ1504" s="197"/>
    </row>
    <row r="1505" spans="66:69" x14ac:dyDescent="0.2">
      <c r="BN1505" s="192"/>
      <c r="BO1505" s="197"/>
      <c r="BP1505" s="197"/>
      <c r="BQ1505" s="197"/>
    </row>
    <row r="1506" spans="66:69" x14ac:dyDescent="0.2">
      <c r="BN1506" s="192"/>
      <c r="BO1506" s="197"/>
      <c r="BP1506" s="197"/>
      <c r="BQ1506" s="197"/>
    </row>
    <row r="1507" spans="66:69" x14ac:dyDescent="0.2">
      <c r="BN1507" s="192"/>
      <c r="BO1507" s="197"/>
      <c r="BP1507" s="197"/>
      <c r="BQ1507" s="197"/>
    </row>
    <row r="1508" spans="66:69" x14ac:dyDescent="0.2">
      <c r="BN1508" s="192"/>
      <c r="BO1508" s="197"/>
      <c r="BP1508" s="197"/>
      <c r="BQ1508" s="197"/>
    </row>
    <row r="1509" spans="66:69" x14ac:dyDescent="0.2">
      <c r="BN1509" s="192"/>
      <c r="BO1509" s="197"/>
      <c r="BP1509" s="197"/>
      <c r="BQ1509" s="197"/>
    </row>
    <row r="1510" spans="66:69" x14ac:dyDescent="0.2">
      <c r="BN1510" s="192"/>
      <c r="BO1510" s="197"/>
      <c r="BP1510" s="197"/>
      <c r="BQ1510" s="197"/>
    </row>
    <row r="1511" spans="66:69" x14ac:dyDescent="0.2">
      <c r="BN1511" s="192"/>
      <c r="BO1511" s="197"/>
      <c r="BP1511" s="197"/>
      <c r="BQ1511" s="197"/>
    </row>
    <row r="1512" spans="66:69" x14ac:dyDescent="0.2">
      <c r="BN1512" s="192"/>
      <c r="BO1512" s="197"/>
      <c r="BP1512" s="197"/>
      <c r="BQ1512" s="197"/>
    </row>
    <row r="1513" spans="66:69" x14ac:dyDescent="0.2">
      <c r="BN1513" s="192"/>
      <c r="BO1513" s="197"/>
      <c r="BP1513" s="197"/>
      <c r="BQ1513" s="197"/>
    </row>
    <row r="1514" spans="66:69" x14ac:dyDescent="0.2">
      <c r="BN1514" s="192"/>
      <c r="BO1514" s="197"/>
      <c r="BP1514" s="197"/>
      <c r="BQ1514" s="197"/>
    </row>
    <row r="1515" spans="66:69" x14ac:dyDescent="0.2">
      <c r="BN1515" s="192"/>
      <c r="BO1515" s="197"/>
      <c r="BP1515" s="197"/>
      <c r="BQ1515" s="197"/>
    </row>
    <row r="1516" spans="66:69" x14ac:dyDescent="0.2">
      <c r="BN1516" s="192"/>
      <c r="BO1516" s="197"/>
      <c r="BP1516" s="197"/>
      <c r="BQ1516" s="197"/>
    </row>
    <row r="1517" spans="66:69" x14ac:dyDescent="0.2">
      <c r="BN1517" s="192"/>
      <c r="BO1517" s="197"/>
      <c r="BP1517" s="197"/>
      <c r="BQ1517" s="197"/>
    </row>
    <row r="1518" spans="66:69" x14ac:dyDescent="0.2">
      <c r="BN1518" s="192"/>
      <c r="BO1518" s="197"/>
      <c r="BP1518" s="197"/>
      <c r="BQ1518" s="197"/>
    </row>
    <row r="1519" spans="66:69" x14ac:dyDescent="0.2">
      <c r="BN1519" s="192"/>
      <c r="BO1519" s="197"/>
      <c r="BP1519" s="197"/>
      <c r="BQ1519" s="197"/>
    </row>
    <row r="1520" spans="66:69" x14ac:dyDescent="0.2">
      <c r="BN1520" s="192"/>
      <c r="BO1520" s="197"/>
      <c r="BP1520" s="197"/>
      <c r="BQ1520" s="197"/>
    </row>
    <row r="1521" spans="66:69" x14ac:dyDescent="0.2">
      <c r="BN1521" s="192"/>
      <c r="BO1521" s="197"/>
      <c r="BP1521" s="197"/>
      <c r="BQ1521" s="197"/>
    </row>
    <row r="1522" spans="66:69" x14ac:dyDescent="0.2">
      <c r="BN1522" s="192"/>
      <c r="BO1522" s="197"/>
      <c r="BP1522" s="197"/>
      <c r="BQ1522" s="197"/>
    </row>
    <row r="1523" spans="66:69" x14ac:dyDescent="0.2">
      <c r="BN1523" s="192"/>
      <c r="BO1523" s="197"/>
      <c r="BP1523" s="197"/>
      <c r="BQ1523" s="197"/>
    </row>
    <row r="1524" spans="66:69" x14ac:dyDescent="0.2">
      <c r="BN1524" s="192"/>
      <c r="BO1524" s="197"/>
      <c r="BP1524" s="197"/>
      <c r="BQ1524" s="197"/>
    </row>
    <row r="1525" spans="66:69" x14ac:dyDescent="0.2">
      <c r="BN1525" s="192"/>
      <c r="BO1525" s="197"/>
      <c r="BP1525" s="197"/>
      <c r="BQ1525" s="197"/>
    </row>
    <row r="1526" spans="66:69" x14ac:dyDescent="0.2">
      <c r="BN1526" s="192"/>
      <c r="BO1526" s="197"/>
      <c r="BP1526" s="197"/>
      <c r="BQ1526" s="197"/>
    </row>
    <row r="1527" spans="66:69" x14ac:dyDescent="0.2">
      <c r="BN1527" s="192"/>
      <c r="BO1527" s="197"/>
      <c r="BP1527" s="197"/>
      <c r="BQ1527" s="197"/>
    </row>
    <row r="1528" spans="66:69" x14ac:dyDescent="0.2">
      <c r="BN1528" s="192"/>
      <c r="BO1528" s="197"/>
      <c r="BP1528" s="197"/>
      <c r="BQ1528" s="197"/>
    </row>
    <row r="1529" spans="66:69" x14ac:dyDescent="0.2">
      <c r="BN1529" s="192"/>
      <c r="BO1529" s="197"/>
      <c r="BP1529" s="197"/>
      <c r="BQ1529" s="197"/>
    </row>
    <row r="1530" spans="66:69" x14ac:dyDescent="0.2">
      <c r="BN1530" s="192"/>
      <c r="BO1530" s="197"/>
      <c r="BP1530" s="197"/>
      <c r="BQ1530" s="197"/>
    </row>
    <row r="1531" spans="66:69" x14ac:dyDescent="0.2">
      <c r="BN1531" s="192"/>
      <c r="BO1531" s="197"/>
      <c r="BP1531" s="197"/>
      <c r="BQ1531" s="197"/>
    </row>
    <row r="1532" spans="66:69" x14ac:dyDescent="0.2">
      <c r="BN1532" s="192"/>
      <c r="BO1532" s="197"/>
      <c r="BP1532" s="197"/>
      <c r="BQ1532" s="197"/>
    </row>
    <row r="1533" spans="66:69" x14ac:dyDescent="0.2">
      <c r="BN1533" s="192"/>
      <c r="BO1533" s="197"/>
      <c r="BP1533" s="197"/>
      <c r="BQ1533" s="197"/>
    </row>
    <row r="1534" spans="66:69" x14ac:dyDescent="0.2">
      <c r="BN1534" s="192"/>
      <c r="BO1534" s="197"/>
      <c r="BP1534" s="197"/>
      <c r="BQ1534" s="197"/>
    </row>
    <row r="1535" spans="66:69" x14ac:dyDescent="0.2">
      <c r="BN1535" s="192"/>
      <c r="BO1535" s="197"/>
      <c r="BP1535" s="197"/>
      <c r="BQ1535" s="197"/>
    </row>
    <row r="1536" spans="66:69" x14ac:dyDescent="0.2">
      <c r="BN1536" s="192"/>
      <c r="BO1536" s="197"/>
      <c r="BP1536" s="197"/>
      <c r="BQ1536" s="197"/>
    </row>
    <row r="1537" spans="66:69" x14ac:dyDescent="0.2">
      <c r="BN1537" s="192"/>
      <c r="BO1537" s="197"/>
      <c r="BP1537" s="197"/>
      <c r="BQ1537" s="197"/>
    </row>
    <row r="1538" spans="66:69" x14ac:dyDescent="0.2">
      <c r="BN1538" s="192"/>
      <c r="BO1538" s="197"/>
      <c r="BP1538" s="197"/>
      <c r="BQ1538" s="197"/>
    </row>
    <row r="1539" spans="66:69" x14ac:dyDescent="0.2">
      <c r="BN1539" s="192"/>
      <c r="BO1539" s="197"/>
      <c r="BP1539" s="197"/>
      <c r="BQ1539" s="197"/>
    </row>
    <row r="1540" spans="66:69" x14ac:dyDescent="0.2">
      <c r="BN1540" s="192"/>
      <c r="BO1540" s="197"/>
      <c r="BP1540" s="197"/>
      <c r="BQ1540" s="197"/>
    </row>
    <row r="1541" spans="66:69" x14ac:dyDescent="0.2">
      <c r="BN1541" s="192"/>
      <c r="BO1541" s="197"/>
      <c r="BP1541" s="197"/>
      <c r="BQ1541" s="197"/>
    </row>
    <row r="1542" spans="66:69" x14ac:dyDescent="0.2">
      <c r="BN1542" s="192"/>
      <c r="BO1542" s="197"/>
      <c r="BP1542" s="197"/>
      <c r="BQ1542" s="197"/>
    </row>
    <row r="1543" spans="66:69" x14ac:dyDescent="0.2">
      <c r="BN1543" s="192"/>
      <c r="BO1543" s="197"/>
      <c r="BP1543" s="197"/>
      <c r="BQ1543" s="197"/>
    </row>
    <row r="1544" spans="66:69" x14ac:dyDescent="0.2">
      <c r="BN1544" s="192"/>
      <c r="BO1544" s="197"/>
      <c r="BP1544" s="197"/>
      <c r="BQ1544" s="197"/>
    </row>
    <row r="1545" spans="66:69" x14ac:dyDescent="0.2">
      <c r="BN1545" s="192"/>
      <c r="BO1545" s="197"/>
      <c r="BP1545" s="197"/>
      <c r="BQ1545" s="197"/>
    </row>
    <row r="1546" spans="66:69" x14ac:dyDescent="0.2">
      <c r="BN1546" s="192"/>
      <c r="BO1546" s="197"/>
      <c r="BP1546" s="197"/>
      <c r="BQ1546" s="197"/>
    </row>
    <row r="1547" spans="66:69" x14ac:dyDescent="0.2">
      <c r="BN1547" s="192"/>
      <c r="BO1547" s="197"/>
      <c r="BP1547" s="197"/>
      <c r="BQ1547" s="197"/>
    </row>
    <row r="1548" spans="66:69" x14ac:dyDescent="0.2">
      <c r="BN1548" s="192"/>
      <c r="BO1548" s="197"/>
      <c r="BP1548" s="197"/>
      <c r="BQ1548" s="197"/>
    </row>
    <row r="1549" spans="66:69" x14ac:dyDescent="0.2">
      <c r="BN1549" s="192"/>
      <c r="BO1549" s="197"/>
      <c r="BP1549" s="197"/>
      <c r="BQ1549" s="197"/>
    </row>
    <row r="1550" spans="66:69" x14ac:dyDescent="0.2">
      <c r="BN1550" s="192"/>
      <c r="BO1550" s="197"/>
      <c r="BP1550" s="197"/>
      <c r="BQ1550" s="197"/>
    </row>
    <row r="1551" spans="66:69" x14ac:dyDescent="0.2">
      <c r="BN1551" s="192"/>
      <c r="BO1551" s="197"/>
      <c r="BP1551" s="197"/>
      <c r="BQ1551" s="197"/>
    </row>
    <row r="1552" spans="66:69" x14ac:dyDescent="0.2">
      <c r="BN1552" s="192"/>
      <c r="BO1552" s="197"/>
      <c r="BP1552" s="197"/>
      <c r="BQ1552" s="197"/>
    </row>
    <row r="1553" spans="66:69" x14ac:dyDescent="0.2">
      <c r="BN1553" s="192"/>
      <c r="BO1553" s="197"/>
      <c r="BP1553" s="197"/>
      <c r="BQ1553" s="197"/>
    </row>
    <row r="1554" spans="66:69" x14ac:dyDescent="0.2">
      <c r="BN1554" s="192"/>
      <c r="BO1554" s="197"/>
      <c r="BP1554" s="197"/>
      <c r="BQ1554" s="197"/>
    </row>
    <row r="1555" spans="66:69" x14ac:dyDescent="0.2">
      <c r="BN1555" s="192"/>
      <c r="BO1555" s="197"/>
      <c r="BP1555" s="197"/>
      <c r="BQ1555" s="197"/>
    </row>
    <row r="1556" spans="66:69" x14ac:dyDescent="0.2">
      <c r="BN1556" s="192"/>
      <c r="BO1556" s="197"/>
      <c r="BP1556" s="197"/>
      <c r="BQ1556" s="197"/>
    </row>
    <row r="1557" spans="66:69" x14ac:dyDescent="0.2">
      <c r="BN1557" s="192"/>
      <c r="BO1557" s="197"/>
      <c r="BP1557" s="197"/>
      <c r="BQ1557" s="197"/>
    </row>
    <row r="1558" spans="66:69" x14ac:dyDescent="0.2">
      <c r="BN1558" s="192"/>
      <c r="BO1558" s="197"/>
      <c r="BP1558" s="197"/>
      <c r="BQ1558" s="197"/>
    </row>
    <row r="1559" spans="66:69" x14ac:dyDescent="0.2">
      <c r="BN1559" s="192"/>
      <c r="BO1559" s="197"/>
      <c r="BP1559" s="197"/>
      <c r="BQ1559" s="197"/>
    </row>
    <row r="1560" spans="66:69" x14ac:dyDescent="0.2">
      <c r="BN1560" s="192"/>
      <c r="BO1560" s="197"/>
      <c r="BP1560" s="197"/>
      <c r="BQ1560" s="197"/>
    </row>
    <row r="1561" spans="66:69" x14ac:dyDescent="0.2">
      <c r="BN1561" s="192"/>
      <c r="BO1561" s="197"/>
      <c r="BP1561" s="197"/>
      <c r="BQ1561" s="197"/>
    </row>
    <row r="1562" spans="66:69" x14ac:dyDescent="0.2">
      <c r="BN1562" s="192"/>
      <c r="BO1562" s="197"/>
      <c r="BP1562" s="197"/>
      <c r="BQ1562" s="197"/>
    </row>
    <row r="1563" spans="66:69" x14ac:dyDescent="0.2">
      <c r="BN1563" s="192"/>
      <c r="BO1563" s="197"/>
      <c r="BP1563" s="197"/>
      <c r="BQ1563" s="197"/>
    </row>
    <row r="1564" spans="66:69" x14ac:dyDescent="0.2">
      <c r="BN1564" s="192"/>
      <c r="BO1564" s="197"/>
      <c r="BP1564" s="197"/>
      <c r="BQ1564" s="197"/>
    </row>
    <row r="1565" spans="66:69" x14ac:dyDescent="0.2">
      <c r="BN1565" s="192"/>
      <c r="BO1565" s="197"/>
      <c r="BP1565" s="197"/>
      <c r="BQ1565" s="197"/>
    </row>
    <row r="1566" spans="66:69" x14ac:dyDescent="0.2">
      <c r="BN1566" s="192"/>
      <c r="BO1566" s="197"/>
      <c r="BP1566" s="197"/>
      <c r="BQ1566" s="197"/>
    </row>
    <row r="1567" spans="66:69" x14ac:dyDescent="0.2">
      <c r="BN1567" s="192"/>
      <c r="BO1567" s="197"/>
      <c r="BP1567" s="197"/>
      <c r="BQ1567" s="197"/>
    </row>
    <row r="1568" spans="66:69" x14ac:dyDescent="0.2">
      <c r="BN1568" s="192"/>
      <c r="BO1568" s="197"/>
      <c r="BP1568" s="197"/>
      <c r="BQ1568" s="197"/>
    </row>
    <row r="1569" spans="66:69" x14ac:dyDescent="0.2">
      <c r="BN1569" s="192"/>
      <c r="BO1569" s="197"/>
      <c r="BP1569" s="197"/>
      <c r="BQ1569" s="197"/>
    </row>
    <row r="1570" spans="66:69" x14ac:dyDescent="0.2">
      <c r="BN1570" s="192"/>
      <c r="BO1570" s="197"/>
      <c r="BP1570" s="197"/>
      <c r="BQ1570" s="197"/>
    </row>
    <row r="1571" spans="66:69" x14ac:dyDescent="0.2">
      <c r="BN1571" s="192"/>
      <c r="BO1571" s="197"/>
      <c r="BP1571" s="197"/>
      <c r="BQ1571" s="197"/>
    </row>
    <row r="1572" spans="66:69" x14ac:dyDescent="0.2">
      <c r="BN1572" s="192"/>
      <c r="BO1572" s="197"/>
      <c r="BP1572" s="197"/>
      <c r="BQ1572" s="197"/>
    </row>
    <row r="1573" spans="66:69" x14ac:dyDescent="0.2">
      <c r="BN1573" s="192"/>
      <c r="BO1573" s="197"/>
      <c r="BP1573" s="197"/>
      <c r="BQ1573" s="197"/>
    </row>
    <row r="1574" spans="66:69" x14ac:dyDescent="0.2">
      <c r="BN1574" s="192"/>
      <c r="BO1574" s="197"/>
      <c r="BP1574" s="197"/>
      <c r="BQ1574" s="197"/>
    </row>
    <row r="1575" spans="66:69" x14ac:dyDescent="0.2">
      <c r="BN1575" s="192"/>
      <c r="BO1575" s="197"/>
      <c r="BP1575" s="197"/>
      <c r="BQ1575" s="197"/>
    </row>
    <row r="1576" spans="66:69" x14ac:dyDescent="0.2">
      <c r="BN1576" s="192"/>
      <c r="BO1576" s="197"/>
      <c r="BP1576" s="197"/>
      <c r="BQ1576" s="197"/>
    </row>
    <row r="1577" spans="66:69" x14ac:dyDescent="0.2">
      <c r="BN1577" s="192"/>
      <c r="BO1577" s="197"/>
      <c r="BP1577" s="197"/>
      <c r="BQ1577" s="197"/>
    </row>
    <row r="1578" spans="66:69" x14ac:dyDescent="0.2">
      <c r="BN1578" s="192"/>
      <c r="BO1578" s="197"/>
      <c r="BP1578" s="197"/>
      <c r="BQ1578" s="197"/>
    </row>
    <row r="1579" spans="66:69" x14ac:dyDescent="0.2">
      <c r="BN1579" s="192"/>
      <c r="BO1579" s="197"/>
      <c r="BP1579" s="197"/>
      <c r="BQ1579" s="197"/>
    </row>
    <row r="1580" spans="66:69" x14ac:dyDescent="0.2">
      <c r="BN1580" s="192"/>
      <c r="BO1580" s="197"/>
      <c r="BP1580" s="197"/>
      <c r="BQ1580" s="197"/>
    </row>
    <row r="1581" spans="66:69" x14ac:dyDescent="0.2">
      <c r="BN1581" s="192"/>
      <c r="BO1581" s="197"/>
      <c r="BP1581" s="197"/>
      <c r="BQ1581" s="197"/>
    </row>
    <row r="1582" spans="66:69" x14ac:dyDescent="0.2">
      <c r="BN1582" s="192"/>
      <c r="BO1582" s="197"/>
      <c r="BP1582" s="197"/>
      <c r="BQ1582" s="197"/>
    </row>
    <row r="1583" spans="66:69" x14ac:dyDescent="0.2">
      <c r="BN1583" s="192"/>
      <c r="BO1583" s="197"/>
      <c r="BP1583" s="197"/>
      <c r="BQ1583" s="197"/>
    </row>
    <row r="1584" spans="66:69" x14ac:dyDescent="0.2">
      <c r="BN1584" s="192"/>
      <c r="BO1584" s="197"/>
      <c r="BP1584" s="197"/>
      <c r="BQ1584" s="197"/>
    </row>
    <row r="1585" spans="66:69" x14ac:dyDescent="0.2">
      <c r="BN1585" s="192"/>
      <c r="BO1585" s="197"/>
      <c r="BP1585" s="197"/>
      <c r="BQ1585" s="197"/>
    </row>
    <row r="1586" spans="66:69" x14ac:dyDescent="0.2">
      <c r="BN1586" s="192"/>
      <c r="BO1586" s="197"/>
      <c r="BP1586" s="197"/>
      <c r="BQ1586" s="197"/>
    </row>
    <row r="1587" spans="66:69" x14ac:dyDescent="0.2">
      <c r="BN1587" s="192"/>
      <c r="BO1587" s="197"/>
      <c r="BP1587" s="197"/>
      <c r="BQ1587" s="197"/>
    </row>
    <row r="1588" spans="66:69" x14ac:dyDescent="0.2">
      <c r="BN1588" s="192"/>
      <c r="BO1588" s="197"/>
      <c r="BP1588" s="197"/>
      <c r="BQ1588" s="197"/>
    </row>
    <row r="1589" spans="66:69" x14ac:dyDescent="0.2">
      <c r="BN1589" s="192"/>
      <c r="BO1589" s="197"/>
      <c r="BP1589" s="197"/>
      <c r="BQ1589" s="197"/>
    </row>
    <row r="1590" spans="66:69" x14ac:dyDescent="0.2">
      <c r="BN1590" s="192"/>
      <c r="BO1590" s="197"/>
      <c r="BP1590" s="197"/>
      <c r="BQ1590" s="197"/>
    </row>
    <row r="1591" spans="66:69" x14ac:dyDescent="0.2">
      <c r="BN1591" s="192"/>
      <c r="BO1591" s="197"/>
      <c r="BP1591" s="197"/>
      <c r="BQ1591" s="197"/>
    </row>
    <row r="1592" spans="66:69" x14ac:dyDescent="0.2">
      <c r="BN1592" s="192"/>
      <c r="BO1592" s="197"/>
      <c r="BP1592" s="197"/>
      <c r="BQ1592" s="197"/>
    </row>
    <row r="1593" spans="66:69" x14ac:dyDescent="0.2">
      <c r="BN1593" s="192"/>
      <c r="BO1593" s="197"/>
      <c r="BP1593" s="197"/>
      <c r="BQ1593" s="197"/>
    </row>
    <row r="1594" spans="66:69" x14ac:dyDescent="0.2">
      <c r="BN1594" s="192"/>
      <c r="BO1594" s="197"/>
      <c r="BP1594" s="197"/>
      <c r="BQ1594" s="197"/>
    </row>
    <row r="1595" spans="66:69" x14ac:dyDescent="0.2">
      <c r="BN1595" s="192"/>
      <c r="BO1595" s="197"/>
      <c r="BP1595" s="197"/>
      <c r="BQ1595" s="197"/>
    </row>
    <row r="1596" spans="66:69" x14ac:dyDescent="0.2">
      <c r="BN1596" s="192"/>
      <c r="BO1596" s="197"/>
      <c r="BP1596" s="197"/>
      <c r="BQ1596" s="197"/>
    </row>
    <row r="1597" spans="66:69" x14ac:dyDescent="0.2">
      <c r="BN1597" s="192"/>
      <c r="BO1597" s="197"/>
      <c r="BP1597" s="197"/>
      <c r="BQ1597" s="197"/>
    </row>
    <row r="1598" spans="66:69" x14ac:dyDescent="0.2">
      <c r="BN1598" s="192"/>
      <c r="BO1598" s="197"/>
      <c r="BP1598" s="197"/>
      <c r="BQ1598" s="197"/>
    </row>
    <row r="1599" spans="66:69" x14ac:dyDescent="0.2">
      <c r="BN1599" s="192"/>
      <c r="BO1599" s="197"/>
      <c r="BP1599" s="197"/>
      <c r="BQ1599" s="197"/>
    </row>
    <row r="1600" spans="66:69" x14ac:dyDescent="0.2">
      <c r="BN1600" s="192"/>
      <c r="BO1600" s="197"/>
      <c r="BP1600" s="197"/>
      <c r="BQ1600" s="197"/>
    </row>
    <row r="1601" spans="66:69" x14ac:dyDescent="0.2">
      <c r="BN1601" s="192"/>
      <c r="BO1601" s="197"/>
      <c r="BP1601" s="197"/>
      <c r="BQ1601" s="197"/>
    </row>
    <row r="1602" spans="66:69" x14ac:dyDescent="0.2">
      <c r="BN1602" s="192"/>
      <c r="BO1602" s="197"/>
      <c r="BP1602" s="197"/>
      <c r="BQ1602" s="197"/>
    </row>
    <row r="1603" spans="66:69" x14ac:dyDescent="0.2">
      <c r="BN1603" s="192"/>
      <c r="BO1603" s="197"/>
      <c r="BP1603" s="197"/>
      <c r="BQ1603" s="197"/>
    </row>
    <row r="1604" spans="66:69" x14ac:dyDescent="0.2">
      <c r="BN1604" s="192"/>
      <c r="BO1604" s="197"/>
      <c r="BP1604" s="197"/>
      <c r="BQ1604" s="197"/>
    </row>
    <row r="1605" spans="66:69" x14ac:dyDescent="0.2">
      <c r="BN1605" s="192"/>
      <c r="BO1605" s="197"/>
      <c r="BP1605" s="197"/>
      <c r="BQ1605" s="197"/>
    </row>
    <row r="1606" spans="66:69" x14ac:dyDescent="0.2">
      <c r="BN1606" s="192"/>
      <c r="BO1606" s="197"/>
      <c r="BP1606" s="197"/>
      <c r="BQ1606" s="197"/>
    </row>
    <row r="1607" spans="66:69" x14ac:dyDescent="0.2">
      <c r="BN1607" s="192"/>
      <c r="BO1607" s="197"/>
      <c r="BP1607" s="197"/>
      <c r="BQ1607" s="197"/>
    </row>
    <row r="1608" spans="66:69" x14ac:dyDescent="0.2">
      <c r="BN1608" s="192"/>
      <c r="BO1608" s="197"/>
      <c r="BP1608" s="197"/>
      <c r="BQ1608" s="197"/>
    </row>
    <row r="1609" spans="66:69" x14ac:dyDescent="0.2">
      <c r="BN1609" s="192"/>
      <c r="BO1609" s="197"/>
      <c r="BP1609" s="197"/>
      <c r="BQ1609" s="197"/>
    </row>
    <row r="1610" spans="66:69" x14ac:dyDescent="0.2">
      <c r="BN1610" s="192"/>
      <c r="BO1610" s="197"/>
      <c r="BP1610" s="197"/>
      <c r="BQ1610" s="197"/>
    </row>
    <row r="1611" spans="66:69" x14ac:dyDescent="0.2">
      <c r="BN1611" s="192"/>
      <c r="BO1611" s="197"/>
      <c r="BP1611" s="197"/>
      <c r="BQ1611" s="197"/>
    </row>
    <row r="1612" spans="66:69" x14ac:dyDescent="0.2">
      <c r="BN1612" s="192"/>
      <c r="BO1612" s="197"/>
      <c r="BP1612" s="197"/>
      <c r="BQ1612" s="197"/>
    </row>
    <row r="1613" spans="66:69" x14ac:dyDescent="0.2">
      <c r="BN1613" s="192"/>
      <c r="BO1613" s="197"/>
      <c r="BP1613" s="197"/>
      <c r="BQ1613" s="197"/>
    </row>
    <row r="1614" spans="66:69" x14ac:dyDescent="0.2">
      <c r="BN1614" s="192"/>
      <c r="BO1614" s="197"/>
      <c r="BP1614" s="197"/>
      <c r="BQ1614" s="197"/>
    </row>
    <row r="1615" spans="66:69" x14ac:dyDescent="0.2">
      <c r="BN1615" s="192"/>
      <c r="BO1615" s="197"/>
      <c r="BP1615" s="197"/>
      <c r="BQ1615" s="197"/>
    </row>
    <row r="1616" spans="66:69" x14ac:dyDescent="0.2">
      <c r="BN1616" s="192"/>
      <c r="BO1616" s="197"/>
      <c r="BP1616" s="197"/>
      <c r="BQ1616" s="197"/>
    </row>
    <row r="1617" spans="66:69" x14ac:dyDescent="0.2">
      <c r="BN1617" s="192"/>
      <c r="BO1617" s="197"/>
      <c r="BP1617" s="197"/>
      <c r="BQ1617" s="197"/>
    </row>
    <row r="1618" spans="66:69" x14ac:dyDescent="0.2">
      <c r="BN1618" s="192"/>
      <c r="BO1618" s="197"/>
      <c r="BP1618" s="197"/>
      <c r="BQ1618" s="197"/>
    </row>
    <row r="1619" spans="66:69" x14ac:dyDescent="0.2">
      <c r="BN1619" s="192"/>
      <c r="BO1619" s="197"/>
      <c r="BP1619" s="197"/>
      <c r="BQ1619" s="197"/>
    </row>
    <row r="1620" spans="66:69" x14ac:dyDescent="0.2">
      <c r="BN1620" s="192"/>
      <c r="BO1620" s="197"/>
      <c r="BP1620" s="197"/>
      <c r="BQ1620" s="197"/>
    </row>
    <row r="1621" spans="66:69" x14ac:dyDescent="0.2">
      <c r="BN1621" s="192"/>
      <c r="BO1621" s="197"/>
      <c r="BP1621" s="197"/>
      <c r="BQ1621" s="197"/>
    </row>
    <row r="1622" spans="66:69" x14ac:dyDescent="0.2">
      <c r="BN1622" s="192"/>
      <c r="BO1622" s="197"/>
      <c r="BP1622" s="197"/>
      <c r="BQ1622" s="197"/>
    </row>
    <row r="1623" spans="66:69" x14ac:dyDescent="0.2">
      <c r="BN1623" s="192"/>
      <c r="BO1623" s="197"/>
      <c r="BP1623" s="197"/>
      <c r="BQ1623" s="197"/>
    </row>
    <row r="1624" spans="66:69" x14ac:dyDescent="0.2">
      <c r="BN1624" s="192"/>
      <c r="BO1624" s="197"/>
      <c r="BP1624" s="197"/>
      <c r="BQ1624" s="197"/>
    </row>
    <row r="1625" spans="66:69" x14ac:dyDescent="0.2">
      <c r="BN1625" s="192"/>
      <c r="BO1625" s="197"/>
      <c r="BP1625" s="197"/>
      <c r="BQ1625" s="197"/>
    </row>
    <row r="1626" spans="66:69" x14ac:dyDescent="0.2">
      <c r="BN1626" s="192"/>
      <c r="BO1626" s="197"/>
      <c r="BP1626" s="197"/>
      <c r="BQ1626" s="197"/>
    </row>
    <row r="1627" spans="66:69" x14ac:dyDescent="0.2">
      <c r="BN1627" s="192"/>
      <c r="BO1627" s="197"/>
      <c r="BP1627" s="197"/>
      <c r="BQ1627" s="197"/>
    </row>
    <row r="1628" spans="66:69" x14ac:dyDescent="0.2">
      <c r="BN1628" s="192"/>
      <c r="BO1628" s="197"/>
      <c r="BP1628" s="197"/>
      <c r="BQ1628" s="197"/>
    </row>
    <row r="1629" spans="66:69" x14ac:dyDescent="0.2">
      <c r="BN1629" s="192"/>
      <c r="BO1629" s="197"/>
      <c r="BP1629" s="197"/>
      <c r="BQ1629" s="197"/>
    </row>
    <row r="1630" spans="66:69" x14ac:dyDescent="0.2">
      <c r="BN1630" s="192"/>
      <c r="BO1630" s="197"/>
      <c r="BP1630" s="197"/>
      <c r="BQ1630" s="197"/>
    </row>
    <row r="1631" spans="66:69" x14ac:dyDescent="0.2">
      <c r="BN1631" s="192"/>
      <c r="BO1631" s="197"/>
      <c r="BP1631" s="197"/>
      <c r="BQ1631" s="197"/>
    </row>
    <row r="1632" spans="66:69" x14ac:dyDescent="0.2">
      <c r="BN1632" s="192"/>
      <c r="BO1632" s="197"/>
      <c r="BP1632" s="197"/>
      <c r="BQ1632" s="197"/>
    </row>
    <row r="1633" spans="66:69" x14ac:dyDescent="0.2">
      <c r="BN1633" s="192"/>
      <c r="BO1633" s="197"/>
      <c r="BP1633" s="197"/>
      <c r="BQ1633" s="197"/>
    </row>
    <row r="1634" spans="66:69" x14ac:dyDescent="0.2">
      <c r="BN1634" s="192"/>
      <c r="BO1634" s="197"/>
      <c r="BP1634" s="197"/>
      <c r="BQ1634" s="197"/>
    </row>
    <row r="1635" spans="66:69" x14ac:dyDescent="0.2">
      <c r="BN1635" s="192"/>
      <c r="BO1635" s="197"/>
      <c r="BP1635" s="197"/>
      <c r="BQ1635" s="197"/>
    </row>
    <row r="1636" spans="66:69" x14ac:dyDescent="0.2">
      <c r="BN1636" s="192"/>
      <c r="BO1636" s="197"/>
      <c r="BP1636" s="197"/>
      <c r="BQ1636" s="197"/>
    </row>
    <row r="1637" spans="66:69" x14ac:dyDescent="0.2">
      <c r="BN1637" s="192"/>
      <c r="BO1637" s="197"/>
      <c r="BP1637" s="197"/>
      <c r="BQ1637" s="197"/>
    </row>
    <row r="1638" spans="66:69" x14ac:dyDescent="0.2">
      <c r="BN1638" s="192"/>
      <c r="BO1638" s="197"/>
      <c r="BP1638" s="197"/>
      <c r="BQ1638" s="197"/>
    </row>
    <row r="1639" spans="66:69" x14ac:dyDescent="0.2">
      <c r="BN1639" s="192"/>
      <c r="BO1639" s="197"/>
      <c r="BP1639" s="197"/>
      <c r="BQ1639" s="197"/>
    </row>
    <row r="1640" spans="66:69" x14ac:dyDescent="0.2">
      <c r="BN1640" s="192"/>
      <c r="BO1640" s="197"/>
      <c r="BP1640" s="197"/>
      <c r="BQ1640" s="197"/>
    </row>
    <row r="1641" spans="66:69" x14ac:dyDescent="0.2">
      <c r="BN1641" s="192"/>
      <c r="BO1641" s="197"/>
      <c r="BP1641" s="197"/>
      <c r="BQ1641" s="197"/>
    </row>
    <row r="1642" spans="66:69" x14ac:dyDescent="0.2">
      <c r="BN1642" s="192"/>
      <c r="BO1642" s="197"/>
      <c r="BP1642" s="197"/>
      <c r="BQ1642" s="197"/>
    </row>
    <row r="1643" spans="66:69" x14ac:dyDescent="0.2">
      <c r="BN1643" s="192"/>
      <c r="BO1643" s="197"/>
      <c r="BP1643" s="197"/>
      <c r="BQ1643" s="197"/>
    </row>
    <row r="1644" spans="66:69" x14ac:dyDescent="0.2">
      <c r="BN1644" s="192"/>
      <c r="BO1644" s="197"/>
      <c r="BP1644" s="197"/>
      <c r="BQ1644" s="197"/>
    </row>
    <row r="1645" spans="66:69" x14ac:dyDescent="0.2">
      <c r="BN1645" s="192"/>
      <c r="BO1645" s="197"/>
      <c r="BP1645" s="197"/>
      <c r="BQ1645" s="197"/>
    </row>
    <row r="1646" spans="66:69" x14ac:dyDescent="0.2">
      <c r="BN1646" s="192"/>
      <c r="BO1646" s="197"/>
      <c r="BP1646" s="197"/>
      <c r="BQ1646" s="197"/>
    </row>
    <row r="1647" spans="66:69" x14ac:dyDescent="0.2">
      <c r="BN1647" s="192"/>
      <c r="BO1647" s="197"/>
      <c r="BP1647" s="197"/>
      <c r="BQ1647" s="197"/>
    </row>
    <row r="1648" spans="66:69" x14ac:dyDescent="0.2">
      <c r="BN1648" s="192"/>
      <c r="BO1648" s="197"/>
      <c r="BP1648" s="197"/>
      <c r="BQ1648" s="197"/>
    </row>
    <row r="1649" spans="66:69" x14ac:dyDescent="0.2">
      <c r="BN1649" s="192"/>
      <c r="BO1649" s="197"/>
      <c r="BP1649" s="197"/>
      <c r="BQ1649" s="197"/>
    </row>
    <row r="1650" spans="66:69" x14ac:dyDescent="0.2">
      <c r="BN1650" s="192"/>
      <c r="BO1650" s="197"/>
      <c r="BP1650" s="197"/>
      <c r="BQ1650" s="197"/>
    </row>
    <row r="1651" spans="66:69" x14ac:dyDescent="0.2">
      <c r="BN1651" s="192"/>
      <c r="BO1651" s="197"/>
      <c r="BP1651" s="197"/>
      <c r="BQ1651" s="197"/>
    </row>
    <row r="1652" spans="66:69" x14ac:dyDescent="0.2">
      <c r="BN1652" s="192"/>
      <c r="BO1652" s="197"/>
      <c r="BP1652" s="197"/>
      <c r="BQ1652" s="197"/>
    </row>
    <row r="1653" spans="66:69" x14ac:dyDescent="0.2">
      <c r="BN1653" s="192"/>
      <c r="BO1653" s="197"/>
      <c r="BP1653" s="197"/>
      <c r="BQ1653" s="197"/>
    </row>
    <row r="1654" spans="66:69" x14ac:dyDescent="0.2">
      <c r="BN1654" s="192"/>
      <c r="BO1654" s="197"/>
      <c r="BP1654" s="197"/>
      <c r="BQ1654" s="197"/>
    </row>
    <row r="1655" spans="66:69" x14ac:dyDescent="0.2">
      <c r="BN1655" s="192"/>
      <c r="BO1655" s="197"/>
      <c r="BP1655" s="197"/>
      <c r="BQ1655" s="197"/>
    </row>
    <row r="1656" spans="66:69" x14ac:dyDescent="0.2">
      <c r="BN1656" s="192"/>
      <c r="BO1656" s="197"/>
      <c r="BP1656" s="197"/>
      <c r="BQ1656" s="197"/>
    </row>
    <row r="1657" spans="66:69" x14ac:dyDescent="0.2">
      <c r="BN1657" s="192"/>
      <c r="BO1657" s="197"/>
      <c r="BP1657" s="197"/>
      <c r="BQ1657" s="197"/>
    </row>
    <row r="1658" spans="66:69" x14ac:dyDescent="0.2">
      <c r="BN1658" s="192"/>
      <c r="BO1658" s="197"/>
      <c r="BP1658" s="197"/>
      <c r="BQ1658" s="197"/>
    </row>
    <row r="1659" spans="66:69" x14ac:dyDescent="0.2">
      <c r="BN1659" s="192"/>
      <c r="BO1659" s="197"/>
      <c r="BP1659" s="197"/>
      <c r="BQ1659" s="197"/>
    </row>
    <row r="1660" spans="66:69" x14ac:dyDescent="0.2">
      <c r="BN1660" s="192"/>
      <c r="BO1660" s="197"/>
      <c r="BP1660" s="197"/>
      <c r="BQ1660" s="197"/>
    </row>
    <row r="1661" spans="66:69" x14ac:dyDescent="0.2">
      <c r="BN1661" s="192"/>
      <c r="BO1661" s="197"/>
      <c r="BP1661" s="197"/>
      <c r="BQ1661" s="197"/>
    </row>
    <row r="1662" spans="66:69" x14ac:dyDescent="0.2">
      <c r="BN1662" s="192"/>
      <c r="BO1662" s="197"/>
      <c r="BP1662" s="197"/>
      <c r="BQ1662" s="197"/>
    </row>
    <row r="1663" spans="66:69" x14ac:dyDescent="0.2">
      <c r="BN1663" s="192"/>
      <c r="BO1663" s="197"/>
      <c r="BP1663" s="197"/>
      <c r="BQ1663" s="197"/>
    </row>
    <row r="1664" spans="66:69" x14ac:dyDescent="0.2">
      <c r="BN1664" s="192"/>
      <c r="BO1664" s="197"/>
      <c r="BP1664" s="197"/>
      <c r="BQ1664" s="197"/>
    </row>
    <row r="1665" spans="66:69" x14ac:dyDescent="0.2">
      <c r="BN1665" s="192"/>
      <c r="BO1665" s="197"/>
      <c r="BP1665" s="197"/>
      <c r="BQ1665" s="197"/>
    </row>
    <row r="1666" spans="66:69" x14ac:dyDescent="0.2">
      <c r="BN1666" s="192"/>
      <c r="BO1666" s="197"/>
      <c r="BP1666" s="197"/>
      <c r="BQ1666" s="197"/>
    </row>
    <row r="1667" spans="66:69" x14ac:dyDescent="0.2">
      <c r="BN1667" s="192"/>
      <c r="BO1667" s="197"/>
      <c r="BP1667" s="197"/>
      <c r="BQ1667" s="197"/>
    </row>
    <row r="1668" spans="66:69" x14ac:dyDescent="0.2">
      <c r="BN1668" s="192"/>
      <c r="BO1668" s="197"/>
      <c r="BP1668" s="197"/>
      <c r="BQ1668" s="197"/>
    </row>
    <row r="1669" spans="66:69" x14ac:dyDescent="0.2">
      <c r="BN1669" s="192"/>
      <c r="BO1669" s="197"/>
      <c r="BP1669" s="197"/>
      <c r="BQ1669" s="197"/>
    </row>
    <row r="1670" spans="66:69" x14ac:dyDescent="0.2">
      <c r="BN1670" s="192"/>
      <c r="BO1670" s="197"/>
      <c r="BP1670" s="197"/>
      <c r="BQ1670" s="197"/>
    </row>
    <row r="1671" spans="66:69" x14ac:dyDescent="0.2">
      <c r="BN1671" s="192"/>
      <c r="BO1671" s="197"/>
      <c r="BP1671" s="197"/>
      <c r="BQ1671" s="197"/>
    </row>
    <row r="1672" spans="66:69" x14ac:dyDescent="0.2">
      <c r="BN1672" s="192"/>
      <c r="BO1672" s="197"/>
      <c r="BP1672" s="197"/>
      <c r="BQ1672" s="197"/>
    </row>
    <row r="1673" spans="66:69" x14ac:dyDescent="0.2">
      <c r="BN1673" s="192"/>
      <c r="BO1673" s="197"/>
      <c r="BP1673" s="197"/>
      <c r="BQ1673" s="197"/>
    </row>
    <row r="1674" spans="66:69" x14ac:dyDescent="0.2">
      <c r="BN1674" s="192"/>
      <c r="BO1674" s="197"/>
      <c r="BP1674" s="197"/>
      <c r="BQ1674" s="197"/>
    </row>
    <row r="1675" spans="66:69" x14ac:dyDescent="0.2">
      <c r="BN1675" s="192"/>
      <c r="BO1675" s="197"/>
      <c r="BP1675" s="197"/>
      <c r="BQ1675" s="197"/>
    </row>
    <row r="1676" spans="66:69" x14ac:dyDescent="0.2">
      <c r="BN1676" s="192"/>
      <c r="BO1676" s="197"/>
      <c r="BP1676" s="197"/>
      <c r="BQ1676" s="197"/>
    </row>
    <row r="1677" spans="66:69" x14ac:dyDescent="0.2">
      <c r="BN1677" s="192"/>
      <c r="BO1677" s="197"/>
      <c r="BP1677" s="197"/>
      <c r="BQ1677" s="197"/>
    </row>
    <row r="1678" spans="66:69" x14ac:dyDescent="0.2">
      <c r="BN1678" s="192"/>
      <c r="BO1678" s="197"/>
      <c r="BP1678" s="197"/>
      <c r="BQ1678" s="197"/>
    </row>
    <row r="1679" spans="66:69" x14ac:dyDescent="0.2">
      <c r="BN1679" s="192"/>
      <c r="BO1679" s="197"/>
      <c r="BP1679" s="197"/>
      <c r="BQ1679" s="197"/>
    </row>
    <row r="1680" spans="66:69" x14ac:dyDescent="0.2">
      <c r="BN1680" s="192"/>
      <c r="BO1680" s="197"/>
      <c r="BP1680" s="197"/>
      <c r="BQ1680" s="197"/>
    </row>
    <row r="1681" spans="66:69" x14ac:dyDescent="0.2">
      <c r="BN1681" s="192"/>
      <c r="BO1681" s="197"/>
      <c r="BP1681" s="197"/>
      <c r="BQ1681" s="197"/>
    </row>
    <row r="1682" spans="66:69" x14ac:dyDescent="0.2">
      <c r="BN1682" s="192"/>
      <c r="BO1682" s="197"/>
      <c r="BP1682" s="197"/>
      <c r="BQ1682" s="197"/>
    </row>
    <row r="1683" spans="66:69" x14ac:dyDescent="0.2">
      <c r="BN1683" s="192"/>
      <c r="BO1683" s="197"/>
      <c r="BP1683" s="197"/>
      <c r="BQ1683" s="197"/>
    </row>
    <row r="1684" spans="66:69" x14ac:dyDescent="0.2">
      <c r="BN1684" s="192"/>
      <c r="BO1684" s="197"/>
      <c r="BP1684" s="197"/>
      <c r="BQ1684" s="197"/>
    </row>
    <row r="1685" spans="66:69" x14ac:dyDescent="0.2">
      <c r="BN1685" s="192"/>
      <c r="BO1685" s="197"/>
      <c r="BP1685" s="197"/>
      <c r="BQ1685" s="197"/>
    </row>
    <row r="1686" spans="66:69" x14ac:dyDescent="0.2">
      <c r="BN1686" s="192"/>
      <c r="BO1686" s="197"/>
      <c r="BP1686" s="197"/>
      <c r="BQ1686" s="197"/>
    </row>
    <row r="1687" spans="66:69" x14ac:dyDescent="0.2">
      <c r="BN1687" s="192"/>
      <c r="BO1687" s="197"/>
      <c r="BP1687" s="197"/>
      <c r="BQ1687" s="197"/>
    </row>
    <row r="1688" spans="66:69" x14ac:dyDescent="0.2">
      <c r="BN1688" s="192"/>
      <c r="BO1688" s="197"/>
      <c r="BP1688" s="197"/>
      <c r="BQ1688" s="197"/>
    </row>
    <row r="1689" spans="66:69" x14ac:dyDescent="0.2">
      <c r="BN1689" s="192"/>
      <c r="BO1689" s="197"/>
      <c r="BP1689" s="197"/>
      <c r="BQ1689" s="197"/>
    </row>
    <row r="1690" spans="66:69" x14ac:dyDescent="0.2">
      <c r="BN1690" s="192"/>
      <c r="BO1690" s="197"/>
      <c r="BP1690" s="197"/>
      <c r="BQ1690" s="197"/>
    </row>
    <row r="1691" spans="66:69" x14ac:dyDescent="0.2">
      <c r="BN1691" s="192"/>
      <c r="BO1691" s="197"/>
      <c r="BP1691" s="197"/>
      <c r="BQ1691" s="197"/>
    </row>
    <row r="1692" spans="66:69" x14ac:dyDescent="0.2">
      <c r="BN1692" s="192"/>
      <c r="BO1692" s="197"/>
      <c r="BP1692" s="197"/>
      <c r="BQ1692" s="197"/>
    </row>
    <row r="1693" spans="66:69" x14ac:dyDescent="0.2">
      <c r="BN1693" s="192"/>
      <c r="BO1693" s="197"/>
      <c r="BP1693" s="197"/>
      <c r="BQ1693" s="197"/>
    </row>
    <row r="1694" spans="66:69" x14ac:dyDescent="0.2">
      <c r="BN1694" s="192"/>
      <c r="BO1694" s="197"/>
      <c r="BP1694" s="197"/>
      <c r="BQ1694" s="197"/>
    </row>
    <row r="1695" spans="66:69" x14ac:dyDescent="0.2">
      <c r="BN1695" s="192"/>
      <c r="BO1695" s="197"/>
      <c r="BP1695" s="197"/>
      <c r="BQ1695" s="197"/>
    </row>
    <row r="1696" spans="66:69" x14ac:dyDescent="0.2">
      <c r="BN1696" s="192"/>
      <c r="BO1696" s="197"/>
      <c r="BP1696" s="197"/>
      <c r="BQ1696" s="197"/>
    </row>
    <row r="1697" spans="66:69" x14ac:dyDescent="0.2">
      <c r="BN1697" s="192"/>
      <c r="BO1697" s="197"/>
      <c r="BP1697" s="197"/>
      <c r="BQ1697" s="197"/>
    </row>
    <row r="1698" spans="66:69" x14ac:dyDescent="0.2">
      <c r="BN1698" s="192"/>
      <c r="BO1698" s="197"/>
      <c r="BP1698" s="197"/>
      <c r="BQ1698" s="197"/>
    </row>
    <row r="1699" spans="66:69" x14ac:dyDescent="0.2">
      <c r="BN1699" s="192"/>
      <c r="BO1699" s="197"/>
      <c r="BP1699" s="197"/>
      <c r="BQ1699" s="197"/>
    </row>
    <row r="1700" spans="66:69" x14ac:dyDescent="0.2">
      <c r="BN1700" s="192"/>
      <c r="BO1700" s="197"/>
      <c r="BP1700" s="197"/>
      <c r="BQ1700" s="197"/>
    </row>
    <row r="1701" spans="66:69" x14ac:dyDescent="0.2">
      <c r="BN1701" s="192"/>
      <c r="BO1701" s="197"/>
      <c r="BP1701" s="197"/>
      <c r="BQ1701" s="197"/>
    </row>
    <row r="1702" spans="66:69" x14ac:dyDescent="0.2">
      <c r="BN1702" s="192"/>
      <c r="BO1702" s="197"/>
      <c r="BP1702" s="197"/>
      <c r="BQ1702" s="197"/>
    </row>
    <row r="1703" spans="66:69" x14ac:dyDescent="0.2">
      <c r="BN1703" s="192"/>
      <c r="BO1703" s="197"/>
      <c r="BP1703" s="197"/>
      <c r="BQ1703" s="197"/>
    </row>
    <row r="1704" spans="66:69" x14ac:dyDescent="0.2">
      <c r="BN1704" s="192"/>
      <c r="BO1704" s="197"/>
      <c r="BP1704" s="197"/>
      <c r="BQ1704" s="197"/>
    </row>
    <row r="1705" spans="66:69" x14ac:dyDescent="0.2">
      <c r="BN1705" s="192"/>
      <c r="BO1705" s="197"/>
      <c r="BP1705" s="197"/>
      <c r="BQ1705" s="197"/>
    </row>
    <row r="1706" spans="66:69" x14ac:dyDescent="0.2">
      <c r="BN1706" s="192"/>
      <c r="BO1706" s="197"/>
      <c r="BP1706" s="197"/>
      <c r="BQ1706" s="197"/>
    </row>
    <row r="1707" spans="66:69" x14ac:dyDescent="0.2">
      <c r="BN1707" s="192"/>
      <c r="BO1707" s="197"/>
      <c r="BP1707" s="197"/>
      <c r="BQ1707" s="197"/>
    </row>
    <row r="1708" spans="66:69" x14ac:dyDescent="0.2">
      <c r="BN1708" s="192"/>
      <c r="BO1708" s="197"/>
      <c r="BP1708" s="197"/>
      <c r="BQ1708" s="197"/>
    </row>
    <row r="1709" spans="66:69" x14ac:dyDescent="0.2">
      <c r="BN1709" s="192"/>
      <c r="BO1709" s="197"/>
      <c r="BP1709" s="197"/>
      <c r="BQ1709" s="197"/>
    </row>
    <row r="1710" spans="66:69" x14ac:dyDescent="0.2">
      <c r="BN1710" s="192"/>
      <c r="BO1710" s="197"/>
      <c r="BP1710" s="197"/>
      <c r="BQ1710" s="197"/>
    </row>
    <row r="1711" spans="66:69" x14ac:dyDescent="0.2">
      <c r="BN1711" s="192"/>
      <c r="BO1711" s="197"/>
      <c r="BP1711" s="197"/>
      <c r="BQ1711" s="197"/>
    </row>
    <row r="1712" spans="66:69" x14ac:dyDescent="0.2">
      <c r="BN1712" s="192"/>
      <c r="BO1712" s="197"/>
      <c r="BP1712" s="197"/>
      <c r="BQ1712" s="197"/>
    </row>
    <row r="1713" spans="66:69" x14ac:dyDescent="0.2">
      <c r="BN1713" s="192"/>
      <c r="BO1713" s="197"/>
      <c r="BP1713" s="197"/>
      <c r="BQ1713" s="197"/>
    </row>
    <row r="1714" spans="66:69" x14ac:dyDescent="0.2">
      <c r="BN1714" s="192"/>
      <c r="BO1714" s="197"/>
      <c r="BP1714" s="197"/>
      <c r="BQ1714" s="197"/>
    </row>
    <row r="1715" spans="66:69" x14ac:dyDescent="0.2">
      <c r="BN1715" s="192"/>
      <c r="BO1715" s="197"/>
      <c r="BP1715" s="197"/>
      <c r="BQ1715" s="197"/>
    </row>
    <row r="1716" spans="66:69" x14ac:dyDescent="0.2">
      <c r="BN1716" s="192"/>
      <c r="BO1716" s="197"/>
      <c r="BP1716" s="197"/>
      <c r="BQ1716" s="197"/>
    </row>
    <row r="1717" spans="66:69" x14ac:dyDescent="0.2">
      <c r="BN1717" s="192"/>
      <c r="BO1717" s="197"/>
      <c r="BP1717" s="197"/>
      <c r="BQ1717" s="197"/>
    </row>
    <row r="1718" spans="66:69" x14ac:dyDescent="0.2">
      <c r="BN1718" s="192"/>
      <c r="BO1718" s="197"/>
      <c r="BP1718" s="197"/>
      <c r="BQ1718" s="197"/>
    </row>
    <row r="1719" spans="66:69" x14ac:dyDescent="0.2">
      <c r="BN1719" s="192"/>
      <c r="BO1719" s="197"/>
      <c r="BP1719" s="197"/>
      <c r="BQ1719" s="197"/>
    </row>
    <row r="1720" spans="66:69" x14ac:dyDescent="0.2">
      <c r="BN1720" s="192"/>
      <c r="BO1720" s="197"/>
      <c r="BP1720" s="197"/>
      <c r="BQ1720" s="197"/>
    </row>
    <row r="1721" spans="66:69" x14ac:dyDescent="0.2">
      <c r="BN1721" s="192"/>
      <c r="BO1721" s="197"/>
      <c r="BP1721" s="197"/>
      <c r="BQ1721" s="197"/>
    </row>
    <row r="1722" spans="66:69" x14ac:dyDescent="0.2">
      <c r="BN1722" s="192"/>
      <c r="BO1722" s="197"/>
      <c r="BP1722" s="197"/>
      <c r="BQ1722" s="197"/>
    </row>
    <row r="1723" spans="66:69" x14ac:dyDescent="0.2">
      <c r="BN1723" s="192"/>
      <c r="BO1723" s="197"/>
      <c r="BP1723" s="197"/>
      <c r="BQ1723" s="197"/>
    </row>
    <row r="1724" spans="66:69" x14ac:dyDescent="0.2">
      <c r="BN1724" s="192"/>
      <c r="BO1724" s="197"/>
      <c r="BP1724" s="197"/>
      <c r="BQ1724" s="197"/>
    </row>
    <row r="1725" spans="66:69" x14ac:dyDescent="0.2">
      <c r="BN1725" s="192"/>
      <c r="BO1725" s="197"/>
      <c r="BP1725" s="197"/>
      <c r="BQ1725" s="197"/>
    </row>
    <row r="1726" spans="66:69" x14ac:dyDescent="0.2">
      <c r="BN1726" s="192"/>
      <c r="BO1726" s="197"/>
      <c r="BP1726" s="197"/>
      <c r="BQ1726" s="197"/>
    </row>
    <row r="1727" spans="66:69" x14ac:dyDescent="0.2">
      <c r="BN1727" s="192"/>
      <c r="BO1727" s="197"/>
      <c r="BP1727" s="197"/>
      <c r="BQ1727" s="197"/>
    </row>
    <row r="1728" spans="66:69" x14ac:dyDescent="0.2">
      <c r="BN1728" s="192"/>
      <c r="BO1728" s="197"/>
      <c r="BP1728" s="197"/>
      <c r="BQ1728" s="197"/>
    </row>
    <row r="1729" spans="66:69" x14ac:dyDescent="0.2">
      <c r="BN1729" s="192"/>
      <c r="BO1729" s="197"/>
      <c r="BP1729" s="197"/>
      <c r="BQ1729" s="197"/>
    </row>
    <row r="1730" spans="66:69" x14ac:dyDescent="0.2">
      <c r="BN1730" s="192"/>
      <c r="BO1730" s="197"/>
      <c r="BP1730" s="197"/>
      <c r="BQ1730" s="197"/>
    </row>
    <row r="1731" spans="66:69" x14ac:dyDescent="0.2">
      <c r="BN1731" s="192"/>
      <c r="BO1731" s="197"/>
      <c r="BP1731" s="197"/>
      <c r="BQ1731" s="197"/>
    </row>
    <row r="1732" spans="66:69" x14ac:dyDescent="0.2">
      <c r="BN1732" s="192"/>
      <c r="BO1732" s="197"/>
      <c r="BP1732" s="197"/>
      <c r="BQ1732" s="197"/>
    </row>
    <row r="1733" spans="66:69" x14ac:dyDescent="0.2">
      <c r="BN1733" s="192"/>
      <c r="BO1733" s="197"/>
      <c r="BP1733" s="197"/>
      <c r="BQ1733" s="197"/>
    </row>
    <row r="1734" spans="66:69" x14ac:dyDescent="0.2">
      <c r="BN1734" s="192"/>
      <c r="BO1734" s="197"/>
      <c r="BP1734" s="197"/>
      <c r="BQ1734" s="197"/>
    </row>
    <row r="1735" spans="66:69" x14ac:dyDescent="0.2">
      <c r="BN1735" s="192"/>
      <c r="BO1735" s="197"/>
      <c r="BP1735" s="197"/>
      <c r="BQ1735" s="197"/>
    </row>
    <row r="1736" spans="66:69" x14ac:dyDescent="0.2">
      <c r="BN1736" s="192"/>
      <c r="BO1736" s="197"/>
      <c r="BP1736" s="197"/>
      <c r="BQ1736" s="197"/>
    </row>
    <row r="1737" spans="66:69" x14ac:dyDescent="0.2">
      <c r="BN1737" s="192"/>
      <c r="BO1737" s="197"/>
      <c r="BP1737" s="197"/>
      <c r="BQ1737" s="197"/>
    </row>
    <row r="1738" spans="66:69" x14ac:dyDescent="0.2">
      <c r="BN1738" s="192"/>
      <c r="BO1738" s="197"/>
      <c r="BP1738" s="197"/>
      <c r="BQ1738" s="197"/>
    </row>
    <row r="1739" spans="66:69" x14ac:dyDescent="0.2">
      <c r="BN1739" s="192"/>
      <c r="BO1739" s="197"/>
      <c r="BP1739" s="197"/>
      <c r="BQ1739" s="197"/>
    </row>
    <row r="1740" spans="66:69" x14ac:dyDescent="0.2">
      <c r="BN1740" s="192"/>
      <c r="BO1740" s="197"/>
      <c r="BP1740" s="197"/>
      <c r="BQ1740" s="197"/>
    </row>
    <row r="1741" spans="66:69" x14ac:dyDescent="0.2">
      <c r="BN1741" s="192"/>
      <c r="BO1741" s="197"/>
      <c r="BP1741" s="197"/>
      <c r="BQ1741" s="197"/>
    </row>
    <row r="1742" spans="66:69" x14ac:dyDescent="0.2">
      <c r="BN1742" s="192"/>
      <c r="BO1742" s="197"/>
      <c r="BP1742" s="197"/>
      <c r="BQ1742" s="197"/>
    </row>
    <row r="1743" spans="66:69" x14ac:dyDescent="0.2">
      <c r="BN1743" s="192"/>
      <c r="BO1743" s="197"/>
      <c r="BP1743" s="197"/>
      <c r="BQ1743" s="197"/>
    </row>
    <row r="1744" spans="66:69" x14ac:dyDescent="0.2">
      <c r="BN1744" s="192"/>
      <c r="BO1744" s="197"/>
      <c r="BP1744" s="197"/>
      <c r="BQ1744" s="197"/>
    </row>
    <row r="1745" spans="66:69" x14ac:dyDescent="0.2">
      <c r="BN1745" s="192"/>
      <c r="BO1745" s="197"/>
      <c r="BP1745" s="197"/>
      <c r="BQ1745" s="197"/>
    </row>
    <row r="1746" spans="66:69" x14ac:dyDescent="0.2">
      <c r="BN1746" s="192"/>
      <c r="BO1746" s="197"/>
      <c r="BP1746" s="197"/>
      <c r="BQ1746" s="197"/>
    </row>
    <row r="1747" spans="66:69" x14ac:dyDescent="0.2">
      <c r="BN1747" s="192"/>
      <c r="BO1747" s="197"/>
      <c r="BP1747" s="197"/>
      <c r="BQ1747" s="197"/>
    </row>
    <row r="1748" spans="66:69" x14ac:dyDescent="0.2">
      <c r="BN1748" s="192"/>
      <c r="BO1748" s="197"/>
      <c r="BP1748" s="197"/>
      <c r="BQ1748" s="197"/>
    </row>
    <row r="1749" spans="66:69" x14ac:dyDescent="0.2">
      <c r="BN1749" s="192"/>
      <c r="BO1749" s="197"/>
      <c r="BP1749" s="197"/>
      <c r="BQ1749" s="197"/>
    </row>
    <row r="1750" spans="66:69" x14ac:dyDescent="0.2">
      <c r="BN1750" s="192"/>
      <c r="BO1750" s="197"/>
      <c r="BP1750" s="197"/>
      <c r="BQ1750" s="197"/>
    </row>
    <row r="1751" spans="66:69" x14ac:dyDescent="0.2">
      <c r="BN1751" s="192"/>
      <c r="BO1751" s="197"/>
      <c r="BP1751" s="197"/>
      <c r="BQ1751" s="197"/>
    </row>
    <row r="1752" spans="66:69" x14ac:dyDescent="0.2">
      <c r="BN1752" s="192"/>
      <c r="BO1752" s="197"/>
      <c r="BP1752" s="197"/>
      <c r="BQ1752" s="197"/>
    </row>
    <row r="1753" spans="66:69" x14ac:dyDescent="0.2">
      <c r="BN1753" s="192"/>
      <c r="BO1753" s="197"/>
      <c r="BP1753" s="197"/>
      <c r="BQ1753" s="197"/>
    </row>
    <row r="1754" spans="66:69" x14ac:dyDescent="0.2">
      <c r="BN1754" s="192"/>
      <c r="BO1754" s="197"/>
      <c r="BP1754" s="197"/>
      <c r="BQ1754" s="197"/>
    </row>
    <row r="1755" spans="66:69" x14ac:dyDescent="0.2">
      <c r="BN1755" s="192"/>
      <c r="BO1755" s="197"/>
      <c r="BP1755" s="197"/>
      <c r="BQ1755" s="197"/>
    </row>
    <row r="1756" spans="66:69" x14ac:dyDescent="0.2">
      <c r="BN1756" s="192"/>
      <c r="BO1756" s="197"/>
      <c r="BP1756" s="197"/>
      <c r="BQ1756" s="197"/>
    </row>
    <row r="1757" spans="66:69" x14ac:dyDescent="0.2">
      <c r="BN1757" s="192"/>
      <c r="BO1757" s="197"/>
      <c r="BP1757" s="197"/>
      <c r="BQ1757" s="197"/>
    </row>
    <row r="1758" spans="66:69" x14ac:dyDescent="0.2">
      <c r="BN1758" s="192"/>
      <c r="BO1758" s="197"/>
      <c r="BP1758" s="197"/>
      <c r="BQ1758" s="197"/>
    </row>
    <row r="1759" spans="66:69" x14ac:dyDescent="0.2">
      <c r="BN1759" s="192"/>
      <c r="BO1759" s="197"/>
      <c r="BP1759" s="197"/>
      <c r="BQ1759" s="197"/>
    </row>
    <row r="1760" spans="66:69" x14ac:dyDescent="0.2">
      <c r="BN1760" s="192"/>
      <c r="BO1760" s="197"/>
      <c r="BP1760" s="197"/>
      <c r="BQ1760" s="197"/>
    </row>
    <row r="1761" spans="66:69" x14ac:dyDescent="0.2">
      <c r="BN1761" s="192"/>
      <c r="BO1761" s="197"/>
      <c r="BP1761" s="197"/>
      <c r="BQ1761" s="197"/>
    </row>
    <row r="1762" spans="66:69" x14ac:dyDescent="0.2">
      <c r="BN1762" s="192"/>
      <c r="BO1762" s="197"/>
      <c r="BP1762" s="197"/>
      <c r="BQ1762" s="197"/>
    </row>
    <row r="1763" spans="66:69" x14ac:dyDescent="0.2">
      <c r="BN1763" s="192"/>
      <c r="BO1763" s="197"/>
      <c r="BP1763" s="197"/>
      <c r="BQ1763" s="197"/>
    </row>
    <row r="1764" spans="66:69" x14ac:dyDescent="0.2">
      <c r="BN1764" s="192"/>
      <c r="BO1764" s="197"/>
      <c r="BP1764" s="197"/>
      <c r="BQ1764" s="197"/>
    </row>
    <row r="1765" spans="66:69" x14ac:dyDescent="0.2">
      <c r="BN1765" s="192"/>
      <c r="BO1765" s="197"/>
      <c r="BP1765" s="197"/>
      <c r="BQ1765" s="197"/>
    </row>
    <row r="1766" spans="66:69" x14ac:dyDescent="0.2">
      <c r="BN1766" s="192"/>
      <c r="BO1766" s="197"/>
      <c r="BP1766" s="197"/>
      <c r="BQ1766" s="197"/>
    </row>
    <row r="1767" spans="66:69" x14ac:dyDescent="0.2">
      <c r="BN1767" s="192"/>
      <c r="BO1767" s="197"/>
      <c r="BP1767" s="197"/>
      <c r="BQ1767" s="197"/>
    </row>
    <row r="1768" spans="66:69" x14ac:dyDescent="0.2">
      <c r="BN1768" s="192"/>
      <c r="BO1768" s="197"/>
      <c r="BP1768" s="197"/>
      <c r="BQ1768" s="197"/>
    </row>
    <row r="1769" spans="66:69" x14ac:dyDescent="0.2">
      <c r="BN1769" s="192"/>
      <c r="BO1769" s="197"/>
      <c r="BP1769" s="197"/>
      <c r="BQ1769" s="197"/>
    </row>
    <row r="1770" spans="66:69" x14ac:dyDescent="0.2">
      <c r="BN1770" s="192"/>
      <c r="BO1770" s="197"/>
      <c r="BP1770" s="197"/>
      <c r="BQ1770" s="197"/>
    </row>
    <row r="1771" spans="66:69" x14ac:dyDescent="0.2">
      <c r="BN1771" s="192"/>
      <c r="BO1771" s="197"/>
      <c r="BP1771" s="197"/>
      <c r="BQ1771" s="197"/>
    </row>
    <row r="1772" spans="66:69" x14ac:dyDescent="0.2">
      <c r="BN1772" s="192"/>
      <c r="BO1772" s="197"/>
      <c r="BP1772" s="197"/>
      <c r="BQ1772" s="197"/>
    </row>
    <row r="1773" spans="66:69" x14ac:dyDescent="0.2">
      <c r="BN1773" s="192"/>
      <c r="BO1773" s="197"/>
      <c r="BP1773" s="197"/>
      <c r="BQ1773" s="197"/>
    </row>
    <row r="1774" spans="66:69" x14ac:dyDescent="0.2">
      <c r="BN1774" s="192"/>
      <c r="BO1774" s="197"/>
      <c r="BP1774" s="197"/>
      <c r="BQ1774" s="197"/>
    </row>
    <row r="1775" spans="66:69" x14ac:dyDescent="0.2">
      <c r="BN1775" s="192"/>
      <c r="BO1775" s="197"/>
      <c r="BP1775" s="197"/>
      <c r="BQ1775" s="197"/>
    </row>
    <row r="1776" spans="66:69" x14ac:dyDescent="0.2">
      <c r="BN1776" s="192"/>
      <c r="BO1776" s="197"/>
      <c r="BP1776" s="197"/>
      <c r="BQ1776" s="197"/>
    </row>
    <row r="1777" spans="66:69" x14ac:dyDescent="0.2">
      <c r="BN1777" s="192"/>
      <c r="BO1777" s="197"/>
      <c r="BP1777" s="197"/>
      <c r="BQ1777" s="197"/>
    </row>
    <row r="1778" spans="66:69" x14ac:dyDescent="0.2">
      <c r="BN1778" s="192"/>
      <c r="BO1778" s="197"/>
      <c r="BP1778" s="197"/>
      <c r="BQ1778" s="197"/>
    </row>
    <row r="1779" spans="66:69" x14ac:dyDescent="0.2">
      <c r="BN1779" s="192"/>
      <c r="BO1779" s="197"/>
      <c r="BP1779" s="197"/>
      <c r="BQ1779" s="197"/>
    </row>
    <row r="1780" spans="66:69" x14ac:dyDescent="0.2">
      <c r="BN1780" s="192"/>
      <c r="BO1780" s="197"/>
      <c r="BP1780" s="197"/>
      <c r="BQ1780" s="197"/>
    </row>
    <row r="1781" spans="66:69" x14ac:dyDescent="0.2">
      <c r="BN1781" s="192"/>
      <c r="BO1781" s="197"/>
      <c r="BP1781" s="197"/>
      <c r="BQ1781" s="197"/>
    </row>
    <row r="1782" spans="66:69" x14ac:dyDescent="0.2">
      <c r="BN1782" s="192"/>
      <c r="BO1782" s="197"/>
      <c r="BP1782" s="197"/>
      <c r="BQ1782" s="197"/>
    </row>
    <row r="1783" spans="66:69" x14ac:dyDescent="0.2">
      <c r="BN1783" s="192"/>
      <c r="BO1783" s="197"/>
      <c r="BP1783" s="197"/>
      <c r="BQ1783" s="197"/>
    </row>
    <row r="1784" spans="66:69" x14ac:dyDescent="0.2">
      <c r="BN1784" s="192"/>
      <c r="BO1784" s="197"/>
      <c r="BP1784" s="197"/>
      <c r="BQ1784" s="197"/>
    </row>
    <row r="1785" spans="66:69" x14ac:dyDescent="0.2">
      <c r="BN1785" s="192"/>
      <c r="BO1785" s="197"/>
      <c r="BP1785" s="197"/>
      <c r="BQ1785" s="197"/>
    </row>
    <row r="1786" spans="66:69" x14ac:dyDescent="0.2">
      <c r="BN1786" s="192"/>
      <c r="BO1786" s="197"/>
      <c r="BP1786" s="197"/>
      <c r="BQ1786" s="197"/>
    </row>
    <row r="1787" spans="66:69" x14ac:dyDescent="0.2">
      <c r="BN1787" s="192"/>
      <c r="BO1787" s="197"/>
      <c r="BP1787" s="197"/>
      <c r="BQ1787" s="197"/>
    </row>
    <row r="1788" spans="66:69" x14ac:dyDescent="0.2">
      <c r="BN1788" s="192"/>
      <c r="BO1788" s="197"/>
      <c r="BP1788" s="197"/>
      <c r="BQ1788" s="197"/>
    </row>
    <row r="1789" spans="66:69" x14ac:dyDescent="0.2">
      <c r="BN1789" s="192"/>
      <c r="BO1789" s="197"/>
      <c r="BP1789" s="197"/>
      <c r="BQ1789" s="197"/>
    </row>
    <row r="1790" spans="66:69" x14ac:dyDescent="0.2">
      <c r="BN1790" s="192"/>
      <c r="BO1790" s="197"/>
      <c r="BP1790" s="197"/>
      <c r="BQ1790" s="197"/>
    </row>
    <row r="1791" spans="66:69" x14ac:dyDescent="0.2">
      <c r="BN1791" s="192"/>
      <c r="BO1791" s="197"/>
      <c r="BP1791" s="197"/>
      <c r="BQ1791" s="197"/>
    </row>
    <row r="1792" spans="66:69" x14ac:dyDescent="0.2">
      <c r="BN1792" s="192"/>
      <c r="BO1792" s="197"/>
      <c r="BP1792" s="197"/>
      <c r="BQ1792" s="197"/>
    </row>
    <row r="1793" spans="66:69" x14ac:dyDescent="0.2">
      <c r="BN1793" s="192"/>
      <c r="BO1793" s="197"/>
      <c r="BP1793" s="197"/>
      <c r="BQ1793" s="197"/>
    </row>
    <row r="1794" spans="66:69" x14ac:dyDescent="0.2">
      <c r="BN1794" s="192"/>
      <c r="BO1794" s="197"/>
      <c r="BP1794" s="197"/>
      <c r="BQ1794" s="197"/>
    </row>
    <row r="1795" spans="66:69" x14ac:dyDescent="0.2">
      <c r="BN1795" s="192"/>
      <c r="BO1795" s="197"/>
      <c r="BP1795" s="197"/>
      <c r="BQ1795" s="197"/>
    </row>
    <row r="1796" spans="66:69" x14ac:dyDescent="0.2">
      <c r="BN1796" s="192"/>
      <c r="BO1796" s="197"/>
      <c r="BP1796" s="197"/>
      <c r="BQ1796" s="197"/>
    </row>
    <row r="1797" spans="66:69" x14ac:dyDescent="0.2">
      <c r="BN1797" s="192"/>
      <c r="BO1797" s="197"/>
      <c r="BP1797" s="197"/>
      <c r="BQ1797" s="197"/>
    </row>
    <row r="1798" spans="66:69" x14ac:dyDescent="0.2">
      <c r="BN1798" s="192"/>
      <c r="BO1798" s="197"/>
      <c r="BP1798" s="197"/>
      <c r="BQ1798" s="197"/>
    </row>
    <row r="1799" spans="66:69" x14ac:dyDescent="0.2">
      <c r="BN1799" s="192"/>
      <c r="BO1799" s="197"/>
      <c r="BP1799" s="197"/>
      <c r="BQ1799" s="197"/>
    </row>
    <row r="1800" spans="66:69" x14ac:dyDescent="0.2">
      <c r="BN1800" s="192"/>
      <c r="BO1800" s="197"/>
      <c r="BP1800" s="197"/>
      <c r="BQ1800" s="197"/>
    </row>
    <row r="1801" spans="66:69" x14ac:dyDescent="0.2">
      <c r="BN1801" s="192"/>
      <c r="BO1801" s="197"/>
      <c r="BP1801" s="197"/>
      <c r="BQ1801" s="197"/>
    </row>
    <row r="1802" spans="66:69" x14ac:dyDescent="0.2">
      <c r="BN1802" s="192"/>
      <c r="BO1802" s="197"/>
      <c r="BP1802" s="197"/>
      <c r="BQ1802" s="197"/>
    </row>
    <row r="1803" spans="66:69" x14ac:dyDescent="0.2">
      <c r="BN1803" s="192"/>
      <c r="BO1803" s="197"/>
      <c r="BP1803" s="197"/>
      <c r="BQ1803" s="197"/>
    </row>
    <row r="1804" spans="66:69" x14ac:dyDescent="0.2">
      <c r="BN1804" s="192"/>
      <c r="BO1804" s="197"/>
      <c r="BP1804" s="197"/>
      <c r="BQ1804" s="197"/>
    </row>
    <row r="1805" spans="66:69" x14ac:dyDescent="0.2">
      <c r="BN1805" s="192"/>
      <c r="BO1805" s="197"/>
      <c r="BP1805" s="197"/>
      <c r="BQ1805" s="197"/>
    </row>
    <row r="1806" spans="66:69" x14ac:dyDescent="0.2">
      <c r="BN1806" s="192"/>
      <c r="BO1806" s="197"/>
      <c r="BP1806" s="197"/>
      <c r="BQ1806" s="197"/>
    </row>
    <row r="1807" spans="66:69" x14ac:dyDescent="0.2">
      <c r="BN1807" s="192"/>
      <c r="BO1807" s="197"/>
      <c r="BP1807" s="197"/>
      <c r="BQ1807" s="197"/>
    </row>
    <row r="1808" spans="66:69" x14ac:dyDescent="0.2">
      <c r="BN1808" s="192"/>
      <c r="BO1808" s="197"/>
      <c r="BP1808" s="197"/>
      <c r="BQ1808" s="197"/>
    </row>
    <row r="1809" spans="66:69" x14ac:dyDescent="0.2">
      <c r="BN1809" s="192"/>
      <c r="BO1809" s="197"/>
      <c r="BP1809" s="197"/>
      <c r="BQ1809" s="197"/>
    </row>
    <row r="1810" spans="66:69" x14ac:dyDescent="0.2">
      <c r="BN1810" s="192"/>
      <c r="BO1810" s="197"/>
      <c r="BP1810" s="197"/>
      <c r="BQ1810" s="197"/>
    </row>
    <row r="1811" spans="66:69" x14ac:dyDescent="0.2">
      <c r="BN1811" s="192"/>
      <c r="BO1811" s="197"/>
      <c r="BP1811" s="197"/>
      <c r="BQ1811" s="197"/>
    </row>
    <row r="1812" spans="66:69" x14ac:dyDescent="0.2">
      <c r="BN1812" s="192"/>
      <c r="BO1812" s="197"/>
      <c r="BP1812" s="197"/>
      <c r="BQ1812" s="197"/>
    </row>
    <row r="1813" spans="66:69" x14ac:dyDescent="0.2">
      <c r="BN1813" s="192"/>
      <c r="BO1813" s="197"/>
      <c r="BP1813" s="197"/>
      <c r="BQ1813" s="197"/>
    </row>
    <row r="1814" spans="66:69" x14ac:dyDescent="0.2">
      <c r="BN1814" s="192"/>
      <c r="BO1814" s="197"/>
      <c r="BP1814" s="197"/>
      <c r="BQ1814" s="197"/>
    </row>
    <row r="1815" spans="66:69" x14ac:dyDescent="0.2">
      <c r="BN1815" s="192"/>
      <c r="BO1815" s="197"/>
      <c r="BP1815" s="197"/>
      <c r="BQ1815" s="197"/>
    </row>
    <row r="1816" spans="66:69" x14ac:dyDescent="0.2">
      <c r="BN1816" s="192"/>
      <c r="BO1816" s="197"/>
      <c r="BP1816" s="197"/>
      <c r="BQ1816" s="197"/>
    </row>
    <row r="1817" spans="66:69" x14ac:dyDescent="0.2">
      <c r="BN1817" s="192"/>
      <c r="BO1817" s="197"/>
      <c r="BP1817" s="197"/>
      <c r="BQ1817" s="197"/>
    </row>
    <row r="1818" spans="66:69" x14ac:dyDescent="0.2">
      <c r="BN1818" s="192"/>
      <c r="BO1818" s="197"/>
      <c r="BP1818" s="197"/>
      <c r="BQ1818" s="197"/>
    </row>
    <row r="1819" spans="66:69" x14ac:dyDescent="0.2">
      <c r="BN1819" s="192"/>
      <c r="BO1819" s="197"/>
      <c r="BP1819" s="197"/>
      <c r="BQ1819" s="197"/>
    </row>
    <row r="1820" spans="66:69" x14ac:dyDescent="0.2">
      <c r="BN1820" s="192"/>
      <c r="BO1820" s="197"/>
      <c r="BP1820" s="197"/>
      <c r="BQ1820" s="197"/>
    </row>
    <row r="1821" spans="66:69" x14ac:dyDescent="0.2">
      <c r="BN1821" s="192"/>
      <c r="BO1821" s="197"/>
      <c r="BP1821" s="197"/>
      <c r="BQ1821" s="197"/>
    </row>
    <row r="1822" spans="66:69" x14ac:dyDescent="0.2">
      <c r="BN1822" s="192"/>
      <c r="BO1822" s="197"/>
      <c r="BP1822" s="197"/>
      <c r="BQ1822" s="197"/>
    </row>
    <row r="1823" spans="66:69" x14ac:dyDescent="0.2">
      <c r="BN1823" s="192"/>
      <c r="BO1823" s="197"/>
      <c r="BP1823" s="197"/>
      <c r="BQ1823" s="197"/>
    </row>
    <row r="1824" spans="66:69" x14ac:dyDescent="0.2">
      <c r="BN1824" s="192"/>
      <c r="BO1824" s="197"/>
      <c r="BP1824" s="197"/>
      <c r="BQ1824" s="197"/>
    </row>
    <row r="1825" spans="66:69" x14ac:dyDescent="0.2">
      <c r="BN1825" s="192"/>
      <c r="BO1825" s="197"/>
      <c r="BP1825" s="197"/>
      <c r="BQ1825" s="197"/>
    </row>
    <row r="1826" spans="66:69" x14ac:dyDescent="0.2">
      <c r="BN1826" s="192"/>
      <c r="BO1826" s="197"/>
      <c r="BP1826" s="197"/>
      <c r="BQ1826" s="197"/>
    </row>
    <row r="1827" spans="66:69" x14ac:dyDescent="0.2">
      <c r="BN1827" s="192"/>
      <c r="BO1827" s="197"/>
      <c r="BP1827" s="197"/>
      <c r="BQ1827" s="197"/>
    </row>
    <row r="1828" spans="66:69" x14ac:dyDescent="0.2">
      <c r="BN1828" s="192"/>
      <c r="BO1828" s="197"/>
      <c r="BP1828" s="197"/>
      <c r="BQ1828" s="197"/>
    </row>
    <row r="1829" spans="66:69" x14ac:dyDescent="0.2">
      <c r="BN1829" s="192"/>
      <c r="BO1829" s="197"/>
      <c r="BP1829" s="197"/>
      <c r="BQ1829" s="197"/>
    </row>
    <row r="1830" spans="66:69" x14ac:dyDescent="0.2">
      <c r="BN1830" s="192"/>
      <c r="BO1830" s="197"/>
      <c r="BP1830" s="197"/>
      <c r="BQ1830" s="197"/>
    </row>
    <row r="1831" spans="66:69" x14ac:dyDescent="0.2">
      <c r="BN1831" s="192"/>
      <c r="BO1831" s="197"/>
      <c r="BP1831" s="197"/>
      <c r="BQ1831" s="197"/>
    </row>
    <row r="1832" spans="66:69" x14ac:dyDescent="0.2">
      <c r="BN1832" s="192"/>
      <c r="BO1832" s="197"/>
      <c r="BP1832" s="197"/>
      <c r="BQ1832" s="197"/>
    </row>
    <row r="1833" spans="66:69" x14ac:dyDescent="0.2">
      <c r="BN1833" s="192"/>
      <c r="BO1833" s="197"/>
      <c r="BP1833" s="197"/>
      <c r="BQ1833" s="197"/>
    </row>
    <row r="1834" spans="66:69" x14ac:dyDescent="0.2">
      <c r="BN1834" s="192"/>
      <c r="BO1834" s="197"/>
      <c r="BP1834" s="197"/>
      <c r="BQ1834" s="197"/>
    </row>
    <row r="1835" spans="66:69" x14ac:dyDescent="0.2">
      <c r="BN1835" s="192"/>
      <c r="BO1835" s="197"/>
      <c r="BP1835" s="197"/>
      <c r="BQ1835" s="197"/>
    </row>
    <row r="1836" spans="66:69" x14ac:dyDescent="0.2">
      <c r="BN1836" s="192"/>
      <c r="BO1836" s="197"/>
      <c r="BP1836" s="197"/>
      <c r="BQ1836" s="197"/>
    </row>
    <row r="1837" spans="66:69" x14ac:dyDescent="0.2">
      <c r="BN1837" s="192"/>
      <c r="BO1837" s="197"/>
      <c r="BP1837" s="197"/>
      <c r="BQ1837" s="197"/>
    </row>
    <row r="1838" spans="66:69" x14ac:dyDescent="0.2">
      <c r="BN1838" s="192"/>
      <c r="BO1838" s="197"/>
      <c r="BP1838" s="197"/>
      <c r="BQ1838" s="197"/>
    </row>
    <row r="1839" spans="66:69" x14ac:dyDescent="0.2">
      <c r="BN1839" s="192"/>
      <c r="BO1839" s="197"/>
      <c r="BP1839" s="197"/>
      <c r="BQ1839" s="197"/>
    </row>
    <row r="1840" spans="66:69" x14ac:dyDescent="0.2">
      <c r="BN1840" s="192"/>
      <c r="BO1840" s="197"/>
      <c r="BP1840" s="197"/>
      <c r="BQ1840" s="197"/>
    </row>
    <row r="1841" spans="66:69" x14ac:dyDescent="0.2">
      <c r="BN1841" s="192"/>
      <c r="BO1841" s="197"/>
      <c r="BP1841" s="197"/>
      <c r="BQ1841" s="197"/>
    </row>
    <row r="1842" spans="66:69" x14ac:dyDescent="0.2">
      <c r="BN1842" s="192"/>
      <c r="BO1842" s="197"/>
      <c r="BP1842" s="197"/>
      <c r="BQ1842" s="197"/>
    </row>
    <row r="1843" spans="66:69" x14ac:dyDescent="0.2">
      <c r="BN1843" s="192"/>
      <c r="BO1843" s="197"/>
      <c r="BP1843" s="197"/>
      <c r="BQ1843" s="197"/>
    </row>
    <row r="1844" spans="66:69" x14ac:dyDescent="0.2">
      <c r="BN1844" s="192"/>
      <c r="BO1844" s="197"/>
      <c r="BP1844" s="197"/>
      <c r="BQ1844" s="197"/>
    </row>
    <row r="1845" spans="66:69" x14ac:dyDescent="0.2">
      <c r="BN1845" s="192"/>
      <c r="BO1845" s="197"/>
      <c r="BP1845" s="197"/>
      <c r="BQ1845" s="197"/>
    </row>
    <row r="1846" spans="66:69" x14ac:dyDescent="0.2">
      <c r="BN1846" s="192"/>
      <c r="BO1846" s="197"/>
      <c r="BP1846" s="197"/>
      <c r="BQ1846" s="197"/>
    </row>
    <row r="1847" spans="66:69" x14ac:dyDescent="0.2">
      <c r="BN1847" s="192"/>
      <c r="BO1847" s="197"/>
      <c r="BP1847" s="197"/>
      <c r="BQ1847" s="197"/>
    </row>
    <row r="1848" spans="66:69" x14ac:dyDescent="0.2">
      <c r="BN1848" s="192"/>
      <c r="BO1848" s="197"/>
      <c r="BP1848" s="197"/>
      <c r="BQ1848" s="197"/>
    </row>
    <row r="1849" spans="66:69" x14ac:dyDescent="0.2">
      <c r="BN1849" s="192"/>
      <c r="BO1849" s="197"/>
      <c r="BP1849" s="197"/>
      <c r="BQ1849" s="197"/>
    </row>
    <row r="1850" spans="66:69" x14ac:dyDescent="0.2">
      <c r="BN1850" s="192"/>
      <c r="BO1850" s="197"/>
      <c r="BP1850" s="197"/>
      <c r="BQ1850" s="197"/>
    </row>
    <row r="1851" spans="66:69" x14ac:dyDescent="0.2">
      <c r="BN1851" s="192"/>
      <c r="BO1851" s="197"/>
      <c r="BP1851" s="197"/>
      <c r="BQ1851" s="197"/>
    </row>
    <row r="1852" spans="66:69" x14ac:dyDescent="0.2">
      <c r="BN1852" s="192"/>
      <c r="BO1852" s="197"/>
      <c r="BP1852" s="197"/>
      <c r="BQ1852" s="197"/>
    </row>
    <row r="1853" spans="66:69" x14ac:dyDescent="0.2">
      <c r="BN1853" s="192"/>
      <c r="BO1853" s="197"/>
      <c r="BP1853" s="197"/>
      <c r="BQ1853" s="197"/>
    </row>
    <row r="1854" spans="66:69" x14ac:dyDescent="0.2">
      <c r="BN1854" s="192"/>
      <c r="BO1854" s="197"/>
      <c r="BP1854" s="197"/>
      <c r="BQ1854" s="197"/>
    </row>
    <row r="1855" spans="66:69" x14ac:dyDescent="0.2">
      <c r="BN1855" s="192"/>
      <c r="BO1855" s="197"/>
      <c r="BP1855" s="197"/>
      <c r="BQ1855" s="197"/>
    </row>
    <row r="1856" spans="66:69" x14ac:dyDescent="0.2">
      <c r="BN1856" s="192"/>
      <c r="BO1856" s="197"/>
      <c r="BP1856" s="197"/>
      <c r="BQ1856" s="197"/>
    </row>
    <row r="1857" spans="66:69" x14ac:dyDescent="0.2">
      <c r="BN1857" s="192"/>
      <c r="BO1857" s="197"/>
      <c r="BP1857" s="197"/>
      <c r="BQ1857" s="197"/>
    </row>
    <row r="1858" spans="66:69" x14ac:dyDescent="0.2">
      <c r="BN1858" s="192"/>
      <c r="BO1858" s="197"/>
      <c r="BP1858" s="197"/>
      <c r="BQ1858" s="197"/>
    </row>
    <row r="1859" spans="66:69" x14ac:dyDescent="0.2">
      <c r="BN1859" s="192"/>
      <c r="BO1859" s="197"/>
      <c r="BP1859" s="197"/>
      <c r="BQ1859" s="197"/>
    </row>
    <row r="1860" spans="66:69" x14ac:dyDescent="0.2">
      <c r="BN1860" s="192"/>
      <c r="BO1860" s="197"/>
      <c r="BP1860" s="197"/>
      <c r="BQ1860" s="197"/>
    </row>
    <row r="1861" spans="66:69" x14ac:dyDescent="0.2">
      <c r="BN1861" s="192"/>
      <c r="BO1861" s="197"/>
      <c r="BP1861" s="197"/>
      <c r="BQ1861" s="197"/>
    </row>
    <row r="1862" spans="66:69" x14ac:dyDescent="0.2">
      <c r="BN1862" s="192"/>
      <c r="BO1862" s="197"/>
      <c r="BP1862" s="197"/>
      <c r="BQ1862" s="197"/>
    </row>
    <row r="1863" spans="66:69" x14ac:dyDescent="0.2">
      <c r="BN1863" s="192"/>
      <c r="BO1863" s="197"/>
      <c r="BP1863" s="197"/>
      <c r="BQ1863" s="197"/>
    </row>
    <row r="1864" spans="66:69" x14ac:dyDescent="0.2">
      <c r="BN1864" s="192"/>
      <c r="BO1864" s="197"/>
      <c r="BP1864" s="197"/>
      <c r="BQ1864" s="197"/>
    </row>
    <row r="1865" spans="66:69" x14ac:dyDescent="0.2">
      <c r="BN1865" s="192"/>
      <c r="BO1865" s="197"/>
      <c r="BP1865" s="197"/>
      <c r="BQ1865" s="197"/>
    </row>
    <row r="1866" spans="66:69" x14ac:dyDescent="0.2">
      <c r="BN1866" s="192"/>
      <c r="BO1866" s="197"/>
      <c r="BP1866" s="197"/>
      <c r="BQ1866" s="197"/>
    </row>
    <row r="1867" spans="66:69" x14ac:dyDescent="0.2">
      <c r="BN1867" s="192"/>
      <c r="BO1867" s="197"/>
      <c r="BP1867" s="197"/>
      <c r="BQ1867" s="197"/>
    </row>
    <row r="1868" spans="66:69" x14ac:dyDescent="0.2">
      <c r="BN1868" s="192"/>
      <c r="BO1868" s="197"/>
      <c r="BP1868" s="197"/>
      <c r="BQ1868" s="197"/>
    </row>
    <row r="1869" spans="66:69" x14ac:dyDescent="0.2">
      <c r="BN1869" s="192"/>
      <c r="BO1869" s="197"/>
      <c r="BP1869" s="197"/>
      <c r="BQ1869" s="197"/>
    </row>
    <row r="1870" spans="66:69" x14ac:dyDescent="0.2">
      <c r="BN1870" s="192"/>
      <c r="BO1870" s="197"/>
      <c r="BP1870" s="197"/>
      <c r="BQ1870" s="197"/>
    </row>
    <row r="1871" spans="66:69" x14ac:dyDescent="0.2">
      <c r="BN1871" s="192"/>
      <c r="BO1871" s="197"/>
      <c r="BP1871" s="197"/>
      <c r="BQ1871" s="197"/>
    </row>
    <row r="1872" spans="66:69" x14ac:dyDescent="0.2">
      <c r="BN1872" s="192"/>
      <c r="BO1872" s="197"/>
      <c r="BP1872" s="197"/>
      <c r="BQ1872" s="197"/>
    </row>
    <row r="1873" spans="66:69" x14ac:dyDescent="0.2">
      <c r="BN1873" s="192"/>
      <c r="BO1873" s="197"/>
      <c r="BP1873" s="197"/>
      <c r="BQ1873" s="197"/>
    </row>
    <row r="1874" spans="66:69" x14ac:dyDescent="0.2">
      <c r="BN1874" s="192"/>
      <c r="BO1874" s="197"/>
      <c r="BP1874" s="197"/>
      <c r="BQ1874" s="197"/>
    </row>
    <row r="1875" spans="66:69" x14ac:dyDescent="0.2">
      <c r="BN1875" s="192"/>
      <c r="BO1875" s="197"/>
      <c r="BP1875" s="197"/>
      <c r="BQ1875" s="197"/>
    </row>
    <row r="1876" spans="66:69" x14ac:dyDescent="0.2">
      <c r="BN1876" s="192"/>
      <c r="BO1876" s="197"/>
      <c r="BP1876" s="197"/>
      <c r="BQ1876" s="197"/>
    </row>
    <row r="1877" spans="66:69" x14ac:dyDescent="0.2">
      <c r="BN1877" s="192"/>
      <c r="BO1877" s="197"/>
      <c r="BP1877" s="197"/>
      <c r="BQ1877" s="197"/>
    </row>
    <row r="1878" spans="66:69" x14ac:dyDescent="0.2">
      <c r="BN1878" s="192"/>
      <c r="BO1878" s="197"/>
      <c r="BP1878" s="197"/>
      <c r="BQ1878" s="197"/>
    </row>
    <row r="1879" spans="66:69" x14ac:dyDescent="0.2">
      <c r="BN1879" s="192"/>
      <c r="BO1879" s="197"/>
      <c r="BP1879" s="197"/>
      <c r="BQ1879" s="197"/>
    </row>
    <row r="1880" spans="66:69" x14ac:dyDescent="0.2">
      <c r="BN1880" s="192"/>
      <c r="BO1880" s="197"/>
      <c r="BP1880" s="197"/>
      <c r="BQ1880" s="197"/>
    </row>
    <row r="1881" spans="66:69" x14ac:dyDescent="0.2">
      <c r="BN1881" s="192"/>
      <c r="BO1881" s="197"/>
      <c r="BP1881" s="197"/>
      <c r="BQ1881" s="197"/>
    </row>
    <row r="1882" spans="66:69" x14ac:dyDescent="0.2">
      <c r="BN1882" s="192"/>
      <c r="BO1882" s="197"/>
      <c r="BP1882" s="197"/>
      <c r="BQ1882" s="197"/>
    </row>
    <row r="1883" spans="66:69" x14ac:dyDescent="0.2">
      <c r="BN1883" s="192"/>
      <c r="BO1883" s="197"/>
      <c r="BP1883" s="197"/>
      <c r="BQ1883" s="197"/>
    </row>
    <row r="1884" spans="66:69" x14ac:dyDescent="0.2">
      <c r="BN1884" s="192"/>
      <c r="BO1884" s="197"/>
      <c r="BP1884" s="197"/>
      <c r="BQ1884" s="197"/>
    </row>
    <row r="1885" spans="66:69" x14ac:dyDescent="0.2">
      <c r="BN1885" s="192"/>
      <c r="BO1885" s="197"/>
      <c r="BP1885" s="197"/>
      <c r="BQ1885" s="197"/>
    </row>
    <row r="1886" spans="66:69" x14ac:dyDescent="0.2">
      <c r="BN1886" s="192"/>
      <c r="BO1886" s="197"/>
      <c r="BP1886" s="197"/>
      <c r="BQ1886" s="197"/>
    </row>
    <row r="1887" spans="66:69" x14ac:dyDescent="0.2">
      <c r="BN1887" s="192"/>
      <c r="BO1887" s="197"/>
      <c r="BP1887" s="197"/>
      <c r="BQ1887" s="197"/>
    </row>
    <row r="1888" spans="66:69" x14ac:dyDescent="0.2">
      <c r="BN1888" s="192"/>
      <c r="BO1888" s="197"/>
      <c r="BP1888" s="197"/>
      <c r="BQ1888" s="197"/>
    </row>
    <row r="1889" spans="66:69" x14ac:dyDescent="0.2">
      <c r="BN1889" s="192"/>
      <c r="BO1889" s="197"/>
      <c r="BP1889" s="197"/>
      <c r="BQ1889" s="197"/>
    </row>
    <row r="1890" spans="66:69" x14ac:dyDescent="0.2">
      <c r="BN1890" s="192"/>
      <c r="BO1890" s="197"/>
      <c r="BP1890" s="197"/>
      <c r="BQ1890" s="197"/>
    </row>
    <row r="1891" spans="66:69" x14ac:dyDescent="0.2">
      <c r="BN1891" s="192"/>
      <c r="BO1891" s="197"/>
      <c r="BP1891" s="197"/>
      <c r="BQ1891" s="197"/>
    </row>
    <row r="1892" spans="66:69" x14ac:dyDescent="0.2">
      <c r="BN1892" s="192"/>
      <c r="BO1892" s="197"/>
      <c r="BP1892" s="197"/>
      <c r="BQ1892" s="197"/>
    </row>
    <row r="1893" spans="66:69" x14ac:dyDescent="0.2">
      <c r="BN1893" s="192"/>
      <c r="BO1893" s="197"/>
      <c r="BP1893" s="197"/>
      <c r="BQ1893" s="197"/>
    </row>
    <row r="1894" spans="66:69" x14ac:dyDescent="0.2">
      <c r="BN1894" s="192"/>
      <c r="BO1894" s="197"/>
      <c r="BP1894" s="197"/>
      <c r="BQ1894" s="197"/>
    </row>
    <row r="1895" spans="66:69" x14ac:dyDescent="0.2">
      <c r="BN1895" s="192"/>
      <c r="BO1895" s="197"/>
      <c r="BP1895" s="197"/>
      <c r="BQ1895" s="197"/>
    </row>
    <row r="1896" spans="66:69" x14ac:dyDescent="0.2">
      <c r="BN1896" s="192"/>
      <c r="BO1896" s="197"/>
      <c r="BP1896" s="197"/>
      <c r="BQ1896" s="197"/>
    </row>
    <row r="1897" spans="66:69" x14ac:dyDescent="0.2">
      <c r="BN1897" s="192"/>
      <c r="BO1897" s="197"/>
      <c r="BP1897" s="197"/>
      <c r="BQ1897" s="197"/>
    </row>
    <row r="1898" spans="66:69" x14ac:dyDescent="0.2">
      <c r="BN1898" s="192"/>
      <c r="BO1898" s="197"/>
      <c r="BP1898" s="197"/>
      <c r="BQ1898" s="197"/>
    </row>
    <row r="1899" spans="66:69" x14ac:dyDescent="0.2">
      <c r="BN1899" s="192"/>
      <c r="BO1899" s="197"/>
      <c r="BP1899" s="197"/>
      <c r="BQ1899" s="197"/>
    </row>
    <row r="1900" spans="66:69" x14ac:dyDescent="0.2">
      <c r="BN1900" s="192"/>
      <c r="BO1900" s="197"/>
      <c r="BP1900" s="197"/>
      <c r="BQ1900" s="197"/>
    </row>
    <row r="1901" spans="66:69" x14ac:dyDescent="0.2">
      <c r="BN1901" s="192"/>
      <c r="BO1901" s="197"/>
      <c r="BP1901" s="197"/>
      <c r="BQ1901" s="197"/>
    </row>
    <row r="1902" spans="66:69" x14ac:dyDescent="0.2">
      <c r="BN1902" s="192"/>
      <c r="BO1902" s="197"/>
      <c r="BP1902" s="197"/>
      <c r="BQ1902" s="197"/>
    </row>
    <row r="1903" spans="66:69" x14ac:dyDescent="0.2">
      <c r="BN1903" s="192"/>
      <c r="BO1903" s="197"/>
      <c r="BP1903" s="197"/>
      <c r="BQ1903" s="197"/>
    </row>
    <row r="1904" spans="66:69" x14ac:dyDescent="0.2">
      <c r="BN1904" s="192"/>
      <c r="BO1904" s="197"/>
      <c r="BP1904" s="197"/>
      <c r="BQ1904" s="197"/>
    </row>
    <row r="1905" spans="66:69" x14ac:dyDescent="0.2">
      <c r="BN1905" s="192"/>
      <c r="BO1905" s="197"/>
      <c r="BP1905" s="197"/>
      <c r="BQ1905" s="197"/>
    </row>
    <row r="1906" spans="66:69" x14ac:dyDescent="0.2">
      <c r="BN1906" s="192"/>
      <c r="BO1906" s="197"/>
      <c r="BP1906" s="197"/>
      <c r="BQ1906" s="197"/>
    </row>
    <row r="1907" spans="66:69" x14ac:dyDescent="0.2">
      <c r="BN1907" s="192"/>
      <c r="BO1907" s="197"/>
      <c r="BP1907" s="197"/>
      <c r="BQ1907" s="197"/>
    </row>
    <row r="1908" spans="66:69" x14ac:dyDescent="0.2">
      <c r="BN1908" s="192"/>
      <c r="BO1908" s="197"/>
      <c r="BP1908" s="197"/>
      <c r="BQ1908" s="197"/>
    </row>
    <row r="1909" spans="66:69" x14ac:dyDescent="0.2">
      <c r="BN1909" s="192"/>
      <c r="BO1909" s="197"/>
      <c r="BP1909" s="197"/>
      <c r="BQ1909" s="197"/>
    </row>
    <row r="1910" spans="66:69" x14ac:dyDescent="0.2">
      <c r="BN1910" s="192"/>
      <c r="BO1910" s="197"/>
      <c r="BP1910" s="197"/>
      <c r="BQ1910" s="197"/>
    </row>
    <row r="1911" spans="66:69" x14ac:dyDescent="0.2">
      <c r="BN1911" s="192"/>
      <c r="BO1911" s="197"/>
      <c r="BP1911" s="197"/>
      <c r="BQ1911" s="197"/>
    </row>
    <row r="1912" spans="66:69" x14ac:dyDescent="0.2">
      <c r="BN1912" s="192"/>
      <c r="BO1912" s="197"/>
      <c r="BP1912" s="197"/>
      <c r="BQ1912" s="197"/>
    </row>
    <row r="1913" spans="66:69" x14ac:dyDescent="0.2">
      <c r="BN1913" s="192"/>
      <c r="BO1913" s="197"/>
      <c r="BP1913" s="197"/>
      <c r="BQ1913" s="197"/>
    </row>
    <row r="1914" spans="66:69" x14ac:dyDescent="0.2">
      <c r="BN1914" s="192"/>
      <c r="BO1914" s="197"/>
      <c r="BP1914" s="197"/>
      <c r="BQ1914" s="197"/>
    </row>
    <row r="1915" spans="66:69" x14ac:dyDescent="0.2">
      <c r="BN1915" s="192"/>
      <c r="BO1915" s="197"/>
      <c r="BP1915" s="197"/>
      <c r="BQ1915" s="197"/>
    </row>
    <row r="1916" spans="66:69" x14ac:dyDescent="0.2">
      <c r="BN1916" s="192"/>
      <c r="BO1916" s="197"/>
      <c r="BP1916" s="197"/>
      <c r="BQ1916" s="197"/>
    </row>
    <row r="1917" spans="66:69" x14ac:dyDescent="0.2">
      <c r="BN1917" s="192"/>
      <c r="BO1917" s="197"/>
      <c r="BP1917" s="197"/>
      <c r="BQ1917" s="197"/>
    </row>
    <row r="1918" spans="66:69" x14ac:dyDescent="0.2">
      <c r="BN1918" s="192"/>
      <c r="BO1918" s="197"/>
      <c r="BP1918" s="197"/>
      <c r="BQ1918" s="197"/>
    </row>
    <row r="1919" spans="66:69" x14ac:dyDescent="0.2">
      <c r="BN1919" s="192"/>
      <c r="BO1919" s="197"/>
      <c r="BP1919" s="197"/>
      <c r="BQ1919" s="197"/>
    </row>
    <row r="1920" spans="66:69" x14ac:dyDescent="0.2">
      <c r="BN1920" s="192"/>
      <c r="BO1920" s="197"/>
      <c r="BP1920" s="197"/>
      <c r="BQ1920" s="197"/>
    </row>
    <row r="1921" spans="66:69" x14ac:dyDescent="0.2">
      <c r="BN1921" s="192"/>
      <c r="BO1921" s="197"/>
      <c r="BP1921" s="197"/>
      <c r="BQ1921" s="197"/>
    </row>
    <row r="1922" spans="66:69" x14ac:dyDescent="0.2">
      <c r="BN1922" s="192"/>
      <c r="BO1922" s="197"/>
      <c r="BP1922" s="197"/>
      <c r="BQ1922" s="197"/>
    </row>
    <row r="1923" spans="66:69" x14ac:dyDescent="0.2">
      <c r="BN1923" s="192"/>
      <c r="BO1923" s="197"/>
      <c r="BP1923" s="197"/>
      <c r="BQ1923" s="197"/>
    </row>
    <row r="1924" spans="66:69" x14ac:dyDescent="0.2">
      <c r="BN1924" s="192"/>
      <c r="BO1924" s="197"/>
      <c r="BP1924" s="197"/>
      <c r="BQ1924" s="197"/>
    </row>
    <row r="1925" spans="66:69" x14ac:dyDescent="0.2">
      <c r="BN1925" s="192"/>
      <c r="BO1925" s="197"/>
      <c r="BP1925" s="197"/>
      <c r="BQ1925" s="197"/>
    </row>
    <row r="1926" spans="66:69" x14ac:dyDescent="0.2">
      <c r="BN1926" s="192"/>
      <c r="BO1926" s="197"/>
      <c r="BP1926" s="197"/>
      <c r="BQ1926" s="197"/>
    </row>
    <row r="1927" spans="66:69" x14ac:dyDescent="0.2">
      <c r="BN1927" s="192"/>
      <c r="BO1927" s="197"/>
      <c r="BP1927" s="197"/>
      <c r="BQ1927" s="197"/>
    </row>
    <row r="1928" spans="66:69" x14ac:dyDescent="0.2">
      <c r="BN1928" s="192"/>
      <c r="BO1928" s="197"/>
      <c r="BP1928" s="197"/>
      <c r="BQ1928" s="197"/>
    </row>
    <row r="1929" spans="66:69" x14ac:dyDescent="0.2">
      <c r="BN1929" s="192"/>
      <c r="BO1929" s="197"/>
      <c r="BP1929" s="197"/>
      <c r="BQ1929" s="197"/>
    </row>
    <row r="1930" spans="66:69" x14ac:dyDescent="0.2">
      <c r="BN1930" s="192"/>
      <c r="BO1930" s="197"/>
      <c r="BP1930" s="197"/>
      <c r="BQ1930" s="197"/>
    </row>
    <row r="1931" spans="66:69" x14ac:dyDescent="0.2">
      <c r="BN1931" s="192"/>
      <c r="BO1931" s="197"/>
      <c r="BP1931" s="197"/>
      <c r="BQ1931" s="197"/>
    </row>
    <row r="1932" spans="66:69" x14ac:dyDescent="0.2">
      <c r="BN1932" s="192"/>
      <c r="BO1932" s="197"/>
      <c r="BP1932" s="197"/>
      <c r="BQ1932" s="197"/>
    </row>
    <row r="1933" spans="66:69" x14ac:dyDescent="0.2">
      <c r="BN1933" s="192"/>
      <c r="BO1933" s="197"/>
      <c r="BP1933" s="197"/>
      <c r="BQ1933" s="197"/>
    </row>
    <row r="1934" spans="66:69" x14ac:dyDescent="0.2">
      <c r="BN1934" s="192"/>
      <c r="BO1934" s="197"/>
      <c r="BP1934" s="197"/>
      <c r="BQ1934" s="197"/>
    </row>
    <row r="1935" spans="66:69" x14ac:dyDescent="0.2">
      <c r="BN1935" s="192"/>
      <c r="BO1935" s="197"/>
      <c r="BP1935" s="197"/>
      <c r="BQ1935" s="197"/>
    </row>
    <row r="1936" spans="66:69" x14ac:dyDescent="0.2">
      <c r="BN1936" s="192"/>
      <c r="BO1936" s="197"/>
      <c r="BP1936" s="197"/>
      <c r="BQ1936" s="197"/>
    </row>
    <row r="1937" spans="66:69" x14ac:dyDescent="0.2">
      <c r="BN1937" s="192"/>
      <c r="BO1937" s="197"/>
      <c r="BP1937" s="197"/>
      <c r="BQ1937" s="197"/>
    </row>
    <row r="1938" spans="66:69" x14ac:dyDescent="0.2">
      <c r="BN1938" s="192"/>
      <c r="BO1938" s="197"/>
      <c r="BP1938" s="197"/>
      <c r="BQ1938" s="197"/>
    </row>
    <row r="1939" spans="66:69" x14ac:dyDescent="0.2">
      <c r="BN1939" s="192"/>
      <c r="BO1939" s="197"/>
      <c r="BP1939" s="197"/>
      <c r="BQ1939" s="197"/>
    </row>
    <row r="1940" spans="66:69" x14ac:dyDescent="0.2">
      <c r="BN1940" s="192"/>
      <c r="BO1940" s="197"/>
      <c r="BP1940" s="197"/>
      <c r="BQ1940" s="197"/>
    </row>
    <row r="1941" spans="66:69" x14ac:dyDescent="0.2">
      <c r="BN1941" s="192"/>
      <c r="BO1941" s="197"/>
      <c r="BP1941" s="197"/>
      <c r="BQ1941" s="197"/>
    </row>
    <row r="1942" spans="66:69" x14ac:dyDescent="0.2">
      <c r="BN1942" s="192"/>
      <c r="BO1942" s="197"/>
      <c r="BP1942" s="197"/>
      <c r="BQ1942" s="197"/>
    </row>
    <row r="1943" spans="66:69" x14ac:dyDescent="0.2">
      <c r="BN1943" s="192"/>
      <c r="BO1943" s="197"/>
      <c r="BP1943" s="197"/>
      <c r="BQ1943" s="197"/>
    </row>
    <row r="1944" spans="66:69" x14ac:dyDescent="0.2">
      <c r="BN1944" s="192"/>
      <c r="BO1944" s="197"/>
      <c r="BP1944" s="197"/>
      <c r="BQ1944" s="197"/>
    </row>
    <row r="1945" spans="66:69" x14ac:dyDescent="0.2">
      <c r="BN1945" s="192"/>
      <c r="BO1945" s="197"/>
      <c r="BP1945" s="197"/>
      <c r="BQ1945" s="197"/>
    </row>
    <row r="1946" spans="66:69" x14ac:dyDescent="0.2">
      <c r="BN1946" s="192"/>
      <c r="BO1946" s="197"/>
      <c r="BP1946" s="197"/>
      <c r="BQ1946" s="197"/>
    </row>
    <row r="1947" spans="66:69" x14ac:dyDescent="0.2">
      <c r="BN1947" s="192"/>
      <c r="BO1947" s="197"/>
      <c r="BP1947" s="197"/>
      <c r="BQ1947" s="197"/>
    </row>
    <row r="1948" spans="66:69" x14ac:dyDescent="0.2">
      <c r="BN1948" s="192"/>
      <c r="BO1948" s="197"/>
      <c r="BP1948" s="197"/>
      <c r="BQ1948" s="197"/>
    </row>
    <row r="1949" spans="66:69" x14ac:dyDescent="0.2">
      <c r="BN1949" s="192"/>
      <c r="BO1949" s="197"/>
      <c r="BP1949" s="197"/>
      <c r="BQ1949" s="197"/>
    </row>
    <row r="1950" spans="66:69" x14ac:dyDescent="0.2">
      <c r="BN1950" s="192"/>
      <c r="BO1950" s="197"/>
      <c r="BP1950" s="197"/>
      <c r="BQ1950" s="197"/>
    </row>
    <row r="1951" spans="66:69" x14ac:dyDescent="0.2">
      <c r="BN1951" s="192"/>
      <c r="BO1951" s="197"/>
      <c r="BP1951" s="197"/>
      <c r="BQ1951" s="197"/>
    </row>
    <row r="1952" spans="66:69" x14ac:dyDescent="0.2">
      <c r="BN1952" s="192"/>
      <c r="BO1952" s="197"/>
      <c r="BP1952" s="197"/>
      <c r="BQ1952" s="197"/>
    </row>
    <row r="1953" spans="66:69" x14ac:dyDescent="0.2">
      <c r="BN1953" s="192"/>
      <c r="BO1953" s="197"/>
      <c r="BP1953" s="197"/>
      <c r="BQ1953" s="197"/>
    </row>
    <row r="1954" spans="66:69" x14ac:dyDescent="0.2">
      <c r="BN1954" s="192"/>
      <c r="BO1954" s="197"/>
      <c r="BP1954" s="197"/>
      <c r="BQ1954" s="197"/>
    </row>
    <row r="1955" spans="66:69" x14ac:dyDescent="0.2">
      <c r="BN1955" s="192"/>
      <c r="BO1955" s="197"/>
      <c r="BP1955" s="197"/>
      <c r="BQ1955" s="197"/>
    </row>
    <row r="1956" spans="66:69" x14ac:dyDescent="0.2">
      <c r="BN1956" s="192"/>
      <c r="BO1956" s="197"/>
      <c r="BP1956" s="197"/>
      <c r="BQ1956" s="197"/>
    </row>
    <row r="1957" spans="66:69" x14ac:dyDescent="0.2">
      <c r="BN1957" s="192"/>
      <c r="BO1957" s="197"/>
      <c r="BP1957" s="197"/>
      <c r="BQ1957" s="197"/>
    </row>
    <row r="1958" spans="66:69" x14ac:dyDescent="0.2">
      <c r="BN1958" s="192"/>
      <c r="BO1958" s="197"/>
      <c r="BP1958" s="197"/>
      <c r="BQ1958" s="197"/>
    </row>
    <row r="1959" spans="66:69" x14ac:dyDescent="0.2">
      <c r="BN1959" s="192"/>
      <c r="BO1959" s="197"/>
      <c r="BP1959" s="197"/>
      <c r="BQ1959" s="197"/>
    </row>
    <row r="1960" spans="66:69" x14ac:dyDescent="0.2">
      <c r="BN1960" s="192"/>
      <c r="BO1960" s="197"/>
      <c r="BP1960" s="197"/>
      <c r="BQ1960" s="197"/>
    </row>
    <row r="1961" spans="66:69" x14ac:dyDescent="0.2">
      <c r="BN1961" s="192"/>
      <c r="BO1961" s="197"/>
      <c r="BP1961" s="197"/>
      <c r="BQ1961" s="197"/>
    </row>
    <row r="1962" spans="66:69" x14ac:dyDescent="0.2">
      <c r="BN1962" s="192"/>
      <c r="BO1962" s="197"/>
      <c r="BP1962" s="197"/>
      <c r="BQ1962" s="197"/>
    </row>
    <row r="1963" spans="66:69" x14ac:dyDescent="0.2">
      <c r="BN1963" s="192"/>
      <c r="BO1963" s="197"/>
      <c r="BP1963" s="197"/>
      <c r="BQ1963" s="197"/>
    </row>
    <row r="1964" spans="66:69" x14ac:dyDescent="0.2">
      <c r="BN1964" s="192"/>
      <c r="BO1964" s="197"/>
      <c r="BP1964" s="197"/>
      <c r="BQ1964" s="197"/>
    </row>
    <row r="1965" spans="66:69" x14ac:dyDescent="0.2">
      <c r="BN1965" s="192"/>
      <c r="BO1965" s="197"/>
      <c r="BP1965" s="197"/>
      <c r="BQ1965" s="197"/>
    </row>
    <row r="1966" spans="66:69" x14ac:dyDescent="0.2">
      <c r="BN1966" s="192"/>
      <c r="BO1966" s="197"/>
      <c r="BP1966" s="197"/>
      <c r="BQ1966" s="197"/>
    </row>
    <row r="1967" spans="66:69" x14ac:dyDescent="0.2">
      <c r="BN1967" s="192"/>
      <c r="BO1967" s="197"/>
      <c r="BP1967" s="197"/>
      <c r="BQ1967" s="197"/>
    </row>
    <row r="1968" spans="66:69" x14ac:dyDescent="0.2">
      <c r="BN1968" s="192"/>
      <c r="BO1968" s="197"/>
      <c r="BP1968" s="197"/>
      <c r="BQ1968" s="197"/>
    </row>
    <row r="1969" spans="66:69" x14ac:dyDescent="0.2">
      <c r="BN1969" s="192"/>
      <c r="BO1969" s="197"/>
      <c r="BP1969" s="197"/>
      <c r="BQ1969" s="197"/>
    </row>
    <row r="1970" spans="66:69" x14ac:dyDescent="0.2">
      <c r="BN1970" s="192"/>
      <c r="BO1970" s="197"/>
      <c r="BP1970" s="197"/>
      <c r="BQ1970" s="197"/>
    </row>
    <row r="1971" spans="66:69" x14ac:dyDescent="0.2">
      <c r="BN1971" s="192"/>
      <c r="BO1971" s="197"/>
      <c r="BP1971" s="197"/>
      <c r="BQ1971" s="197"/>
    </row>
    <row r="1972" spans="66:69" x14ac:dyDescent="0.2">
      <c r="BN1972" s="192"/>
      <c r="BO1972" s="197"/>
      <c r="BP1972" s="197"/>
      <c r="BQ1972" s="197"/>
    </row>
    <row r="1973" spans="66:69" x14ac:dyDescent="0.2">
      <c r="BN1973" s="192"/>
      <c r="BO1973" s="197"/>
      <c r="BP1973" s="197"/>
      <c r="BQ1973" s="197"/>
    </row>
    <row r="1974" spans="66:69" x14ac:dyDescent="0.2">
      <c r="BN1974" s="192"/>
      <c r="BO1974" s="197"/>
      <c r="BP1974" s="197"/>
      <c r="BQ1974" s="197"/>
    </row>
    <row r="1975" spans="66:69" x14ac:dyDescent="0.2">
      <c r="BN1975" s="192"/>
      <c r="BO1975" s="197"/>
      <c r="BP1975" s="197"/>
      <c r="BQ1975" s="197"/>
    </row>
    <row r="1976" spans="66:69" x14ac:dyDescent="0.2">
      <c r="BN1976" s="192"/>
      <c r="BO1976" s="197"/>
      <c r="BP1976" s="197"/>
      <c r="BQ1976" s="197"/>
    </row>
    <row r="1977" spans="66:69" x14ac:dyDescent="0.2">
      <c r="BN1977" s="192"/>
      <c r="BO1977" s="197"/>
      <c r="BP1977" s="197"/>
      <c r="BQ1977" s="197"/>
    </row>
    <row r="1978" spans="66:69" x14ac:dyDescent="0.2">
      <c r="BN1978" s="192"/>
      <c r="BO1978" s="197"/>
      <c r="BP1978" s="197"/>
      <c r="BQ1978" s="197"/>
    </row>
    <row r="1979" spans="66:69" x14ac:dyDescent="0.2">
      <c r="BN1979" s="192"/>
      <c r="BO1979" s="197"/>
      <c r="BP1979" s="197"/>
      <c r="BQ1979" s="197"/>
    </row>
    <row r="1980" spans="66:69" x14ac:dyDescent="0.2">
      <c r="BN1980" s="192"/>
      <c r="BO1980" s="197"/>
      <c r="BP1980" s="197"/>
      <c r="BQ1980" s="197"/>
    </row>
    <row r="1981" spans="66:69" x14ac:dyDescent="0.2">
      <c r="BN1981" s="192"/>
      <c r="BO1981" s="197"/>
      <c r="BP1981" s="197"/>
      <c r="BQ1981" s="197"/>
    </row>
    <row r="1982" spans="66:69" x14ac:dyDescent="0.2">
      <c r="BN1982" s="192"/>
      <c r="BO1982" s="197"/>
      <c r="BP1982" s="197"/>
      <c r="BQ1982" s="197"/>
    </row>
    <row r="1983" spans="66:69" x14ac:dyDescent="0.2">
      <c r="BN1983" s="192"/>
      <c r="BO1983" s="197"/>
      <c r="BP1983" s="197"/>
      <c r="BQ1983" s="197"/>
    </row>
    <row r="1984" spans="66:69" x14ac:dyDescent="0.2">
      <c r="BN1984" s="192"/>
      <c r="BO1984" s="197"/>
      <c r="BP1984" s="197"/>
      <c r="BQ1984" s="197"/>
    </row>
    <row r="1985" spans="66:69" x14ac:dyDescent="0.2">
      <c r="BN1985" s="192"/>
      <c r="BO1985" s="197"/>
      <c r="BP1985" s="197"/>
      <c r="BQ1985" s="197"/>
    </row>
    <row r="1986" spans="66:69" x14ac:dyDescent="0.2">
      <c r="BN1986" s="192"/>
      <c r="BO1986" s="197"/>
      <c r="BP1986" s="197"/>
      <c r="BQ1986" s="197"/>
    </row>
    <row r="1987" spans="66:69" x14ac:dyDescent="0.2">
      <c r="BN1987" s="192"/>
      <c r="BO1987" s="197"/>
      <c r="BP1987" s="197"/>
      <c r="BQ1987" s="197"/>
    </row>
    <row r="1988" spans="66:69" x14ac:dyDescent="0.2">
      <c r="BN1988" s="192"/>
      <c r="BO1988" s="197"/>
      <c r="BP1988" s="197"/>
      <c r="BQ1988" s="197"/>
    </row>
    <row r="1989" spans="66:69" x14ac:dyDescent="0.2">
      <c r="BN1989" s="192"/>
      <c r="BO1989" s="197"/>
      <c r="BP1989" s="197"/>
      <c r="BQ1989" s="197"/>
    </row>
    <row r="1990" spans="66:69" x14ac:dyDescent="0.2">
      <c r="BN1990" s="192"/>
      <c r="BO1990" s="197"/>
      <c r="BP1990" s="197"/>
      <c r="BQ1990" s="197"/>
    </row>
    <row r="1991" spans="66:69" x14ac:dyDescent="0.2">
      <c r="BN1991" s="192"/>
      <c r="BO1991" s="197"/>
      <c r="BP1991" s="197"/>
      <c r="BQ1991" s="197"/>
    </row>
    <row r="1992" spans="66:69" x14ac:dyDescent="0.2">
      <c r="BN1992" s="192"/>
      <c r="BO1992" s="197"/>
      <c r="BP1992" s="197"/>
      <c r="BQ1992" s="197"/>
    </row>
    <row r="1993" spans="66:69" x14ac:dyDescent="0.2">
      <c r="BN1993" s="192"/>
      <c r="BO1993" s="197"/>
      <c r="BP1993" s="197"/>
      <c r="BQ1993" s="197"/>
    </row>
    <row r="1994" spans="66:69" x14ac:dyDescent="0.2">
      <c r="BN1994" s="192"/>
      <c r="BO1994" s="197"/>
      <c r="BP1994" s="197"/>
      <c r="BQ1994" s="197"/>
    </row>
    <row r="1995" spans="66:69" x14ac:dyDescent="0.2">
      <c r="BN1995" s="192"/>
      <c r="BO1995" s="197"/>
      <c r="BP1995" s="197"/>
      <c r="BQ1995" s="197"/>
    </row>
    <row r="1996" spans="66:69" x14ac:dyDescent="0.2">
      <c r="BN1996" s="192"/>
      <c r="BO1996" s="197"/>
      <c r="BP1996" s="197"/>
      <c r="BQ1996" s="197"/>
    </row>
    <row r="1997" spans="66:69" x14ac:dyDescent="0.2">
      <c r="BN1997" s="192"/>
      <c r="BO1997" s="197"/>
      <c r="BP1997" s="197"/>
      <c r="BQ1997" s="197"/>
    </row>
    <row r="1998" spans="66:69" x14ac:dyDescent="0.2">
      <c r="BN1998" s="192"/>
      <c r="BO1998" s="197"/>
      <c r="BP1998" s="197"/>
      <c r="BQ1998" s="197"/>
    </row>
    <row r="1999" spans="66:69" x14ac:dyDescent="0.2">
      <c r="BN1999" s="192"/>
      <c r="BO1999" s="197"/>
      <c r="BP1999" s="197"/>
      <c r="BQ1999" s="197"/>
    </row>
    <row r="2000" spans="66:69" x14ac:dyDescent="0.2">
      <c r="BN2000" s="192"/>
      <c r="BO2000" s="197"/>
      <c r="BP2000" s="197"/>
      <c r="BQ2000" s="197"/>
    </row>
    <row r="2001" spans="66:69" x14ac:dyDescent="0.2">
      <c r="BN2001" s="192"/>
      <c r="BO2001" s="197"/>
      <c r="BP2001" s="197"/>
      <c r="BQ2001" s="197"/>
    </row>
    <row r="2002" spans="66:69" x14ac:dyDescent="0.2">
      <c r="BN2002" s="192"/>
      <c r="BO2002" s="197"/>
      <c r="BP2002" s="197"/>
      <c r="BQ2002" s="197"/>
    </row>
    <row r="2003" spans="66:69" x14ac:dyDescent="0.2">
      <c r="BN2003" s="192"/>
      <c r="BO2003" s="197"/>
      <c r="BP2003" s="197"/>
      <c r="BQ2003" s="197"/>
    </row>
    <row r="2004" spans="66:69" x14ac:dyDescent="0.2">
      <c r="BN2004" s="192"/>
      <c r="BO2004" s="197"/>
      <c r="BP2004" s="197"/>
      <c r="BQ2004" s="197"/>
    </row>
    <row r="2005" spans="66:69" x14ac:dyDescent="0.2">
      <c r="BN2005" s="192"/>
      <c r="BO2005" s="197"/>
      <c r="BP2005" s="197"/>
      <c r="BQ2005" s="197"/>
    </row>
    <row r="2006" spans="66:69" x14ac:dyDescent="0.2">
      <c r="BN2006" s="192"/>
      <c r="BO2006" s="197"/>
      <c r="BP2006" s="197"/>
      <c r="BQ2006" s="197"/>
    </row>
    <row r="2007" spans="66:69" x14ac:dyDescent="0.2">
      <c r="BN2007" s="192"/>
      <c r="BO2007" s="197"/>
      <c r="BP2007" s="197"/>
      <c r="BQ2007" s="197"/>
    </row>
    <row r="2008" spans="66:69" x14ac:dyDescent="0.2">
      <c r="BN2008" s="192"/>
      <c r="BO2008" s="197"/>
      <c r="BP2008" s="197"/>
      <c r="BQ2008" s="197"/>
    </row>
    <row r="2009" spans="66:69" x14ac:dyDescent="0.2">
      <c r="BN2009" s="192"/>
      <c r="BO2009" s="197"/>
      <c r="BP2009" s="197"/>
      <c r="BQ2009" s="197"/>
    </row>
    <row r="2010" spans="66:69" x14ac:dyDescent="0.2">
      <c r="BN2010" s="192"/>
      <c r="BO2010" s="197"/>
      <c r="BP2010" s="197"/>
      <c r="BQ2010" s="197"/>
    </row>
    <row r="2011" spans="66:69" x14ac:dyDescent="0.2">
      <c r="BN2011" s="192"/>
      <c r="BO2011" s="197"/>
      <c r="BP2011" s="197"/>
      <c r="BQ2011" s="197"/>
    </row>
    <row r="2012" spans="66:69" x14ac:dyDescent="0.2">
      <c r="BN2012" s="192"/>
      <c r="BO2012" s="197"/>
      <c r="BP2012" s="197"/>
      <c r="BQ2012" s="197"/>
    </row>
    <row r="2013" spans="66:69" x14ac:dyDescent="0.2">
      <c r="BN2013" s="192"/>
      <c r="BO2013" s="197"/>
      <c r="BP2013" s="197"/>
      <c r="BQ2013" s="197"/>
    </row>
    <row r="2014" spans="66:69" x14ac:dyDescent="0.2">
      <c r="BN2014" s="192"/>
      <c r="BO2014" s="197"/>
      <c r="BP2014" s="197"/>
      <c r="BQ2014" s="197"/>
    </row>
    <row r="2015" spans="66:69" x14ac:dyDescent="0.2">
      <c r="BN2015" s="192"/>
      <c r="BO2015" s="197"/>
      <c r="BP2015" s="197"/>
      <c r="BQ2015" s="197"/>
    </row>
    <row r="2016" spans="66:69" x14ac:dyDescent="0.2">
      <c r="BN2016" s="192"/>
      <c r="BO2016" s="197"/>
      <c r="BP2016" s="197"/>
      <c r="BQ2016" s="197"/>
    </row>
    <row r="2017" spans="66:69" x14ac:dyDescent="0.2">
      <c r="BN2017" s="192"/>
      <c r="BO2017" s="197"/>
      <c r="BP2017" s="197"/>
      <c r="BQ2017" s="197"/>
    </row>
    <row r="2018" spans="66:69" x14ac:dyDescent="0.2">
      <c r="BN2018" s="192"/>
      <c r="BO2018" s="197"/>
      <c r="BP2018" s="197"/>
      <c r="BQ2018" s="197"/>
    </row>
    <row r="2019" spans="66:69" x14ac:dyDescent="0.2">
      <c r="BN2019" s="192"/>
      <c r="BO2019" s="197"/>
      <c r="BP2019" s="197"/>
      <c r="BQ2019" s="197"/>
    </row>
    <row r="2020" spans="66:69" x14ac:dyDescent="0.2">
      <c r="BN2020" s="192"/>
      <c r="BO2020" s="197"/>
      <c r="BP2020" s="197"/>
      <c r="BQ2020" s="197"/>
    </row>
    <row r="2021" spans="66:69" x14ac:dyDescent="0.2">
      <c r="BN2021" s="192"/>
      <c r="BO2021" s="197"/>
      <c r="BP2021" s="197"/>
      <c r="BQ2021" s="197"/>
    </row>
    <row r="2022" spans="66:69" x14ac:dyDescent="0.2">
      <c r="BN2022" s="192"/>
      <c r="BO2022" s="197"/>
      <c r="BP2022" s="197"/>
      <c r="BQ2022" s="197"/>
    </row>
    <row r="2023" spans="66:69" x14ac:dyDescent="0.2">
      <c r="BN2023" s="192"/>
      <c r="BO2023" s="197"/>
      <c r="BP2023" s="197"/>
      <c r="BQ2023" s="197"/>
    </row>
    <row r="2024" spans="66:69" x14ac:dyDescent="0.2">
      <c r="BN2024" s="192"/>
      <c r="BO2024" s="197"/>
      <c r="BP2024" s="197"/>
      <c r="BQ2024" s="197"/>
    </row>
    <row r="2025" spans="66:69" x14ac:dyDescent="0.2">
      <c r="BN2025" s="192"/>
      <c r="BO2025" s="197"/>
      <c r="BP2025" s="197"/>
      <c r="BQ2025" s="197"/>
    </row>
    <row r="2026" spans="66:69" x14ac:dyDescent="0.2">
      <c r="BN2026" s="192"/>
      <c r="BO2026" s="197"/>
      <c r="BP2026" s="197"/>
      <c r="BQ2026" s="197"/>
    </row>
    <row r="2027" spans="66:69" x14ac:dyDescent="0.2">
      <c r="BN2027" s="192"/>
      <c r="BO2027" s="197"/>
      <c r="BP2027" s="197"/>
      <c r="BQ2027" s="197"/>
    </row>
    <row r="2028" spans="66:69" x14ac:dyDescent="0.2">
      <c r="BN2028" s="192"/>
      <c r="BO2028" s="197"/>
      <c r="BP2028" s="197"/>
      <c r="BQ2028" s="197"/>
    </row>
    <row r="2029" spans="66:69" x14ac:dyDescent="0.2">
      <c r="BN2029" s="192"/>
      <c r="BO2029" s="197"/>
      <c r="BP2029" s="197"/>
      <c r="BQ2029" s="197"/>
    </row>
    <row r="2030" spans="66:69" x14ac:dyDescent="0.2">
      <c r="BN2030" s="192"/>
      <c r="BO2030" s="197"/>
      <c r="BP2030" s="197"/>
      <c r="BQ2030" s="197"/>
    </row>
    <row r="2031" spans="66:69" x14ac:dyDescent="0.2">
      <c r="BN2031" s="192"/>
      <c r="BO2031" s="197"/>
      <c r="BP2031" s="197"/>
      <c r="BQ2031" s="197"/>
    </row>
    <row r="2032" spans="66:69" x14ac:dyDescent="0.2">
      <c r="BN2032" s="192"/>
      <c r="BO2032" s="197"/>
      <c r="BP2032" s="197"/>
      <c r="BQ2032" s="197"/>
    </row>
    <row r="2033" spans="66:69" x14ac:dyDescent="0.2">
      <c r="BN2033" s="192"/>
      <c r="BO2033" s="197"/>
      <c r="BP2033" s="197"/>
      <c r="BQ2033" s="197"/>
    </row>
    <row r="2034" spans="66:69" x14ac:dyDescent="0.2">
      <c r="BN2034" s="192"/>
      <c r="BO2034" s="197"/>
      <c r="BP2034" s="197"/>
      <c r="BQ2034" s="197"/>
    </row>
    <row r="2035" spans="66:69" x14ac:dyDescent="0.2">
      <c r="BN2035" s="192"/>
      <c r="BO2035" s="197"/>
      <c r="BP2035" s="197"/>
      <c r="BQ2035" s="197"/>
    </row>
    <row r="2036" spans="66:69" x14ac:dyDescent="0.2">
      <c r="BN2036" s="192"/>
      <c r="BO2036" s="197"/>
      <c r="BP2036" s="197"/>
      <c r="BQ2036" s="197"/>
    </row>
    <row r="2037" spans="66:69" x14ac:dyDescent="0.2">
      <c r="BN2037" s="192"/>
      <c r="BO2037" s="197"/>
      <c r="BP2037" s="197"/>
      <c r="BQ2037" s="197"/>
    </row>
    <row r="2038" spans="66:69" x14ac:dyDescent="0.2">
      <c r="BN2038" s="192"/>
      <c r="BO2038" s="197"/>
      <c r="BP2038" s="197"/>
      <c r="BQ2038" s="197"/>
    </row>
    <row r="2039" spans="66:69" x14ac:dyDescent="0.2">
      <c r="BN2039" s="192"/>
      <c r="BO2039" s="197"/>
      <c r="BP2039" s="197"/>
      <c r="BQ2039" s="197"/>
    </row>
    <row r="2040" spans="66:69" x14ac:dyDescent="0.2">
      <c r="BN2040" s="192"/>
      <c r="BO2040" s="197"/>
      <c r="BP2040" s="197"/>
      <c r="BQ2040" s="197"/>
    </row>
    <row r="2041" spans="66:69" x14ac:dyDescent="0.2">
      <c r="BN2041" s="192"/>
      <c r="BO2041" s="197"/>
      <c r="BP2041" s="197"/>
      <c r="BQ2041" s="197"/>
    </row>
    <row r="2042" spans="66:69" x14ac:dyDescent="0.2">
      <c r="BN2042" s="192"/>
      <c r="BO2042" s="197"/>
      <c r="BP2042" s="197"/>
      <c r="BQ2042" s="197"/>
    </row>
    <row r="2043" spans="66:69" x14ac:dyDescent="0.2">
      <c r="BN2043" s="192"/>
      <c r="BO2043" s="197"/>
      <c r="BP2043" s="197"/>
      <c r="BQ2043" s="197"/>
    </row>
    <row r="2044" spans="66:69" x14ac:dyDescent="0.2">
      <c r="BN2044" s="192"/>
      <c r="BO2044" s="197"/>
      <c r="BP2044" s="197"/>
      <c r="BQ2044" s="197"/>
    </row>
    <row r="2045" spans="66:69" x14ac:dyDescent="0.2">
      <c r="BN2045" s="192"/>
      <c r="BO2045" s="197"/>
      <c r="BP2045" s="197"/>
      <c r="BQ2045" s="197"/>
    </row>
    <row r="2046" spans="66:69" x14ac:dyDescent="0.2">
      <c r="BN2046" s="192"/>
      <c r="BO2046" s="197"/>
      <c r="BP2046" s="197"/>
      <c r="BQ2046" s="197"/>
    </row>
    <row r="2047" spans="66:69" x14ac:dyDescent="0.2">
      <c r="BN2047" s="192"/>
      <c r="BO2047" s="197"/>
      <c r="BP2047" s="197"/>
      <c r="BQ2047" s="197"/>
    </row>
    <row r="2048" spans="66:69" x14ac:dyDescent="0.2">
      <c r="BN2048" s="192"/>
      <c r="BO2048" s="197"/>
      <c r="BP2048" s="197"/>
      <c r="BQ2048" s="197"/>
    </row>
    <row r="2049" spans="66:69" x14ac:dyDescent="0.2">
      <c r="BN2049" s="192"/>
      <c r="BO2049" s="197"/>
      <c r="BP2049" s="197"/>
      <c r="BQ2049" s="197"/>
    </row>
    <row r="2050" spans="66:69" x14ac:dyDescent="0.2">
      <c r="BN2050" s="192"/>
      <c r="BO2050" s="197"/>
      <c r="BP2050" s="197"/>
      <c r="BQ2050" s="197"/>
    </row>
    <row r="2051" spans="66:69" x14ac:dyDescent="0.2">
      <c r="BN2051" s="192"/>
      <c r="BO2051" s="197"/>
      <c r="BP2051" s="197"/>
      <c r="BQ2051" s="197"/>
    </row>
    <row r="2052" spans="66:69" x14ac:dyDescent="0.2">
      <c r="BN2052" s="192"/>
      <c r="BO2052" s="197"/>
      <c r="BP2052" s="197"/>
      <c r="BQ2052" s="197"/>
    </row>
    <row r="2053" spans="66:69" x14ac:dyDescent="0.2">
      <c r="BN2053" s="192"/>
      <c r="BO2053" s="197"/>
      <c r="BP2053" s="197"/>
      <c r="BQ2053" s="197"/>
    </row>
    <row r="2054" spans="66:69" x14ac:dyDescent="0.2">
      <c r="BN2054" s="192"/>
      <c r="BO2054" s="197"/>
      <c r="BP2054" s="197"/>
      <c r="BQ2054" s="197"/>
    </row>
    <row r="2055" spans="66:69" x14ac:dyDescent="0.2">
      <c r="BN2055" s="192"/>
      <c r="BO2055" s="197"/>
      <c r="BP2055" s="197"/>
      <c r="BQ2055" s="197"/>
    </row>
    <row r="2056" spans="66:69" x14ac:dyDescent="0.2">
      <c r="BN2056" s="192"/>
      <c r="BO2056" s="197"/>
      <c r="BP2056" s="197"/>
      <c r="BQ2056" s="197"/>
    </row>
    <row r="2057" spans="66:69" x14ac:dyDescent="0.2">
      <c r="BN2057" s="192"/>
      <c r="BO2057" s="197"/>
      <c r="BP2057" s="197"/>
      <c r="BQ2057" s="197"/>
    </row>
    <row r="2058" spans="66:69" x14ac:dyDescent="0.2">
      <c r="BN2058" s="192"/>
      <c r="BO2058" s="197"/>
      <c r="BP2058" s="197"/>
      <c r="BQ2058" s="197"/>
    </row>
    <row r="2059" spans="66:69" x14ac:dyDescent="0.2">
      <c r="BN2059" s="192"/>
      <c r="BO2059" s="197"/>
      <c r="BP2059" s="197"/>
      <c r="BQ2059" s="197"/>
    </row>
    <row r="2060" spans="66:69" x14ac:dyDescent="0.2">
      <c r="BN2060" s="192"/>
      <c r="BO2060" s="197"/>
      <c r="BP2060" s="197"/>
      <c r="BQ2060" s="197"/>
    </row>
    <row r="2061" spans="66:69" x14ac:dyDescent="0.2">
      <c r="BN2061" s="192"/>
      <c r="BO2061" s="197"/>
      <c r="BP2061" s="197"/>
      <c r="BQ2061" s="197"/>
    </row>
    <row r="2062" spans="66:69" x14ac:dyDescent="0.2">
      <c r="BN2062" s="192"/>
      <c r="BO2062" s="197"/>
      <c r="BP2062" s="197"/>
      <c r="BQ2062" s="197"/>
    </row>
    <row r="2063" spans="66:69" x14ac:dyDescent="0.2">
      <c r="BN2063" s="192"/>
      <c r="BO2063" s="197"/>
      <c r="BP2063" s="197"/>
      <c r="BQ2063" s="197"/>
    </row>
    <row r="2064" spans="66:69" x14ac:dyDescent="0.2">
      <c r="BN2064" s="192"/>
      <c r="BO2064" s="197"/>
      <c r="BP2064" s="197"/>
      <c r="BQ2064" s="197"/>
    </row>
    <row r="2065" spans="66:69" x14ac:dyDescent="0.2">
      <c r="BN2065" s="192"/>
      <c r="BO2065" s="197"/>
      <c r="BP2065" s="197"/>
      <c r="BQ2065" s="197"/>
    </row>
    <row r="2066" spans="66:69" x14ac:dyDescent="0.2">
      <c r="BN2066" s="192"/>
      <c r="BO2066" s="197"/>
      <c r="BP2066" s="197"/>
      <c r="BQ2066" s="197"/>
    </row>
    <row r="2067" spans="66:69" x14ac:dyDescent="0.2">
      <c r="BN2067" s="192"/>
      <c r="BO2067" s="197"/>
      <c r="BP2067" s="197"/>
      <c r="BQ2067" s="197"/>
    </row>
    <row r="2068" spans="66:69" x14ac:dyDescent="0.2">
      <c r="BN2068" s="192"/>
      <c r="BO2068" s="197"/>
      <c r="BP2068" s="197"/>
      <c r="BQ2068" s="197"/>
    </row>
    <row r="2069" spans="66:69" x14ac:dyDescent="0.2">
      <c r="BN2069" s="192"/>
      <c r="BO2069" s="197"/>
      <c r="BP2069" s="197"/>
      <c r="BQ2069" s="197"/>
    </row>
    <row r="2070" spans="66:69" x14ac:dyDescent="0.2">
      <c r="BN2070" s="192"/>
      <c r="BO2070" s="197"/>
      <c r="BP2070" s="197"/>
      <c r="BQ2070" s="197"/>
    </row>
    <row r="2071" spans="66:69" x14ac:dyDescent="0.2">
      <c r="BN2071" s="192"/>
      <c r="BO2071" s="197"/>
      <c r="BP2071" s="197"/>
      <c r="BQ2071" s="197"/>
    </row>
    <row r="2072" spans="66:69" x14ac:dyDescent="0.2">
      <c r="BN2072" s="192"/>
      <c r="BO2072" s="197"/>
      <c r="BP2072" s="197"/>
      <c r="BQ2072" s="197"/>
    </row>
    <row r="2073" spans="66:69" x14ac:dyDescent="0.2">
      <c r="BN2073" s="192"/>
      <c r="BO2073" s="197"/>
      <c r="BP2073" s="197"/>
      <c r="BQ2073" s="197"/>
    </row>
    <row r="2074" spans="66:69" x14ac:dyDescent="0.2">
      <c r="BN2074" s="192"/>
      <c r="BO2074" s="197"/>
      <c r="BP2074" s="197"/>
      <c r="BQ2074" s="197"/>
    </row>
    <row r="2075" spans="66:69" x14ac:dyDescent="0.2">
      <c r="BN2075" s="192"/>
      <c r="BO2075" s="197"/>
      <c r="BP2075" s="197"/>
      <c r="BQ2075" s="197"/>
    </row>
    <row r="2076" spans="66:69" x14ac:dyDescent="0.2">
      <c r="BN2076" s="192"/>
      <c r="BO2076" s="197"/>
      <c r="BP2076" s="197"/>
      <c r="BQ2076" s="197"/>
    </row>
    <row r="2077" spans="66:69" x14ac:dyDescent="0.2">
      <c r="BN2077" s="192"/>
      <c r="BO2077" s="197"/>
      <c r="BP2077" s="197"/>
      <c r="BQ2077" s="197"/>
    </row>
    <row r="2078" spans="66:69" x14ac:dyDescent="0.2">
      <c r="BN2078" s="192"/>
      <c r="BO2078" s="197"/>
      <c r="BP2078" s="197"/>
      <c r="BQ2078" s="197"/>
    </row>
    <row r="2079" spans="66:69" x14ac:dyDescent="0.2">
      <c r="BN2079" s="192"/>
      <c r="BO2079" s="197"/>
      <c r="BP2079" s="197"/>
      <c r="BQ2079" s="197"/>
    </row>
    <row r="2080" spans="66:69" x14ac:dyDescent="0.2">
      <c r="BN2080" s="192"/>
      <c r="BO2080" s="197"/>
      <c r="BP2080" s="197"/>
      <c r="BQ2080" s="197"/>
    </row>
    <row r="2081" spans="66:69" x14ac:dyDescent="0.2">
      <c r="BN2081" s="192"/>
      <c r="BO2081" s="197"/>
      <c r="BP2081" s="197"/>
      <c r="BQ2081" s="197"/>
    </row>
    <row r="2082" spans="66:69" x14ac:dyDescent="0.2">
      <c r="BN2082" s="192"/>
      <c r="BO2082" s="197"/>
      <c r="BP2082" s="197"/>
      <c r="BQ2082" s="197"/>
    </row>
    <row r="2083" spans="66:69" x14ac:dyDescent="0.2">
      <c r="BN2083" s="192"/>
      <c r="BO2083" s="197"/>
      <c r="BP2083" s="197"/>
      <c r="BQ2083" s="197"/>
    </row>
    <row r="2084" spans="66:69" x14ac:dyDescent="0.2">
      <c r="BN2084" s="192"/>
      <c r="BO2084" s="197"/>
      <c r="BP2084" s="197"/>
      <c r="BQ2084" s="197"/>
    </row>
    <row r="2085" spans="66:69" x14ac:dyDescent="0.2">
      <c r="BN2085" s="192"/>
      <c r="BO2085" s="197"/>
      <c r="BP2085" s="197"/>
      <c r="BQ2085" s="197"/>
    </row>
    <row r="2086" spans="66:69" x14ac:dyDescent="0.2">
      <c r="BN2086" s="192"/>
      <c r="BO2086" s="197"/>
      <c r="BP2086" s="197"/>
      <c r="BQ2086" s="197"/>
    </row>
    <row r="2087" spans="66:69" x14ac:dyDescent="0.2">
      <c r="BN2087" s="192"/>
      <c r="BO2087" s="197"/>
      <c r="BP2087" s="197"/>
      <c r="BQ2087" s="197"/>
    </row>
    <row r="2088" spans="66:69" x14ac:dyDescent="0.2">
      <c r="BN2088" s="192"/>
      <c r="BO2088" s="197"/>
      <c r="BP2088" s="197"/>
      <c r="BQ2088" s="197"/>
    </row>
    <row r="2089" spans="66:69" x14ac:dyDescent="0.2">
      <c r="BN2089" s="192"/>
      <c r="BO2089" s="197"/>
      <c r="BP2089" s="197"/>
      <c r="BQ2089" s="197"/>
    </row>
    <row r="2090" spans="66:69" x14ac:dyDescent="0.2">
      <c r="BN2090" s="192"/>
      <c r="BO2090" s="197"/>
      <c r="BP2090" s="197"/>
      <c r="BQ2090" s="197"/>
    </row>
    <row r="2091" spans="66:69" x14ac:dyDescent="0.2">
      <c r="BN2091" s="192"/>
      <c r="BO2091" s="197"/>
      <c r="BP2091" s="197"/>
      <c r="BQ2091" s="197"/>
    </row>
    <row r="2092" spans="66:69" x14ac:dyDescent="0.2">
      <c r="BN2092" s="192"/>
      <c r="BO2092" s="197"/>
      <c r="BP2092" s="197"/>
      <c r="BQ2092" s="197"/>
    </row>
    <row r="2093" spans="66:69" x14ac:dyDescent="0.2">
      <c r="BN2093" s="192"/>
      <c r="BO2093" s="197"/>
      <c r="BP2093" s="197"/>
      <c r="BQ2093" s="197"/>
    </row>
    <row r="2094" spans="66:69" x14ac:dyDescent="0.2">
      <c r="BN2094" s="192"/>
      <c r="BO2094" s="197"/>
      <c r="BP2094" s="197"/>
      <c r="BQ2094" s="197"/>
    </row>
    <row r="2095" spans="66:69" x14ac:dyDescent="0.2">
      <c r="BN2095" s="192"/>
      <c r="BO2095" s="197"/>
      <c r="BP2095" s="197"/>
      <c r="BQ2095" s="197"/>
    </row>
    <row r="2096" spans="66:69" x14ac:dyDescent="0.2">
      <c r="BN2096" s="192"/>
      <c r="BO2096" s="197"/>
      <c r="BP2096" s="197"/>
      <c r="BQ2096" s="197"/>
    </row>
    <row r="2097" spans="66:69" x14ac:dyDescent="0.2">
      <c r="BN2097" s="192"/>
      <c r="BO2097" s="197"/>
      <c r="BP2097" s="197"/>
      <c r="BQ2097" s="197"/>
    </row>
    <row r="2098" spans="66:69" x14ac:dyDescent="0.2">
      <c r="BN2098" s="192"/>
      <c r="BO2098" s="197"/>
      <c r="BP2098" s="197"/>
      <c r="BQ2098" s="197"/>
    </row>
    <row r="2099" spans="66:69" x14ac:dyDescent="0.2">
      <c r="BN2099" s="192"/>
      <c r="BO2099" s="197"/>
      <c r="BP2099" s="197"/>
      <c r="BQ2099" s="197"/>
    </row>
    <row r="2100" spans="66:69" x14ac:dyDescent="0.2">
      <c r="BN2100" s="192"/>
      <c r="BO2100" s="197"/>
      <c r="BP2100" s="197"/>
      <c r="BQ2100" s="197"/>
    </row>
    <row r="2101" spans="66:69" x14ac:dyDescent="0.2">
      <c r="BN2101" s="192"/>
      <c r="BO2101" s="197"/>
      <c r="BP2101" s="197"/>
      <c r="BQ2101" s="197"/>
    </row>
    <row r="2102" spans="66:69" x14ac:dyDescent="0.2">
      <c r="BN2102" s="192"/>
      <c r="BO2102" s="197"/>
      <c r="BP2102" s="197"/>
      <c r="BQ2102" s="197"/>
    </row>
    <row r="2103" spans="66:69" x14ac:dyDescent="0.2">
      <c r="BN2103" s="192"/>
      <c r="BO2103" s="197"/>
      <c r="BP2103" s="197"/>
      <c r="BQ2103" s="197"/>
    </row>
    <row r="2104" spans="66:69" x14ac:dyDescent="0.2">
      <c r="BN2104" s="192"/>
      <c r="BO2104" s="197"/>
      <c r="BP2104" s="197"/>
      <c r="BQ2104" s="197"/>
    </row>
    <row r="2105" spans="66:69" x14ac:dyDescent="0.2">
      <c r="BN2105" s="192"/>
      <c r="BO2105" s="197"/>
      <c r="BP2105" s="197"/>
      <c r="BQ2105" s="197"/>
    </row>
    <row r="2106" spans="66:69" x14ac:dyDescent="0.2">
      <c r="BN2106" s="192"/>
      <c r="BO2106" s="197"/>
      <c r="BP2106" s="197"/>
      <c r="BQ2106" s="197"/>
    </row>
    <row r="2107" spans="66:69" x14ac:dyDescent="0.2">
      <c r="BN2107" s="192"/>
      <c r="BO2107" s="197"/>
      <c r="BP2107" s="197"/>
      <c r="BQ2107" s="197"/>
    </row>
    <row r="2108" spans="66:69" x14ac:dyDescent="0.2">
      <c r="BN2108" s="192"/>
      <c r="BO2108" s="197"/>
      <c r="BP2108" s="197"/>
      <c r="BQ2108" s="197"/>
    </row>
    <row r="2109" spans="66:69" x14ac:dyDescent="0.2">
      <c r="BN2109" s="192"/>
      <c r="BO2109" s="197"/>
      <c r="BP2109" s="197"/>
      <c r="BQ2109" s="197"/>
    </row>
    <row r="2110" spans="66:69" x14ac:dyDescent="0.2">
      <c r="BN2110" s="192"/>
      <c r="BO2110" s="197"/>
      <c r="BP2110" s="197"/>
      <c r="BQ2110" s="197"/>
    </row>
    <row r="2111" spans="66:69" x14ac:dyDescent="0.2">
      <c r="BN2111" s="192"/>
      <c r="BO2111" s="197"/>
      <c r="BP2111" s="197"/>
      <c r="BQ2111" s="197"/>
    </row>
    <row r="2112" spans="66:69" x14ac:dyDescent="0.2">
      <c r="BN2112" s="192"/>
      <c r="BO2112" s="197"/>
      <c r="BP2112" s="197"/>
      <c r="BQ2112" s="197"/>
    </row>
    <row r="2113" spans="66:69" x14ac:dyDescent="0.2">
      <c r="BN2113" s="192"/>
      <c r="BO2113" s="197"/>
      <c r="BP2113" s="197"/>
      <c r="BQ2113" s="197"/>
    </row>
    <row r="2114" spans="66:69" x14ac:dyDescent="0.2">
      <c r="BN2114" s="192"/>
      <c r="BO2114" s="197"/>
      <c r="BP2114" s="197"/>
      <c r="BQ2114" s="197"/>
    </row>
    <row r="2115" spans="66:69" x14ac:dyDescent="0.2">
      <c r="BN2115" s="192"/>
      <c r="BO2115" s="197"/>
      <c r="BP2115" s="197"/>
      <c r="BQ2115" s="197"/>
    </row>
    <row r="2116" spans="66:69" x14ac:dyDescent="0.2">
      <c r="BN2116" s="192"/>
      <c r="BO2116" s="197"/>
      <c r="BP2116" s="197"/>
      <c r="BQ2116" s="197"/>
    </row>
    <row r="2117" spans="66:69" x14ac:dyDescent="0.2">
      <c r="BN2117" s="192"/>
      <c r="BO2117" s="197"/>
      <c r="BP2117" s="197"/>
      <c r="BQ2117" s="197"/>
    </row>
    <row r="2118" spans="66:69" x14ac:dyDescent="0.2">
      <c r="BN2118" s="192"/>
      <c r="BO2118" s="197"/>
      <c r="BP2118" s="197"/>
      <c r="BQ2118" s="197"/>
    </row>
    <row r="2119" spans="66:69" x14ac:dyDescent="0.2">
      <c r="BN2119" s="192"/>
      <c r="BO2119" s="197"/>
      <c r="BP2119" s="197"/>
      <c r="BQ2119" s="197"/>
    </row>
    <row r="2120" spans="66:69" x14ac:dyDescent="0.2">
      <c r="BN2120" s="192"/>
      <c r="BO2120" s="197"/>
      <c r="BP2120" s="197"/>
      <c r="BQ2120" s="197"/>
    </row>
    <row r="2121" spans="66:69" x14ac:dyDescent="0.2">
      <c r="BN2121" s="192"/>
      <c r="BO2121" s="197"/>
      <c r="BP2121" s="197"/>
      <c r="BQ2121" s="197"/>
    </row>
    <row r="2122" spans="66:69" x14ac:dyDescent="0.2">
      <c r="BN2122" s="192"/>
      <c r="BO2122" s="197"/>
      <c r="BP2122" s="197"/>
      <c r="BQ2122" s="197"/>
    </row>
    <row r="2123" spans="66:69" x14ac:dyDescent="0.2">
      <c r="BN2123" s="192"/>
      <c r="BO2123" s="197"/>
      <c r="BP2123" s="197"/>
      <c r="BQ2123" s="197"/>
    </row>
    <row r="2124" spans="66:69" x14ac:dyDescent="0.2">
      <c r="BN2124" s="192"/>
      <c r="BO2124" s="197"/>
      <c r="BP2124" s="197"/>
      <c r="BQ2124" s="197"/>
    </row>
    <row r="2125" spans="66:69" x14ac:dyDescent="0.2">
      <c r="BN2125" s="192"/>
      <c r="BO2125" s="197"/>
      <c r="BP2125" s="197"/>
      <c r="BQ2125" s="197"/>
    </row>
    <row r="2126" spans="66:69" x14ac:dyDescent="0.2">
      <c r="BN2126" s="192"/>
      <c r="BO2126" s="197"/>
      <c r="BP2126" s="197"/>
      <c r="BQ2126" s="197"/>
    </row>
    <row r="2127" spans="66:69" x14ac:dyDescent="0.2">
      <c r="BN2127" s="192"/>
      <c r="BO2127" s="197"/>
      <c r="BP2127" s="197"/>
      <c r="BQ2127" s="197"/>
    </row>
    <row r="2128" spans="66:69" x14ac:dyDescent="0.2">
      <c r="BN2128" s="192"/>
      <c r="BO2128" s="197"/>
      <c r="BP2128" s="197"/>
      <c r="BQ2128" s="197"/>
    </row>
    <row r="2129" spans="66:69" x14ac:dyDescent="0.2">
      <c r="BN2129" s="192"/>
      <c r="BO2129" s="197"/>
      <c r="BP2129" s="197"/>
      <c r="BQ2129" s="197"/>
    </row>
    <row r="2130" spans="66:69" x14ac:dyDescent="0.2">
      <c r="BN2130" s="192"/>
      <c r="BO2130" s="197"/>
      <c r="BP2130" s="197"/>
      <c r="BQ2130" s="197"/>
    </row>
    <row r="2131" spans="66:69" x14ac:dyDescent="0.2">
      <c r="BN2131" s="192"/>
      <c r="BO2131" s="197"/>
      <c r="BP2131" s="197"/>
      <c r="BQ2131" s="197"/>
    </row>
    <row r="2132" spans="66:69" x14ac:dyDescent="0.2">
      <c r="BN2132" s="192"/>
      <c r="BO2132" s="197"/>
      <c r="BP2132" s="197"/>
      <c r="BQ2132" s="197"/>
    </row>
    <row r="2133" spans="66:69" x14ac:dyDescent="0.2">
      <c r="BN2133" s="192"/>
      <c r="BO2133" s="197"/>
      <c r="BP2133" s="197"/>
      <c r="BQ2133" s="197"/>
    </row>
    <row r="2134" spans="66:69" x14ac:dyDescent="0.2">
      <c r="BN2134" s="192"/>
      <c r="BO2134" s="197"/>
      <c r="BP2134" s="197"/>
      <c r="BQ2134" s="197"/>
    </row>
    <row r="2135" spans="66:69" x14ac:dyDescent="0.2">
      <c r="BN2135" s="192"/>
      <c r="BO2135" s="197"/>
      <c r="BP2135" s="197"/>
      <c r="BQ2135" s="197"/>
    </row>
    <row r="2136" spans="66:69" x14ac:dyDescent="0.2">
      <c r="BN2136" s="192"/>
      <c r="BO2136" s="197"/>
      <c r="BP2136" s="197"/>
      <c r="BQ2136" s="197"/>
    </row>
    <row r="2137" spans="66:69" x14ac:dyDescent="0.2">
      <c r="BN2137" s="192"/>
      <c r="BO2137" s="197"/>
      <c r="BP2137" s="197"/>
      <c r="BQ2137" s="197"/>
    </row>
    <row r="2138" spans="66:69" x14ac:dyDescent="0.2">
      <c r="BN2138" s="192"/>
      <c r="BO2138" s="197"/>
      <c r="BP2138" s="197"/>
      <c r="BQ2138" s="197"/>
    </row>
    <row r="2139" spans="66:69" x14ac:dyDescent="0.2">
      <c r="BN2139" s="192"/>
      <c r="BO2139" s="197"/>
      <c r="BP2139" s="197"/>
      <c r="BQ2139" s="197"/>
    </row>
    <row r="2140" spans="66:69" x14ac:dyDescent="0.2">
      <c r="BN2140" s="192"/>
      <c r="BO2140" s="197"/>
      <c r="BP2140" s="197"/>
      <c r="BQ2140" s="197"/>
    </row>
    <row r="2141" spans="66:69" x14ac:dyDescent="0.2">
      <c r="BN2141" s="192"/>
      <c r="BO2141" s="197"/>
      <c r="BP2141" s="197"/>
      <c r="BQ2141" s="197"/>
    </row>
    <row r="2142" spans="66:69" x14ac:dyDescent="0.2">
      <c r="BN2142" s="192"/>
      <c r="BO2142" s="197"/>
      <c r="BP2142" s="197"/>
      <c r="BQ2142" s="197"/>
    </row>
    <row r="2143" spans="66:69" x14ac:dyDescent="0.2">
      <c r="BN2143" s="192"/>
      <c r="BO2143" s="197"/>
      <c r="BP2143" s="197"/>
      <c r="BQ2143" s="197"/>
    </row>
    <row r="2144" spans="66:69" x14ac:dyDescent="0.2">
      <c r="BN2144" s="192"/>
      <c r="BO2144" s="197"/>
      <c r="BP2144" s="197"/>
      <c r="BQ2144" s="197"/>
    </row>
    <row r="2145" spans="66:69" x14ac:dyDescent="0.2">
      <c r="BN2145" s="192"/>
      <c r="BO2145" s="197"/>
      <c r="BP2145" s="197"/>
      <c r="BQ2145" s="197"/>
    </row>
    <row r="2146" spans="66:69" x14ac:dyDescent="0.2">
      <c r="BN2146" s="192"/>
      <c r="BO2146" s="197"/>
      <c r="BP2146" s="197"/>
      <c r="BQ2146" s="197"/>
    </row>
    <row r="2147" spans="66:69" x14ac:dyDescent="0.2">
      <c r="BN2147" s="192"/>
      <c r="BO2147" s="197"/>
      <c r="BP2147" s="197"/>
      <c r="BQ2147" s="197"/>
    </row>
    <row r="2148" spans="66:69" x14ac:dyDescent="0.2">
      <c r="BN2148" s="192"/>
      <c r="BO2148" s="197"/>
      <c r="BP2148" s="197"/>
      <c r="BQ2148" s="197"/>
    </row>
    <row r="2149" spans="66:69" x14ac:dyDescent="0.2">
      <c r="BN2149" s="192"/>
      <c r="BO2149" s="197"/>
      <c r="BP2149" s="197"/>
      <c r="BQ2149" s="197"/>
    </row>
    <row r="2150" spans="66:69" x14ac:dyDescent="0.2">
      <c r="BN2150" s="192"/>
      <c r="BO2150" s="197"/>
      <c r="BP2150" s="197"/>
      <c r="BQ2150" s="197"/>
    </row>
    <row r="2151" spans="66:69" x14ac:dyDescent="0.2">
      <c r="BN2151" s="192"/>
      <c r="BO2151" s="197"/>
      <c r="BP2151" s="197"/>
      <c r="BQ2151" s="197"/>
    </row>
    <row r="2152" spans="66:69" x14ac:dyDescent="0.2">
      <c r="BN2152" s="192"/>
      <c r="BO2152" s="197"/>
      <c r="BP2152" s="197"/>
      <c r="BQ2152" s="197"/>
    </row>
    <row r="2153" spans="66:69" x14ac:dyDescent="0.2">
      <c r="BN2153" s="192"/>
      <c r="BO2153" s="197"/>
      <c r="BP2153" s="197"/>
      <c r="BQ2153" s="197"/>
    </row>
    <row r="2154" spans="66:69" x14ac:dyDescent="0.2">
      <c r="BN2154" s="192"/>
      <c r="BO2154" s="197"/>
      <c r="BP2154" s="197"/>
      <c r="BQ2154" s="197"/>
    </row>
    <row r="2155" spans="66:69" x14ac:dyDescent="0.2">
      <c r="BN2155" s="192"/>
      <c r="BO2155" s="197"/>
      <c r="BP2155" s="197"/>
      <c r="BQ2155" s="197"/>
    </row>
    <row r="2156" spans="66:69" x14ac:dyDescent="0.2">
      <c r="BN2156" s="192"/>
      <c r="BO2156" s="197"/>
      <c r="BP2156" s="197"/>
      <c r="BQ2156" s="197"/>
    </row>
    <row r="2157" spans="66:69" x14ac:dyDescent="0.2">
      <c r="BN2157" s="192"/>
      <c r="BO2157" s="197"/>
      <c r="BP2157" s="197"/>
      <c r="BQ2157" s="197"/>
    </row>
    <row r="2158" spans="66:69" x14ac:dyDescent="0.2">
      <c r="BN2158" s="192"/>
      <c r="BO2158" s="197"/>
      <c r="BP2158" s="197"/>
      <c r="BQ2158" s="197"/>
    </row>
    <row r="2159" spans="66:69" x14ac:dyDescent="0.2">
      <c r="BN2159" s="192"/>
      <c r="BO2159" s="197"/>
      <c r="BP2159" s="197"/>
      <c r="BQ2159" s="197"/>
    </row>
    <row r="2160" spans="66:69" x14ac:dyDescent="0.2">
      <c r="BN2160" s="192"/>
      <c r="BO2160" s="197"/>
      <c r="BP2160" s="197"/>
      <c r="BQ2160" s="197"/>
    </row>
    <row r="2161" spans="66:69" x14ac:dyDescent="0.2">
      <c r="BN2161" s="192"/>
      <c r="BO2161" s="197"/>
      <c r="BP2161" s="197"/>
      <c r="BQ2161" s="197"/>
    </row>
    <row r="2162" spans="66:69" x14ac:dyDescent="0.2">
      <c r="BN2162" s="192"/>
      <c r="BO2162" s="197"/>
      <c r="BP2162" s="197"/>
      <c r="BQ2162" s="197"/>
    </row>
    <row r="2163" spans="66:69" x14ac:dyDescent="0.2">
      <c r="BN2163" s="192"/>
      <c r="BO2163" s="197"/>
      <c r="BP2163" s="197"/>
      <c r="BQ2163" s="197"/>
    </row>
    <row r="2164" spans="66:69" x14ac:dyDescent="0.2">
      <c r="BN2164" s="192"/>
      <c r="BO2164" s="197"/>
      <c r="BP2164" s="197"/>
      <c r="BQ2164" s="197"/>
    </row>
    <row r="2165" spans="66:69" x14ac:dyDescent="0.2">
      <c r="BN2165" s="192"/>
      <c r="BO2165" s="197"/>
      <c r="BP2165" s="197"/>
      <c r="BQ2165" s="197"/>
    </row>
    <row r="2166" spans="66:69" x14ac:dyDescent="0.2">
      <c r="BN2166" s="192"/>
      <c r="BO2166" s="197"/>
      <c r="BP2166" s="197"/>
      <c r="BQ2166" s="197"/>
    </row>
    <row r="2167" spans="66:69" x14ac:dyDescent="0.2">
      <c r="BN2167" s="192"/>
      <c r="BO2167" s="197"/>
      <c r="BP2167" s="197"/>
      <c r="BQ2167" s="197"/>
    </row>
    <row r="2168" spans="66:69" x14ac:dyDescent="0.2">
      <c r="BN2168" s="192"/>
      <c r="BO2168" s="197"/>
      <c r="BP2168" s="197"/>
      <c r="BQ2168" s="197"/>
    </row>
    <row r="2169" spans="66:69" x14ac:dyDescent="0.2">
      <c r="BN2169" s="192"/>
      <c r="BO2169" s="197"/>
      <c r="BP2169" s="197"/>
      <c r="BQ2169" s="197"/>
    </row>
    <row r="2170" spans="66:69" x14ac:dyDescent="0.2">
      <c r="BN2170" s="192"/>
      <c r="BO2170" s="197"/>
      <c r="BP2170" s="197"/>
      <c r="BQ2170" s="197"/>
    </row>
    <row r="2171" spans="66:69" x14ac:dyDescent="0.2">
      <c r="BN2171" s="192"/>
      <c r="BO2171" s="197"/>
      <c r="BP2171" s="197"/>
      <c r="BQ2171" s="197"/>
    </row>
    <row r="2172" spans="66:69" x14ac:dyDescent="0.2">
      <c r="BN2172" s="192"/>
      <c r="BO2172" s="197"/>
      <c r="BP2172" s="197"/>
      <c r="BQ2172" s="197"/>
    </row>
    <row r="2173" spans="66:69" x14ac:dyDescent="0.2">
      <c r="BN2173" s="192"/>
      <c r="BO2173" s="197"/>
      <c r="BP2173" s="197"/>
      <c r="BQ2173" s="197"/>
    </row>
    <row r="2174" spans="66:69" x14ac:dyDescent="0.2">
      <c r="BN2174" s="192"/>
      <c r="BO2174" s="197"/>
      <c r="BP2174" s="197"/>
      <c r="BQ2174" s="197"/>
    </row>
    <row r="2175" spans="66:69" x14ac:dyDescent="0.2">
      <c r="BN2175" s="192"/>
      <c r="BO2175" s="197"/>
      <c r="BP2175" s="197"/>
      <c r="BQ2175" s="197"/>
    </row>
    <row r="2176" spans="66:69" x14ac:dyDescent="0.2">
      <c r="BN2176" s="192"/>
      <c r="BO2176" s="197"/>
      <c r="BP2176" s="197"/>
      <c r="BQ2176" s="197"/>
    </row>
    <row r="2177" spans="66:69" x14ac:dyDescent="0.2">
      <c r="BN2177" s="192"/>
      <c r="BO2177" s="197"/>
      <c r="BP2177" s="197"/>
      <c r="BQ2177" s="197"/>
    </row>
    <row r="2178" spans="66:69" x14ac:dyDescent="0.2">
      <c r="BN2178" s="192"/>
      <c r="BO2178" s="197"/>
      <c r="BP2178" s="197"/>
      <c r="BQ2178" s="197"/>
    </row>
    <row r="2179" spans="66:69" x14ac:dyDescent="0.2">
      <c r="BN2179" s="192"/>
      <c r="BO2179" s="197"/>
      <c r="BP2179" s="197"/>
      <c r="BQ2179" s="197"/>
    </row>
    <row r="2180" spans="66:69" x14ac:dyDescent="0.2">
      <c r="BN2180" s="192"/>
      <c r="BO2180" s="197"/>
      <c r="BP2180" s="197"/>
      <c r="BQ2180" s="197"/>
    </row>
    <row r="2181" spans="66:69" x14ac:dyDescent="0.2">
      <c r="BN2181" s="192"/>
      <c r="BO2181" s="197"/>
      <c r="BP2181" s="197"/>
      <c r="BQ2181" s="197"/>
    </row>
    <row r="2182" spans="66:69" x14ac:dyDescent="0.2">
      <c r="BN2182" s="192"/>
      <c r="BO2182" s="197"/>
      <c r="BP2182" s="197"/>
      <c r="BQ2182" s="197"/>
    </row>
    <row r="2183" spans="66:69" x14ac:dyDescent="0.2">
      <c r="BN2183" s="192"/>
      <c r="BO2183" s="197"/>
      <c r="BP2183" s="197"/>
      <c r="BQ2183" s="197"/>
    </row>
    <row r="2184" spans="66:69" x14ac:dyDescent="0.2">
      <c r="BN2184" s="192"/>
      <c r="BO2184" s="197"/>
      <c r="BP2184" s="197"/>
      <c r="BQ2184" s="197"/>
    </row>
    <row r="2185" spans="66:69" x14ac:dyDescent="0.2">
      <c r="BN2185" s="192"/>
      <c r="BO2185" s="197"/>
      <c r="BP2185" s="197"/>
      <c r="BQ2185" s="197"/>
    </row>
    <row r="2186" spans="66:69" x14ac:dyDescent="0.2">
      <c r="BN2186" s="192"/>
      <c r="BO2186" s="197"/>
      <c r="BP2186" s="197"/>
      <c r="BQ2186" s="197"/>
    </row>
    <row r="2187" spans="66:69" x14ac:dyDescent="0.2">
      <c r="BN2187" s="192"/>
      <c r="BO2187" s="197"/>
      <c r="BP2187" s="197"/>
      <c r="BQ2187" s="197"/>
    </row>
    <row r="2188" spans="66:69" x14ac:dyDescent="0.2">
      <c r="BN2188" s="192"/>
      <c r="BO2188" s="197"/>
      <c r="BP2188" s="197"/>
      <c r="BQ2188" s="197"/>
    </row>
    <row r="2189" spans="66:69" x14ac:dyDescent="0.2">
      <c r="BN2189" s="192"/>
      <c r="BO2189" s="197"/>
      <c r="BP2189" s="197"/>
      <c r="BQ2189" s="197"/>
    </row>
    <row r="2190" spans="66:69" x14ac:dyDescent="0.2">
      <c r="BN2190" s="192"/>
      <c r="BO2190" s="197"/>
      <c r="BP2190" s="197"/>
      <c r="BQ2190" s="197"/>
    </row>
    <row r="2191" spans="66:69" x14ac:dyDescent="0.2">
      <c r="BN2191" s="192"/>
      <c r="BO2191" s="197"/>
      <c r="BP2191" s="197"/>
      <c r="BQ2191" s="197"/>
    </row>
    <row r="2192" spans="66:69" x14ac:dyDescent="0.2">
      <c r="BN2192" s="192"/>
      <c r="BO2192" s="197"/>
      <c r="BP2192" s="197"/>
      <c r="BQ2192" s="197"/>
    </row>
    <row r="2193" spans="66:69" x14ac:dyDescent="0.2">
      <c r="BN2193" s="192"/>
      <c r="BO2193" s="197"/>
      <c r="BP2193" s="197"/>
      <c r="BQ2193" s="197"/>
    </row>
    <row r="2194" spans="66:69" x14ac:dyDescent="0.2">
      <c r="BN2194" s="192"/>
      <c r="BO2194" s="197"/>
      <c r="BP2194" s="197"/>
      <c r="BQ2194" s="197"/>
    </row>
    <row r="2195" spans="66:69" x14ac:dyDescent="0.2">
      <c r="BN2195" s="192"/>
      <c r="BO2195" s="197"/>
      <c r="BP2195" s="197"/>
      <c r="BQ2195" s="197"/>
    </row>
    <row r="2196" spans="66:69" x14ac:dyDescent="0.2">
      <c r="BN2196" s="192"/>
      <c r="BO2196" s="197"/>
      <c r="BP2196" s="197"/>
      <c r="BQ2196" s="197"/>
    </row>
    <row r="2197" spans="66:69" x14ac:dyDescent="0.2">
      <c r="BN2197" s="192"/>
      <c r="BO2197" s="197"/>
      <c r="BP2197" s="197"/>
      <c r="BQ2197" s="197"/>
    </row>
    <row r="2198" spans="66:69" x14ac:dyDescent="0.2">
      <c r="BN2198" s="192"/>
      <c r="BO2198" s="197"/>
      <c r="BP2198" s="197"/>
      <c r="BQ2198" s="197"/>
    </row>
    <row r="2199" spans="66:69" x14ac:dyDescent="0.2">
      <c r="BN2199" s="192"/>
      <c r="BO2199" s="197"/>
      <c r="BP2199" s="197"/>
      <c r="BQ2199" s="197"/>
    </row>
    <row r="2200" spans="66:69" x14ac:dyDescent="0.2">
      <c r="BN2200" s="192"/>
      <c r="BO2200" s="197"/>
      <c r="BP2200" s="197"/>
      <c r="BQ2200" s="197"/>
    </row>
    <row r="2201" spans="66:69" x14ac:dyDescent="0.2">
      <c r="BN2201" s="192"/>
      <c r="BO2201" s="197"/>
      <c r="BP2201" s="197"/>
      <c r="BQ2201" s="197"/>
    </row>
    <row r="2202" spans="66:69" x14ac:dyDescent="0.2">
      <c r="BN2202" s="192"/>
      <c r="BO2202" s="197"/>
      <c r="BP2202" s="197"/>
      <c r="BQ2202" s="197"/>
    </row>
    <row r="2203" spans="66:69" x14ac:dyDescent="0.2">
      <c r="BN2203" s="192"/>
      <c r="BO2203" s="197"/>
      <c r="BP2203" s="197"/>
      <c r="BQ2203" s="197"/>
    </row>
    <row r="2204" spans="66:69" x14ac:dyDescent="0.2">
      <c r="BN2204" s="192"/>
      <c r="BO2204" s="197"/>
      <c r="BP2204" s="197"/>
      <c r="BQ2204" s="197"/>
    </row>
    <row r="2205" spans="66:69" x14ac:dyDescent="0.2">
      <c r="BN2205" s="192"/>
      <c r="BO2205" s="197"/>
      <c r="BP2205" s="197"/>
      <c r="BQ2205" s="197"/>
    </row>
    <row r="2206" spans="66:69" x14ac:dyDescent="0.2">
      <c r="BN2206" s="192"/>
      <c r="BO2206" s="197"/>
      <c r="BP2206" s="197"/>
      <c r="BQ2206" s="197"/>
    </row>
    <row r="2207" spans="66:69" x14ac:dyDescent="0.2">
      <c r="BN2207" s="192"/>
      <c r="BO2207" s="197"/>
      <c r="BP2207" s="197"/>
      <c r="BQ2207" s="197"/>
    </row>
    <row r="2208" spans="66:69" x14ac:dyDescent="0.2">
      <c r="BN2208" s="192"/>
      <c r="BO2208" s="197"/>
      <c r="BP2208" s="197"/>
      <c r="BQ2208" s="197"/>
    </row>
    <row r="2209" spans="66:69" x14ac:dyDescent="0.2">
      <c r="BN2209" s="192"/>
      <c r="BO2209" s="197"/>
      <c r="BP2209" s="197"/>
      <c r="BQ2209" s="197"/>
    </row>
    <row r="2210" spans="66:69" x14ac:dyDescent="0.2">
      <c r="BN2210" s="192"/>
      <c r="BO2210" s="197"/>
      <c r="BP2210" s="197"/>
      <c r="BQ2210" s="197"/>
    </row>
    <row r="2211" spans="66:69" x14ac:dyDescent="0.2">
      <c r="BN2211" s="192"/>
      <c r="BO2211" s="197"/>
      <c r="BP2211" s="197"/>
      <c r="BQ2211" s="197"/>
    </row>
    <row r="2212" spans="66:69" x14ac:dyDescent="0.2">
      <c r="BN2212" s="192"/>
      <c r="BO2212" s="197"/>
      <c r="BP2212" s="197"/>
      <c r="BQ2212" s="197"/>
    </row>
    <row r="2213" spans="66:69" x14ac:dyDescent="0.2">
      <c r="BN2213" s="192"/>
      <c r="BO2213" s="197"/>
      <c r="BP2213" s="197"/>
      <c r="BQ2213" s="197"/>
    </row>
    <row r="2214" spans="66:69" x14ac:dyDescent="0.2">
      <c r="BN2214" s="192"/>
      <c r="BO2214" s="197"/>
      <c r="BP2214" s="197"/>
      <c r="BQ2214" s="197"/>
    </row>
    <row r="2215" spans="66:69" x14ac:dyDescent="0.2">
      <c r="BN2215" s="192"/>
      <c r="BO2215" s="197"/>
      <c r="BP2215" s="197"/>
      <c r="BQ2215" s="197"/>
    </row>
    <row r="2216" spans="66:69" x14ac:dyDescent="0.2">
      <c r="BN2216" s="192"/>
      <c r="BO2216" s="197"/>
      <c r="BP2216" s="197"/>
      <c r="BQ2216" s="197"/>
    </row>
    <row r="2217" spans="66:69" x14ac:dyDescent="0.2">
      <c r="BN2217" s="192"/>
      <c r="BO2217" s="197"/>
      <c r="BP2217" s="197"/>
      <c r="BQ2217" s="197"/>
    </row>
    <row r="2218" spans="66:69" x14ac:dyDescent="0.2">
      <c r="BN2218" s="192"/>
      <c r="BO2218" s="197"/>
      <c r="BP2218" s="197"/>
      <c r="BQ2218" s="197"/>
    </row>
    <row r="2219" spans="66:69" x14ac:dyDescent="0.2">
      <c r="BN2219" s="192"/>
      <c r="BO2219" s="197"/>
      <c r="BP2219" s="197"/>
      <c r="BQ2219" s="197"/>
    </row>
    <row r="2220" spans="66:69" x14ac:dyDescent="0.2">
      <c r="BN2220" s="192"/>
      <c r="BO2220" s="197"/>
      <c r="BP2220" s="197"/>
      <c r="BQ2220" s="197"/>
    </row>
    <row r="2221" spans="66:69" x14ac:dyDescent="0.2">
      <c r="BN2221" s="192"/>
      <c r="BO2221" s="197"/>
      <c r="BP2221" s="197"/>
      <c r="BQ2221" s="197"/>
    </row>
    <row r="2222" spans="66:69" x14ac:dyDescent="0.2">
      <c r="BN2222" s="192"/>
      <c r="BO2222" s="197"/>
      <c r="BP2222" s="197"/>
      <c r="BQ2222" s="197"/>
    </row>
    <row r="2223" spans="66:69" x14ac:dyDescent="0.2">
      <c r="BN2223" s="192"/>
      <c r="BO2223" s="197"/>
      <c r="BP2223" s="197"/>
      <c r="BQ2223" s="197"/>
    </row>
    <row r="2224" spans="66:69" x14ac:dyDescent="0.2">
      <c r="BN2224" s="192"/>
      <c r="BO2224" s="197"/>
      <c r="BP2224" s="197"/>
      <c r="BQ2224" s="197"/>
    </row>
    <row r="2225" spans="66:69" x14ac:dyDescent="0.2">
      <c r="BN2225" s="192"/>
      <c r="BO2225" s="197"/>
      <c r="BP2225" s="197"/>
      <c r="BQ2225" s="197"/>
    </row>
    <row r="2226" spans="66:69" x14ac:dyDescent="0.2">
      <c r="BN2226" s="192"/>
      <c r="BO2226" s="197"/>
      <c r="BP2226" s="197"/>
      <c r="BQ2226" s="197"/>
    </row>
    <row r="2227" spans="66:69" x14ac:dyDescent="0.2">
      <c r="BN2227" s="192"/>
      <c r="BO2227" s="197"/>
      <c r="BP2227" s="197"/>
      <c r="BQ2227" s="197"/>
    </row>
    <row r="2228" spans="66:69" x14ac:dyDescent="0.2">
      <c r="BN2228" s="192"/>
      <c r="BO2228" s="197"/>
      <c r="BP2228" s="197"/>
      <c r="BQ2228" s="197"/>
    </row>
    <row r="2229" spans="66:69" x14ac:dyDescent="0.2">
      <c r="BN2229" s="192"/>
      <c r="BO2229" s="197"/>
      <c r="BP2229" s="197"/>
      <c r="BQ2229" s="197"/>
    </row>
    <row r="2230" spans="66:69" x14ac:dyDescent="0.2">
      <c r="BN2230" s="192"/>
      <c r="BO2230" s="197"/>
      <c r="BP2230" s="197"/>
      <c r="BQ2230" s="197"/>
    </row>
    <row r="2231" spans="66:69" x14ac:dyDescent="0.2">
      <c r="BN2231" s="192"/>
      <c r="BO2231" s="197"/>
      <c r="BP2231" s="197"/>
      <c r="BQ2231" s="197"/>
    </row>
    <row r="2232" spans="66:69" x14ac:dyDescent="0.2">
      <c r="BN2232" s="192"/>
      <c r="BO2232" s="197"/>
      <c r="BP2232" s="197"/>
      <c r="BQ2232" s="197"/>
    </row>
    <row r="2233" spans="66:69" x14ac:dyDescent="0.2">
      <c r="BN2233" s="192"/>
      <c r="BO2233" s="197"/>
      <c r="BP2233" s="197"/>
      <c r="BQ2233" s="197"/>
    </row>
    <row r="2234" spans="66:69" x14ac:dyDescent="0.2">
      <c r="BN2234" s="192"/>
      <c r="BO2234" s="197"/>
      <c r="BP2234" s="197"/>
      <c r="BQ2234" s="197"/>
    </row>
    <row r="2235" spans="66:69" x14ac:dyDescent="0.2">
      <c r="BN2235" s="192"/>
      <c r="BO2235" s="197"/>
      <c r="BP2235" s="197"/>
      <c r="BQ2235" s="197"/>
    </row>
    <row r="2236" spans="66:69" x14ac:dyDescent="0.2">
      <c r="BN2236" s="192"/>
      <c r="BO2236" s="197"/>
      <c r="BP2236" s="197"/>
      <c r="BQ2236" s="197"/>
    </row>
    <row r="2237" spans="66:69" x14ac:dyDescent="0.2">
      <c r="BN2237" s="192"/>
      <c r="BO2237" s="197"/>
      <c r="BP2237" s="197"/>
      <c r="BQ2237" s="197"/>
    </row>
    <row r="2238" spans="66:69" x14ac:dyDescent="0.2">
      <c r="BN2238" s="192"/>
      <c r="BO2238" s="197"/>
      <c r="BP2238" s="197"/>
      <c r="BQ2238" s="197"/>
    </row>
    <row r="2239" spans="66:69" x14ac:dyDescent="0.2">
      <c r="BN2239" s="192"/>
      <c r="BO2239" s="197"/>
      <c r="BP2239" s="197"/>
      <c r="BQ2239" s="197"/>
    </row>
    <row r="2240" spans="66:69" x14ac:dyDescent="0.2">
      <c r="BN2240" s="192"/>
      <c r="BO2240" s="197"/>
      <c r="BP2240" s="197"/>
      <c r="BQ2240" s="197"/>
    </row>
    <row r="2241" spans="66:69" x14ac:dyDescent="0.2">
      <c r="BN2241" s="192"/>
      <c r="BO2241" s="197"/>
      <c r="BP2241" s="197"/>
      <c r="BQ2241" s="197"/>
    </row>
    <row r="2242" spans="66:69" x14ac:dyDescent="0.2">
      <c r="BN2242" s="192"/>
      <c r="BO2242" s="197"/>
      <c r="BP2242" s="197"/>
      <c r="BQ2242" s="197"/>
    </row>
    <row r="2243" spans="66:69" x14ac:dyDescent="0.2">
      <c r="BN2243" s="192"/>
      <c r="BO2243" s="197"/>
      <c r="BP2243" s="197"/>
      <c r="BQ2243" s="197"/>
    </row>
    <row r="2244" spans="66:69" x14ac:dyDescent="0.2">
      <c r="BN2244" s="192"/>
      <c r="BO2244" s="197"/>
      <c r="BP2244" s="197"/>
      <c r="BQ2244" s="197"/>
    </row>
    <row r="2245" spans="66:69" x14ac:dyDescent="0.2">
      <c r="BN2245" s="192"/>
      <c r="BO2245" s="197"/>
      <c r="BP2245" s="197"/>
      <c r="BQ2245" s="197"/>
    </row>
    <row r="2246" spans="66:69" x14ac:dyDescent="0.2">
      <c r="BN2246" s="192"/>
      <c r="BO2246" s="197"/>
      <c r="BP2246" s="197"/>
      <c r="BQ2246" s="197"/>
    </row>
    <row r="2247" spans="66:69" x14ac:dyDescent="0.2">
      <c r="BN2247" s="192"/>
      <c r="BO2247" s="197"/>
      <c r="BP2247" s="197"/>
      <c r="BQ2247" s="197"/>
    </row>
    <row r="2248" spans="66:69" x14ac:dyDescent="0.2">
      <c r="BN2248" s="192"/>
      <c r="BO2248" s="197"/>
      <c r="BP2248" s="197"/>
      <c r="BQ2248" s="197"/>
    </row>
    <row r="2249" spans="66:69" x14ac:dyDescent="0.2">
      <c r="BN2249" s="192"/>
      <c r="BO2249" s="197"/>
      <c r="BP2249" s="197"/>
      <c r="BQ2249" s="197"/>
    </row>
    <row r="2250" spans="66:69" x14ac:dyDescent="0.2">
      <c r="BN2250" s="192"/>
      <c r="BO2250" s="197"/>
      <c r="BP2250" s="197"/>
      <c r="BQ2250" s="197"/>
    </row>
    <row r="2251" spans="66:69" x14ac:dyDescent="0.2">
      <c r="BN2251" s="192"/>
      <c r="BO2251" s="197"/>
      <c r="BP2251" s="197"/>
      <c r="BQ2251" s="197"/>
    </row>
    <row r="2252" spans="66:69" x14ac:dyDescent="0.2">
      <c r="BN2252" s="192"/>
      <c r="BO2252" s="197"/>
      <c r="BP2252" s="197"/>
      <c r="BQ2252" s="197"/>
    </row>
    <row r="2253" spans="66:69" x14ac:dyDescent="0.2">
      <c r="BN2253" s="192"/>
      <c r="BO2253" s="197"/>
      <c r="BP2253" s="197"/>
      <c r="BQ2253" s="197"/>
    </row>
    <row r="2254" spans="66:69" x14ac:dyDescent="0.2">
      <c r="BN2254" s="192"/>
      <c r="BO2254" s="197"/>
      <c r="BP2254" s="197"/>
      <c r="BQ2254" s="197"/>
    </row>
    <row r="2255" spans="66:69" x14ac:dyDescent="0.2">
      <c r="BN2255" s="192"/>
      <c r="BO2255" s="197"/>
      <c r="BP2255" s="197"/>
      <c r="BQ2255" s="197"/>
    </row>
    <row r="2256" spans="66:69" x14ac:dyDescent="0.2">
      <c r="BN2256" s="192"/>
      <c r="BO2256" s="197"/>
      <c r="BP2256" s="197"/>
      <c r="BQ2256" s="197"/>
    </row>
    <row r="2257" spans="66:69" x14ac:dyDescent="0.2">
      <c r="BN2257" s="192"/>
      <c r="BO2257" s="197"/>
      <c r="BP2257" s="197"/>
      <c r="BQ2257" s="197"/>
    </row>
    <row r="2258" spans="66:69" x14ac:dyDescent="0.2">
      <c r="BN2258" s="192"/>
      <c r="BO2258" s="197"/>
      <c r="BP2258" s="197"/>
      <c r="BQ2258" s="197"/>
    </row>
    <row r="2259" spans="66:69" x14ac:dyDescent="0.2">
      <c r="BN2259" s="192"/>
      <c r="BO2259" s="197"/>
      <c r="BP2259" s="197"/>
      <c r="BQ2259" s="197"/>
    </row>
    <row r="2260" spans="66:69" x14ac:dyDescent="0.2">
      <c r="BN2260" s="192"/>
      <c r="BO2260" s="197"/>
      <c r="BP2260" s="197"/>
      <c r="BQ2260" s="197"/>
    </row>
    <row r="2261" spans="66:69" x14ac:dyDescent="0.2">
      <c r="BN2261" s="192"/>
      <c r="BO2261" s="197"/>
      <c r="BP2261" s="197"/>
      <c r="BQ2261" s="197"/>
    </row>
    <row r="2262" spans="66:69" x14ac:dyDescent="0.2">
      <c r="BN2262" s="192"/>
      <c r="BO2262" s="197"/>
      <c r="BP2262" s="197"/>
      <c r="BQ2262" s="197"/>
    </row>
    <row r="2263" spans="66:69" x14ac:dyDescent="0.2">
      <c r="BN2263" s="192"/>
      <c r="BO2263" s="197"/>
      <c r="BP2263" s="197"/>
      <c r="BQ2263" s="197"/>
    </row>
    <row r="2264" spans="66:69" x14ac:dyDescent="0.2">
      <c r="BN2264" s="192"/>
      <c r="BO2264" s="197"/>
      <c r="BP2264" s="197"/>
      <c r="BQ2264" s="197"/>
    </row>
    <row r="2265" spans="66:69" x14ac:dyDescent="0.2">
      <c r="BN2265" s="192"/>
      <c r="BO2265" s="197"/>
      <c r="BP2265" s="197"/>
      <c r="BQ2265" s="197"/>
    </row>
    <row r="2266" spans="66:69" x14ac:dyDescent="0.2">
      <c r="BN2266" s="192"/>
      <c r="BO2266" s="197"/>
      <c r="BP2266" s="197"/>
      <c r="BQ2266" s="197"/>
    </row>
    <row r="2267" spans="66:69" x14ac:dyDescent="0.2">
      <c r="BN2267" s="192"/>
      <c r="BO2267" s="197"/>
      <c r="BP2267" s="197"/>
      <c r="BQ2267" s="197"/>
    </row>
    <row r="2268" spans="66:69" x14ac:dyDescent="0.2">
      <c r="BN2268" s="192"/>
      <c r="BO2268" s="197"/>
      <c r="BP2268" s="197"/>
      <c r="BQ2268" s="197"/>
    </row>
    <row r="2269" spans="66:69" x14ac:dyDescent="0.2">
      <c r="BN2269" s="192"/>
      <c r="BO2269" s="197"/>
      <c r="BP2269" s="197"/>
      <c r="BQ2269" s="197"/>
    </row>
    <row r="2270" spans="66:69" x14ac:dyDescent="0.2">
      <c r="BN2270" s="192"/>
      <c r="BO2270" s="197"/>
      <c r="BP2270" s="197"/>
      <c r="BQ2270" s="197"/>
    </row>
    <row r="2271" spans="66:69" x14ac:dyDescent="0.2">
      <c r="BN2271" s="192"/>
      <c r="BO2271" s="197"/>
      <c r="BP2271" s="197"/>
      <c r="BQ2271" s="197"/>
    </row>
    <row r="2272" spans="66:69" x14ac:dyDescent="0.2">
      <c r="BN2272" s="192"/>
      <c r="BO2272" s="197"/>
      <c r="BP2272" s="197"/>
      <c r="BQ2272" s="197"/>
    </row>
    <row r="2273" spans="66:69" x14ac:dyDescent="0.2">
      <c r="BN2273" s="192"/>
      <c r="BO2273" s="197"/>
      <c r="BP2273" s="197"/>
      <c r="BQ2273" s="197"/>
    </row>
    <row r="2274" spans="66:69" x14ac:dyDescent="0.2">
      <c r="BN2274" s="192"/>
      <c r="BO2274" s="197"/>
      <c r="BP2274" s="197"/>
      <c r="BQ2274" s="197"/>
    </row>
    <row r="2275" spans="66:69" x14ac:dyDescent="0.2">
      <c r="BN2275" s="192"/>
      <c r="BO2275" s="197"/>
      <c r="BP2275" s="197"/>
      <c r="BQ2275" s="197"/>
    </row>
    <row r="2276" spans="66:69" x14ac:dyDescent="0.2">
      <c r="BN2276" s="192"/>
      <c r="BO2276" s="197"/>
      <c r="BP2276" s="197"/>
      <c r="BQ2276" s="197"/>
    </row>
    <row r="2277" spans="66:69" x14ac:dyDescent="0.2">
      <c r="BN2277" s="192"/>
      <c r="BO2277" s="197"/>
      <c r="BP2277" s="197"/>
      <c r="BQ2277" s="197"/>
    </row>
    <row r="2278" spans="66:69" x14ac:dyDescent="0.2">
      <c r="BN2278" s="192"/>
      <c r="BO2278" s="197"/>
      <c r="BP2278" s="197"/>
      <c r="BQ2278" s="197"/>
    </row>
    <row r="2279" spans="66:69" x14ac:dyDescent="0.2">
      <c r="BN2279" s="192"/>
      <c r="BO2279" s="197"/>
      <c r="BP2279" s="197"/>
      <c r="BQ2279" s="197"/>
    </row>
    <row r="2280" spans="66:69" x14ac:dyDescent="0.2">
      <c r="BN2280" s="192"/>
      <c r="BO2280" s="197"/>
      <c r="BP2280" s="197"/>
      <c r="BQ2280" s="197"/>
    </row>
    <row r="2281" spans="66:69" x14ac:dyDescent="0.2">
      <c r="BN2281" s="192"/>
      <c r="BO2281" s="197"/>
      <c r="BP2281" s="197"/>
      <c r="BQ2281" s="197"/>
    </row>
    <row r="2282" spans="66:69" x14ac:dyDescent="0.2">
      <c r="BN2282" s="192"/>
      <c r="BO2282" s="197"/>
      <c r="BP2282" s="197"/>
      <c r="BQ2282" s="197"/>
    </row>
    <row r="2283" spans="66:69" x14ac:dyDescent="0.2">
      <c r="BN2283" s="192"/>
      <c r="BO2283" s="197"/>
      <c r="BP2283" s="197"/>
      <c r="BQ2283" s="197"/>
    </row>
    <row r="2284" spans="66:69" x14ac:dyDescent="0.2">
      <c r="BN2284" s="192"/>
      <c r="BO2284" s="197"/>
      <c r="BP2284" s="197"/>
      <c r="BQ2284" s="197"/>
    </row>
    <row r="2285" spans="66:69" x14ac:dyDescent="0.2">
      <c r="BN2285" s="192"/>
      <c r="BO2285" s="197"/>
      <c r="BP2285" s="197"/>
      <c r="BQ2285" s="197"/>
    </row>
    <row r="2286" spans="66:69" x14ac:dyDescent="0.2">
      <c r="BN2286" s="192"/>
      <c r="BO2286" s="197"/>
      <c r="BP2286" s="197"/>
      <c r="BQ2286" s="197"/>
    </row>
    <row r="2287" spans="66:69" x14ac:dyDescent="0.2">
      <c r="BN2287" s="192"/>
      <c r="BO2287" s="197"/>
      <c r="BP2287" s="197"/>
      <c r="BQ2287" s="197"/>
    </row>
    <row r="2288" spans="66:69" x14ac:dyDescent="0.2">
      <c r="BN2288" s="192"/>
      <c r="BO2288" s="197"/>
      <c r="BP2288" s="197"/>
      <c r="BQ2288" s="197"/>
    </row>
    <row r="2289" spans="66:69" x14ac:dyDescent="0.2">
      <c r="BN2289" s="192"/>
      <c r="BO2289" s="197"/>
      <c r="BP2289" s="197"/>
      <c r="BQ2289" s="197"/>
    </row>
    <row r="2290" spans="66:69" x14ac:dyDescent="0.2">
      <c r="BN2290" s="192"/>
      <c r="BO2290" s="197"/>
      <c r="BP2290" s="197"/>
      <c r="BQ2290" s="197"/>
    </row>
    <row r="2291" spans="66:69" x14ac:dyDescent="0.2">
      <c r="BN2291" s="192"/>
      <c r="BO2291" s="197"/>
      <c r="BP2291" s="197"/>
      <c r="BQ2291" s="197"/>
    </row>
    <row r="2292" spans="66:69" x14ac:dyDescent="0.2">
      <c r="BN2292" s="192"/>
      <c r="BO2292" s="197"/>
      <c r="BP2292" s="197"/>
      <c r="BQ2292" s="197"/>
    </row>
    <row r="2293" spans="66:69" x14ac:dyDescent="0.2">
      <c r="BN2293" s="192"/>
      <c r="BO2293" s="197"/>
      <c r="BP2293" s="197"/>
      <c r="BQ2293" s="197"/>
    </row>
    <row r="2294" spans="66:69" x14ac:dyDescent="0.2">
      <c r="BN2294" s="192"/>
      <c r="BO2294" s="197"/>
      <c r="BP2294" s="197"/>
      <c r="BQ2294" s="197"/>
    </row>
    <row r="2295" spans="66:69" x14ac:dyDescent="0.2">
      <c r="BN2295" s="192"/>
      <c r="BO2295" s="197"/>
      <c r="BP2295" s="197"/>
      <c r="BQ2295" s="197"/>
    </row>
    <row r="2296" spans="66:69" x14ac:dyDescent="0.2">
      <c r="BN2296" s="192"/>
      <c r="BO2296" s="197"/>
      <c r="BP2296" s="197"/>
      <c r="BQ2296" s="197"/>
    </row>
    <row r="2297" spans="66:69" x14ac:dyDescent="0.2">
      <c r="BN2297" s="192"/>
      <c r="BO2297" s="197"/>
      <c r="BP2297" s="197"/>
      <c r="BQ2297" s="197"/>
    </row>
    <row r="2298" spans="66:69" x14ac:dyDescent="0.2">
      <c r="BN2298" s="192"/>
      <c r="BO2298" s="197"/>
      <c r="BP2298" s="197"/>
      <c r="BQ2298" s="197"/>
    </row>
    <row r="2299" spans="66:69" x14ac:dyDescent="0.2">
      <c r="BN2299" s="192"/>
      <c r="BO2299" s="197"/>
      <c r="BP2299" s="197"/>
      <c r="BQ2299" s="197"/>
    </row>
    <row r="2300" spans="66:69" x14ac:dyDescent="0.2">
      <c r="BN2300" s="192"/>
      <c r="BO2300" s="197"/>
      <c r="BP2300" s="197"/>
      <c r="BQ2300" s="197"/>
    </row>
    <row r="2301" spans="66:69" x14ac:dyDescent="0.2">
      <c r="BN2301" s="192"/>
      <c r="BO2301" s="197"/>
      <c r="BP2301" s="197"/>
      <c r="BQ2301" s="197"/>
    </row>
    <row r="2302" spans="66:69" x14ac:dyDescent="0.2">
      <c r="BN2302" s="192"/>
      <c r="BO2302" s="197"/>
      <c r="BP2302" s="197"/>
      <c r="BQ2302" s="197"/>
    </row>
    <row r="2303" spans="66:69" x14ac:dyDescent="0.2">
      <c r="BN2303" s="192"/>
      <c r="BO2303" s="197"/>
      <c r="BP2303" s="197"/>
      <c r="BQ2303" s="197"/>
    </row>
    <row r="2304" spans="66:69" x14ac:dyDescent="0.2">
      <c r="BN2304" s="192"/>
      <c r="BO2304" s="197"/>
      <c r="BP2304" s="197"/>
      <c r="BQ2304" s="197"/>
    </row>
    <row r="2305" spans="66:69" x14ac:dyDescent="0.2">
      <c r="BN2305" s="192"/>
      <c r="BO2305" s="197"/>
      <c r="BP2305" s="197"/>
      <c r="BQ2305" s="197"/>
    </row>
    <row r="2306" spans="66:69" x14ac:dyDescent="0.2">
      <c r="BN2306" s="192"/>
      <c r="BO2306" s="197"/>
      <c r="BP2306" s="197"/>
      <c r="BQ2306" s="197"/>
    </row>
    <row r="2307" spans="66:69" x14ac:dyDescent="0.2">
      <c r="BN2307" s="192"/>
      <c r="BO2307" s="197"/>
      <c r="BP2307" s="197"/>
      <c r="BQ2307" s="197"/>
    </row>
    <row r="2308" spans="66:69" x14ac:dyDescent="0.2">
      <c r="BN2308" s="192"/>
      <c r="BO2308" s="197"/>
      <c r="BP2308" s="197"/>
      <c r="BQ2308" s="197"/>
    </row>
    <row r="2309" spans="66:69" x14ac:dyDescent="0.2">
      <c r="BN2309" s="192"/>
      <c r="BO2309" s="197"/>
      <c r="BP2309" s="197"/>
      <c r="BQ2309" s="197"/>
    </row>
    <row r="2310" spans="66:69" x14ac:dyDescent="0.2">
      <c r="BN2310" s="192"/>
      <c r="BO2310" s="197"/>
      <c r="BP2310" s="197"/>
      <c r="BQ2310" s="197"/>
    </row>
    <row r="2311" spans="66:69" x14ac:dyDescent="0.2">
      <c r="BN2311" s="192"/>
      <c r="BO2311" s="197"/>
      <c r="BP2311" s="197"/>
      <c r="BQ2311" s="197"/>
    </row>
    <row r="2312" spans="66:69" x14ac:dyDescent="0.2">
      <c r="BN2312" s="192"/>
      <c r="BO2312" s="197"/>
      <c r="BP2312" s="197"/>
      <c r="BQ2312" s="197"/>
    </row>
    <row r="2313" spans="66:69" x14ac:dyDescent="0.2">
      <c r="BN2313" s="192"/>
      <c r="BO2313" s="197"/>
      <c r="BP2313" s="197"/>
      <c r="BQ2313" s="197"/>
    </row>
    <row r="2314" spans="66:69" x14ac:dyDescent="0.2">
      <c r="BN2314" s="192"/>
      <c r="BO2314" s="197"/>
      <c r="BP2314" s="197"/>
      <c r="BQ2314" s="197"/>
    </row>
    <row r="2315" spans="66:69" x14ac:dyDescent="0.2">
      <c r="BN2315" s="192"/>
      <c r="BO2315" s="197"/>
      <c r="BP2315" s="197"/>
      <c r="BQ2315" s="197"/>
    </row>
    <row r="2316" spans="66:69" x14ac:dyDescent="0.2">
      <c r="BN2316" s="192"/>
      <c r="BO2316" s="197"/>
      <c r="BP2316" s="197"/>
      <c r="BQ2316" s="197"/>
    </row>
    <row r="2317" spans="66:69" x14ac:dyDescent="0.2">
      <c r="BN2317" s="192"/>
      <c r="BO2317" s="197"/>
      <c r="BP2317" s="197"/>
      <c r="BQ2317" s="197"/>
    </row>
    <row r="2318" spans="66:69" x14ac:dyDescent="0.2">
      <c r="BN2318" s="192"/>
      <c r="BO2318" s="197"/>
      <c r="BP2318" s="197"/>
      <c r="BQ2318" s="197"/>
    </row>
    <row r="2319" spans="66:69" x14ac:dyDescent="0.2">
      <c r="BN2319" s="192"/>
      <c r="BO2319" s="197"/>
      <c r="BP2319" s="197"/>
      <c r="BQ2319" s="197"/>
    </row>
    <row r="2320" spans="66:69" x14ac:dyDescent="0.2">
      <c r="BN2320" s="192"/>
      <c r="BO2320" s="197"/>
      <c r="BP2320" s="197"/>
      <c r="BQ2320" s="197"/>
    </row>
    <row r="2321" spans="66:69" x14ac:dyDescent="0.2">
      <c r="BN2321" s="192"/>
      <c r="BO2321" s="197"/>
      <c r="BP2321" s="197"/>
      <c r="BQ2321" s="197"/>
    </row>
    <row r="2322" spans="66:69" x14ac:dyDescent="0.2">
      <c r="BN2322" s="192"/>
      <c r="BO2322" s="197"/>
      <c r="BP2322" s="197"/>
      <c r="BQ2322" s="197"/>
    </row>
    <row r="2323" spans="66:69" x14ac:dyDescent="0.2">
      <c r="BN2323" s="192"/>
      <c r="BO2323" s="197"/>
      <c r="BP2323" s="197"/>
      <c r="BQ2323" s="197"/>
    </row>
    <row r="2324" spans="66:69" x14ac:dyDescent="0.2">
      <c r="BN2324" s="192"/>
      <c r="BO2324" s="197"/>
      <c r="BP2324" s="197"/>
      <c r="BQ2324" s="197"/>
    </row>
    <row r="2325" spans="66:69" x14ac:dyDescent="0.2">
      <c r="BN2325" s="192"/>
      <c r="BO2325" s="197"/>
      <c r="BP2325" s="197"/>
      <c r="BQ2325" s="197"/>
    </row>
    <row r="2326" spans="66:69" x14ac:dyDescent="0.2">
      <c r="BN2326" s="192"/>
      <c r="BO2326" s="197"/>
      <c r="BP2326" s="197"/>
      <c r="BQ2326" s="197"/>
    </row>
    <row r="2327" spans="66:69" x14ac:dyDescent="0.2">
      <c r="BN2327" s="192"/>
      <c r="BO2327" s="197"/>
      <c r="BP2327" s="197"/>
      <c r="BQ2327" s="197"/>
    </row>
    <row r="2328" spans="66:69" x14ac:dyDescent="0.2">
      <c r="BN2328" s="192"/>
      <c r="BO2328" s="197"/>
      <c r="BP2328" s="197"/>
      <c r="BQ2328" s="197"/>
    </row>
    <row r="2329" spans="66:69" x14ac:dyDescent="0.2">
      <c r="BN2329" s="192"/>
      <c r="BO2329" s="197"/>
      <c r="BP2329" s="197"/>
      <c r="BQ2329" s="197"/>
    </row>
    <row r="2330" spans="66:69" x14ac:dyDescent="0.2">
      <c r="BN2330" s="192"/>
      <c r="BO2330" s="197"/>
      <c r="BP2330" s="197"/>
      <c r="BQ2330" s="197"/>
    </row>
    <row r="2331" spans="66:69" x14ac:dyDescent="0.2">
      <c r="BN2331" s="192"/>
      <c r="BO2331" s="197"/>
      <c r="BP2331" s="197"/>
      <c r="BQ2331" s="197"/>
    </row>
    <row r="2332" spans="66:69" x14ac:dyDescent="0.2">
      <c r="BN2332" s="192"/>
      <c r="BO2332" s="197"/>
      <c r="BP2332" s="197"/>
      <c r="BQ2332" s="197"/>
    </row>
    <row r="2333" spans="66:69" x14ac:dyDescent="0.2">
      <c r="BN2333" s="192"/>
      <c r="BO2333" s="197"/>
      <c r="BP2333" s="197"/>
      <c r="BQ2333" s="197"/>
    </row>
    <row r="2334" spans="66:69" x14ac:dyDescent="0.2">
      <c r="BN2334" s="192"/>
      <c r="BO2334" s="197"/>
      <c r="BP2334" s="197"/>
      <c r="BQ2334" s="197"/>
    </row>
    <row r="2335" spans="66:69" x14ac:dyDescent="0.2">
      <c r="BN2335" s="192"/>
      <c r="BO2335" s="197"/>
      <c r="BP2335" s="197"/>
      <c r="BQ2335" s="197"/>
    </row>
    <row r="2336" spans="66:69" x14ac:dyDescent="0.2">
      <c r="BN2336" s="192"/>
      <c r="BO2336" s="197"/>
      <c r="BP2336" s="197"/>
      <c r="BQ2336" s="197"/>
    </row>
    <row r="2337" spans="66:69" x14ac:dyDescent="0.2">
      <c r="BN2337" s="192"/>
      <c r="BO2337" s="197"/>
      <c r="BP2337" s="197"/>
      <c r="BQ2337" s="197"/>
    </row>
    <row r="2338" spans="66:69" x14ac:dyDescent="0.2">
      <c r="BN2338" s="192"/>
      <c r="BO2338" s="197"/>
      <c r="BP2338" s="197"/>
      <c r="BQ2338" s="197"/>
    </row>
    <row r="2339" spans="66:69" x14ac:dyDescent="0.2">
      <c r="BN2339" s="192"/>
      <c r="BO2339" s="197"/>
      <c r="BP2339" s="197"/>
      <c r="BQ2339" s="197"/>
    </row>
    <row r="2340" spans="66:69" x14ac:dyDescent="0.2">
      <c r="BN2340" s="192"/>
      <c r="BO2340" s="197"/>
      <c r="BP2340" s="197"/>
      <c r="BQ2340" s="197"/>
    </row>
    <row r="2341" spans="66:69" x14ac:dyDescent="0.2">
      <c r="BN2341" s="192"/>
      <c r="BO2341" s="197"/>
      <c r="BP2341" s="197"/>
      <c r="BQ2341" s="197"/>
    </row>
    <row r="2342" spans="66:69" x14ac:dyDescent="0.2">
      <c r="BN2342" s="192"/>
      <c r="BO2342" s="197"/>
      <c r="BP2342" s="197"/>
      <c r="BQ2342" s="197"/>
    </row>
    <row r="2343" spans="66:69" x14ac:dyDescent="0.2">
      <c r="BN2343" s="192"/>
      <c r="BO2343" s="197"/>
      <c r="BP2343" s="197"/>
      <c r="BQ2343" s="197"/>
    </row>
    <row r="2344" spans="66:69" x14ac:dyDescent="0.2">
      <c r="BN2344" s="192"/>
      <c r="BO2344" s="197"/>
      <c r="BP2344" s="197"/>
      <c r="BQ2344" s="197"/>
    </row>
    <row r="2345" spans="66:69" x14ac:dyDescent="0.2">
      <c r="BN2345" s="192"/>
      <c r="BO2345" s="197"/>
      <c r="BP2345" s="197"/>
      <c r="BQ2345" s="197"/>
    </row>
    <row r="2346" spans="66:69" x14ac:dyDescent="0.2">
      <c r="BN2346" s="192"/>
      <c r="BO2346" s="197"/>
      <c r="BP2346" s="197"/>
      <c r="BQ2346" s="197"/>
    </row>
    <row r="2347" spans="66:69" x14ac:dyDescent="0.2">
      <c r="BN2347" s="192"/>
      <c r="BO2347" s="197"/>
      <c r="BP2347" s="197"/>
      <c r="BQ2347" s="197"/>
    </row>
    <row r="2348" spans="66:69" x14ac:dyDescent="0.2">
      <c r="BN2348" s="192"/>
      <c r="BO2348" s="197"/>
      <c r="BP2348" s="197"/>
      <c r="BQ2348" s="197"/>
    </row>
    <row r="2349" spans="66:69" x14ac:dyDescent="0.2">
      <c r="BN2349" s="192"/>
      <c r="BO2349" s="197"/>
      <c r="BP2349" s="197"/>
      <c r="BQ2349" s="197"/>
    </row>
    <row r="2350" spans="66:69" x14ac:dyDescent="0.2">
      <c r="BN2350" s="192"/>
      <c r="BO2350" s="197"/>
      <c r="BP2350" s="197"/>
      <c r="BQ2350" s="197"/>
    </row>
    <row r="2351" spans="66:69" x14ac:dyDescent="0.2">
      <c r="BN2351" s="192"/>
      <c r="BO2351" s="197"/>
      <c r="BP2351" s="197"/>
      <c r="BQ2351" s="197"/>
    </row>
    <row r="2352" spans="66:69" x14ac:dyDescent="0.2">
      <c r="BN2352" s="192"/>
      <c r="BO2352" s="197"/>
      <c r="BP2352" s="197"/>
      <c r="BQ2352" s="197"/>
    </row>
    <row r="2353" spans="66:69" x14ac:dyDescent="0.2">
      <c r="BN2353" s="192"/>
      <c r="BO2353" s="197"/>
      <c r="BP2353" s="197"/>
      <c r="BQ2353" s="197"/>
    </row>
    <row r="2354" spans="66:69" x14ac:dyDescent="0.2">
      <c r="BN2354" s="192"/>
      <c r="BO2354" s="197"/>
      <c r="BP2354" s="197"/>
      <c r="BQ2354" s="197"/>
    </row>
    <row r="2355" spans="66:69" x14ac:dyDescent="0.2">
      <c r="BN2355" s="192"/>
      <c r="BO2355" s="197"/>
      <c r="BP2355" s="197"/>
      <c r="BQ2355" s="197"/>
    </row>
    <row r="2356" spans="66:69" x14ac:dyDescent="0.2">
      <c r="BN2356" s="192"/>
      <c r="BO2356" s="197"/>
      <c r="BP2356" s="197"/>
      <c r="BQ2356" s="197"/>
    </row>
    <row r="2357" spans="66:69" x14ac:dyDescent="0.2">
      <c r="BN2357" s="192"/>
      <c r="BO2357" s="197"/>
      <c r="BP2357" s="197"/>
      <c r="BQ2357" s="197"/>
    </row>
    <row r="2358" spans="66:69" x14ac:dyDescent="0.2">
      <c r="BN2358" s="192"/>
      <c r="BO2358" s="197"/>
      <c r="BP2358" s="197"/>
      <c r="BQ2358" s="197"/>
    </row>
    <row r="2359" spans="66:69" x14ac:dyDescent="0.2">
      <c r="BN2359" s="192"/>
      <c r="BO2359" s="197"/>
      <c r="BP2359" s="197"/>
      <c r="BQ2359" s="197"/>
    </row>
    <row r="2360" spans="66:69" x14ac:dyDescent="0.2">
      <c r="BN2360" s="192"/>
      <c r="BO2360" s="197"/>
      <c r="BP2360" s="197"/>
      <c r="BQ2360" s="197"/>
    </row>
    <row r="2361" spans="66:69" x14ac:dyDescent="0.2">
      <c r="BN2361" s="192"/>
      <c r="BO2361" s="197"/>
      <c r="BP2361" s="197"/>
      <c r="BQ2361" s="197"/>
    </row>
    <row r="2362" spans="66:69" x14ac:dyDescent="0.2">
      <c r="BN2362" s="192"/>
      <c r="BO2362" s="197"/>
      <c r="BP2362" s="197"/>
      <c r="BQ2362" s="197"/>
    </row>
    <row r="2363" spans="66:69" x14ac:dyDescent="0.2">
      <c r="BN2363" s="192"/>
      <c r="BO2363" s="197"/>
      <c r="BP2363" s="197"/>
      <c r="BQ2363" s="197"/>
    </row>
    <row r="2364" spans="66:69" x14ac:dyDescent="0.2">
      <c r="BN2364" s="192"/>
      <c r="BO2364" s="197"/>
      <c r="BP2364" s="197"/>
      <c r="BQ2364" s="197"/>
    </row>
    <row r="2365" spans="66:69" x14ac:dyDescent="0.2">
      <c r="BN2365" s="192"/>
      <c r="BO2365" s="197"/>
      <c r="BP2365" s="197"/>
      <c r="BQ2365" s="197"/>
    </row>
    <row r="2366" spans="66:69" x14ac:dyDescent="0.2">
      <c r="BN2366" s="192"/>
      <c r="BO2366" s="197"/>
      <c r="BP2366" s="197"/>
      <c r="BQ2366" s="197"/>
    </row>
    <row r="2367" spans="66:69" x14ac:dyDescent="0.2">
      <c r="BN2367" s="192"/>
      <c r="BO2367" s="197"/>
      <c r="BP2367" s="197"/>
      <c r="BQ2367" s="197"/>
    </row>
    <row r="2368" spans="66:69" x14ac:dyDescent="0.2">
      <c r="BN2368" s="192"/>
      <c r="BO2368" s="197"/>
      <c r="BP2368" s="197"/>
      <c r="BQ2368" s="197"/>
    </row>
    <row r="2369" spans="66:69" x14ac:dyDescent="0.2">
      <c r="BN2369" s="192"/>
      <c r="BO2369" s="197"/>
      <c r="BP2369" s="197"/>
      <c r="BQ2369" s="197"/>
    </row>
    <row r="2370" spans="66:69" x14ac:dyDescent="0.2">
      <c r="BN2370" s="192"/>
      <c r="BO2370" s="197"/>
      <c r="BP2370" s="197"/>
      <c r="BQ2370" s="197"/>
    </row>
    <row r="2371" spans="66:69" x14ac:dyDescent="0.2">
      <c r="BN2371" s="192"/>
      <c r="BO2371" s="197"/>
      <c r="BP2371" s="197"/>
      <c r="BQ2371" s="197"/>
    </row>
    <row r="2372" spans="66:69" x14ac:dyDescent="0.2">
      <c r="BN2372" s="192"/>
      <c r="BO2372" s="197"/>
      <c r="BP2372" s="197"/>
      <c r="BQ2372" s="197"/>
    </row>
    <row r="2373" spans="66:69" x14ac:dyDescent="0.2">
      <c r="BN2373" s="192"/>
      <c r="BO2373" s="197"/>
      <c r="BP2373" s="197"/>
      <c r="BQ2373" s="197"/>
    </row>
    <row r="2374" spans="66:69" x14ac:dyDescent="0.2">
      <c r="BN2374" s="192"/>
      <c r="BO2374" s="197"/>
      <c r="BP2374" s="197"/>
      <c r="BQ2374" s="197"/>
    </row>
    <row r="2375" spans="66:69" x14ac:dyDescent="0.2">
      <c r="BN2375" s="192"/>
      <c r="BO2375" s="197"/>
      <c r="BP2375" s="197"/>
      <c r="BQ2375" s="197"/>
    </row>
    <row r="2376" spans="66:69" x14ac:dyDescent="0.2">
      <c r="BN2376" s="192"/>
      <c r="BO2376" s="197"/>
      <c r="BP2376" s="197"/>
      <c r="BQ2376" s="197"/>
    </row>
    <row r="2377" spans="66:69" x14ac:dyDescent="0.2">
      <c r="BN2377" s="192"/>
      <c r="BO2377" s="197"/>
      <c r="BP2377" s="197"/>
      <c r="BQ2377" s="197"/>
    </row>
    <row r="2378" spans="66:69" x14ac:dyDescent="0.2">
      <c r="BN2378" s="192"/>
      <c r="BO2378" s="197"/>
      <c r="BP2378" s="197"/>
      <c r="BQ2378" s="197"/>
    </row>
    <row r="2379" spans="66:69" x14ac:dyDescent="0.2">
      <c r="BN2379" s="192"/>
      <c r="BO2379" s="197"/>
      <c r="BP2379" s="197"/>
      <c r="BQ2379" s="197"/>
    </row>
    <row r="2380" spans="66:69" x14ac:dyDescent="0.2">
      <c r="BN2380" s="192"/>
      <c r="BO2380" s="197"/>
      <c r="BP2380" s="197"/>
      <c r="BQ2380" s="197"/>
    </row>
    <row r="2381" spans="66:69" x14ac:dyDescent="0.2">
      <c r="BN2381" s="192"/>
      <c r="BO2381" s="197"/>
      <c r="BP2381" s="197"/>
      <c r="BQ2381" s="197"/>
    </row>
    <row r="2382" spans="66:69" x14ac:dyDescent="0.2">
      <c r="BN2382" s="192"/>
      <c r="BO2382" s="197"/>
      <c r="BP2382" s="197"/>
      <c r="BQ2382" s="197"/>
    </row>
    <row r="2383" spans="66:69" x14ac:dyDescent="0.2">
      <c r="BN2383" s="192"/>
      <c r="BO2383" s="197"/>
      <c r="BP2383" s="197"/>
      <c r="BQ2383" s="197"/>
    </row>
    <row r="2384" spans="66:69" x14ac:dyDescent="0.2">
      <c r="BN2384" s="192"/>
      <c r="BO2384" s="197"/>
      <c r="BP2384" s="197"/>
      <c r="BQ2384" s="197"/>
    </row>
    <row r="2385" spans="66:69" x14ac:dyDescent="0.2">
      <c r="BN2385" s="192"/>
      <c r="BO2385" s="197"/>
      <c r="BP2385" s="197"/>
      <c r="BQ2385" s="197"/>
    </row>
    <row r="2386" spans="66:69" x14ac:dyDescent="0.2">
      <c r="BN2386" s="192"/>
      <c r="BO2386" s="197"/>
      <c r="BP2386" s="197"/>
      <c r="BQ2386" s="197"/>
    </row>
    <row r="2387" spans="66:69" x14ac:dyDescent="0.2">
      <c r="BN2387" s="192"/>
      <c r="BO2387" s="197"/>
      <c r="BP2387" s="197"/>
      <c r="BQ2387" s="197"/>
    </row>
    <row r="2388" spans="66:69" x14ac:dyDescent="0.2">
      <c r="BN2388" s="192"/>
      <c r="BO2388" s="197"/>
      <c r="BP2388" s="197"/>
      <c r="BQ2388" s="197"/>
    </row>
    <row r="2389" spans="66:69" x14ac:dyDescent="0.2">
      <c r="BN2389" s="192"/>
      <c r="BO2389" s="197"/>
      <c r="BP2389" s="197"/>
      <c r="BQ2389" s="197"/>
    </row>
    <row r="2390" spans="66:69" x14ac:dyDescent="0.2">
      <c r="BN2390" s="192"/>
      <c r="BO2390" s="197"/>
      <c r="BP2390" s="197"/>
      <c r="BQ2390" s="197"/>
    </row>
    <row r="2391" spans="66:69" x14ac:dyDescent="0.2">
      <c r="BN2391" s="192"/>
      <c r="BO2391" s="197"/>
      <c r="BP2391" s="197"/>
      <c r="BQ2391" s="197"/>
    </row>
    <row r="2392" spans="66:69" x14ac:dyDescent="0.2">
      <c r="BN2392" s="192"/>
      <c r="BO2392" s="197"/>
      <c r="BP2392" s="197"/>
      <c r="BQ2392" s="197"/>
    </row>
    <row r="2393" spans="66:69" x14ac:dyDescent="0.2">
      <c r="BN2393" s="192"/>
      <c r="BO2393" s="197"/>
      <c r="BP2393" s="197"/>
      <c r="BQ2393" s="197"/>
    </row>
    <row r="2394" spans="66:69" x14ac:dyDescent="0.2">
      <c r="BN2394" s="192"/>
      <c r="BO2394" s="197"/>
      <c r="BP2394" s="197"/>
      <c r="BQ2394" s="197"/>
    </row>
    <row r="2395" spans="66:69" x14ac:dyDescent="0.2">
      <c r="BN2395" s="192"/>
      <c r="BO2395" s="197"/>
      <c r="BP2395" s="197"/>
      <c r="BQ2395" s="197"/>
    </row>
    <row r="2396" spans="66:69" x14ac:dyDescent="0.2">
      <c r="BN2396" s="192"/>
      <c r="BO2396" s="197"/>
      <c r="BP2396" s="197"/>
      <c r="BQ2396" s="197"/>
    </row>
    <row r="2397" spans="66:69" x14ac:dyDescent="0.2">
      <c r="BN2397" s="192"/>
      <c r="BO2397" s="197"/>
      <c r="BP2397" s="197"/>
      <c r="BQ2397" s="197"/>
    </row>
    <row r="2398" spans="66:69" x14ac:dyDescent="0.2">
      <c r="BN2398" s="192"/>
      <c r="BO2398" s="197"/>
      <c r="BP2398" s="197"/>
      <c r="BQ2398" s="197"/>
    </row>
    <row r="2399" spans="66:69" x14ac:dyDescent="0.2">
      <c r="BN2399" s="192"/>
      <c r="BO2399" s="197"/>
      <c r="BP2399" s="197"/>
      <c r="BQ2399" s="197"/>
    </row>
    <row r="2400" spans="66:69" x14ac:dyDescent="0.2">
      <c r="BN2400" s="192"/>
      <c r="BO2400" s="197"/>
      <c r="BP2400" s="197"/>
      <c r="BQ2400" s="197"/>
    </row>
    <row r="2401" spans="66:69" x14ac:dyDescent="0.2">
      <c r="BN2401" s="192"/>
      <c r="BO2401" s="197"/>
      <c r="BP2401" s="197"/>
      <c r="BQ2401" s="197"/>
    </row>
    <row r="2402" spans="66:69" x14ac:dyDescent="0.2">
      <c r="BN2402" s="192"/>
      <c r="BO2402" s="197"/>
      <c r="BP2402" s="197"/>
      <c r="BQ2402" s="197"/>
    </row>
    <row r="2403" spans="66:69" x14ac:dyDescent="0.2">
      <c r="BN2403" s="192"/>
      <c r="BO2403" s="197"/>
      <c r="BP2403" s="197"/>
      <c r="BQ2403" s="197"/>
    </row>
    <row r="2404" spans="66:69" x14ac:dyDescent="0.2">
      <c r="BN2404" s="192"/>
      <c r="BO2404" s="197"/>
      <c r="BP2404" s="197"/>
      <c r="BQ2404" s="197"/>
    </row>
    <row r="2405" spans="66:69" x14ac:dyDescent="0.2">
      <c r="BN2405" s="192"/>
      <c r="BO2405" s="197"/>
      <c r="BP2405" s="197"/>
      <c r="BQ2405" s="197"/>
    </row>
    <row r="2406" spans="66:69" x14ac:dyDescent="0.2">
      <c r="BN2406" s="192"/>
      <c r="BO2406" s="197"/>
      <c r="BP2406" s="197"/>
      <c r="BQ2406" s="197"/>
    </row>
    <row r="2407" spans="66:69" x14ac:dyDescent="0.2">
      <c r="BN2407" s="192"/>
      <c r="BO2407" s="197"/>
      <c r="BP2407" s="197"/>
      <c r="BQ2407" s="197"/>
    </row>
    <row r="2408" spans="66:69" x14ac:dyDescent="0.2">
      <c r="BN2408" s="192"/>
      <c r="BO2408" s="197"/>
      <c r="BP2408" s="197"/>
      <c r="BQ2408" s="197"/>
    </row>
    <row r="2409" spans="66:69" x14ac:dyDescent="0.2">
      <c r="BN2409" s="192"/>
      <c r="BO2409" s="197"/>
      <c r="BP2409" s="197"/>
      <c r="BQ2409" s="197"/>
    </row>
    <row r="2410" spans="66:69" x14ac:dyDescent="0.2">
      <c r="BN2410" s="192"/>
      <c r="BO2410" s="197"/>
      <c r="BP2410" s="197"/>
      <c r="BQ2410" s="197"/>
    </row>
    <row r="2411" spans="66:69" x14ac:dyDescent="0.2">
      <c r="BN2411" s="192"/>
      <c r="BO2411" s="197"/>
      <c r="BP2411" s="197"/>
      <c r="BQ2411" s="197"/>
    </row>
    <row r="2412" spans="66:69" x14ac:dyDescent="0.2">
      <c r="BN2412" s="192"/>
      <c r="BO2412" s="197"/>
      <c r="BP2412" s="197"/>
      <c r="BQ2412" s="197"/>
    </row>
    <row r="2413" spans="66:69" x14ac:dyDescent="0.2">
      <c r="BN2413" s="192"/>
      <c r="BO2413" s="197"/>
      <c r="BP2413" s="197"/>
      <c r="BQ2413" s="197"/>
    </row>
    <row r="2414" spans="66:69" x14ac:dyDescent="0.2">
      <c r="BN2414" s="192"/>
      <c r="BO2414" s="197"/>
      <c r="BP2414" s="197"/>
      <c r="BQ2414" s="197"/>
    </row>
    <row r="2415" spans="66:69" x14ac:dyDescent="0.2">
      <c r="BN2415" s="192"/>
      <c r="BO2415" s="197"/>
      <c r="BP2415" s="197"/>
      <c r="BQ2415" s="197"/>
    </row>
    <row r="2416" spans="66:69" x14ac:dyDescent="0.2">
      <c r="BN2416" s="192"/>
      <c r="BO2416" s="197"/>
      <c r="BP2416" s="197"/>
      <c r="BQ2416" s="197"/>
    </row>
    <row r="2417" spans="66:69" x14ac:dyDescent="0.2">
      <c r="BN2417" s="192"/>
      <c r="BO2417" s="197"/>
      <c r="BP2417" s="197"/>
      <c r="BQ2417" s="197"/>
    </row>
    <row r="2418" spans="66:69" x14ac:dyDescent="0.2">
      <c r="BN2418" s="192"/>
      <c r="BO2418" s="197"/>
      <c r="BP2418" s="197"/>
      <c r="BQ2418" s="197"/>
    </row>
    <row r="2419" spans="66:69" x14ac:dyDescent="0.2">
      <c r="BN2419" s="192"/>
      <c r="BO2419" s="197"/>
      <c r="BP2419" s="197"/>
      <c r="BQ2419" s="197"/>
    </row>
    <row r="2420" spans="66:69" x14ac:dyDescent="0.2">
      <c r="BN2420" s="192"/>
      <c r="BO2420" s="197"/>
      <c r="BP2420" s="197"/>
      <c r="BQ2420" s="197"/>
    </row>
    <row r="2421" spans="66:69" x14ac:dyDescent="0.2">
      <c r="BN2421" s="192"/>
      <c r="BO2421" s="197"/>
      <c r="BP2421" s="197"/>
      <c r="BQ2421" s="197"/>
    </row>
    <row r="2422" spans="66:69" x14ac:dyDescent="0.2">
      <c r="BN2422" s="192"/>
      <c r="BO2422" s="197"/>
      <c r="BP2422" s="197"/>
      <c r="BQ2422" s="197"/>
    </row>
    <row r="2423" spans="66:69" x14ac:dyDescent="0.2">
      <c r="BN2423" s="192"/>
      <c r="BO2423" s="197"/>
      <c r="BP2423" s="197"/>
      <c r="BQ2423" s="197"/>
    </row>
    <row r="2424" spans="66:69" x14ac:dyDescent="0.2">
      <c r="BN2424" s="192"/>
      <c r="BO2424" s="197"/>
      <c r="BP2424" s="197"/>
      <c r="BQ2424" s="197"/>
    </row>
    <row r="2425" spans="66:69" x14ac:dyDescent="0.2">
      <c r="BN2425" s="192"/>
      <c r="BO2425" s="197"/>
      <c r="BP2425" s="197"/>
      <c r="BQ2425" s="197"/>
    </row>
    <row r="2426" spans="66:69" x14ac:dyDescent="0.2">
      <c r="BN2426" s="192"/>
      <c r="BO2426" s="197"/>
      <c r="BP2426" s="197"/>
      <c r="BQ2426" s="197"/>
    </row>
    <row r="2427" spans="66:69" x14ac:dyDescent="0.2">
      <c r="BN2427" s="192"/>
      <c r="BO2427" s="197"/>
      <c r="BP2427" s="197"/>
      <c r="BQ2427" s="197"/>
    </row>
    <row r="2428" spans="66:69" x14ac:dyDescent="0.2">
      <c r="BN2428" s="192"/>
      <c r="BO2428" s="197"/>
      <c r="BP2428" s="197"/>
      <c r="BQ2428" s="197"/>
    </row>
    <row r="2429" spans="66:69" x14ac:dyDescent="0.2">
      <c r="BN2429" s="192"/>
      <c r="BO2429" s="197"/>
      <c r="BP2429" s="197"/>
      <c r="BQ2429" s="197"/>
    </row>
    <row r="2430" spans="66:69" x14ac:dyDescent="0.2">
      <c r="BN2430" s="192"/>
      <c r="BO2430" s="197"/>
      <c r="BP2430" s="197"/>
      <c r="BQ2430" s="197"/>
    </row>
    <row r="2431" spans="66:69" x14ac:dyDescent="0.2">
      <c r="BN2431" s="192"/>
      <c r="BO2431" s="197"/>
      <c r="BP2431" s="197"/>
      <c r="BQ2431" s="197"/>
    </row>
    <row r="2432" spans="66:69" x14ac:dyDescent="0.2">
      <c r="BN2432" s="192"/>
      <c r="BO2432" s="197"/>
      <c r="BP2432" s="197"/>
      <c r="BQ2432" s="197"/>
    </row>
    <row r="2433" spans="66:69" x14ac:dyDescent="0.2">
      <c r="BN2433" s="192"/>
      <c r="BO2433" s="197"/>
      <c r="BP2433" s="197"/>
      <c r="BQ2433" s="197"/>
    </row>
    <row r="2434" spans="66:69" x14ac:dyDescent="0.2">
      <c r="BN2434" s="192"/>
      <c r="BO2434" s="197"/>
      <c r="BP2434" s="197"/>
      <c r="BQ2434" s="197"/>
    </row>
    <row r="2435" spans="66:69" x14ac:dyDescent="0.2">
      <c r="BN2435" s="192"/>
      <c r="BO2435" s="197"/>
      <c r="BP2435" s="197"/>
      <c r="BQ2435" s="197"/>
    </row>
    <row r="2436" spans="66:69" x14ac:dyDescent="0.2">
      <c r="BN2436" s="192"/>
      <c r="BO2436" s="197"/>
      <c r="BP2436" s="197"/>
      <c r="BQ2436" s="197"/>
    </row>
    <row r="2437" spans="66:69" x14ac:dyDescent="0.2">
      <c r="BN2437" s="192"/>
      <c r="BO2437" s="197"/>
      <c r="BP2437" s="197"/>
      <c r="BQ2437" s="197"/>
    </row>
    <row r="2438" spans="66:69" x14ac:dyDescent="0.2">
      <c r="BN2438" s="192"/>
      <c r="BO2438" s="197"/>
      <c r="BP2438" s="197"/>
      <c r="BQ2438" s="197"/>
    </row>
    <row r="2439" spans="66:69" x14ac:dyDescent="0.2">
      <c r="BN2439" s="192"/>
      <c r="BO2439" s="197"/>
      <c r="BP2439" s="197"/>
      <c r="BQ2439" s="197"/>
    </row>
    <row r="2440" spans="66:69" x14ac:dyDescent="0.2">
      <c r="BN2440" s="192"/>
      <c r="BO2440" s="197"/>
      <c r="BP2440" s="197"/>
      <c r="BQ2440" s="197"/>
    </row>
    <row r="2441" spans="66:69" x14ac:dyDescent="0.2">
      <c r="BN2441" s="192"/>
      <c r="BO2441" s="197"/>
      <c r="BP2441" s="197"/>
      <c r="BQ2441" s="197"/>
    </row>
    <row r="2442" spans="66:69" x14ac:dyDescent="0.2">
      <c r="BN2442" s="192"/>
      <c r="BO2442" s="197"/>
      <c r="BP2442" s="197"/>
      <c r="BQ2442" s="197"/>
    </row>
    <row r="2443" spans="66:69" x14ac:dyDescent="0.2">
      <c r="BN2443" s="192"/>
      <c r="BO2443" s="197"/>
      <c r="BP2443" s="197"/>
      <c r="BQ2443" s="197"/>
    </row>
    <row r="2444" spans="66:69" x14ac:dyDescent="0.2">
      <c r="BN2444" s="192"/>
      <c r="BO2444" s="197"/>
      <c r="BP2444" s="197"/>
      <c r="BQ2444" s="197"/>
    </row>
    <row r="2445" spans="66:69" x14ac:dyDescent="0.2">
      <c r="BN2445" s="192"/>
      <c r="BO2445" s="197"/>
      <c r="BP2445" s="197"/>
      <c r="BQ2445" s="197"/>
    </row>
    <row r="2446" spans="66:69" x14ac:dyDescent="0.2">
      <c r="BN2446" s="192"/>
      <c r="BO2446" s="197"/>
      <c r="BP2446" s="197"/>
      <c r="BQ2446" s="197"/>
    </row>
    <row r="2447" spans="66:69" x14ac:dyDescent="0.2">
      <c r="BN2447" s="192"/>
      <c r="BO2447" s="197"/>
      <c r="BP2447" s="197"/>
      <c r="BQ2447" s="197"/>
    </row>
    <row r="2448" spans="66:69" x14ac:dyDescent="0.2">
      <c r="BN2448" s="192"/>
      <c r="BO2448" s="197"/>
      <c r="BP2448" s="197"/>
      <c r="BQ2448" s="197"/>
    </row>
    <row r="2449" spans="66:69" x14ac:dyDescent="0.2">
      <c r="BN2449" s="192"/>
      <c r="BO2449" s="197"/>
      <c r="BP2449" s="197"/>
      <c r="BQ2449" s="197"/>
    </row>
    <row r="2450" spans="66:69" x14ac:dyDescent="0.2">
      <c r="BN2450" s="192"/>
      <c r="BO2450" s="197"/>
      <c r="BP2450" s="197"/>
      <c r="BQ2450" s="197"/>
    </row>
    <row r="2451" spans="66:69" x14ac:dyDescent="0.2">
      <c r="BN2451" s="192"/>
      <c r="BO2451" s="197"/>
      <c r="BP2451" s="197"/>
      <c r="BQ2451" s="197"/>
    </row>
    <row r="2452" spans="66:69" x14ac:dyDescent="0.2">
      <c r="BN2452" s="192"/>
      <c r="BO2452" s="197"/>
      <c r="BP2452" s="197"/>
      <c r="BQ2452" s="197"/>
    </row>
    <row r="2453" spans="66:69" x14ac:dyDescent="0.2">
      <c r="BN2453" s="192"/>
      <c r="BO2453" s="197"/>
      <c r="BP2453" s="197"/>
      <c r="BQ2453" s="197"/>
    </row>
    <row r="2454" spans="66:69" x14ac:dyDescent="0.2">
      <c r="BN2454" s="192"/>
      <c r="BO2454" s="197"/>
      <c r="BP2454" s="197"/>
      <c r="BQ2454" s="197"/>
    </row>
    <row r="2455" spans="66:69" x14ac:dyDescent="0.2">
      <c r="BN2455" s="192"/>
      <c r="BO2455" s="197"/>
      <c r="BP2455" s="197"/>
      <c r="BQ2455" s="197"/>
    </row>
    <row r="2456" spans="66:69" x14ac:dyDescent="0.2">
      <c r="BN2456" s="192"/>
      <c r="BO2456" s="197"/>
      <c r="BP2456" s="197"/>
      <c r="BQ2456" s="197"/>
    </row>
    <row r="2457" spans="66:69" x14ac:dyDescent="0.2">
      <c r="BN2457" s="192"/>
      <c r="BO2457" s="197"/>
      <c r="BP2457" s="197"/>
      <c r="BQ2457" s="197"/>
    </row>
    <row r="2458" spans="66:69" x14ac:dyDescent="0.2">
      <c r="BN2458" s="192"/>
      <c r="BO2458" s="197"/>
      <c r="BP2458" s="197"/>
      <c r="BQ2458" s="197"/>
    </row>
    <row r="2459" spans="66:69" x14ac:dyDescent="0.2">
      <c r="BN2459" s="192"/>
      <c r="BO2459" s="197"/>
      <c r="BP2459" s="197"/>
      <c r="BQ2459" s="197"/>
    </row>
    <row r="2460" spans="66:69" x14ac:dyDescent="0.2">
      <c r="BN2460" s="192"/>
      <c r="BO2460" s="197"/>
      <c r="BP2460" s="197"/>
      <c r="BQ2460" s="197"/>
    </row>
    <row r="2461" spans="66:69" x14ac:dyDescent="0.2">
      <c r="BN2461" s="192"/>
      <c r="BO2461" s="197"/>
      <c r="BP2461" s="197"/>
      <c r="BQ2461" s="197"/>
    </row>
    <row r="2462" spans="66:69" x14ac:dyDescent="0.2">
      <c r="BN2462" s="192"/>
      <c r="BO2462" s="197"/>
      <c r="BP2462" s="197"/>
      <c r="BQ2462" s="197"/>
    </row>
    <row r="2463" spans="66:69" x14ac:dyDescent="0.2">
      <c r="BN2463" s="192"/>
      <c r="BO2463" s="197"/>
      <c r="BP2463" s="197"/>
      <c r="BQ2463" s="197"/>
    </row>
    <row r="2464" spans="66:69" x14ac:dyDescent="0.2">
      <c r="BN2464" s="192"/>
      <c r="BO2464" s="197"/>
      <c r="BP2464" s="197"/>
      <c r="BQ2464" s="197"/>
    </row>
    <row r="2465" spans="66:69" x14ac:dyDescent="0.2">
      <c r="BN2465" s="192"/>
      <c r="BO2465" s="197"/>
      <c r="BP2465" s="197"/>
      <c r="BQ2465" s="197"/>
    </row>
    <row r="2466" spans="66:69" x14ac:dyDescent="0.2">
      <c r="BN2466" s="192"/>
      <c r="BO2466" s="197"/>
      <c r="BP2466" s="197"/>
      <c r="BQ2466" s="197"/>
    </row>
    <row r="2467" spans="66:69" x14ac:dyDescent="0.2">
      <c r="BN2467" s="192"/>
      <c r="BO2467" s="197"/>
      <c r="BP2467" s="197"/>
      <c r="BQ2467" s="197"/>
    </row>
    <row r="2468" spans="66:69" x14ac:dyDescent="0.2">
      <c r="BN2468" s="192"/>
      <c r="BO2468" s="197"/>
      <c r="BP2468" s="197"/>
      <c r="BQ2468" s="197"/>
    </row>
    <row r="2469" spans="66:69" x14ac:dyDescent="0.2">
      <c r="BN2469" s="192"/>
      <c r="BO2469" s="197"/>
      <c r="BP2469" s="197"/>
      <c r="BQ2469" s="197"/>
    </row>
    <row r="2470" spans="66:69" x14ac:dyDescent="0.2">
      <c r="BN2470" s="192"/>
      <c r="BO2470" s="197"/>
      <c r="BP2470" s="197"/>
      <c r="BQ2470" s="197"/>
    </row>
    <row r="2471" spans="66:69" x14ac:dyDescent="0.2">
      <c r="BN2471" s="192"/>
      <c r="BO2471" s="197"/>
      <c r="BP2471" s="197"/>
      <c r="BQ2471" s="197"/>
    </row>
    <row r="2472" spans="66:69" x14ac:dyDescent="0.2">
      <c r="BN2472" s="192"/>
      <c r="BO2472" s="197"/>
      <c r="BP2472" s="197"/>
      <c r="BQ2472" s="197"/>
    </row>
    <row r="2473" spans="66:69" x14ac:dyDescent="0.2">
      <c r="BN2473" s="192"/>
      <c r="BO2473" s="197"/>
      <c r="BP2473" s="197"/>
      <c r="BQ2473" s="197"/>
    </row>
    <row r="2474" spans="66:69" x14ac:dyDescent="0.2">
      <c r="BN2474" s="192"/>
      <c r="BO2474" s="197"/>
      <c r="BP2474" s="197"/>
      <c r="BQ2474" s="197"/>
    </row>
    <row r="2475" spans="66:69" x14ac:dyDescent="0.2">
      <c r="BN2475" s="192"/>
      <c r="BO2475" s="197"/>
      <c r="BP2475" s="197"/>
      <c r="BQ2475" s="197"/>
    </row>
    <row r="2476" spans="66:69" x14ac:dyDescent="0.2">
      <c r="BN2476" s="192"/>
      <c r="BO2476" s="197"/>
      <c r="BP2476" s="197"/>
      <c r="BQ2476" s="197"/>
    </row>
    <row r="2477" spans="66:69" x14ac:dyDescent="0.2">
      <c r="BN2477" s="192"/>
      <c r="BO2477" s="197"/>
      <c r="BP2477" s="197"/>
      <c r="BQ2477" s="197"/>
    </row>
    <row r="2478" spans="66:69" x14ac:dyDescent="0.2">
      <c r="BN2478" s="192"/>
      <c r="BO2478" s="197"/>
      <c r="BP2478" s="197"/>
      <c r="BQ2478" s="197"/>
    </row>
    <row r="2479" spans="66:69" x14ac:dyDescent="0.2">
      <c r="BN2479" s="192"/>
      <c r="BO2479" s="197"/>
      <c r="BP2479" s="197"/>
      <c r="BQ2479" s="197"/>
    </row>
    <row r="2480" spans="66:69" x14ac:dyDescent="0.2">
      <c r="BN2480" s="192"/>
      <c r="BO2480" s="197"/>
      <c r="BP2480" s="197"/>
      <c r="BQ2480" s="197"/>
    </row>
    <row r="2481" spans="66:69" x14ac:dyDescent="0.2">
      <c r="BN2481" s="192"/>
      <c r="BO2481" s="197"/>
      <c r="BP2481" s="197"/>
      <c r="BQ2481" s="197"/>
    </row>
    <row r="2482" spans="66:69" x14ac:dyDescent="0.2">
      <c r="BN2482" s="192"/>
      <c r="BO2482" s="197"/>
      <c r="BP2482" s="197"/>
      <c r="BQ2482" s="197"/>
    </row>
    <row r="2483" spans="66:69" x14ac:dyDescent="0.2">
      <c r="BN2483" s="192"/>
      <c r="BO2483" s="197"/>
      <c r="BP2483" s="197"/>
      <c r="BQ2483" s="197"/>
    </row>
    <row r="2484" spans="66:69" x14ac:dyDescent="0.2">
      <c r="BN2484" s="192"/>
      <c r="BO2484" s="197"/>
      <c r="BP2484" s="197"/>
      <c r="BQ2484" s="197"/>
    </row>
    <row r="2485" spans="66:69" x14ac:dyDescent="0.2">
      <c r="BN2485" s="192"/>
      <c r="BO2485" s="197"/>
      <c r="BP2485" s="197"/>
      <c r="BQ2485" s="197"/>
    </row>
    <row r="2486" spans="66:69" x14ac:dyDescent="0.2">
      <c r="BN2486" s="192"/>
      <c r="BO2486" s="197"/>
      <c r="BP2486" s="197"/>
      <c r="BQ2486" s="197"/>
    </row>
    <row r="2487" spans="66:69" x14ac:dyDescent="0.2">
      <c r="BN2487" s="192"/>
      <c r="BO2487" s="197"/>
      <c r="BP2487" s="197"/>
      <c r="BQ2487" s="197"/>
    </row>
    <row r="2488" spans="66:69" x14ac:dyDescent="0.2">
      <c r="BN2488" s="192"/>
      <c r="BO2488" s="197"/>
      <c r="BP2488" s="197"/>
      <c r="BQ2488" s="197"/>
    </row>
    <row r="2489" spans="66:69" x14ac:dyDescent="0.2">
      <c r="BN2489" s="192"/>
      <c r="BO2489" s="197"/>
      <c r="BP2489" s="197"/>
      <c r="BQ2489" s="197"/>
    </row>
    <row r="2490" spans="66:69" x14ac:dyDescent="0.2">
      <c r="BN2490" s="192"/>
      <c r="BO2490" s="197"/>
      <c r="BP2490" s="197"/>
      <c r="BQ2490" s="197"/>
    </row>
    <row r="2491" spans="66:69" x14ac:dyDescent="0.2">
      <c r="BN2491" s="192"/>
      <c r="BO2491" s="197"/>
      <c r="BP2491" s="197"/>
      <c r="BQ2491" s="197"/>
    </row>
    <row r="2492" spans="66:69" x14ac:dyDescent="0.2">
      <c r="BN2492" s="192"/>
      <c r="BO2492" s="197"/>
      <c r="BP2492" s="197"/>
      <c r="BQ2492" s="197"/>
    </row>
    <row r="2493" spans="66:69" x14ac:dyDescent="0.2">
      <c r="BN2493" s="192"/>
      <c r="BO2493" s="197"/>
      <c r="BP2493" s="197"/>
      <c r="BQ2493" s="197"/>
    </row>
    <row r="2494" spans="66:69" x14ac:dyDescent="0.2">
      <c r="BN2494" s="192"/>
      <c r="BO2494" s="197"/>
      <c r="BP2494" s="197"/>
      <c r="BQ2494" s="197"/>
    </row>
    <row r="2495" spans="66:69" x14ac:dyDescent="0.2">
      <c r="BN2495" s="192"/>
      <c r="BO2495" s="197"/>
      <c r="BP2495" s="197"/>
      <c r="BQ2495" s="197"/>
    </row>
    <row r="2496" spans="66:69" x14ac:dyDescent="0.2">
      <c r="BN2496" s="192"/>
      <c r="BO2496" s="197"/>
      <c r="BP2496" s="197"/>
      <c r="BQ2496" s="197"/>
    </row>
    <row r="2497" spans="66:69" x14ac:dyDescent="0.2">
      <c r="BN2497" s="192"/>
      <c r="BO2497" s="197"/>
      <c r="BP2497" s="197"/>
      <c r="BQ2497" s="197"/>
    </row>
    <row r="2498" spans="66:69" x14ac:dyDescent="0.2">
      <c r="BN2498" s="192"/>
      <c r="BO2498" s="197"/>
      <c r="BP2498" s="197"/>
      <c r="BQ2498" s="197"/>
    </row>
    <row r="2499" spans="66:69" x14ac:dyDescent="0.2">
      <c r="BN2499" s="192"/>
      <c r="BO2499" s="197"/>
      <c r="BP2499" s="197"/>
      <c r="BQ2499" s="197"/>
    </row>
    <row r="2500" spans="66:69" x14ac:dyDescent="0.2">
      <c r="BN2500" s="192"/>
      <c r="BO2500" s="197"/>
      <c r="BP2500" s="197"/>
      <c r="BQ2500" s="197"/>
    </row>
    <row r="2501" spans="66:69" x14ac:dyDescent="0.2">
      <c r="BN2501" s="192"/>
      <c r="BO2501" s="197"/>
      <c r="BP2501" s="197"/>
      <c r="BQ2501" s="197"/>
    </row>
    <row r="2502" spans="66:69" x14ac:dyDescent="0.2">
      <c r="BN2502" s="192"/>
      <c r="BO2502" s="197"/>
      <c r="BP2502" s="197"/>
      <c r="BQ2502" s="197"/>
    </row>
    <row r="2503" spans="66:69" x14ac:dyDescent="0.2">
      <c r="BN2503" s="192"/>
      <c r="BO2503" s="197"/>
      <c r="BP2503" s="197"/>
      <c r="BQ2503" s="197"/>
    </row>
    <row r="2504" spans="66:69" x14ac:dyDescent="0.2">
      <c r="BN2504" s="192"/>
      <c r="BO2504" s="197"/>
      <c r="BP2504" s="197"/>
      <c r="BQ2504" s="197"/>
    </row>
    <row r="2505" spans="66:69" x14ac:dyDescent="0.2">
      <c r="BN2505" s="192"/>
      <c r="BO2505" s="197"/>
      <c r="BP2505" s="197"/>
      <c r="BQ2505" s="197"/>
    </row>
    <row r="2506" spans="66:69" x14ac:dyDescent="0.2">
      <c r="BN2506" s="192"/>
      <c r="BO2506" s="197"/>
      <c r="BP2506" s="197"/>
      <c r="BQ2506" s="197"/>
    </row>
    <row r="2507" spans="66:69" x14ac:dyDescent="0.2">
      <c r="BN2507" s="192"/>
      <c r="BO2507" s="197"/>
      <c r="BP2507" s="197"/>
      <c r="BQ2507" s="197"/>
    </row>
    <row r="2508" spans="66:69" x14ac:dyDescent="0.2">
      <c r="BN2508" s="192"/>
      <c r="BO2508" s="197"/>
      <c r="BP2508" s="197"/>
      <c r="BQ2508" s="197"/>
    </row>
    <row r="2509" spans="66:69" x14ac:dyDescent="0.2">
      <c r="BN2509" s="192"/>
      <c r="BO2509" s="197"/>
      <c r="BP2509" s="197"/>
      <c r="BQ2509" s="197"/>
    </row>
    <row r="2510" spans="66:69" x14ac:dyDescent="0.2">
      <c r="BN2510" s="192"/>
      <c r="BO2510" s="197"/>
      <c r="BP2510" s="197"/>
      <c r="BQ2510" s="197"/>
    </row>
    <row r="2511" spans="66:69" x14ac:dyDescent="0.2">
      <c r="BN2511" s="192"/>
      <c r="BO2511" s="197"/>
      <c r="BP2511" s="197"/>
      <c r="BQ2511" s="197"/>
    </row>
    <row r="2512" spans="66:69" x14ac:dyDescent="0.2">
      <c r="BN2512" s="192"/>
      <c r="BO2512" s="197"/>
      <c r="BP2512" s="197"/>
      <c r="BQ2512" s="197"/>
    </row>
    <row r="2513" spans="66:69" x14ac:dyDescent="0.2">
      <c r="BN2513" s="192"/>
      <c r="BO2513" s="197"/>
      <c r="BP2513" s="197"/>
      <c r="BQ2513" s="197"/>
    </row>
    <row r="2514" spans="66:69" x14ac:dyDescent="0.2">
      <c r="BN2514" s="192"/>
      <c r="BO2514" s="197"/>
      <c r="BP2514" s="197"/>
      <c r="BQ2514" s="197"/>
    </row>
    <row r="2515" spans="66:69" x14ac:dyDescent="0.2">
      <c r="BN2515" s="192"/>
      <c r="BO2515" s="197"/>
      <c r="BP2515" s="197"/>
      <c r="BQ2515" s="197"/>
    </row>
    <row r="2516" spans="66:69" x14ac:dyDescent="0.2">
      <c r="BN2516" s="192"/>
      <c r="BO2516" s="197"/>
      <c r="BP2516" s="197"/>
      <c r="BQ2516" s="197"/>
    </row>
    <row r="2517" spans="66:69" x14ac:dyDescent="0.2">
      <c r="BN2517" s="192"/>
      <c r="BO2517" s="197"/>
      <c r="BP2517" s="197"/>
      <c r="BQ2517" s="197"/>
    </row>
    <row r="2518" spans="66:69" x14ac:dyDescent="0.2">
      <c r="BN2518" s="192"/>
      <c r="BO2518" s="197"/>
      <c r="BP2518" s="197"/>
      <c r="BQ2518" s="197"/>
    </row>
    <row r="2519" spans="66:69" x14ac:dyDescent="0.2">
      <c r="BN2519" s="192"/>
      <c r="BO2519" s="197"/>
      <c r="BP2519" s="197"/>
      <c r="BQ2519" s="197"/>
    </row>
    <row r="2520" spans="66:69" x14ac:dyDescent="0.2">
      <c r="BN2520" s="192"/>
      <c r="BO2520" s="197"/>
      <c r="BP2520" s="197"/>
      <c r="BQ2520" s="197"/>
    </row>
    <row r="2521" spans="66:69" x14ac:dyDescent="0.2">
      <c r="BN2521" s="192"/>
      <c r="BO2521" s="197"/>
      <c r="BP2521" s="197"/>
      <c r="BQ2521" s="197"/>
    </row>
    <row r="2522" spans="66:69" x14ac:dyDescent="0.2">
      <c r="BN2522" s="192"/>
      <c r="BO2522" s="197"/>
      <c r="BP2522" s="197"/>
      <c r="BQ2522" s="197"/>
    </row>
    <row r="2523" spans="66:69" x14ac:dyDescent="0.2">
      <c r="BN2523" s="192"/>
      <c r="BO2523" s="197"/>
      <c r="BP2523" s="197"/>
      <c r="BQ2523" s="197"/>
    </row>
    <row r="2524" spans="66:69" x14ac:dyDescent="0.2">
      <c r="BN2524" s="192"/>
      <c r="BO2524" s="197"/>
      <c r="BP2524" s="197"/>
      <c r="BQ2524" s="197"/>
    </row>
    <row r="2525" spans="66:69" x14ac:dyDescent="0.2">
      <c r="BN2525" s="192"/>
      <c r="BO2525" s="197"/>
      <c r="BP2525" s="197"/>
      <c r="BQ2525" s="197"/>
    </row>
    <row r="2526" spans="66:69" x14ac:dyDescent="0.2">
      <c r="BN2526" s="192"/>
      <c r="BO2526" s="197"/>
      <c r="BP2526" s="197"/>
      <c r="BQ2526" s="197"/>
    </row>
    <row r="2527" spans="66:69" x14ac:dyDescent="0.2">
      <c r="BN2527" s="192"/>
      <c r="BO2527" s="197"/>
      <c r="BP2527" s="197"/>
      <c r="BQ2527" s="197"/>
    </row>
    <row r="2528" spans="66:69" x14ac:dyDescent="0.2">
      <c r="BN2528" s="192"/>
      <c r="BO2528" s="197"/>
      <c r="BP2528" s="197"/>
      <c r="BQ2528" s="197"/>
    </row>
    <row r="2529" spans="66:69" x14ac:dyDescent="0.2">
      <c r="BN2529" s="192"/>
      <c r="BO2529" s="197"/>
      <c r="BP2529" s="197"/>
      <c r="BQ2529" s="197"/>
    </row>
    <row r="2530" spans="66:69" x14ac:dyDescent="0.2">
      <c r="BN2530" s="192"/>
      <c r="BO2530" s="197"/>
      <c r="BP2530" s="197"/>
      <c r="BQ2530" s="197"/>
    </row>
    <row r="2531" spans="66:69" x14ac:dyDescent="0.2">
      <c r="BN2531" s="192"/>
      <c r="BO2531" s="197"/>
      <c r="BP2531" s="197"/>
      <c r="BQ2531" s="197"/>
    </row>
    <row r="2532" spans="66:69" x14ac:dyDescent="0.2">
      <c r="BN2532" s="192"/>
      <c r="BO2532" s="197"/>
      <c r="BP2532" s="197"/>
      <c r="BQ2532" s="197"/>
    </row>
    <row r="2533" spans="66:69" x14ac:dyDescent="0.2">
      <c r="BN2533" s="192"/>
      <c r="BO2533" s="197"/>
      <c r="BP2533" s="197"/>
      <c r="BQ2533" s="197"/>
    </row>
    <row r="2534" spans="66:69" x14ac:dyDescent="0.2">
      <c r="BN2534" s="192"/>
      <c r="BO2534" s="197"/>
      <c r="BP2534" s="197"/>
      <c r="BQ2534" s="197"/>
    </row>
    <row r="2535" spans="66:69" x14ac:dyDescent="0.2">
      <c r="BN2535" s="192"/>
      <c r="BO2535" s="197"/>
      <c r="BP2535" s="197"/>
      <c r="BQ2535" s="197"/>
    </row>
    <row r="2536" spans="66:69" x14ac:dyDescent="0.2">
      <c r="BN2536" s="192"/>
      <c r="BO2536" s="197"/>
      <c r="BP2536" s="197"/>
      <c r="BQ2536" s="197"/>
    </row>
    <row r="2537" spans="66:69" x14ac:dyDescent="0.2">
      <c r="BN2537" s="192"/>
      <c r="BO2537" s="197"/>
      <c r="BP2537" s="197"/>
      <c r="BQ2537" s="197"/>
    </row>
    <row r="2538" spans="66:69" x14ac:dyDescent="0.2">
      <c r="BN2538" s="192"/>
      <c r="BO2538" s="197"/>
      <c r="BP2538" s="197"/>
      <c r="BQ2538" s="197"/>
    </row>
    <row r="2539" spans="66:69" x14ac:dyDescent="0.2">
      <c r="BN2539" s="192"/>
      <c r="BO2539" s="197"/>
      <c r="BP2539" s="197"/>
      <c r="BQ2539" s="197"/>
    </row>
    <row r="2540" spans="66:69" x14ac:dyDescent="0.2">
      <c r="BN2540" s="192"/>
      <c r="BO2540" s="197"/>
      <c r="BP2540" s="197"/>
      <c r="BQ2540" s="197"/>
    </row>
    <row r="2541" spans="66:69" x14ac:dyDescent="0.2">
      <c r="BN2541" s="192"/>
      <c r="BO2541" s="197"/>
      <c r="BP2541" s="197"/>
      <c r="BQ2541" s="197"/>
    </row>
    <row r="2542" spans="66:69" x14ac:dyDescent="0.2">
      <c r="BN2542" s="192"/>
      <c r="BO2542" s="197"/>
      <c r="BP2542" s="197"/>
      <c r="BQ2542" s="197"/>
    </row>
    <row r="2543" spans="66:69" x14ac:dyDescent="0.2">
      <c r="BN2543" s="192"/>
      <c r="BO2543" s="197"/>
      <c r="BP2543" s="197"/>
      <c r="BQ2543" s="197"/>
    </row>
    <row r="2544" spans="66:69" x14ac:dyDescent="0.2">
      <c r="BN2544" s="192"/>
      <c r="BO2544" s="197"/>
      <c r="BP2544" s="197"/>
      <c r="BQ2544" s="197"/>
    </row>
    <row r="2545" spans="66:69" x14ac:dyDescent="0.2">
      <c r="BN2545" s="192"/>
      <c r="BO2545" s="197"/>
      <c r="BP2545" s="197"/>
      <c r="BQ2545" s="197"/>
    </row>
    <row r="2546" spans="66:69" x14ac:dyDescent="0.2">
      <c r="BN2546" s="192"/>
      <c r="BO2546" s="197"/>
      <c r="BP2546" s="197"/>
      <c r="BQ2546" s="197"/>
    </row>
    <row r="2547" spans="66:69" x14ac:dyDescent="0.2">
      <c r="BN2547" s="192"/>
      <c r="BO2547" s="197"/>
      <c r="BP2547" s="197"/>
      <c r="BQ2547" s="197"/>
    </row>
    <row r="2548" spans="66:69" x14ac:dyDescent="0.2">
      <c r="BN2548" s="192"/>
      <c r="BO2548" s="197"/>
      <c r="BP2548" s="197"/>
      <c r="BQ2548" s="197"/>
    </row>
    <row r="2549" spans="66:69" x14ac:dyDescent="0.2">
      <c r="BN2549" s="192"/>
      <c r="BO2549" s="197"/>
      <c r="BP2549" s="197"/>
      <c r="BQ2549" s="197"/>
    </row>
    <row r="2550" spans="66:69" x14ac:dyDescent="0.2">
      <c r="BN2550" s="192"/>
      <c r="BO2550" s="197"/>
      <c r="BP2550" s="197"/>
      <c r="BQ2550" s="197"/>
    </row>
    <row r="2551" spans="66:69" x14ac:dyDescent="0.2">
      <c r="BN2551" s="192"/>
      <c r="BO2551" s="197"/>
      <c r="BP2551" s="197"/>
      <c r="BQ2551" s="197"/>
    </row>
    <row r="2552" spans="66:69" x14ac:dyDescent="0.2">
      <c r="BN2552" s="192"/>
      <c r="BO2552" s="197"/>
      <c r="BP2552" s="197"/>
      <c r="BQ2552" s="197"/>
    </row>
    <row r="2553" spans="66:69" x14ac:dyDescent="0.2">
      <c r="BN2553" s="192"/>
      <c r="BO2553" s="197"/>
      <c r="BP2553" s="197"/>
      <c r="BQ2553" s="197"/>
    </row>
    <row r="2554" spans="66:69" x14ac:dyDescent="0.2">
      <c r="BN2554" s="192"/>
      <c r="BO2554" s="197"/>
      <c r="BP2554" s="197"/>
      <c r="BQ2554" s="197"/>
    </row>
    <row r="2555" spans="66:69" x14ac:dyDescent="0.2">
      <c r="BN2555" s="192"/>
      <c r="BO2555" s="197"/>
      <c r="BP2555" s="197"/>
      <c r="BQ2555" s="197"/>
    </row>
    <row r="2556" spans="66:69" x14ac:dyDescent="0.2">
      <c r="BN2556" s="192"/>
      <c r="BO2556" s="197"/>
      <c r="BP2556" s="197"/>
      <c r="BQ2556" s="197"/>
    </row>
    <row r="2557" spans="66:69" x14ac:dyDescent="0.2">
      <c r="BN2557" s="192"/>
      <c r="BO2557" s="197"/>
      <c r="BP2557" s="197"/>
      <c r="BQ2557" s="197"/>
    </row>
    <row r="2558" spans="66:69" x14ac:dyDescent="0.2">
      <c r="BN2558" s="192"/>
      <c r="BO2558" s="197"/>
      <c r="BP2558" s="197"/>
      <c r="BQ2558" s="197"/>
    </row>
    <row r="2559" spans="66:69" x14ac:dyDescent="0.2">
      <c r="BN2559" s="192"/>
      <c r="BO2559" s="197"/>
      <c r="BP2559" s="197"/>
      <c r="BQ2559" s="197"/>
    </row>
    <row r="2560" spans="66:69" x14ac:dyDescent="0.2">
      <c r="BN2560" s="192"/>
      <c r="BO2560" s="197"/>
      <c r="BP2560" s="197"/>
      <c r="BQ2560" s="197"/>
    </row>
    <row r="2561" spans="66:69" x14ac:dyDescent="0.2">
      <c r="BN2561" s="192"/>
      <c r="BO2561" s="197"/>
      <c r="BP2561" s="197"/>
      <c r="BQ2561" s="197"/>
    </row>
    <row r="2562" spans="66:69" x14ac:dyDescent="0.2">
      <c r="BN2562" s="192"/>
      <c r="BO2562" s="197"/>
      <c r="BP2562" s="197"/>
      <c r="BQ2562" s="197"/>
    </row>
    <row r="2563" spans="66:69" x14ac:dyDescent="0.2">
      <c r="BN2563" s="192"/>
      <c r="BO2563" s="197"/>
      <c r="BP2563" s="197"/>
      <c r="BQ2563" s="197"/>
    </row>
    <row r="2564" spans="66:69" x14ac:dyDescent="0.2">
      <c r="BN2564" s="192"/>
      <c r="BO2564" s="197"/>
      <c r="BP2564" s="197"/>
      <c r="BQ2564" s="197"/>
    </row>
    <row r="2565" spans="66:69" x14ac:dyDescent="0.2">
      <c r="BN2565" s="192"/>
      <c r="BO2565" s="197"/>
      <c r="BP2565" s="197"/>
      <c r="BQ2565" s="197"/>
    </row>
    <row r="2566" spans="66:69" x14ac:dyDescent="0.2">
      <c r="BN2566" s="192"/>
      <c r="BO2566" s="197"/>
      <c r="BP2566" s="197"/>
      <c r="BQ2566" s="197"/>
    </row>
    <row r="2567" spans="66:69" x14ac:dyDescent="0.2">
      <c r="BN2567" s="192"/>
      <c r="BO2567" s="197"/>
      <c r="BP2567" s="197"/>
      <c r="BQ2567" s="197"/>
    </row>
    <row r="2568" spans="66:69" x14ac:dyDescent="0.2">
      <c r="BN2568" s="192"/>
      <c r="BO2568" s="197"/>
      <c r="BP2568" s="197"/>
      <c r="BQ2568" s="197"/>
    </row>
    <row r="2569" spans="66:69" x14ac:dyDescent="0.2">
      <c r="BN2569" s="192"/>
      <c r="BO2569" s="197"/>
      <c r="BP2569" s="197"/>
      <c r="BQ2569" s="197"/>
    </row>
    <row r="2570" spans="66:69" x14ac:dyDescent="0.2">
      <c r="BN2570" s="192"/>
      <c r="BO2570" s="197"/>
      <c r="BP2570" s="197"/>
      <c r="BQ2570" s="197"/>
    </row>
    <row r="2571" spans="66:69" x14ac:dyDescent="0.2">
      <c r="BN2571" s="192"/>
      <c r="BO2571" s="197"/>
      <c r="BP2571" s="197"/>
      <c r="BQ2571" s="197"/>
    </row>
    <row r="2572" spans="66:69" x14ac:dyDescent="0.2">
      <c r="BN2572" s="192"/>
      <c r="BO2572" s="197"/>
      <c r="BP2572" s="197"/>
      <c r="BQ2572" s="197"/>
    </row>
    <row r="2573" spans="66:69" x14ac:dyDescent="0.2">
      <c r="BN2573" s="192"/>
      <c r="BO2573" s="197"/>
      <c r="BP2573" s="197"/>
      <c r="BQ2573" s="197"/>
    </row>
    <row r="2574" spans="66:69" x14ac:dyDescent="0.2">
      <c r="BN2574" s="192"/>
      <c r="BO2574" s="197"/>
      <c r="BP2574" s="197"/>
      <c r="BQ2574" s="197"/>
    </row>
    <row r="2575" spans="66:69" x14ac:dyDescent="0.2">
      <c r="BN2575" s="192"/>
      <c r="BO2575" s="197"/>
      <c r="BP2575" s="197"/>
      <c r="BQ2575" s="197"/>
    </row>
    <row r="2576" spans="66:69" x14ac:dyDescent="0.2">
      <c r="BN2576" s="192"/>
      <c r="BO2576" s="197"/>
      <c r="BP2576" s="197"/>
      <c r="BQ2576" s="197"/>
    </row>
    <row r="2577" spans="66:69" x14ac:dyDescent="0.2">
      <c r="BN2577" s="192"/>
      <c r="BO2577" s="197"/>
      <c r="BP2577" s="197"/>
      <c r="BQ2577" s="197"/>
    </row>
    <row r="2578" spans="66:69" x14ac:dyDescent="0.2">
      <c r="BN2578" s="192"/>
      <c r="BO2578" s="197"/>
      <c r="BP2578" s="197"/>
      <c r="BQ2578" s="197"/>
    </row>
    <row r="2579" spans="66:69" x14ac:dyDescent="0.2">
      <c r="BN2579" s="192"/>
      <c r="BO2579" s="197"/>
      <c r="BP2579" s="197"/>
      <c r="BQ2579" s="197"/>
    </row>
    <row r="2580" spans="66:69" x14ac:dyDescent="0.2">
      <c r="BN2580" s="192"/>
      <c r="BO2580" s="197"/>
      <c r="BP2580" s="197"/>
      <c r="BQ2580" s="197"/>
    </row>
    <row r="2581" spans="66:69" x14ac:dyDescent="0.2">
      <c r="BN2581" s="192"/>
      <c r="BO2581" s="197"/>
      <c r="BP2581" s="197"/>
      <c r="BQ2581" s="197"/>
    </row>
    <row r="2582" spans="66:69" x14ac:dyDescent="0.2">
      <c r="BN2582" s="192"/>
      <c r="BO2582" s="197"/>
      <c r="BP2582" s="197"/>
      <c r="BQ2582" s="197"/>
    </row>
    <row r="2583" spans="66:69" x14ac:dyDescent="0.2">
      <c r="BN2583" s="192"/>
      <c r="BO2583" s="197"/>
      <c r="BP2583" s="197"/>
      <c r="BQ2583" s="197"/>
    </row>
    <row r="2584" spans="66:69" x14ac:dyDescent="0.2">
      <c r="BN2584" s="192"/>
      <c r="BO2584" s="197"/>
      <c r="BP2584" s="197"/>
      <c r="BQ2584" s="197"/>
    </row>
    <row r="2585" spans="66:69" x14ac:dyDescent="0.2">
      <c r="BN2585" s="192"/>
      <c r="BO2585" s="197"/>
      <c r="BP2585" s="197"/>
      <c r="BQ2585" s="197"/>
    </row>
    <row r="2586" spans="66:69" x14ac:dyDescent="0.2">
      <c r="BN2586" s="192"/>
      <c r="BO2586" s="197"/>
      <c r="BP2586" s="197"/>
      <c r="BQ2586" s="197"/>
    </row>
    <row r="2587" spans="66:69" x14ac:dyDescent="0.2">
      <c r="BN2587" s="192"/>
      <c r="BO2587" s="197"/>
      <c r="BP2587" s="197"/>
      <c r="BQ2587" s="197"/>
    </row>
    <row r="2588" spans="66:69" x14ac:dyDescent="0.2">
      <c r="BN2588" s="192"/>
      <c r="BO2588" s="197"/>
      <c r="BP2588" s="197"/>
      <c r="BQ2588" s="197"/>
    </row>
    <row r="2589" spans="66:69" x14ac:dyDescent="0.2">
      <c r="BN2589" s="192"/>
      <c r="BO2589" s="197"/>
      <c r="BP2589" s="197"/>
      <c r="BQ2589" s="197"/>
    </row>
    <row r="2590" spans="66:69" x14ac:dyDescent="0.2">
      <c r="BN2590" s="192"/>
      <c r="BO2590" s="197"/>
      <c r="BP2590" s="197"/>
      <c r="BQ2590" s="197"/>
    </row>
    <row r="2591" spans="66:69" x14ac:dyDescent="0.2">
      <c r="BN2591" s="192"/>
      <c r="BO2591" s="197"/>
      <c r="BP2591" s="197"/>
      <c r="BQ2591" s="197"/>
    </row>
    <row r="2592" spans="66:69" x14ac:dyDescent="0.2">
      <c r="BN2592" s="192"/>
      <c r="BO2592" s="197"/>
      <c r="BP2592" s="197"/>
      <c r="BQ2592" s="197"/>
    </row>
    <row r="2593" spans="66:69" x14ac:dyDescent="0.2">
      <c r="BN2593" s="192"/>
      <c r="BO2593" s="197"/>
      <c r="BP2593" s="197"/>
      <c r="BQ2593" s="197"/>
    </row>
    <row r="2594" spans="66:69" x14ac:dyDescent="0.2">
      <c r="BN2594" s="192"/>
      <c r="BO2594" s="197"/>
      <c r="BP2594" s="197"/>
      <c r="BQ2594" s="197"/>
    </row>
    <row r="2595" spans="66:69" x14ac:dyDescent="0.2">
      <c r="BN2595" s="192"/>
      <c r="BO2595" s="197"/>
      <c r="BP2595" s="197"/>
      <c r="BQ2595" s="197"/>
    </row>
    <row r="2596" spans="66:69" x14ac:dyDescent="0.2">
      <c r="BN2596" s="192"/>
      <c r="BO2596" s="197"/>
      <c r="BP2596" s="197"/>
      <c r="BQ2596" s="197"/>
    </row>
    <row r="2597" spans="66:69" x14ac:dyDescent="0.2">
      <c r="BN2597" s="192"/>
      <c r="BO2597" s="197"/>
      <c r="BP2597" s="197"/>
      <c r="BQ2597" s="197"/>
    </row>
    <row r="2598" spans="66:69" x14ac:dyDescent="0.2">
      <c r="BN2598" s="192"/>
      <c r="BO2598" s="197"/>
      <c r="BP2598" s="197"/>
      <c r="BQ2598" s="197"/>
    </row>
    <row r="2599" spans="66:69" x14ac:dyDescent="0.2">
      <c r="BN2599" s="192"/>
      <c r="BO2599" s="197"/>
      <c r="BP2599" s="197"/>
      <c r="BQ2599" s="197"/>
    </row>
    <row r="2600" spans="66:69" x14ac:dyDescent="0.2">
      <c r="BN2600" s="192"/>
      <c r="BO2600" s="197"/>
      <c r="BP2600" s="197"/>
      <c r="BQ2600" s="197"/>
    </row>
    <row r="2601" spans="66:69" x14ac:dyDescent="0.2">
      <c r="BN2601" s="192"/>
      <c r="BO2601" s="197"/>
      <c r="BP2601" s="197"/>
      <c r="BQ2601" s="197"/>
    </row>
    <row r="2602" spans="66:69" x14ac:dyDescent="0.2">
      <c r="BN2602" s="192"/>
      <c r="BO2602" s="197"/>
      <c r="BP2602" s="197"/>
      <c r="BQ2602" s="197"/>
    </row>
    <row r="2603" spans="66:69" x14ac:dyDescent="0.2">
      <c r="BN2603" s="192"/>
      <c r="BO2603" s="197"/>
      <c r="BP2603" s="197"/>
      <c r="BQ2603" s="197"/>
    </row>
    <row r="2604" spans="66:69" x14ac:dyDescent="0.2">
      <c r="BN2604" s="192"/>
      <c r="BO2604" s="197"/>
      <c r="BP2604" s="197"/>
      <c r="BQ2604" s="197"/>
    </row>
    <row r="2605" spans="66:69" x14ac:dyDescent="0.2">
      <c r="BN2605" s="192"/>
      <c r="BO2605" s="197"/>
      <c r="BP2605" s="197"/>
      <c r="BQ2605" s="197"/>
    </row>
    <row r="2606" spans="66:69" x14ac:dyDescent="0.2">
      <c r="BN2606" s="192"/>
      <c r="BO2606" s="197"/>
      <c r="BP2606" s="197"/>
      <c r="BQ2606" s="197"/>
    </row>
    <row r="2607" spans="66:69" x14ac:dyDescent="0.2">
      <c r="BN2607" s="192"/>
      <c r="BO2607" s="197"/>
      <c r="BP2607" s="197"/>
      <c r="BQ2607" s="197"/>
    </row>
    <row r="2608" spans="66:69" x14ac:dyDescent="0.2">
      <c r="BN2608" s="192"/>
      <c r="BO2608" s="197"/>
      <c r="BP2608" s="197"/>
      <c r="BQ2608" s="197"/>
    </row>
    <row r="2609" spans="66:69" x14ac:dyDescent="0.2">
      <c r="BN2609" s="192"/>
      <c r="BO2609" s="197"/>
      <c r="BP2609" s="197"/>
      <c r="BQ2609" s="197"/>
    </row>
    <row r="2610" spans="66:69" x14ac:dyDescent="0.2">
      <c r="BN2610" s="192"/>
      <c r="BO2610" s="197"/>
      <c r="BP2610" s="197"/>
      <c r="BQ2610" s="197"/>
    </row>
    <row r="2611" spans="66:69" x14ac:dyDescent="0.2">
      <c r="BN2611" s="192"/>
      <c r="BO2611" s="197"/>
      <c r="BP2611" s="197"/>
      <c r="BQ2611" s="197"/>
    </row>
    <row r="2612" spans="66:69" x14ac:dyDescent="0.2">
      <c r="BN2612" s="192"/>
      <c r="BO2612" s="197"/>
      <c r="BP2612" s="197"/>
      <c r="BQ2612" s="197"/>
    </row>
    <row r="2613" spans="66:69" x14ac:dyDescent="0.2">
      <c r="BN2613" s="192"/>
      <c r="BO2613" s="197"/>
      <c r="BP2613" s="197"/>
      <c r="BQ2613" s="197"/>
    </row>
    <row r="2614" spans="66:69" x14ac:dyDescent="0.2">
      <c r="BN2614" s="192"/>
      <c r="BO2614" s="197"/>
      <c r="BP2614" s="197"/>
      <c r="BQ2614" s="197"/>
    </row>
    <row r="2615" spans="66:69" x14ac:dyDescent="0.2">
      <c r="BN2615" s="192"/>
      <c r="BO2615" s="197"/>
      <c r="BP2615" s="197"/>
      <c r="BQ2615" s="197"/>
    </row>
    <row r="2616" spans="66:69" x14ac:dyDescent="0.2">
      <c r="BN2616" s="192"/>
      <c r="BO2616" s="197"/>
      <c r="BP2616" s="197"/>
      <c r="BQ2616" s="197"/>
    </row>
    <row r="2617" spans="66:69" x14ac:dyDescent="0.2">
      <c r="BN2617" s="192"/>
      <c r="BO2617" s="197"/>
      <c r="BP2617" s="197"/>
      <c r="BQ2617" s="197"/>
    </row>
    <row r="2618" spans="66:69" x14ac:dyDescent="0.2">
      <c r="BN2618" s="192"/>
      <c r="BO2618" s="197"/>
      <c r="BP2618" s="197"/>
      <c r="BQ2618" s="197"/>
    </row>
    <row r="2619" spans="66:69" x14ac:dyDescent="0.2">
      <c r="BN2619" s="192"/>
      <c r="BO2619" s="197"/>
      <c r="BP2619" s="197"/>
      <c r="BQ2619" s="197"/>
    </row>
    <row r="2620" spans="66:69" x14ac:dyDescent="0.2">
      <c r="BN2620" s="192"/>
      <c r="BO2620" s="197"/>
      <c r="BP2620" s="197"/>
      <c r="BQ2620" s="197"/>
    </row>
    <row r="2621" spans="66:69" x14ac:dyDescent="0.2">
      <c r="BN2621" s="192"/>
      <c r="BO2621" s="197"/>
      <c r="BP2621" s="197"/>
      <c r="BQ2621" s="197"/>
    </row>
    <row r="2622" spans="66:69" x14ac:dyDescent="0.2">
      <c r="BN2622" s="192"/>
      <c r="BO2622" s="197"/>
      <c r="BP2622" s="197"/>
      <c r="BQ2622" s="197"/>
    </row>
    <row r="2623" spans="66:69" x14ac:dyDescent="0.2">
      <c r="BN2623" s="192"/>
      <c r="BO2623" s="197"/>
      <c r="BP2623" s="197"/>
      <c r="BQ2623" s="197"/>
    </row>
    <row r="2624" spans="66:69" x14ac:dyDescent="0.2">
      <c r="BN2624" s="192"/>
      <c r="BO2624" s="197"/>
      <c r="BP2624" s="197"/>
      <c r="BQ2624" s="197"/>
    </row>
    <row r="2625" spans="66:69" x14ac:dyDescent="0.2">
      <c r="BN2625" s="192"/>
      <c r="BO2625" s="197"/>
      <c r="BP2625" s="197"/>
      <c r="BQ2625" s="197"/>
    </row>
    <row r="2626" spans="66:69" x14ac:dyDescent="0.2">
      <c r="BN2626" s="192"/>
      <c r="BO2626" s="197"/>
      <c r="BP2626" s="197"/>
      <c r="BQ2626" s="197"/>
    </row>
    <row r="2627" spans="66:69" x14ac:dyDescent="0.2">
      <c r="BN2627" s="192"/>
      <c r="BO2627" s="197"/>
      <c r="BP2627" s="197"/>
      <c r="BQ2627" s="197"/>
    </row>
    <row r="2628" spans="66:69" x14ac:dyDescent="0.2">
      <c r="BN2628" s="192"/>
      <c r="BO2628" s="197"/>
      <c r="BP2628" s="197"/>
      <c r="BQ2628" s="197"/>
    </row>
    <row r="2629" spans="66:69" x14ac:dyDescent="0.2">
      <c r="BN2629" s="192"/>
      <c r="BO2629" s="197"/>
      <c r="BP2629" s="197"/>
      <c r="BQ2629" s="197"/>
    </row>
    <row r="2630" spans="66:69" x14ac:dyDescent="0.2">
      <c r="BN2630" s="192"/>
      <c r="BO2630" s="197"/>
      <c r="BP2630" s="197"/>
      <c r="BQ2630" s="197"/>
    </row>
    <row r="2631" spans="66:69" x14ac:dyDescent="0.2">
      <c r="BN2631" s="192"/>
      <c r="BO2631" s="197"/>
      <c r="BP2631" s="197"/>
      <c r="BQ2631" s="197"/>
    </row>
    <row r="2632" spans="66:69" x14ac:dyDescent="0.2">
      <c r="BN2632" s="192"/>
      <c r="BO2632" s="197"/>
      <c r="BP2632" s="197"/>
      <c r="BQ2632" s="197"/>
    </row>
    <row r="2633" spans="66:69" x14ac:dyDescent="0.2">
      <c r="BN2633" s="192"/>
      <c r="BO2633" s="197"/>
      <c r="BP2633" s="197"/>
      <c r="BQ2633" s="197"/>
    </row>
    <row r="2634" spans="66:69" x14ac:dyDescent="0.2">
      <c r="BN2634" s="192"/>
      <c r="BO2634" s="197"/>
      <c r="BP2634" s="197"/>
      <c r="BQ2634" s="197"/>
    </row>
    <row r="2635" spans="66:69" x14ac:dyDescent="0.2">
      <c r="BN2635" s="192"/>
      <c r="BO2635" s="197"/>
      <c r="BP2635" s="197"/>
      <c r="BQ2635" s="197"/>
    </row>
    <row r="2636" spans="66:69" x14ac:dyDescent="0.2">
      <c r="BN2636" s="192"/>
      <c r="BO2636" s="197"/>
      <c r="BP2636" s="197"/>
      <c r="BQ2636" s="197"/>
    </row>
    <row r="2637" spans="66:69" x14ac:dyDescent="0.2">
      <c r="BN2637" s="192"/>
      <c r="BO2637" s="197"/>
      <c r="BP2637" s="197"/>
      <c r="BQ2637" s="197"/>
    </row>
    <row r="2638" spans="66:69" x14ac:dyDescent="0.2">
      <c r="BN2638" s="192"/>
      <c r="BO2638" s="197"/>
      <c r="BP2638" s="197"/>
      <c r="BQ2638" s="197"/>
    </row>
    <row r="2639" spans="66:69" x14ac:dyDescent="0.2">
      <c r="BN2639" s="192"/>
      <c r="BO2639" s="197"/>
      <c r="BP2639" s="197"/>
      <c r="BQ2639" s="197"/>
    </row>
    <row r="2640" spans="66:69" x14ac:dyDescent="0.2">
      <c r="BN2640" s="192"/>
      <c r="BO2640" s="197"/>
      <c r="BP2640" s="197"/>
      <c r="BQ2640" s="197"/>
    </row>
    <row r="2641" spans="66:69" x14ac:dyDescent="0.2">
      <c r="BN2641" s="192"/>
      <c r="BO2641" s="197"/>
      <c r="BP2641" s="197"/>
      <c r="BQ2641" s="197"/>
    </row>
    <row r="2642" spans="66:69" x14ac:dyDescent="0.2">
      <c r="BN2642" s="192"/>
      <c r="BO2642" s="197"/>
      <c r="BP2642" s="197"/>
      <c r="BQ2642" s="197"/>
    </row>
    <row r="2643" spans="66:69" x14ac:dyDescent="0.2">
      <c r="BN2643" s="192"/>
      <c r="BO2643" s="197"/>
      <c r="BP2643" s="197"/>
      <c r="BQ2643" s="197"/>
    </row>
    <row r="2644" spans="66:69" x14ac:dyDescent="0.2">
      <c r="BN2644" s="192"/>
      <c r="BO2644" s="197"/>
      <c r="BP2644" s="197"/>
      <c r="BQ2644" s="197"/>
    </row>
    <row r="2645" spans="66:69" x14ac:dyDescent="0.2">
      <c r="BN2645" s="192"/>
      <c r="BO2645" s="197"/>
      <c r="BP2645" s="197"/>
      <c r="BQ2645" s="197"/>
    </row>
    <row r="2646" spans="66:69" x14ac:dyDescent="0.2">
      <c r="BN2646" s="192"/>
      <c r="BO2646" s="197"/>
      <c r="BP2646" s="197"/>
      <c r="BQ2646" s="197"/>
    </row>
    <row r="2647" spans="66:69" x14ac:dyDescent="0.2">
      <c r="BN2647" s="192"/>
      <c r="BO2647" s="197"/>
      <c r="BP2647" s="197"/>
      <c r="BQ2647" s="197"/>
    </row>
    <row r="2648" spans="66:69" x14ac:dyDescent="0.2">
      <c r="BN2648" s="192"/>
      <c r="BO2648" s="197"/>
      <c r="BP2648" s="197"/>
      <c r="BQ2648" s="197"/>
    </row>
    <row r="2649" spans="66:69" x14ac:dyDescent="0.2">
      <c r="BN2649" s="192"/>
      <c r="BO2649" s="197"/>
      <c r="BP2649" s="197"/>
      <c r="BQ2649" s="197"/>
    </row>
    <row r="2650" spans="66:69" x14ac:dyDescent="0.2">
      <c r="BN2650" s="192"/>
      <c r="BO2650" s="197"/>
      <c r="BP2650" s="197"/>
      <c r="BQ2650" s="197"/>
    </row>
    <row r="2651" spans="66:69" x14ac:dyDescent="0.2">
      <c r="BN2651" s="192"/>
      <c r="BO2651" s="197"/>
      <c r="BP2651" s="197"/>
      <c r="BQ2651" s="197"/>
    </row>
    <row r="2652" spans="66:69" x14ac:dyDescent="0.2">
      <c r="BN2652" s="192"/>
      <c r="BO2652" s="197"/>
      <c r="BP2652" s="197"/>
      <c r="BQ2652" s="197"/>
    </row>
    <row r="2653" spans="66:69" x14ac:dyDescent="0.2">
      <c r="BN2653" s="192"/>
      <c r="BO2653" s="197"/>
      <c r="BP2653" s="197"/>
      <c r="BQ2653" s="197"/>
    </row>
    <row r="2654" spans="66:69" x14ac:dyDescent="0.2">
      <c r="BN2654" s="192"/>
      <c r="BO2654" s="197"/>
      <c r="BP2654" s="197"/>
      <c r="BQ2654" s="197"/>
    </row>
    <row r="2655" spans="66:69" x14ac:dyDescent="0.2">
      <c r="BN2655" s="192"/>
      <c r="BO2655" s="197"/>
      <c r="BP2655" s="197"/>
      <c r="BQ2655" s="197"/>
    </row>
    <row r="2656" spans="66:69" x14ac:dyDescent="0.2">
      <c r="BN2656" s="192"/>
      <c r="BO2656" s="197"/>
      <c r="BP2656" s="197"/>
      <c r="BQ2656" s="197"/>
    </row>
    <row r="2657" spans="66:69" x14ac:dyDescent="0.2">
      <c r="BN2657" s="192"/>
      <c r="BO2657" s="197"/>
      <c r="BP2657" s="197"/>
      <c r="BQ2657" s="197"/>
    </row>
    <row r="2658" spans="66:69" x14ac:dyDescent="0.2">
      <c r="BN2658" s="192"/>
      <c r="BO2658" s="197"/>
      <c r="BP2658" s="197"/>
      <c r="BQ2658" s="197"/>
    </row>
    <row r="2659" spans="66:69" x14ac:dyDescent="0.2">
      <c r="BN2659" s="192"/>
      <c r="BO2659" s="197"/>
      <c r="BP2659" s="197"/>
      <c r="BQ2659" s="197"/>
    </row>
    <row r="2660" spans="66:69" x14ac:dyDescent="0.2">
      <c r="BN2660" s="192"/>
      <c r="BO2660" s="197"/>
      <c r="BP2660" s="197"/>
      <c r="BQ2660" s="197"/>
    </row>
    <row r="2661" spans="66:69" x14ac:dyDescent="0.2">
      <c r="BN2661" s="192"/>
      <c r="BO2661" s="197"/>
      <c r="BP2661" s="197"/>
      <c r="BQ2661" s="197"/>
    </row>
    <row r="2662" spans="66:69" x14ac:dyDescent="0.2">
      <c r="BN2662" s="192"/>
      <c r="BO2662" s="197"/>
      <c r="BP2662" s="197"/>
      <c r="BQ2662" s="197"/>
    </row>
    <row r="2663" spans="66:69" x14ac:dyDescent="0.2">
      <c r="BN2663" s="192"/>
      <c r="BO2663" s="197"/>
      <c r="BP2663" s="197"/>
      <c r="BQ2663" s="197"/>
    </row>
    <row r="2664" spans="66:69" x14ac:dyDescent="0.2">
      <c r="BN2664" s="192"/>
      <c r="BO2664" s="197"/>
      <c r="BP2664" s="197"/>
      <c r="BQ2664" s="197"/>
    </row>
    <row r="2665" spans="66:69" x14ac:dyDescent="0.2">
      <c r="BN2665" s="192"/>
      <c r="BO2665" s="197"/>
      <c r="BP2665" s="197"/>
      <c r="BQ2665" s="197"/>
    </row>
    <row r="2666" spans="66:69" x14ac:dyDescent="0.2">
      <c r="BN2666" s="192"/>
      <c r="BO2666" s="197"/>
      <c r="BP2666" s="197"/>
      <c r="BQ2666" s="197"/>
    </row>
    <row r="2667" spans="66:69" x14ac:dyDescent="0.2">
      <c r="BN2667" s="192"/>
      <c r="BO2667" s="197"/>
      <c r="BP2667" s="197"/>
      <c r="BQ2667" s="197"/>
    </row>
    <row r="2668" spans="66:69" x14ac:dyDescent="0.2">
      <c r="BN2668" s="192"/>
      <c r="BO2668" s="197"/>
      <c r="BP2668" s="197"/>
      <c r="BQ2668" s="197"/>
    </row>
    <row r="2669" spans="66:69" x14ac:dyDescent="0.2">
      <c r="BN2669" s="192"/>
      <c r="BO2669" s="197"/>
      <c r="BP2669" s="197"/>
      <c r="BQ2669" s="197"/>
    </row>
    <row r="2670" spans="66:69" x14ac:dyDescent="0.2">
      <c r="BN2670" s="192"/>
      <c r="BO2670" s="197"/>
      <c r="BP2670" s="197"/>
      <c r="BQ2670" s="197"/>
    </row>
    <row r="2671" spans="66:69" x14ac:dyDescent="0.2">
      <c r="BN2671" s="192"/>
      <c r="BO2671" s="197"/>
      <c r="BP2671" s="197"/>
      <c r="BQ2671" s="197"/>
    </row>
    <row r="2672" spans="66:69" x14ac:dyDescent="0.2">
      <c r="BN2672" s="192"/>
      <c r="BO2672" s="197"/>
      <c r="BP2672" s="197"/>
      <c r="BQ2672" s="197"/>
    </row>
    <row r="2673" spans="66:69" x14ac:dyDescent="0.2">
      <c r="BN2673" s="192"/>
      <c r="BO2673" s="197"/>
      <c r="BP2673" s="197"/>
      <c r="BQ2673" s="197"/>
    </row>
    <row r="2674" spans="66:69" x14ac:dyDescent="0.2">
      <c r="BN2674" s="192"/>
      <c r="BO2674" s="197"/>
      <c r="BP2674" s="197"/>
      <c r="BQ2674" s="197"/>
    </row>
    <row r="2675" spans="66:69" x14ac:dyDescent="0.2">
      <c r="BN2675" s="192"/>
      <c r="BO2675" s="197"/>
      <c r="BP2675" s="197"/>
      <c r="BQ2675" s="197"/>
    </row>
    <row r="2676" spans="66:69" x14ac:dyDescent="0.2">
      <c r="BN2676" s="192"/>
      <c r="BO2676" s="197"/>
      <c r="BP2676" s="197"/>
      <c r="BQ2676" s="197"/>
    </row>
    <row r="2677" spans="66:69" x14ac:dyDescent="0.2">
      <c r="BN2677" s="192"/>
      <c r="BO2677" s="197"/>
      <c r="BP2677" s="197"/>
      <c r="BQ2677" s="197"/>
    </row>
    <row r="2678" spans="66:69" x14ac:dyDescent="0.2">
      <c r="BN2678" s="192"/>
      <c r="BO2678" s="197"/>
      <c r="BP2678" s="197"/>
      <c r="BQ2678" s="197"/>
    </row>
    <row r="2679" spans="66:69" x14ac:dyDescent="0.2">
      <c r="BN2679" s="192"/>
      <c r="BO2679" s="197"/>
      <c r="BP2679" s="197"/>
      <c r="BQ2679" s="197"/>
    </row>
    <row r="2680" spans="66:69" x14ac:dyDescent="0.2">
      <c r="BN2680" s="192"/>
      <c r="BO2680" s="197"/>
      <c r="BP2680" s="197"/>
      <c r="BQ2680" s="197"/>
    </row>
    <row r="2681" spans="66:69" x14ac:dyDescent="0.2">
      <c r="BN2681" s="192"/>
      <c r="BO2681" s="197"/>
      <c r="BP2681" s="197"/>
      <c r="BQ2681" s="197"/>
    </row>
    <row r="2682" spans="66:69" x14ac:dyDescent="0.2">
      <c r="BN2682" s="192"/>
      <c r="BO2682" s="197"/>
      <c r="BP2682" s="197"/>
      <c r="BQ2682" s="197"/>
    </row>
    <row r="2683" spans="66:69" x14ac:dyDescent="0.2">
      <c r="BN2683" s="192"/>
      <c r="BO2683" s="197"/>
      <c r="BP2683" s="197"/>
      <c r="BQ2683" s="197"/>
    </row>
    <row r="2684" spans="66:69" x14ac:dyDescent="0.2">
      <c r="BN2684" s="192"/>
      <c r="BO2684" s="197"/>
      <c r="BP2684" s="197"/>
      <c r="BQ2684" s="197"/>
    </row>
    <row r="2685" spans="66:69" x14ac:dyDescent="0.2">
      <c r="BN2685" s="192"/>
      <c r="BO2685" s="197"/>
      <c r="BP2685" s="197"/>
      <c r="BQ2685" s="197"/>
    </row>
    <row r="2686" spans="66:69" x14ac:dyDescent="0.2">
      <c r="BN2686" s="192"/>
      <c r="BO2686" s="197"/>
      <c r="BP2686" s="197"/>
      <c r="BQ2686" s="197"/>
    </row>
    <row r="2687" spans="66:69" x14ac:dyDescent="0.2">
      <c r="BN2687" s="192"/>
      <c r="BO2687" s="197"/>
      <c r="BP2687" s="197"/>
      <c r="BQ2687" s="197"/>
    </row>
    <row r="2688" spans="66:69" x14ac:dyDescent="0.2">
      <c r="BN2688" s="192"/>
      <c r="BO2688" s="197"/>
      <c r="BP2688" s="197"/>
      <c r="BQ2688" s="197"/>
    </row>
    <row r="2689" spans="66:69" x14ac:dyDescent="0.2">
      <c r="BN2689" s="192"/>
      <c r="BO2689" s="197"/>
      <c r="BP2689" s="197"/>
      <c r="BQ2689" s="197"/>
    </row>
    <row r="2690" spans="66:69" x14ac:dyDescent="0.2">
      <c r="BN2690" s="192"/>
      <c r="BO2690" s="197"/>
      <c r="BP2690" s="197"/>
      <c r="BQ2690" s="197"/>
    </row>
    <row r="2691" spans="66:69" x14ac:dyDescent="0.2">
      <c r="BN2691" s="192"/>
      <c r="BO2691" s="197"/>
      <c r="BP2691" s="197"/>
      <c r="BQ2691" s="197"/>
    </row>
    <row r="2692" spans="66:69" x14ac:dyDescent="0.2">
      <c r="BN2692" s="192"/>
      <c r="BO2692" s="197"/>
      <c r="BP2692" s="197"/>
      <c r="BQ2692" s="197"/>
    </row>
    <row r="2693" spans="66:69" x14ac:dyDescent="0.2">
      <c r="BN2693" s="192"/>
      <c r="BO2693" s="197"/>
      <c r="BP2693" s="197"/>
      <c r="BQ2693" s="197"/>
    </row>
    <row r="2694" spans="66:69" x14ac:dyDescent="0.2">
      <c r="BN2694" s="192"/>
      <c r="BO2694" s="197"/>
      <c r="BP2694" s="197"/>
      <c r="BQ2694" s="197"/>
    </row>
    <row r="2695" spans="66:69" x14ac:dyDescent="0.2">
      <c r="BN2695" s="192"/>
      <c r="BO2695" s="197"/>
      <c r="BP2695" s="197"/>
      <c r="BQ2695" s="197"/>
    </row>
    <row r="2696" spans="66:69" x14ac:dyDescent="0.2">
      <c r="BN2696" s="192"/>
      <c r="BO2696" s="197"/>
      <c r="BP2696" s="197"/>
      <c r="BQ2696" s="197"/>
    </row>
    <row r="2697" spans="66:69" x14ac:dyDescent="0.2">
      <c r="BN2697" s="192"/>
      <c r="BO2697" s="197"/>
      <c r="BP2697" s="197"/>
      <c r="BQ2697" s="197"/>
    </row>
    <row r="2698" spans="66:69" x14ac:dyDescent="0.2">
      <c r="BN2698" s="192"/>
      <c r="BO2698" s="197"/>
      <c r="BP2698" s="197"/>
      <c r="BQ2698" s="197"/>
    </row>
    <row r="2699" spans="66:69" x14ac:dyDescent="0.2">
      <c r="BN2699" s="192"/>
      <c r="BO2699" s="197"/>
      <c r="BP2699" s="197"/>
      <c r="BQ2699" s="197"/>
    </row>
    <row r="2700" spans="66:69" x14ac:dyDescent="0.2">
      <c r="BN2700" s="192"/>
      <c r="BO2700" s="197"/>
      <c r="BP2700" s="197"/>
      <c r="BQ2700" s="197"/>
    </row>
    <row r="2701" spans="66:69" x14ac:dyDescent="0.2">
      <c r="BN2701" s="192"/>
      <c r="BO2701" s="197"/>
      <c r="BP2701" s="197"/>
      <c r="BQ2701" s="197"/>
    </row>
    <row r="2702" spans="66:69" x14ac:dyDescent="0.2">
      <c r="BN2702" s="192"/>
      <c r="BO2702" s="197"/>
      <c r="BP2702" s="197"/>
      <c r="BQ2702" s="197"/>
    </row>
    <row r="2703" spans="66:69" x14ac:dyDescent="0.2">
      <c r="BN2703" s="192"/>
      <c r="BO2703" s="197"/>
      <c r="BP2703" s="197"/>
      <c r="BQ2703" s="197"/>
    </row>
    <row r="2704" spans="66:69" x14ac:dyDescent="0.2">
      <c r="BN2704" s="192"/>
      <c r="BO2704" s="197"/>
      <c r="BP2704" s="197"/>
      <c r="BQ2704" s="197"/>
    </row>
    <row r="2705" spans="66:69" x14ac:dyDescent="0.2">
      <c r="BN2705" s="192"/>
      <c r="BO2705" s="197"/>
      <c r="BP2705" s="197"/>
      <c r="BQ2705" s="197"/>
    </row>
    <row r="2706" spans="66:69" x14ac:dyDescent="0.2">
      <c r="BN2706" s="192"/>
      <c r="BO2706" s="197"/>
      <c r="BP2706" s="197"/>
      <c r="BQ2706" s="197"/>
    </row>
    <row r="2707" spans="66:69" x14ac:dyDescent="0.2">
      <c r="BN2707" s="192"/>
      <c r="BO2707" s="197"/>
      <c r="BP2707" s="197"/>
      <c r="BQ2707" s="197"/>
    </row>
    <row r="2708" spans="66:69" x14ac:dyDescent="0.2">
      <c r="BN2708" s="192"/>
      <c r="BO2708" s="197"/>
      <c r="BP2708" s="197"/>
      <c r="BQ2708" s="197"/>
    </row>
    <row r="2709" spans="66:69" x14ac:dyDescent="0.2">
      <c r="BN2709" s="192"/>
      <c r="BO2709" s="197"/>
      <c r="BP2709" s="197"/>
      <c r="BQ2709" s="197"/>
    </row>
    <row r="2710" spans="66:69" x14ac:dyDescent="0.2">
      <c r="BN2710" s="192"/>
      <c r="BO2710" s="197"/>
      <c r="BP2710" s="197"/>
      <c r="BQ2710" s="197"/>
    </row>
    <row r="2711" spans="66:69" x14ac:dyDescent="0.2">
      <c r="BN2711" s="192"/>
      <c r="BO2711" s="197"/>
      <c r="BP2711" s="197"/>
      <c r="BQ2711" s="197"/>
    </row>
    <row r="2712" spans="66:69" x14ac:dyDescent="0.2">
      <c r="BN2712" s="192"/>
      <c r="BO2712" s="197"/>
      <c r="BP2712" s="197"/>
      <c r="BQ2712" s="197"/>
    </row>
    <row r="2713" spans="66:69" x14ac:dyDescent="0.2">
      <c r="BN2713" s="192"/>
      <c r="BO2713" s="197"/>
      <c r="BP2713" s="197"/>
      <c r="BQ2713" s="197"/>
    </row>
    <row r="2714" spans="66:69" x14ac:dyDescent="0.2">
      <c r="BN2714" s="192"/>
      <c r="BO2714" s="197"/>
      <c r="BP2714" s="197"/>
      <c r="BQ2714" s="197"/>
    </row>
    <row r="2715" spans="66:69" x14ac:dyDescent="0.2">
      <c r="BN2715" s="192"/>
      <c r="BO2715" s="197"/>
      <c r="BP2715" s="197"/>
      <c r="BQ2715" s="197"/>
    </row>
    <row r="2716" spans="66:69" x14ac:dyDescent="0.2">
      <c r="BN2716" s="192"/>
      <c r="BO2716" s="197"/>
      <c r="BP2716" s="197"/>
      <c r="BQ2716" s="197"/>
    </row>
    <row r="2717" spans="66:69" x14ac:dyDescent="0.2">
      <c r="BN2717" s="192"/>
      <c r="BO2717" s="197"/>
      <c r="BP2717" s="197"/>
      <c r="BQ2717" s="197"/>
    </row>
    <row r="2718" spans="66:69" x14ac:dyDescent="0.2">
      <c r="BN2718" s="192"/>
      <c r="BO2718" s="197"/>
      <c r="BP2718" s="197"/>
      <c r="BQ2718" s="197"/>
    </row>
    <row r="2719" spans="66:69" x14ac:dyDescent="0.2">
      <c r="BN2719" s="192"/>
      <c r="BO2719" s="197"/>
      <c r="BP2719" s="197"/>
      <c r="BQ2719" s="197"/>
    </row>
    <row r="2720" spans="66:69" x14ac:dyDescent="0.2">
      <c r="BN2720" s="192"/>
      <c r="BO2720" s="197"/>
      <c r="BP2720" s="197"/>
      <c r="BQ2720" s="197"/>
    </row>
    <row r="2721" spans="66:69" x14ac:dyDescent="0.2">
      <c r="BN2721" s="192"/>
      <c r="BO2721" s="197"/>
      <c r="BP2721" s="197"/>
      <c r="BQ2721" s="197"/>
    </row>
    <row r="2722" spans="66:69" x14ac:dyDescent="0.2">
      <c r="BN2722" s="192"/>
      <c r="BO2722" s="197"/>
      <c r="BP2722" s="197"/>
      <c r="BQ2722" s="197"/>
    </row>
    <row r="2723" spans="66:69" x14ac:dyDescent="0.2">
      <c r="BN2723" s="192"/>
      <c r="BO2723" s="197"/>
      <c r="BP2723" s="197"/>
      <c r="BQ2723" s="197"/>
    </row>
    <row r="2724" spans="66:69" x14ac:dyDescent="0.2">
      <c r="BN2724" s="192"/>
      <c r="BO2724" s="197"/>
      <c r="BP2724" s="197"/>
      <c r="BQ2724" s="197"/>
    </row>
    <row r="2725" spans="66:69" x14ac:dyDescent="0.2">
      <c r="BN2725" s="192"/>
      <c r="BO2725" s="197"/>
      <c r="BP2725" s="197"/>
      <c r="BQ2725" s="197"/>
    </row>
    <row r="2726" spans="66:69" x14ac:dyDescent="0.2">
      <c r="BN2726" s="192"/>
      <c r="BO2726" s="197"/>
      <c r="BP2726" s="197"/>
      <c r="BQ2726" s="197"/>
    </row>
    <row r="2727" spans="66:69" x14ac:dyDescent="0.2">
      <c r="BN2727" s="192"/>
      <c r="BO2727" s="197"/>
      <c r="BP2727" s="197"/>
      <c r="BQ2727" s="197"/>
    </row>
    <row r="2728" spans="66:69" x14ac:dyDescent="0.2">
      <c r="BN2728" s="192"/>
      <c r="BO2728" s="197"/>
      <c r="BP2728" s="197"/>
      <c r="BQ2728" s="197"/>
    </row>
    <row r="2729" spans="66:69" x14ac:dyDescent="0.2">
      <c r="BN2729" s="192"/>
      <c r="BO2729" s="197"/>
      <c r="BP2729" s="197"/>
      <c r="BQ2729" s="197"/>
    </row>
    <row r="2730" spans="66:69" x14ac:dyDescent="0.2">
      <c r="BN2730" s="192"/>
      <c r="BO2730" s="197"/>
      <c r="BP2730" s="197"/>
      <c r="BQ2730" s="197"/>
    </row>
    <row r="2731" spans="66:69" x14ac:dyDescent="0.2">
      <c r="BN2731" s="192"/>
      <c r="BO2731" s="197"/>
      <c r="BP2731" s="197"/>
      <c r="BQ2731" s="197"/>
    </row>
    <row r="2732" spans="66:69" x14ac:dyDescent="0.2">
      <c r="BN2732" s="192"/>
      <c r="BO2732" s="197"/>
      <c r="BP2732" s="197"/>
      <c r="BQ2732" s="197"/>
    </row>
    <row r="2733" spans="66:69" x14ac:dyDescent="0.2">
      <c r="BN2733" s="192"/>
      <c r="BO2733" s="197"/>
      <c r="BP2733" s="197"/>
      <c r="BQ2733" s="197"/>
    </row>
    <row r="2734" spans="66:69" x14ac:dyDescent="0.2">
      <c r="BN2734" s="192"/>
      <c r="BO2734" s="197"/>
      <c r="BP2734" s="197"/>
      <c r="BQ2734" s="197"/>
    </row>
    <row r="2735" spans="66:69" x14ac:dyDescent="0.2">
      <c r="BN2735" s="192"/>
      <c r="BO2735" s="197"/>
      <c r="BP2735" s="197"/>
      <c r="BQ2735" s="197"/>
    </row>
    <row r="2736" spans="66:69" x14ac:dyDescent="0.2">
      <c r="BN2736" s="192"/>
      <c r="BO2736" s="197"/>
      <c r="BP2736" s="197"/>
      <c r="BQ2736" s="197"/>
    </row>
    <row r="2737" spans="66:69" x14ac:dyDescent="0.2">
      <c r="BN2737" s="192"/>
      <c r="BO2737" s="197"/>
      <c r="BP2737" s="197"/>
      <c r="BQ2737" s="197"/>
    </row>
    <row r="2738" spans="66:69" x14ac:dyDescent="0.2">
      <c r="BN2738" s="192"/>
      <c r="BO2738" s="197"/>
      <c r="BP2738" s="197"/>
      <c r="BQ2738" s="197"/>
    </row>
    <row r="2739" spans="66:69" x14ac:dyDescent="0.2">
      <c r="BN2739" s="192"/>
      <c r="BO2739" s="197"/>
      <c r="BP2739" s="197"/>
      <c r="BQ2739" s="197"/>
    </row>
    <row r="2740" spans="66:69" x14ac:dyDescent="0.2">
      <c r="BN2740" s="192"/>
      <c r="BO2740" s="197"/>
      <c r="BP2740" s="197"/>
      <c r="BQ2740" s="197"/>
    </row>
    <row r="2741" spans="66:69" x14ac:dyDescent="0.2">
      <c r="BN2741" s="192"/>
      <c r="BO2741" s="197"/>
      <c r="BP2741" s="197"/>
      <c r="BQ2741" s="197"/>
    </row>
    <row r="2742" spans="66:69" x14ac:dyDescent="0.2">
      <c r="BN2742" s="192"/>
      <c r="BO2742" s="197"/>
      <c r="BP2742" s="197"/>
      <c r="BQ2742" s="197"/>
    </row>
    <row r="2743" spans="66:69" x14ac:dyDescent="0.2">
      <c r="BN2743" s="192"/>
      <c r="BO2743" s="197"/>
      <c r="BP2743" s="197"/>
      <c r="BQ2743" s="197"/>
    </row>
    <row r="2744" spans="66:69" x14ac:dyDescent="0.2">
      <c r="BN2744" s="192"/>
      <c r="BO2744" s="197"/>
      <c r="BP2744" s="197"/>
      <c r="BQ2744" s="197"/>
    </row>
    <row r="2745" spans="66:69" x14ac:dyDescent="0.2">
      <c r="BN2745" s="192"/>
      <c r="BO2745" s="197"/>
      <c r="BP2745" s="197"/>
      <c r="BQ2745" s="197"/>
    </row>
    <row r="2746" spans="66:69" x14ac:dyDescent="0.2">
      <c r="BN2746" s="192"/>
      <c r="BO2746" s="197"/>
      <c r="BP2746" s="197"/>
      <c r="BQ2746" s="197"/>
    </row>
    <row r="2747" spans="66:69" x14ac:dyDescent="0.2">
      <c r="BN2747" s="192"/>
      <c r="BO2747" s="197"/>
      <c r="BP2747" s="197"/>
      <c r="BQ2747" s="197"/>
    </row>
    <row r="2748" spans="66:69" x14ac:dyDescent="0.2">
      <c r="BN2748" s="192"/>
      <c r="BO2748" s="197"/>
      <c r="BP2748" s="197"/>
      <c r="BQ2748" s="197"/>
    </row>
    <row r="2749" spans="66:69" x14ac:dyDescent="0.2">
      <c r="BN2749" s="192"/>
      <c r="BO2749" s="197"/>
      <c r="BP2749" s="197"/>
      <c r="BQ2749" s="197"/>
    </row>
    <row r="2750" spans="66:69" x14ac:dyDescent="0.2">
      <c r="BN2750" s="192"/>
      <c r="BO2750" s="197"/>
      <c r="BP2750" s="197"/>
      <c r="BQ2750" s="197"/>
    </row>
    <row r="2751" spans="66:69" x14ac:dyDescent="0.2">
      <c r="BN2751" s="192"/>
      <c r="BO2751" s="197"/>
      <c r="BP2751" s="197"/>
      <c r="BQ2751" s="197"/>
    </row>
    <row r="2752" spans="66:69" x14ac:dyDescent="0.2">
      <c r="BN2752" s="192"/>
      <c r="BO2752" s="197"/>
      <c r="BP2752" s="197"/>
      <c r="BQ2752" s="197"/>
    </row>
    <row r="2753" spans="66:69" x14ac:dyDescent="0.2">
      <c r="BN2753" s="192"/>
      <c r="BO2753" s="197"/>
      <c r="BP2753" s="197"/>
      <c r="BQ2753" s="197"/>
    </row>
    <row r="2754" spans="66:69" x14ac:dyDescent="0.2">
      <c r="BN2754" s="192"/>
      <c r="BO2754" s="197"/>
      <c r="BP2754" s="197"/>
      <c r="BQ2754" s="197"/>
    </row>
    <row r="2755" spans="66:69" x14ac:dyDescent="0.2">
      <c r="BN2755" s="192"/>
      <c r="BO2755" s="197"/>
      <c r="BP2755" s="197"/>
      <c r="BQ2755" s="197"/>
    </row>
    <row r="2756" spans="66:69" x14ac:dyDescent="0.2">
      <c r="BN2756" s="192"/>
      <c r="BO2756" s="197"/>
      <c r="BP2756" s="197"/>
      <c r="BQ2756" s="197"/>
    </row>
    <row r="2757" spans="66:69" x14ac:dyDescent="0.2">
      <c r="BN2757" s="192"/>
      <c r="BO2757" s="197"/>
      <c r="BP2757" s="197"/>
      <c r="BQ2757" s="197"/>
    </row>
    <row r="2758" spans="66:69" x14ac:dyDescent="0.2">
      <c r="BN2758" s="192"/>
      <c r="BO2758" s="197"/>
      <c r="BP2758" s="197"/>
      <c r="BQ2758" s="197"/>
    </row>
    <row r="2759" spans="66:69" x14ac:dyDescent="0.2">
      <c r="BN2759" s="192"/>
      <c r="BO2759" s="197"/>
      <c r="BP2759" s="197"/>
      <c r="BQ2759" s="197"/>
    </row>
    <row r="2760" spans="66:69" x14ac:dyDescent="0.2">
      <c r="BN2760" s="192"/>
      <c r="BO2760" s="197"/>
      <c r="BP2760" s="197"/>
      <c r="BQ2760" s="197"/>
    </row>
    <row r="2761" spans="66:69" x14ac:dyDescent="0.2">
      <c r="BN2761" s="192"/>
      <c r="BO2761" s="197"/>
      <c r="BP2761" s="197"/>
      <c r="BQ2761" s="197"/>
    </row>
    <row r="2762" spans="66:69" x14ac:dyDescent="0.2">
      <c r="BN2762" s="192"/>
      <c r="BO2762" s="197"/>
      <c r="BP2762" s="197"/>
      <c r="BQ2762" s="197"/>
    </row>
    <row r="2763" spans="66:69" x14ac:dyDescent="0.2">
      <c r="BN2763" s="192"/>
      <c r="BO2763" s="197"/>
      <c r="BP2763" s="197"/>
      <c r="BQ2763" s="197"/>
    </row>
    <row r="2764" spans="66:69" x14ac:dyDescent="0.2">
      <c r="BN2764" s="192"/>
      <c r="BO2764" s="197"/>
      <c r="BP2764" s="197"/>
      <c r="BQ2764" s="197"/>
    </row>
    <row r="2765" spans="66:69" x14ac:dyDescent="0.2">
      <c r="BN2765" s="192"/>
      <c r="BO2765" s="197"/>
      <c r="BP2765" s="197"/>
      <c r="BQ2765" s="197"/>
    </row>
    <row r="2766" spans="66:69" x14ac:dyDescent="0.2">
      <c r="BN2766" s="192"/>
      <c r="BO2766" s="197"/>
      <c r="BP2766" s="197"/>
      <c r="BQ2766" s="197"/>
    </row>
    <row r="2767" spans="66:69" x14ac:dyDescent="0.2">
      <c r="BN2767" s="192"/>
      <c r="BO2767" s="197"/>
      <c r="BP2767" s="197"/>
      <c r="BQ2767" s="197"/>
    </row>
    <row r="2768" spans="66:69" x14ac:dyDescent="0.2">
      <c r="BN2768" s="192"/>
      <c r="BO2768" s="197"/>
      <c r="BP2768" s="197"/>
      <c r="BQ2768" s="197"/>
    </row>
    <row r="2769" spans="66:69" x14ac:dyDescent="0.2">
      <c r="BN2769" s="192"/>
      <c r="BO2769" s="197"/>
      <c r="BP2769" s="197"/>
      <c r="BQ2769" s="197"/>
    </row>
    <row r="2770" spans="66:69" x14ac:dyDescent="0.2">
      <c r="BN2770" s="192"/>
      <c r="BO2770" s="197"/>
      <c r="BP2770" s="197"/>
      <c r="BQ2770" s="197"/>
    </row>
    <row r="2771" spans="66:69" x14ac:dyDescent="0.2">
      <c r="BN2771" s="192"/>
      <c r="BO2771" s="197"/>
      <c r="BP2771" s="197"/>
      <c r="BQ2771" s="197"/>
    </row>
    <row r="2772" spans="66:69" x14ac:dyDescent="0.2">
      <c r="BN2772" s="192"/>
      <c r="BO2772" s="197"/>
      <c r="BP2772" s="197"/>
      <c r="BQ2772" s="197"/>
    </row>
    <row r="2773" spans="66:69" x14ac:dyDescent="0.2">
      <c r="BN2773" s="192"/>
      <c r="BO2773" s="197"/>
      <c r="BP2773" s="197"/>
      <c r="BQ2773" s="197"/>
    </row>
    <row r="2774" spans="66:69" x14ac:dyDescent="0.2">
      <c r="BN2774" s="192"/>
      <c r="BO2774" s="197"/>
      <c r="BP2774" s="197"/>
      <c r="BQ2774" s="197"/>
    </row>
    <row r="2775" spans="66:69" x14ac:dyDescent="0.2">
      <c r="BN2775" s="192"/>
      <c r="BO2775" s="197"/>
      <c r="BP2775" s="197"/>
      <c r="BQ2775" s="197"/>
    </row>
    <row r="2776" spans="66:69" x14ac:dyDescent="0.2">
      <c r="BN2776" s="192"/>
      <c r="BO2776" s="197"/>
      <c r="BP2776" s="197"/>
      <c r="BQ2776" s="197"/>
    </row>
    <row r="2777" spans="66:69" x14ac:dyDescent="0.2">
      <c r="BN2777" s="192"/>
      <c r="BO2777" s="197"/>
      <c r="BP2777" s="197"/>
      <c r="BQ2777" s="197"/>
    </row>
    <row r="2778" spans="66:69" x14ac:dyDescent="0.2">
      <c r="BN2778" s="192"/>
      <c r="BO2778" s="197"/>
      <c r="BP2778" s="197"/>
      <c r="BQ2778" s="197"/>
    </row>
    <row r="2779" spans="66:69" x14ac:dyDescent="0.2">
      <c r="BN2779" s="192"/>
      <c r="BO2779" s="197"/>
      <c r="BP2779" s="197"/>
      <c r="BQ2779" s="197"/>
    </row>
    <row r="2780" spans="66:69" x14ac:dyDescent="0.2">
      <c r="BN2780" s="192"/>
      <c r="BO2780" s="197"/>
      <c r="BP2780" s="197"/>
      <c r="BQ2780" s="197"/>
    </row>
    <row r="2781" spans="66:69" x14ac:dyDescent="0.2">
      <c r="BN2781" s="192"/>
      <c r="BO2781" s="197"/>
      <c r="BP2781" s="197"/>
      <c r="BQ2781" s="197"/>
    </row>
    <row r="2782" spans="66:69" x14ac:dyDescent="0.2">
      <c r="BN2782" s="192"/>
      <c r="BO2782" s="197"/>
      <c r="BP2782" s="197"/>
      <c r="BQ2782" s="197"/>
    </row>
    <row r="2783" spans="66:69" x14ac:dyDescent="0.2">
      <c r="BN2783" s="192"/>
      <c r="BO2783" s="197"/>
      <c r="BP2783" s="197"/>
      <c r="BQ2783" s="197"/>
    </row>
    <row r="2784" spans="66:69" x14ac:dyDescent="0.2">
      <c r="BN2784" s="192"/>
      <c r="BO2784" s="197"/>
      <c r="BP2784" s="197"/>
      <c r="BQ2784" s="197"/>
    </row>
    <row r="2785" spans="66:69" x14ac:dyDescent="0.2">
      <c r="BN2785" s="192"/>
      <c r="BO2785" s="197"/>
      <c r="BP2785" s="197"/>
      <c r="BQ2785" s="197"/>
    </row>
    <row r="2786" spans="66:69" x14ac:dyDescent="0.2">
      <c r="BN2786" s="192"/>
      <c r="BO2786" s="197"/>
      <c r="BP2786" s="197"/>
      <c r="BQ2786" s="197"/>
    </row>
    <row r="2787" spans="66:69" x14ac:dyDescent="0.2">
      <c r="BN2787" s="192"/>
      <c r="BO2787" s="197"/>
      <c r="BP2787" s="197"/>
      <c r="BQ2787" s="197"/>
    </row>
    <row r="2788" spans="66:69" x14ac:dyDescent="0.2">
      <c r="BN2788" s="192"/>
      <c r="BO2788" s="197"/>
      <c r="BP2788" s="197"/>
      <c r="BQ2788" s="197"/>
    </row>
    <row r="2789" spans="66:69" x14ac:dyDescent="0.2">
      <c r="BN2789" s="192"/>
      <c r="BO2789" s="197"/>
      <c r="BP2789" s="197"/>
      <c r="BQ2789" s="197"/>
    </row>
    <row r="2790" spans="66:69" x14ac:dyDescent="0.2">
      <c r="BN2790" s="192"/>
      <c r="BO2790" s="197"/>
      <c r="BP2790" s="197"/>
      <c r="BQ2790" s="197"/>
    </row>
    <row r="2791" spans="66:69" x14ac:dyDescent="0.2">
      <c r="BN2791" s="192"/>
      <c r="BO2791" s="197"/>
      <c r="BP2791" s="197"/>
      <c r="BQ2791" s="197"/>
    </row>
    <row r="2792" spans="66:69" x14ac:dyDescent="0.2">
      <c r="BN2792" s="192"/>
      <c r="BO2792" s="197"/>
      <c r="BP2792" s="197"/>
      <c r="BQ2792" s="197"/>
    </row>
    <row r="2793" spans="66:69" x14ac:dyDescent="0.2">
      <c r="BN2793" s="192"/>
      <c r="BO2793" s="197"/>
      <c r="BP2793" s="197"/>
      <c r="BQ2793" s="197"/>
    </row>
    <row r="2794" spans="66:69" x14ac:dyDescent="0.2">
      <c r="BN2794" s="192"/>
      <c r="BO2794" s="197"/>
      <c r="BP2794" s="197"/>
      <c r="BQ2794" s="197"/>
    </row>
    <row r="2795" spans="66:69" x14ac:dyDescent="0.2">
      <c r="BN2795" s="192"/>
      <c r="BO2795" s="197"/>
      <c r="BP2795" s="197"/>
      <c r="BQ2795" s="197"/>
    </row>
    <row r="2796" spans="66:69" x14ac:dyDescent="0.2">
      <c r="BN2796" s="192"/>
      <c r="BO2796" s="197"/>
      <c r="BP2796" s="197"/>
      <c r="BQ2796" s="197"/>
    </row>
    <row r="2797" spans="66:69" x14ac:dyDescent="0.2">
      <c r="BN2797" s="192"/>
      <c r="BO2797" s="197"/>
      <c r="BP2797" s="197"/>
      <c r="BQ2797" s="197"/>
    </row>
    <row r="2798" spans="66:69" x14ac:dyDescent="0.2">
      <c r="BN2798" s="192"/>
      <c r="BO2798" s="197"/>
      <c r="BP2798" s="197"/>
      <c r="BQ2798" s="197"/>
    </row>
    <row r="2799" spans="66:69" x14ac:dyDescent="0.2">
      <c r="BN2799" s="192"/>
      <c r="BO2799" s="197"/>
      <c r="BP2799" s="197"/>
      <c r="BQ2799" s="197"/>
    </row>
    <row r="2800" spans="66:69" x14ac:dyDescent="0.2">
      <c r="BN2800" s="192"/>
      <c r="BO2800" s="197"/>
      <c r="BP2800" s="197"/>
      <c r="BQ2800" s="197"/>
    </row>
    <row r="2801" spans="66:69" x14ac:dyDescent="0.2">
      <c r="BN2801" s="192"/>
      <c r="BO2801" s="197"/>
      <c r="BP2801" s="197"/>
      <c r="BQ2801" s="197"/>
    </row>
    <row r="2802" spans="66:69" x14ac:dyDescent="0.2">
      <c r="BN2802" s="192"/>
      <c r="BO2802" s="197"/>
      <c r="BP2802" s="197"/>
      <c r="BQ2802" s="197"/>
    </row>
    <row r="2803" spans="66:69" x14ac:dyDescent="0.2">
      <c r="BN2803" s="192"/>
      <c r="BO2803" s="197"/>
      <c r="BP2803" s="197"/>
      <c r="BQ2803" s="197"/>
    </row>
    <row r="2804" spans="66:69" x14ac:dyDescent="0.2">
      <c r="BN2804" s="192"/>
      <c r="BO2804" s="197"/>
      <c r="BP2804" s="197"/>
      <c r="BQ2804" s="197"/>
    </row>
    <row r="2805" spans="66:69" x14ac:dyDescent="0.2">
      <c r="BN2805" s="192"/>
      <c r="BO2805" s="197"/>
      <c r="BP2805" s="197"/>
      <c r="BQ2805" s="197"/>
    </row>
    <row r="2806" spans="66:69" x14ac:dyDescent="0.2">
      <c r="BN2806" s="192"/>
      <c r="BO2806" s="197"/>
      <c r="BP2806" s="197"/>
      <c r="BQ2806" s="197"/>
    </row>
    <row r="2807" spans="66:69" x14ac:dyDescent="0.2">
      <c r="BN2807" s="192"/>
      <c r="BO2807" s="197"/>
      <c r="BP2807" s="197"/>
      <c r="BQ2807" s="197"/>
    </row>
    <row r="2808" spans="66:69" x14ac:dyDescent="0.2">
      <c r="BN2808" s="192"/>
      <c r="BO2808" s="197"/>
      <c r="BP2808" s="197"/>
      <c r="BQ2808" s="197"/>
    </row>
    <row r="2809" spans="66:69" x14ac:dyDescent="0.2">
      <c r="BN2809" s="192"/>
      <c r="BO2809" s="197"/>
      <c r="BP2809" s="197"/>
      <c r="BQ2809" s="197"/>
    </row>
    <row r="2810" spans="66:69" x14ac:dyDescent="0.2">
      <c r="BN2810" s="192"/>
      <c r="BO2810" s="197"/>
      <c r="BP2810" s="197"/>
      <c r="BQ2810" s="197"/>
    </row>
    <row r="2811" spans="66:69" x14ac:dyDescent="0.2">
      <c r="BN2811" s="192"/>
      <c r="BO2811" s="197"/>
      <c r="BP2811" s="197"/>
      <c r="BQ2811" s="197"/>
    </row>
    <row r="2812" spans="66:69" x14ac:dyDescent="0.2">
      <c r="BN2812" s="192"/>
      <c r="BO2812" s="197"/>
      <c r="BP2812" s="197"/>
      <c r="BQ2812" s="197"/>
    </row>
    <row r="2813" spans="66:69" x14ac:dyDescent="0.2">
      <c r="BN2813" s="192"/>
      <c r="BO2813" s="197"/>
      <c r="BP2813" s="197"/>
      <c r="BQ2813" s="197"/>
    </row>
    <row r="2814" spans="66:69" x14ac:dyDescent="0.2">
      <c r="BN2814" s="192"/>
      <c r="BO2814" s="197"/>
      <c r="BP2814" s="197"/>
      <c r="BQ2814" s="197"/>
    </row>
    <row r="2815" spans="66:69" x14ac:dyDescent="0.2">
      <c r="BN2815" s="192"/>
      <c r="BO2815" s="197"/>
      <c r="BP2815" s="197"/>
      <c r="BQ2815" s="197"/>
    </row>
    <row r="2816" spans="66:69" x14ac:dyDescent="0.2">
      <c r="BN2816" s="192"/>
      <c r="BO2816" s="197"/>
      <c r="BP2816" s="197"/>
      <c r="BQ2816" s="197"/>
    </row>
    <row r="2817" spans="66:69" x14ac:dyDescent="0.2">
      <c r="BN2817" s="192"/>
      <c r="BO2817" s="197"/>
      <c r="BP2817" s="197"/>
      <c r="BQ2817" s="197"/>
    </row>
    <row r="2818" spans="66:69" x14ac:dyDescent="0.2">
      <c r="BN2818" s="192"/>
      <c r="BO2818" s="197"/>
      <c r="BP2818" s="197"/>
      <c r="BQ2818" s="197"/>
    </row>
    <row r="2819" spans="66:69" x14ac:dyDescent="0.2">
      <c r="BN2819" s="192"/>
      <c r="BO2819" s="197"/>
      <c r="BP2819" s="197"/>
      <c r="BQ2819" s="197"/>
    </row>
    <row r="2820" spans="66:69" x14ac:dyDescent="0.2">
      <c r="BN2820" s="192"/>
      <c r="BO2820" s="197"/>
      <c r="BP2820" s="197"/>
      <c r="BQ2820" s="197"/>
    </row>
    <row r="2821" spans="66:69" x14ac:dyDescent="0.2">
      <c r="BN2821" s="192"/>
      <c r="BO2821" s="197"/>
      <c r="BP2821" s="197"/>
      <c r="BQ2821" s="197"/>
    </row>
    <row r="2822" spans="66:69" x14ac:dyDescent="0.2">
      <c r="BN2822" s="192"/>
      <c r="BO2822" s="197"/>
      <c r="BP2822" s="197"/>
      <c r="BQ2822" s="197"/>
    </row>
    <row r="2823" spans="66:69" x14ac:dyDescent="0.2">
      <c r="BN2823" s="192"/>
      <c r="BO2823" s="197"/>
      <c r="BP2823" s="197"/>
      <c r="BQ2823" s="197"/>
    </row>
    <row r="2824" spans="66:69" x14ac:dyDescent="0.2">
      <c r="BN2824" s="192"/>
      <c r="BO2824" s="197"/>
      <c r="BP2824" s="197"/>
      <c r="BQ2824" s="197"/>
    </row>
    <row r="2825" spans="66:69" x14ac:dyDescent="0.2">
      <c r="BN2825" s="192"/>
      <c r="BO2825" s="197"/>
      <c r="BP2825" s="197"/>
      <c r="BQ2825" s="197"/>
    </row>
    <row r="2826" spans="66:69" x14ac:dyDescent="0.2">
      <c r="BN2826" s="192"/>
      <c r="BO2826" s="197"/>
      <c r="BP2826" s="197"/>
      <c r="BQ2826" s="197"/>
    </row>
    <row r="2827" spans="66:69" x14ac:dyDescent="0.2">
      <c r="BN2827" s="192"/>
      <c r="BO2827" s="197"/>
      <c r="BP2827" s="197"/>
      <c r="BQ2827" s="197"/>
    </row>
    <row r="2828" spans="66:69" x14ac:dyDescent="0.2">
      <c r="BN2828" s="192"/>
      <c r="BO2828" s="197"/>
      <c r="BP2828" s="197"/>
      <c r="BQ2828" s="197"/>
    </row>
    <row r="2829" spans="66:69" x14ac:dyDescent="0.2">
      <c r="BN2829" s="192"/>
      <c r="BO2829" s="197"/>
      <c r="BP2829" s="197"/>
      <c r="BQ2829" s="197"/>
    </row>
    <row r="2830" spans="66:69" x14ac:dyDescent="0.2">
      <c r="BN2830" s="192"/>
      <c r="BO2830" s="197"/>
      <c r="BP2830" s="197"/>
      <c r="BQ2830" s="197"/>
    </row>
    <row r="2831" spans="66:69" x14ac:dyDescent="0.2">
      <c r="BN2831" s="192"/>
      <c r="BO2831" s="197"/>
      <c r="BP2831" s="197"/>
      <c r="BQ2831" s="197"/>
    </row>
    <row r="2832" spans="66:69" x14ac:dyDescent="0.2">
      <c r="BN2832" s="192"/>
      <c r="BO2832" s="197"/>
      <c r="BP2832" s="197"/>
      <c r="BQ2832" s="197"/>
    </row>
    <row r="2833" spans="66:69" x14ac:dyDescent="0.2">
      <c r="BN2833" s="192"/>
      <c r="BO2833" s="197"/>
      <c r="BP2833" s="197"/>
      <c r="BQ2833" s="197"/>
    </row>
    <row r="2834" spans="66:69" x14ac:dyDescent="0.2">
      <c r="BN2834" s="192"/>
      <c r="BO2834" s="197"/>
      <c r="BP2834" s="197"/>
      <c r="BQ2834" s="197"/>
    </row>
    <row r="2835" spans="66:69" x14ac:dyDescent="0.2">
      <c r="BN2835" s="192"/>
      <c r="BO2835" s="197"/>
      <c r="BP2835" s="197"/>
      <c r="BQ2835" s="197"/>
    </row>
    <row r="2836" spans="66:69" x14ac:dyDescent="0.2">
      <c r="BN2836" s="192"/>
      <c r="BO2836" s="197"/>
      <c r="BP2836" s="197"/>
      <c r="BQ2836" s="197"/>
    </row>
    <row r="2837" spans="66:69" x14ac:dyDescent="0.2">
      <c r="BN2837" s="192"/>
      <c r="BO2837" s="197"/>
      <c r="BP2837" s="197"/>
      <c r="BQ2837" s="197"/>
    </row>
    <row r="2838" spans="66:69" x14ac:dyDescent="0.2">
      <c r="BN2838" s="192"/>
      <c r="BO2838" s="197"/>
      <c r="BP2838" s="197"/>
      <c r="BQ2838" s="197"/>
    </row>
    <row r="2839" spans="66:69" x14ac:dyDescent="0.2">
      <c r="BN2839" s="192"/>
      <c r="BO2839" s="197"/>
      <c r="BP2839" s="197"/>
      <c r="BQ2839" s="197"/>
    </row>
    <row r="2840" spans="66:69" x14ac:dyDescent="0.2">
      <c r="BN2840" s="192"/>
      <c r="BO2840" s="197"/>
      <c r="BP2840" s="197"/>
      <c r="BQ2840" s="197"/>
    </row>
    <row r="2841" spans="66:69" x14ac:dyDescent="0.2">
      <c r="BN2841" s="192"/>
      <c r="BO2841" s="197"/>
      <c r="BP2841" s="197"/>
      <c r="BQ2841" s="197"/>
    </row>
    <row r="2842" spans="66:69" x14ac:dyDescent="0.2">
      <c r="BN2842" s="192"/>
      <c r="BO2842" s="197"/>
      <c r="BP2842" s="197"/>
      <c r="BQ2842" s="197"/>
    </row>
    <row r="2843" spans="66:69" x14ac:dyDescent="0.2">
      <c r="BN2843" s="192"/>
      <c r="BO2843" s="197"/>
      <c r="BP2843" s="197"/>
      <c r="BQ2843" s="197"/>
    </row>
    <row r="2844" spans="66:69" x14ac:dyDescent="0.2">
      <c r="BN2844" s="192"/>
      <c r="BO2844" s="197"/>
      <c r="BP2844" s="197"/>
      <c r="BQ2844" s="197"/>
    </row>
    <row r="2845" spans="66:69" x14ac:dyDescent="0.2">
      <c r="BN2845" s="192"/>
      <c r="BO2845" s="197"/>
      <c r="BP2845" s="197"/>
      <c r="BQ2845" s="197"/>
    </row>
    <row r="2846" spans="66:69" x14ac:dyDescent="0.2">
      <c r="BN2846" s="192"/>
      <c r="BO2846" s="197"/>
      <c r="BP2846" s="197"/>
      <c r="BQ2846" s="197"/>
    </row>
    <row r="2847" spans="66:69" x14ac:dyDescent="0.2">
      <c r="BN2847" s="192"/>
      <c r="BO2847" s="197"/>
      <c r="BP2847" s="197"/>
      <c r="BQ2847" s="197"/>
    </row>
    <row r="2848" spans="66:69" x14ac:dyDescent="0.2">
      <c r="BN2848" s="192"/>
      <c r="BO2848" s="197"/>
      <c r="BP2848" s="197"/>
      <c r="BQ2848" s="197"/>
    </row>
    <row r="2849" spans="66:69" x14ac:dyDescent="0.2">
      <c r="BN2849" s="192"/>
      <c r="BO2849" s="197"/>
      <c r="BP2849" s="197"/>
      <c r="BQ2849" s="197"/>
    </row>
    <row r="2850" spans="66:69" x14ac:dyDescent="0.2">
      <c r="BN2850" s="192"/>
      <c r="BO2850" s="197"/>
      <c r="BP2850" s="197"/>
      <c r="BQ2850" s="197"/>
    </row>
    <row r="2851" spans="66:69" x14ac:dyDescent="0.2">
      <c r="BN2851" s="192"/>
      <c r="BO2851" s="197"/>
      <c r="BP2851" s="197"/>
      <c r="BQ2851" s="197"/>
    </row>
    <row r="2852" spans="66:69" x14ac:dyDescent="0.2">
      <c r="BN2852" s="192"/>
      <c r="BO2852" s="197"/>
      <c r="BP2852" s="197"/>
      <c r="BQ2852" s="197"/>
    </row>
    <row r="2853" spans="66:69" x14ac:dyDescent="0.2">
      <c r="BN2853" s="192"/>
      <c r="BO2853" s="197"/>
      <c r="BP2853" s="197"/>
      <c r="BQ2853" s="197"/>
    </row>
    <row r="2854" spans="66:69" x14ac:dyDescent="0.2">
      <c r="BN2854" s="192"/>
      <c r="BO2854" s="197"/>
      <c r="BP2854" s="197"/>
      <c r="BQ2854" s="197"/>
    </row>
    <row r="2855" spans="66:69" x14ac:dyDescent="0.2">
      <c r="BN2855" s="192"/>
      <c r="BO2855" s="197"/>
      <c r="BP2855" s="197"/>
      <c r="BQ2855" s="197"/>
    </row>
    <row r="2856" spans="66:69" x14ac:dyDescent="0.2">
      <c r="BN2856" s="192"/>
      <c r="BO2856" s="197"/>
      <c r="BP2856" s="197"/>
      <c r="BQ2856" s="197"/>
    </row>
    <row r="2857" spans="66:69" x14ac:dyDescent="0.2">
      <c r="BN2857" s="192"/>
      <c r="BO2857" s="197"/>
      <c r="BP2857" s="197"/>
      <c r="BQ2857" s="197"/>
    </row>
    <row r="2858" spans="66:69" x14ac:dyDescent="0.2">
      <c r="BN2858" s="192"/>
      <c r="BO2858" s="197"/>
      <c r="BP2858" s="197"/>
      <c r="BQ2858" s="197"/>
    </row>
    <row r="2859" spans="66:69" x14ac:dyDescent="0.2">
      <c r="BN2859" s="192"/>
      <c r="BO2859" s="197"/>
      <c r="BP2859" s="197"/>
      <c r="BQ2859" s="197"/>
    </row>
    <row r="2860" spans="66:69" x14ac:dyDescent="0.2">
      <c r="BN2860" s="192"/>
      <c r="BO2860" s="197"/>
      <c r="BP2860" s="197"/>
      <c r="BQ2860" s="197"/>
    </row>
    <row r="2861" spans="66:69" x14ac:dyDescent="0.2">
      <c r="BN2861" s="192"/>
      <c r="BO2861" s="197"/>
      <c r="BP2861" s="197"/>
      <c r="BQ2861" s="197"/>
    </row>
    <row r="2862" spans="66:69" x14ac:dyDescent="0.2">
      <c r="BN2862" s="192"/>
      <c r="BO2862" s="197"/>
      <c r="BP2862" s="197"/>
      <c r="BQ2862" s="197"/>
    </row>
    <row r="2863" spans="66:69" x14ac:dyDescent="0.2">
      <c r="BN2863" s="192"/>
      <c r="BO2863" s="197"/>
      <c r="BP2863" s="197"/>
      <c r="BQ2863" s="197"/>
    </row>
    <row r="2864" spans="66:69" x14ac:dyDescent="0.2">
      <c r="BN2864" s="192"/>
      <c r="BO2864" s="197"/>
      <c r="BP2864" s="197"/>
      <c r="BQ2864" s="197"/>
    </row>
    <row r="2865" spans="66:69" x14ac:dyDescent="0.2">
      <c r="BN2865" s="192"/>
      <c r="BO2865" s="197"/>
      <c r="BP2865" s="197"/>
      <c r="BQ2865" s="197"/>
    </row>
    <row r="2866" spans="66:69" x14ac:dyDescent="0.2">
      <c r="BN2866" s="192"/>
      <c r="BO2866" s="197"/>
      <c r="BP2866" s="197"/>
      <c r="BQ2866" s="197"/>
    </row>
    <row r="2867" spans="66:69" x14ac:dyDescent="0.2">
      <c r="BN2867" s="192"/>
      <c r="BO2867" s="197"/>
      <c r="BP2867" s="197"/>
      <c r="BQ2867" s="197"/>
    </row>
    <row r="2868" spans="66:69" x14ac:dyDescent="0.2">
      <c r="BN2868" s="192"/>
      <c r="BO2868" s="197"/>
      <c r="BP2868" s="197"/>
      <c r="BQ2868" s="197"/>
    </row>
    <row r="2869" spans="66:69" x14ac:dyDescent="0.2">
      <c r="BN2869" s="192"/>
      <c r="BO2869" s="197"/>
      <c r="BP2869" s="197"/>
      <c r="BQ2869" s="197"/>
    </row>
    <row r="2870" spans="66:69" x14ac:dyDescent="0.2">
      <c r="BN2870" s="192"/>
      <c r="BO2870" s="197"/>
      <c r="BP2870" s="197"/>
      <c r="BQ2870" s="197"/>
    </row>
    <row r="2871" spans="66:69" x14ac:dyDescent="0.2">
      <c r="BN2871" s="192"/>
      <c r="BO2871" s="197"/>
      <c r="BP2871" s="197"/>
      <c r="BQ2871" s="197"/>
    </row>
    <row r="2872" spans="66:69" x14ac:dyDescent="0.2">
      <c r="BN2872" s="192"/>
      <c r="BO2872" s="197"/>
      <c r="BP2872" s="197"/>
      <c r="BQ2872" s="197"/>
    </row>
    <row r="2873" spans="66:69" x14ac:dyDescent="0.2">
      <c r="BN2873" s="192"/>
      <c r="BO2873" s="197"/>
      <c r="BP2873" s="197"/>
      <c r="BQ2873" s="197"/>
    </row>
    <row r="2874" spans="66:69" x14ac:dyDescent="0.2">
      <c r="BN2874" s="192"/>
      <c r="BO2874" s="197"/>
      <c r="BP2874" s="197"/>
      <c r="BQ2874" s="197"/>
    </row>
    <row r="2875" spans="66:69" x14ac:dyDescent="0.2">
      <c r="BN2875" s="192"/>
      <c r="BO2875" s="197"/>
      <c r="BP2875" s="197"/>
      <c r="BQ2875" s="197"/>
    </row>
    <row r="2876" spans="66:69" x14ac:dyDescent="0.2">
      <c r="BN2876" s="192"/>
      <c r="BO2876" s="197"/>
      <c r="BP2876" s="197"/>
      <c r="BQ2876" s="197"/>
    </row>
    <row r="2877" spans="66:69" x14ac:dyDescent="0.2">
      <c r="BN2877" s="192"/>
      <c r="BO2877" s="197"/>
      <c r="BP2877" s="197"/>
      <c r="BQ2877" s="197"/>
    </row>
    <row r="2878" spans="66:69" x14ac:dyDescent="0.2">
      <c r="BN2878" s="192"/>
      <c r="BO2878" s="197"/>
      <c r="BP2878" s="197"/>
      <c r="BQ2878" s="197"/>
    </row>
    <row r="2879" spans="66:69" x14ac:dyDescent="0.2">
      <c r="BN2879" s="192"/>
      <c r="BO2879" s="197"/>
      <c r="BP2879" s="197"/>
      <c r="BQ2879" s="197"/>
    </row>
    <row r="2880" spans="66:69" x14ac:dyDescent="0.2">
      <c r="BN2880" s="192"/>
      <c r="BO2880" s="197"/>
      <c r="BP2880" s="197"/>
      <c r="BQ2880" s="197"/>
    </row>
    <row r="2881" spans="66:69" x14ac:dyDescent="0.2">
      <c r="BN2881" s="192"/>
      <c r="BO2881" s="197"/>
      <c r="BP2881" s="197"/>
      <c r="BQ2881" s="197"/>
    </row>
    <row r="2882" spans="66:69" x14ac:dyDescent="0.2">
      <c r="BN2882" s="192"/>
      <c r="BO2882" s="197"/>
      <c r="BP2882" s="197"/>
      <c r="BQ2882" s="197"/>
    </row>
    <row r="2883" spans="66:69" x14ac:dyDescent="0.2">
      <c r="BN2883" s="192"/>
      <c r="BO2883" s="197"/>
      <c r="BP2883" s="197"/>
      <c r="BQ2883" s="197"/>
    </row>
    <row r="2884" spans="66:69" x14ac:dyDescent="0.2">
      <c r="BN2884" s="192"/>
      <c r="BO2884" s="197"/>
      <c r="BP2884" s="197"/>
      <c r="BQ2884" s="197"/>
    </row>
    <row r="2885" spans="66:69" x14ac:dyDescent="0.2">
      <c r="BN2885" s="192"/>
      <c r="BO2885" s="197"/>
      <c r="BP2885" s="197"/>
      <c r="BQ2885" s="197"/>
    </row>
    <row r="2886" spans="66:69" x14ac:dyDescent="0.2">
      <c r="BN2886" s="192"/>
      <c r="BO2886" s="197"/>
      <c r="BP2886" s="197"/>
      <c r="BQ2886" s="197"/>
    </row>
    <row r="2887" spans="66:69" x14ac:dyDescent="0.2">
      <c r="BN2887" s="192"/>
      <c r="BO2887" s="197"/>
      <c r="BP2887" s="197"/>
      <c r="BQ2887" s="197"/>
    </row>
    <row r="2888" spans="66:69" x14ac:dyDescent="0.2">
      <c r="BN2888" s="192"/>
      <c r="BO2888" s="197"/>
      <c r="BP2888" s="197"/>
      <c r="BQ2888" s="197"/>
    </row>
    <row r="2889" spans="66:69" x14ac:dyDescent="0.2">
      <c r="BN2889" s="192"/>
      <c r="BO2889" s="197"/>
      <c r="BP2889" s="197"/>
      <c r="BQ2889" s="197"/>
    </row>
    <row r="2890" spans="66:69" x14ac:dyDescent="0.2">
      <c r="BN2890" s="192"/>
      <c r="BO2890" s="197"/>
      <c r="BP2890" s="197"/>
      <c r="BQ2890" s="197"/>
    </row>
    <row r="2891" spans="66:69" x14ac:dyDescent="0.2">
      <c r="BN2891" s="192"/>
      <c r="BO2891" s="197"/>
      <c r="BP2891" s="197"/>
      <c r="BQ2891" s="197"/>
    </row>
    <row r="2892" spans="66:69" x14ac:dyDescent="0.2">
      <c r="BN2892" s="192"/>
      <c r="BO2892" s="197"/>
      <c r="BP2892" s="197"/>
      <c r="BQ2892" s="197"/>
    </row>
    <row r="2893" spans="66:69" x14ac:dyDescent="0.2">
      <c r="BN2893" s="192"/>
      <c r="BO2893" s="197"/>
      <c r="BP2893" s="197"/>
      <c r="BQ2893" s="197"/>
    </row>
    <row r="2894" spans="66:69" x14ac:dyDescent="0.2">
      <c r="BN2894" s="192"/>
      <c r="BO2894" s="197"/>
      <c r="BP2894" s="197"/>
      <c r="BQ2894" s="197"/>
    </row>
    <row r="2895" spans="66:69" x14ac:dyDescent="0.2">
      <c r="BN2895" s="192"/>
      <c r="BO2895" s="197"/>
      <c r="BP2895" s="197"/>
      <c r="BQ2895" s="197"/>
    </row>
    <row r="2896" spans="66:69" x14ac:dyDescent="0.2">
      <c r="BN2896" s="192"/>
      <c r="BO2896" s="197"/>
      <c r="BP2896" s="197"/>
      <c r="BQ2896" s="197"/>
    </row>
    <row r="2897" spans="66:69" x14ac:dyDescent="0.2">
      <c r="BN2897" s="192"/>
      <c r="BO2897" s="197"/>
      <c r="BP2897" s="197"/>
      <c r="BQ2897" s="197"/>
    </row>
    <row r="2898" spans="66:69" x14ac:dyDescent="0.2">
      <c r="BN2898" s="192"/>
      <c r="BO2898" s="197"/>
      <c r="BP2898" s="197"/>
      <c r="BQ2898" s="197"/>
    </row>
    <row r="2899" spans="66:69" x14ac:dyDescent="0.2">
      <c r="BN2899" s="192"/>
      <c r="BO2899" s="197"/>
      <c r="BP2899" s="197"/>
      <c r="BQ2899" s="197"/>
    </row>
    <row r="2900" spans="66:69" x14ac:dyDescent="0.2">
      <c r="BN2900" s="192"/>
      <c r="BO2900" s="197"/>
      <c r="BP2900" s="197"/>
      <c r="BQ2900" s="197"/>
    </row>
    <row r="2901" spans="66:69" x14ac:dyDescent="0.2">
      <c r="BN2901" s="192"/>
      <c r="BO2901" s="197"/>
      <c r="BP2901" s="197"/>
      <c r="BQ2901" s="197"/>
    </row>
    <row r="2902" spans="66:69" x14ac:dyDescent="0.2">
      <c r="BN2902" s="192"/>
      <c r="BO2902" s="197"/>
      <c r="BP2902" s="197"/>
      <c r="BQ2902" s="197"/>
    </row>
    <row r="2903" spans="66:69" x14ac:dyDescent="0.2">
      <c r="BN2903" s="192"/>
      <c r="BO2903" s="197"/>
      <c r="BP2903" s="197"/>
      <c r="BQ2903" s="197"/>
    </row>
    <row r="2904" spans="66:69" x14ac:dyDescent="0.2">
      <c r="BN2904" s="192"/>
      <c r="BO2904" s="197"/>
      <c r="BP2904" s="197"/>
      <c r="BQ2904" s="197"/>
    </row>
    <row r="2905" spans="66:69" x14ac:dyDescent="0.2">
      <c r="BN2905" s="192"/>
      <c r="BO2905" s="197"/>
      <c r="BP2905" s="197"/>
      <c r="BQ2905" s="197"/>
    </row>
    <row r="2906" spans="66:69" x14ac:dyDescent="0.2">
      <c r="BN2906" s="192"/>
      <c r="BO2906" s="197"/>
      <c r="BP2906" s="197"/>
      <c r="BQ2906" s="197"/>
    </row>
    <row r="2907" spans="66:69" x14ac:dyDescent="0.2">
      <c r="BN2907" s="192"/>
      <c r="BO2907" s="197"/>
      <c r="BP2907" s="197"/>
      <c r="BQ2907" s="197"/>
    </row>
    <row r="2908" spans="66:69" x14ac:dyDescent="0.2">
      <c r="BN2908" s="192"/>
      <c r="BO2908" s="197"/>
      <c r="BP2908" s="197"/>
      <c r="BQ2908" s="197"/>
    </row>
    <row r="2909" spans="66:69" x14ac:dyDescent="0.2">
      <c r="BN2909" s="192"/>
      <c r="BO2909" s="197"/>
      <c r="BP2909" s="197"/>
      <c r="BQ2909" s="197"/>
    </row>
    <row r="2910" spans="66:69" x14ac:dyDescent="0.2">
      <c r="BN2910" s="192"/>
      <c r="BO2910" s="197"/>
      <c r="BP2910" s="197"/>
      <c r="BQ2910" s="197"/>
    </row>
    <row r="2911" spans="66:69" x14ac:dyDescent="0.2">
      <c r="BN2911" s="192"/>
      <c r="BO2911" s="197"/>
      <c r="BP2911" s="197"/>
      <c r="BQ2911" s="197"/>
    </row>
    <row r="2912" spans="66:69" x14ac:dyDescent="0.2">
      <c r="BN2912" s="192"/>
      <c r="BO2912" s="197"/>
      <c r="BP2912" s="197"/>
      <c r="BQ2912" s="197"/>
    </row>
    <row r="2913" spans="66:69" x14ac:dyDescent="0.2">
      <c r="BN2913" s="192"/>
      <c r="BO2913" s="197"/>
      <c r="BP2913" s="197"/>
      <c r="BQ2913" s="197"/>
    </row>
    <row r="2914" spans="66:69" x14ac:dyDescent="0.2">
      <c r="BN2914" s="192"/>
      <c r="BO2914" s="197"/>
      <c r="BP2914" s="197"/>
      <c r="BQ2914" s="197"/>
    </row>
    <row r="2915" spans="66:69" x14ac:dyDescent="0.2">
      <c r="BN2915" s="192"/>
      <c r="BO2915" s="197"/>
      <c r="BP2915" s="197"/>
      <c r="BQ2915" s="197"/>
    </row>
    <row r="2916" spans="66:69" x14ac:dyDescent="0.2">
      <c r="BN2916" s="192"/>
      <c r="BO2916" s="197"/>
      <c r="BP2916" s="197"/>
      <c r="BQ2916" s="197"/>
    </row>
    <row r="2917" spans="66:69" x14ac:dyDescent="0.2">
      <c r="BN2917" s="192"/>
      <c r="BO2917" s="197"/>
      <c r="BP2917" s="197"/>
      <c r="BQ2917" s="197"/>
    </row>
    <row r="2918" spans="66:69" x14ac:dyDescent="0.2">
      <c r="BN2918" s="192"/>
      <c r="BO2918" s="197"/>
      <c r="BP2918" s="197"/>
      <c r="BQ2918" s="197"/>
    </row>
    <row r="2919" spans="66:69" x14ac:dyDescent="0.2">
      <c r="BN2919" s="192"/>
      <c r="BO2919" s="197"/>
      <c r="BP2919" s="197"/>
      <c r="BQ2919" s="197"/>
    </row>
    <row r="2920" spans="66:69" x14ac:dyDescent="0.2">
      <c r="BN2920" s="192"/>
      <c r="BO2920" s="197"/>
      <c r="BP2920" s="197"/>
      <c r="BQ2920" s="197"/>
    </row>
    <row r="2921" spans="66:69" x14ac:dyDescent="0.2">
      <c r="BN2921" s="192"/>
      <c r="BO2921" s="197"/>
      <c r="BP2921" s="197"/>
      <c r="BQ2921" s="197"/>
    </row>
    <row r="2922" spans="66:69" x14ac:dyDescent="0.2">
      <c r="BN2922" s="192"/>
      <c r="BO2922" s="197"/>
      <c r="BP2922" s="197"/>
      <c r="BQ2922" s="197"/>
    </row>
    <row r="2923" spans="66:69" x14ac:dyDescent="0.2">
      <c r="BN2923" s="192"/>
      <c r="BO2923" s="197"/>
      <c r="BP2923" s="197"/>
      <c r="BQ2923" s="197"/>
    </row>
    <row r="2924" spans="66:69" x14ac:dyDescent="0.2">
      <c r="BN2924" s="192"/>
      <c r="BO2924" s="197"/>
      <c r="BP2924" s="197"/>
      <c r="BQ2924" s="197"/>
    </row>
    <row r="2925" spans="66:69" x14ac:dyDescent="0.2">
      <c r="BN2925" s="192"/>
      <c r="BO2925" s="197"/>
      <c r="BP2925" s="197"/>
      <c r="BQ2925" s="197"/>
    </row>
    <row r="2926" spans="66:69" x14ac:dyDescent="0.2">
      <c r="BN2926" s="192"/>
      <c r="BO2926" s="197"/>
      <c r="BP2926" s="197"/>
      <c r="BQ2926" s="197"/>
    </row>
    <row r="2927" spans="66:69" x14ac:dyDescent="0.2">
      <c r="BN2927" s="192"/>
      <c r="BO2927" s="197"/>
      <c r="BP2927" s="197"/>
      <c r="BQ2927" s="197"/>
    </row>
    <row r="2928" spans="66:69" x14ac:dyDescent="0.2">
      <c r="BN2928" s="192"/>
      <c r="BO2928" s="197"/>
      <c r="BP2928" s="197"/>
      <c r="BQ2928" s="197"/>
    </row>
    <row r="2929" spans="66:69" x14ac:dyDescent="0.2">
      <c r="BN2929" s="192"/>
      <c r="BO2929" s="197"/>
      <c r="BP2929" s="197"/>
      <c r="BQ2929" s="197"/>
    </row>
    <row r="2930" spans="66:69" x14ac:dyDescent="0.2">
      <c r="BN2930" s="192"/>
      <c r="BO2930" s="197"/>
      <c r="BP2930" s="197"/>
      <c r="BQ2930" s="197"/>
    </row>
    <row r="2931" spans="66:69" x14ac:dyDescent="0.2">
      <c r="BN2931" s="192"/>
      <c r="BO2931" s="197"/>
      <c r="BP2931" s="197"/>
      <c r="BQ2931" s="197"/>
    </row>
    <row r="2932" spans="66:69" x14ac:dyDescent="0.2">
      <c r="BN2932" s="192"/>
      <c r="BO2932" s="197"/>
      <c r="BP2932" s="197"/>
      <c r="BQ2932" s="197"/>
    </row>
    <row r="2933" spans="66:69" x14ac:dyDescent="0.2">
      <c r="BN2933" s="192"/>
      <c r="BO2933" s="197"/>
      <c r="BP2933" s="197"/>
      <c r="BQ2933" s="197"/>
    </row>
    <row r="2934" spans="66:69" x14ac:dyDescent="0.2">
      <c r="BN2934" s="192"/>
      <c r="BO2934" s="197"/>
      <c r="BP2934" s="197"/>
      <c r="BQ2934" s="197"/>
    </row>
    <row r="2935" spans="66:69" x14ac:dyDescent="0.2">
      <c r="BN2935" s="192"/>
      <c r="BO2935" s="197"/>
      <c r="BP2935" s="197"/>
      <c r="BQ2935" s="197"/>
    </row>
    <row r="2936" spans="66:69" x14ac:dyDescent="0.2">
      <c r="BN2936" s="192"/>
      <c r="BO2936" s="197"/>
      <c r="BP2936" s="197"/>
      <c r="BQ2936" s="197"/>
    </row>
    <row r="2937" spans="66:69" x14ac:dyDescent="0.2">
      <c r="BN2937" s="192"/>
      <c r="BO2937" s="197"/>
      <c r="BP2937" s="197"/>
      <c r="BQ2937" s="197"/>
    </row>
    <row r="2938" spans="66:69" x14ac:dyDescent="0.2">
      <c r="BN2938" s="192"/>
      <c r="BO2938" s="197"/>
      <c r="BP2938" s="197"/>
      <c r="BQ2938" s="197"/>
    </row>
    <row r="2939" spans="66:69" x14ac:dyDescent="0.2">
      <c r="BN2939" s="192"/>
      <c r="BO2939" s="197"/>
      <c r="BP2939" s="197"/>
      <c r="BQ2939" s="197"/>
    </row>
    <row r="2940" spans="66:69" x14ac:dyDescent="0.2">
      <c r="BN2940" s="192"/>
      <c r="BO2940" s="197"/>
      <c r="BP2940" s="197"/>
      <c r="BQ2940" s="197"/>
    </row>
    <row r="2941" spans="66:69" x14ac:dyDescent="0.2">
      <c r="BN2941" s="192"/>
      <c r="BO2941" s="197"/>
      <c r="BP2941" s="197"/>
      <c r="BQ2941" s="197"/>
    </row>
    <row r="2942" spans="66:69" x14ac:dyDescent="0.2">
      <c r="BN2942" s="192"/>
      <c r="BO2942" s="197"/>
      <c r="BP2942" s="197"/>
      <c r="BQ2942" s="197"/>
    </row>
    <row r="2943" spans="66:69" x14ac:dyDescent="0.2">
      <c r="BN2943" s="192"/>
      <c r="BO2943" s="197"/>
      <c r="BP2943" s="197"/>
      <c r="BQ2943" s="197"/>
    </row>
    <row r="2944" spans="66:69" x14ac:dyDescent="0.2">
      <c r="BN2944" s="192"/>
      <c r="BO2944" s="197"/>
      <c r="BP2944" s="197"/>
      <c r="BQ2944" s="197"/>
    </row>
    <row r="2945" spans="66:69" x14ac:dyDescent="0.2">
      <c r="BN2945" s="192"/>
      <c r="BO2945" s="197"/>
      <c r="BP2945" s="197"/>
      <c r="BQ2945" s="197"/>
    </row>
    <row r="2946" spans="66:69" x14ac:dyDescent="0.2">
      <c r="BN2946" s="192"/>
      <c r="BO2946" s="197"/>
      <c r="BP2946" s="197"/>
      <c r="BQ2946" s="197"/>
    </row>
    <row r="2947" spans="66:69" x14ac:dyDescent="0.2">
      <c r="BN2947" s="192"/>
      <c r="BO2947" s="197"/>
      <c r="BP2947" s="197"/>
      <c r="BQ2947" s="197"/>
    </row>
    <row r="2948" spans="66:69" x14ac:dyDescent="0.2">
      <c r="BN2948" s="192"/>
      <c r="BO2948" s="197"/>
      <c r="BP2948" s="197"/>
      <c r="BQ2948" s="197"/>
    </row>
    <row r="2949" spans="66:69" x14ac:dyDescent="0.2">
      <c r="BN2949" s="192"/>
      <c r="BO2949" s="197"/>
      <c r="BP2949" s="197"/>
      <c r="BQ2949" s="197"/>
    </row>
    <row r="2950" spans="66:69" x14ac:dyDescent="0.2">
      <c r="BN2950" s="192"/>
      <c r="BO2950" s="197"/>
      <c r="BP2950" s="197"/>
      <c r="BQ2950" s="197"/>
    </row>
    <row r="2951" spans="66:69" x14ac:dyDescent="0.2">
      <c r="BN2951" s="192"/>
      <c r="BO2951" s="197"/>
      <c r="BP2951" s="197"/>
      <c r="BQ2951" s="197"/>
    </row>
    <row r="2952" spans="66:69" x14ac:dyDescent="0.2">
      <c r="BN2952" s="192"/>
      <c r="BO2952" s="197"/>
      <c r="BP2952" s="197"/>
      <c r="BQ2952" s="197"/>
    </row>
    <row r="2953" spans="66:69" x14ac:dyDescent="0.2">
      <c r="BN2953" s="192"/>
      <c r="BO2953" s="197"/>
      <c r="BP2953" s="197"/>
      <c r="BQ2953" s="197"/>
    </row>
    <row r="2954" spans="66:69" x14ac:dyDescent="0.2">
      <c r="BN2954" s="192"/>
      <c r="BO2954" s="197"/>
      <c r="BP2954" s="197"/>
      <c r="BQ2954" s="197"/>
    </row>
    <row r="2955" spans="66:69" x14ac:dyDescent="0.2">
      <c r="BN2955" s="192"/>
      <c r="BO2955" s="197"/>
      <c r="BP2955" s="197"/>
      <c r="BQ2955" s="197"/>
    </row>
    <row r="2956" spans="66:69" x14ac:dyDescent="0.2">
      <c r="BN2956" s="192"/>
      <c r="BO2956" s="197"/>
      <c r="BP2956" s="197"/>
      <c r="BQ2956" s="197"/>
    </row>
    <row r="2957" spans="66:69" x14ac:dyDescent="0.2">
      <c r="BN2957" s="192"/>
      <c r="BO2957" s="197"/>
      <c r="BP2957" s="197"/>
      <c r="BQ2957" s="197"/>
    </row>
    <row r="2958" spans="66:69" x14ac:dyDescent="0.2">
      <c r="BN2958" s="192"/>
      <c r="BO2958" s="197"/>
      <c r="BP2958" s="197"/>
      <c r="BQ2958" s="197"/>
    </row>
    <row r="2959" spans="66:69" x14ac:dyDescent="0.2">
      <c r="BN2959" s="192"/>
      <c r="BO2959" s="197"/>
      <c r="BP2959" s="197"/>
      <c r="BQ2959" s="197"/>
    </row>
    <row r="2960" spans="66:69" x14ac:dyDescent="0.2">
      <c r="BN2960" s="192"/>
      <c r="BO2960" s="197"/>
      <c r="BP2960" s="197"/>
      <c r="BQ2960" s="197"/>
    </row>
    <row r="2961" spans="66:69" x14ac:dyDescent="0.2">
      <c r="BN2961" s="192"/>
      <c r="BO2961" s="197"/>
      <c r="BP2961" s="197"/>
      <c r="BQ2961" s="197"/>
    </row>
    <row r="2962" spans="66:69" x14ac:dyDescent="0.2">
      <c r="BN2962" s="192"/>
      <c r="BO2962" s="197"/>
      <c r="BP2962" s="197"/>
      <c r="BQ2962" s="197"/>
    </row>
    <row r="2963" spans="66:69" x14ac:dyDescent="0.2">
      <c r="BN2963" s="192"/>
      <c r="BO2963" s="197"/>
      <c r="BP2963" s="197"/>
      <c r="BQ2963" s="197"/>
    </row>
    <row r="2964" spans="66:69" x14ac:dyDescent="0.2">
      <c r="BN2964" s="192"/>
      <c r="BO2964" s="197"/>
      <c r="BP2964" s="197"/>
      <c r="BQ2964" s="197"/>
    </row>
    <row r="2965" spans="66:69" x14ac:dyDescent="0.2">
      <c r="BN2965" s="192"/>
      <c r="BO2965" s="197"/>
      <c r="BP2965" s="197"/>
      <c r="BQ2965" s="197"/>
    </row>
    <row r="2966" spans="66:69" x14ac:dyDescent="0.2">
      <c r="BN2966" s="192"/>
      <c r="BO2966" s="197"/>
      <c r="BP2966" s="197"/>
      <c r="BQ2966" s="197"/>
    </row>
    <row r="2967" spans="66:69" x14ac:dyDescent="0.2">
      <c r="BN2967" s="192"/>
      <c r="BO2967" s="197"/>
      <c r="BP2967" s="197"/>
      <c r="BQ2967" s="197"/>
    </row>
    <row r="2968" spans="66:69" x14ac:dyDescent="0.2">
      <c r="BN2968" s="192"/>
      <c r="BO2968" s="197"/>
      <c r="BP2968" s="197"/>
      <c r="BQ2968" s="197"/>
    </row>
    <row r="2969" spans="66:69" x14ac:dyDescent="0.2">
      <c r="BN2969" s="192"/>
      <c r="BO2969" s="197"/>
      <c r="BP2969" s="197"/>
      <c r="BQ2969" s="197"/>
    </row>
    <row r="2970" spans="66:69" x14ac:dyDescent="0.2">
      <c r="BN2970" s="192"/>
      <c r="BO2970" s="197"/>
      <c r="BP2970" s="197"/>
      <c r="BQ2970" s="197"/>
    </row>
    <row r="2971" spans="66:69" x14ac:dyDescent="0.2">
      <c r="BN2971" s="192"/>
      <c r="BO2971" s="197"/>
      <c r="BP2971" s="197"/>
      <c r="BQ2971" s="197"/>
    </row>
    <row r="2972" spans="66:69" x14ac:dyDescent="0.2">
      <c r="BN2972" s="192"/>
      <c r="BO2972" s="197"/>
      <c r="BP2972" s="197"/>
      <c r="BQ2972" s="197"/>
    </row>
    <row r="2973" spans="66:69" x14ac:dyDescent="0.2">
      <c r="BN2973" s="192"/>
      <c r="BO2973" s="197"/>
      <c r="BP2973" s="197"/>
      <c r="BQ2973" s="197"/>
    </row>
    <row r="2974" spans="66:69" x14ac:dyDescent="0.2">
      <c r="BN2974" s="192"/>
      <c r="BO2974" s="197"/>
      <c r="BP2974" s="197"/>
      <c r="BQ2974" s="197"/>
    </row>
    <row r="2975" spans="66:69" x14ac:dyDescent="0.2">
      <c r="BN2975" s="192"/>
      <c r="BO2975" s="197"/>
      <c r="BP2975" s="197"/>
      <c r="BQ2975" s="197"/>
    </row>
    <row r="2976" spans="66:69" x14ac:dyDescent="0.2">
      <c r="BN2976" s="192"/>
      <c r="BO2976" s="197"/>
      <c r="BP2976" s="197"/>
      <c r="BQ2976" s="197"/>
    </row>
    <row r="2977" spans="66:69" x14ac:dyDescent="0.2">
      <c r="BN2977" s="192"/>
      <c r="BO2977" s="197"/>
      <c r="BP2977" s="197"/>
      <c r="BQ2977" s="197"/>
    </row>
    <row r="2978" spans="66:69" x14ac:dyDescent="0.2">
      <c r="BN2978" s="192"/>
      <c r="BO2978" s="197"/>
      <c r="BP2978" s="197"/>
      <c r="BQ2978" s="197"/>
    </row>
    <row r="2979" spans="66:69" x14ac:dyDescent="0.2">
      <c r="BN2979" s="192"/>
      <c r="BO2979" s="197"/>
      <c r="BP2979" s="197"/>
      <c r="BQ2979" s="197"/>
    </row>
    <row r="2980" spans="66:69" x14ac:dyDescent="0.2">
      <c r="BN2980" s="192"/>
      <c r="BO2980" s="197"/>
      <c r="BP2980" s="197"/>
      <c r="BQ2980" s="197"/>
    </row>
    <row r="2981" spans="66:69" x14ac:dyDescent="0.2">
      <c r="BN2981" s="192"/>
      <c r="BO2981" s="197"/>
      <c r="BP2981" s="197"/>
      <c r="BQ2981" s="197"/>
    </row>
    <row r="2982" spans="66:69" x14ac:dyDescent="0.2">
      <c r="BN2982" s="192"/>
      <c r="BO2982" s="197"/>
      <c r="BP2982" s="197"/>
      <c r="BQ2982" s="197"/>
    </row>
    <row r="2983" spans="66:69" x14ac:dyDescent="0.2">
      <c r="BN2983" s="192"/>
      <c r="BO2983" s="197"/>
      <c r="BP2983" s="197"/>
      <c r="BQ2983" s="197"/>
    </row>
    <row r="2984" spans="66:69" x14ac:dyDescent="0.2">
      <c r="BN2984" s="192"/>
      <c r="BO2984" s="197"/>
      <c r="BP2984" s="197"/>
      <c r="BQ2984" s="197"/>
    </row>
    <row r="2985" spans="66:69" x14ac:dyDescent="0.2">
      <c r="BN2985" s="192"/>
      <c r="BO2985" s="197"/>
      <c r="BP2985" s="197"/>
      <c r="BQ2985" s="197"/>
    </row>
    <row r="2986" spans="66:69" x14ac:dyDescent="0.2">
      <c r="BN2986" s="192"/>
      <c r="BO2986" s="197"/>
      <c r="BP2986" s="197"/>
      <c r="BQ2986" s="197"/>
    </row>
    <row r="2987" spans="66:69" x14ac:dyDescent="0.2">
      <c r="BN2987" s="192"/>
      <c r="BO2987" s="197"/>
      <c r="BP2987" s="197"/>
      <c r="BQ2987" s="197"/>
    </row>
    <row r="2988" spans="66:69" x14ac:dyDescent="0.2">
      <c r="BN2988" s="192"/>
      <c r="BO2988" s="197"/>
      <c r="BP2988" s="197"/>
      <c r="BQ2988" s="197"/>
    </row>
    <row r="2989" spans="66:69" x14ac:dyDescent="0.2">
      <c r="BN2989" s="192"/>
      <c r="BO2989" s="197"/>
      <c r="BP2989" s="197"/>
      <c r="BQ2989" s="197"/>
    </row>
    <row r="2990" spans="66:69" x14ac:dyDescent="0.2">
      <c r="BN2990" s="192"/>
      <c r="BO2990" s="197"/>
      <c r="BP2990" s="197"/>
      <c r="BQ2990" s="197"/>
    </row>
    <row r="2991" spans="66:69" x14ac:dyDescent="0.2">
      <c r="BN2991" s="192"/>
      <c r="BO2991" s="197"/>
      <c r="BP2991" s="197"/>
      <c r="BQ2991" s="197"/>
    </row>
    <row r="2992" spans="66:69" x14ac:dyDescent="0.2">
      <c r="BN2992" s="192"/>
      <c r="BO2992" s="197"/>
      <c r="BP2992" s="197"/>
      <c r="BQ2992" s="197"/>
    </row>
    <row r="2993" spans="66:69" x14ac:dyDescent="0.2">
      <c r="BN2993" s="192"/>
      <c r="BO2993" s="197"/>
      <c r="BP2993" s="197"/>
      <c r="BQ2993" s="197"/>
    </row>
    <row r="2994" spans="66:69" x14ac:dyDescent="0.2">
      <c r="BN2994" s="192"/>
      <c r="BO2994" s="197"/>
      <c r="BP2994" s="197"/>
      <c r="BQ2994" s="197"/>
    </row>
    <row r="2995" spans="66:69" x14ac:dyDescent="0.2">
      <c r="BN2995" s="192"/>
      <c r="BO2995" s="197"/>
      <c r="BP2995" s="197"/>
      <c r="BQ2995" s="197"/>
    </row>
    <row r="2996" spans="66:69" x14ac:dyDescent="0.2">
      <c r="BN2996" s="192"/>
      <c r="BO2996" s="197"/>
      <c r="BP2996" s="197"/>
      <c r="BQ2996" s="197"/>
    </row>
    <row r="2997" spans="66:69" x14ac:dyDescent="0.2">
      <c r="BN2997" s="192"/>
      <c r="BO2997" s="197"/>
      <c r="BP2997" s="197"/>
      <c r="BQ2997" s="197"/>
    </row>
    <row r="2998" spans="66:69" x14ac:dyDescent="0.2">
      <c r="BN2998" s="192"/>
      <c r="BO2998" s="197"/>
      <c r="BP2998" s="197"/>
      <c r="BQ2998" s="197"/>
    </row>
    <row r="2999" spans="66:69" x14ac:dyDescent="0.2">
      <c r="BN2999" s="192"/>
      <c r="BO2999" s="197"/>
      <c r="BP2999" s="197"/>
      <c r="BQ2999" s="197"/>
    </row>
    <row r="3000" spans="66:69" x14ac:dyDescent="0.2">
      <c r="BN3000" s="192"/>
      <c r="BO3000" s="197"/>
      <c r="BP3000" s="197"/>
      <c r="BQ3000" s="197"/>
    </row>
    <row r="3001" spans="66:69" x14ac:dyDescent="0.2">
      <c r="BN3001" s="192"/>
      <c r="BO3001" s="197"/>
      <c r="BP3001" s="197"/>
      <c r="BQ3001" s="197"/>
    </row>
    <row r="3002" spans="66:69" x14ac:dyDescent="0.2">
      <c r="BN3002" s="192"/>
      <c r="BO3002" s="197"/>
      <c r="BP3002" s="197"/>
      <c r="BQ3002" s="197"/>
    </row>
    <row r="3003" spans="66:69" x14ac:dyDescent="0.2">
      <c r="BN3003" s="192"/>
      <c r="BO3003" s="197"/>
      <c r="BP3003" s="197"/>
      <c r="BQ3003" s="197"/>
    </row>
    <row r="3004" spans="66:69" x14ac:dyDescent="0.2">
      <c r="BN3004" s="192"/>
      <c r="BO3004" s="197"/>
      <c r="BP3004" s="197"/>
      <c r="BQ3004" s="197"/>
    </row>
    <row r="3005" spans="66:69" x14ac:dyDescent="0.2">
      <c r="BN3005" s="192"/>
      <c r="BO3005" s="197"/>
      <c r="BP3005" s="197"/>
      <c r="BQ3005" s="197"/>
    </row>
    <row r="3006" spans="66:69" x14ac:dyDescent="0.2">
      <c r="BN3006" s="192"/>
      <c r="BO3006" s="197"/>
      <c r="BP3006" s="197"/>
      <c r="BQ3006" s="197"/>
    </row>
    <row r="3007" spans="66:69" x14ac:dyDescent="0.2">
      <c r="BN3007" s="192"/>
      <c r="BO3007" s="197"/>
      <c r="BP3007" s="197"/>
      <c r="BQ3007" s="197"/>
    </row>
    <row r="3008" spans="66:69" x14ac:dyDescent="0.2">
      <c r="BN3008" s="192"/>
      <c r="BO3008" s="197"/>
      <c r="BP3008" s="197"/>
      <c r="BQ3008" s="197"/>
    </row>
    <row r="3009" spans="66:69" x14ac:dyDescent="0.2">
      <c r="BN3009" s="192"/>
      <c r="BO3009" s="197"/>
      <c r="BP3009" s="197"/>
      <c r="BQ3009" s="197"/>
    </row>
    <row r="3010" spans="66:69" x14ac:dyDescent="0.2">
      <c r="BN3010" s="192"/>
      <c r="BO3010" s="197"/>
      <c r="BP3010" s="197"/>
      <c r="BQ3010" s="197"/>
    </row>
    <row r="3011" spans="66:69" x14ac:dyDescent="0.2">
      <c r="BN3011" s="192"/>
      <c r="BO3011" s="197"/>
      <c r="BP3011" s="197"/>
      <c r="BQ3011" s="197"/>
    </row>
    <row r="3012" spans="66:69" x14ac:dyDescent="0.2">
      <c r="BN3012" s="192"/>
      <c r="BO3012" s="197"/>
      <c r="BP3012" s="197"/>
      <c r="BQ3012" s="197"/>
    </row>
    <row r="3013" spans="66:69" x14ac:dyDescent="0.2">
      <c r="BN3013" s="192"/>
      <c r="BO3013" s="197"/>
      <c r="BP3013" s="197"/>
      <c r="BQ3013" s="197"/>
    </row>
    <row r="3014" spans="66:69" x14ac:dyDescent="0.2">
      <c r="BN3014" s="192"/>
      <c r="BO3014" s="197"/>
      <c r="BP3014" s="197"/>
      <c r="BQ3014" s="197"/>
    </row>
    <row r="3015" spans="66:69" x14ac:dyDescent="0.2">
      <c r="BN3015" s="192"/>
      <c r="BO3015" s="197"/>
      <c r="BP3015" s="197"/>
      <c r="BQ3015" s="197"/>
    </row>
    <row r="3016" spans="66:69" x14ac:dyDescent="0.2">
      <c r="BN3016" s="192"/>
      <c r="BO3016" s="197"/>
      <c r="BP3016" s="197"/>
      <c r="BQ3016" s="197"/>
    </row>
    <row r="3017" spans="66:69" x14ac:dyDescent="0.2">
      <c r="BN3017" s="192"/>
      <c r="BO3017" s="197"/>
      <c r="BP3017" s="197"/>
      <c r="BQ3017" s="197"/>
    </row>
    <row r="3018" spans="66:69" x14ac:dyDescent="0.2">
      <c r="BN3018" s="192"/>
      <c r="BO3018" s="197"/>
      <c r="BP3018" s="197"/>
      <c r="BQ3018" s="197"/>
    </row>
    <row r="3019" spans="66:69" x14ac:dyDescent="0.2">
      <c r="BN3019" s="192"/>
      <c r="BO3019" s="197"/>
      <c r="BP3019" s="197"/>
      <c r="BQ3019" s="197"/>
    </row>
    <row r="3020" spans="66:69" x14ac:dyDescent="0.2">
      <c r="BN3020" s="192"/>
      <c r="BO3020" s="197"/>
      <c r="BP3020" s="197"/>
      <c r="BQ3020" s="197"/>
    </row>
    <row r="3021" spans="66:69" x14ac:dyDescent="0.2">
      <c r="BN3021" s="192"/>
      <c r="BO3021" s="197"/>
      <c r="BP3021" s="197"/>
      <c r="BQ3021" s="197"/>
    </row>
    <row r="3022" spans="66:69" x14ac:dyDescent="0.2">
      <c r="BN3022" s="192"/>
      <c r="BO3022" s="197"/>
      <c r="BP3022" s="197"/>
      <c r="BQ3022" s="197"/>
    </row>
    <row r="3023" spans="66:69" x14ac:dyDescent="0.2">
      <c r="BN3023" s="192"/>
      <c r="BO3023" s="197"/>
      <c r="BP3023" s="197"/>
      <c r="BQ3023" s="197"/>
    </row>
    <row r="3024" spans="66:69" x14ac:dyDescent="0.2">
      <c r="BN3024" s="192"/>
      <c r="BO3024" s="197"/>
      <c r="BP3024" s="197"/>
      <c r="BQ3024" s="197"/>
    </row>
    <row r="3025" spans="66:69" x14ac:dyDescent="0.2">
      <c r="BN3025" s="192"/>
      <c r="BO3025" s="197"/>
      <c r="BP3025" s="197"/>
      <c r="BQ3025" s="197"/>
    </row>
    <row r="3026" spans="66:69" x14ac:dyDescent="0.2">
      <c r="BN3026" s="192"/>
      <c r="BO3026" s="197"/>
      <c r="BP3026" s="197"/>
      <c r="BQ3026" s="197"/>
    </row>
    <row r="3027" spans="66:69" x14ac:dyDescent="0.2">
      <c r="BN3027" s="192"/>
      <c r="BO3027" s="197"/>
      <c r="BP3027" s="197"/>
      <c r="BQ3027" s="197"/>
    </row>
    <row r="3028" spans="66:69" x14ac:dyDescent="0.2">
      <c r="BN3028" s="192"/>
      <c r="BO3028" s="197"/>
      <c r="BP3028" s="197"/>
      <c r="BQ3028" s="197"/>
    </row>
    <row r="3029" spans="66:69" x14ac:dyDescent="0.2">
      <c r="BN3029" s="192"/>
      <c r="BO3029" s="197"/>
      <c r="BP3029" s="197"/>
      <c r="BQ3029" s="197"/>
    </row>
    <row r="3030" spans="66:69" x14ac:dyDescent="0.2">
      <c r="BN3030" s="192"/>
      <c r="BO3030" s="197"/>
      <c r="BP3030" s="197"/>
      <c r="BQ3030" s="197"/>
    </row>
    <row r="3031" spans="66:69" x14ac:dyDescent="0.2">
      <c r="BN3031" s="192"/>
      <c r="BO3031" s="197"/>
      <c r="BP3031" s="197"/>
      <c r="BQ3031" s="197"/>
    </row>
    <row r="3032" spans="66:69" x14ac:dyDescent="0.2">
      <c r="BN3032" s="192"/>
      <c r="BO3032" s="197"/>
      <c r="BP3032" s="197"/>
      <c r="BQ3032" s="197"/>
    </row>
    <row r="3033" spans="66:69" x14ac:dyDescent="0.2">
      <c r="BN3033" s="192"/>
      <c r="BO3033" s="197"/>
      <c r="BP3033" s="197"/>
      <c r="BQ3033" s="197"/>
    </row>
    <row r="3034" spans="66:69" x14ac:dyDescent="0.2">
      <c r="BN3034" s="192"/>
      <c r="BO3034" s="197"/>
      <c r="BP3034" s="197"/>
      <c r="BQ3034" s="197"/>
    </row>
    <row r="3035" spans="66:69" x14ac:dyDescent="0.2">
      <c r="BN3035" s="192"/>
      <c r="BO3035" s="197"/>
      <c r="BP3035" s="197"/>
      <c r="BQ3035" s="197"/>
    </row>
    <row r="3036" spans="66:69" x14ac:dyDescent="0.2">
      <c r="BN3036" s="192"/>
      <c r="BO3036" s="197"/>
      <c r="BP3036" s="197"/>
      <c r="BQ3036" s="197"/>
    </row>
    <row r="3037" spans="66:69" x14ac:dyDescent="0.2">
      <c r="BN3037" s="192"/>
      <c r="BO3037" s="197"/>
      <c r="BP3037" s="197"/>
      <c r="BQ3037" s="197"/>
    </row>
    <row r="3038" spans="66:69" x14ac:dyDescent="0.2">
      <c r="BN3038" s="192"/>
      <c r="BO3038" s="197"/>
      <c r="BP3038" s="197"/>
      <c r="BQ3038" s="197"/>
    </row>
    <row r="3039" spans="66:69" x14ac:dyDescent="0.2">
      <c r="BN3039" s="192"/>
      <c r="BO3039" s="197"/>
      <c r="BP3039" s="197"/>
      <c r="BQ3039" s="197"/>
    </row>
    <row r="3040" spans="66:69" x14ac:dyDescent="0.2">
      <c r="BN3040" s="192"/>
      <c r="BO3040" s="197"/>
      <c r="BP3040" s="197"/>
      <c r="BQ3040" s="197"/>
    </row>
    <row r="3041" spans="66:69" x14ac:dyDescent="0.2">
      <c r="BN3041" s="192"/>
      <c r="BO3041" s="197"/>
      <c r="BP3041" s="197"/>
      <c r="BQ3041" s="197"/>
    </row>
    <row r="3042" spans="66:69" x14ac:dyDescent="0.2">
      <c r="BN3042" s="192"/>
      <c r="BO3042" s="197"/>
      <c r="BP3042" s="197"/>
      <c r="BQ3042" s="197"/>
    </row>
    <row r="3043" spans="66:69" x14ac:dyDescent="0.2">
      <c r="BN3043" s="192"/>
      <c r="BO3043" s="197"/>
      <c r="BP3043" s="197"/>
      <c r="BQ3043" s="197"/>
    </row>
    <row r="3044" spans="66:69" x14ac:dyDescent="0.2">
      <c r="BN3044" s="192"/>
      <c r="BO3044" s="197"/>
      <c r="BP3044" s="197"/>
      <c r="BQ3044" s="197"/>
    </row>
    <row r="3045" spans="66:69" x14ac:dyDescent="0.2">
      <c r="BN3045" s="192"/>
      <c r="BO3045" s="197"/>
      <c r="BP3045" s="197"/>
      <c r="BQ3045" s="197"/>
    </row>
    <row r="3046" spans="66:69" x14ac:dyDescent="0.2">
      <c r="BN3046" s="192"/>
      <c r="BO3046" s="197"/>
      <c r="BP3046" s="197"/>
      <c r="BQ3046" s="197"/>
    </row>
    <row r="3047" spans="66:69" x14ac:dyDescent="0.2">
      <c r="BN3047" s="192"/>
      <c r="BO3047" s="197"/>
      <c r="BP3047" s="197"/>
      <c r="BQ3047" s="197"/>
    </row>
    <row r="3048" spans="66:69" x14ac:dyDescent="0.2">
      <c r="BN3048" s="192"/>
      <c r="BO3048" s="197"/>
      <c r="BP3048" s="197"/>
      <c r="BQ3048" s="197"/>
    </row>
    <row r="3049" spans="66:69" x14ac:dyDescent="0.2">
      <c r="BN3049" s="192"/>
      <c r="BO3049" s="197"/>
      <c r="BP3049" s="197"/>
      <c r="BQ3049" s="197"/>
    </row>
    <row r="3050" spans="66:69" x14ac:dyDescent="0.2">
      <c r="BN3050" s="192"/>
      <c r="BO3050" s="197"/>
      <c r="BP3050" s="197"/>
      <c r="BQ3050" s="197"/>
    </row>
    <row r="3051" spans="66:69" x14ac:dyDescent="0.2">
      <c r="BN3051" s="192"/>
      <c r="BO3051" s="197"/>
      <c r="BP3051" s="197"/>
      <c r="BQ3051" s="197"/>
    </row>
    <row r="3052" spans="66:69" x14ac:dyDescent="0.2">
      <c r="BN3052" s="192"/>
      <c r="BO3052" s="197"/>
      <c r="BP3052" s="197"/>
      <c r="BQ3052" s="197"/>
    </row>
    <row r="3053" spans="66:69" x14ac:dyDescent="0.2">
      <c r="BN3053" s="192"/>
      <c r="BO3053" s="197"/>
      <c r="BP3053" s="197"/>
      <c r="BQ3053" s="197"/>
    </row>
    <row r="3054" spans="66:69" x14ac:dyDescent="0.2">
      <c r="BN3054" s="192"/>
      <c r="BO3054" s="197"/>
      <c r="BP3054" s="197"/>
      <c r="BQ3054" s="197"/>
    </row>
    <row r="3055" spans="66:69" x14ac:dyDescent="0.2">
      <c r="BN3055" s="192"/>
      <c r="BO3055" s="197"/>
      <c r="BP3055" s="197"/>
      <c r="BQ3055" s="197"/>
    </row>
    <row r="3056" spans="66:69" x14ac:dyDescent="0.2">
      <c r="BN3056" s="192"/>
      <c r="BO3056" s="197"/>
      <c r="BP3056" s="197"/>
      <c r="BQ3056" s="197"/>
    </row>
    <row r="3057" spans="66:69" x14ac:dyDescent="0.2">
      <c r="BN3057" s="192"/>
      <c r="BO3057" s="197"/>
      <c r="BP3057" s="197"/>
      <c r="BQ3057" s="197"/>
    </row>
    <row r="3058" spans="66:69" x14ac:dyDescent="0.2">
      <c r="BN3058" s="192"/>
      <c r="BO3058" s="197"/>
      <c r="BP3058" s="197"/>
      <c r="BQ3058" s="197"/>
    </row>
    <row r="3059" spans="66:69" x14ac:dyDescent="0.2">
      <c r="BN3059" s="192"/>
      <c r="BO3059" s="197"/>
      <c r="BP3059" s="197"/>
      <c r="BQ3059" s="197"/>
    </row>
    <row r="3060" spans="66:69" x14ac:dyDescent="0.2">
      <c r="BN3060" s="192"/>
      <c r="BO3060" s="197"/>
      <c r="BP3060" s="197"/>
      <c r="BQ3060" s="197"/>
    </row>
    <row r="3061" spans="66:69" x14ac:dyDescent="0.2">
      <c r="BN3061" s="192"/>
      <c r="BO3061" s="197"/>
      <c r="BP3061" s="197"/>
      <c r="BQ3061" s="197"/>
    </row>
    <row r="3062" spans="66:69" x14ac:dyDescent="0.2">
      <c r="BN3062" s="192"/>
      <c r="BO3062" s="197"/>
      <c r="BP3062" s="197"/>
      <c r="BQ3062" s="197"/>
    </row>
    <row r="3063" spans="66:69" x14ac:dyDescent="0.2">
      <c r="BN3063" s="192"/>
      <c r="BO3063" s="197"/>
      <c r="BP3063" s="197"/>
      <c r="BQ3063" s="197"/>
    </row>
    <row r="3064" spans="66:69" x14ac:dyDescent="0.2">
      <c r="BN3064" s="192"/>
      <c r="BO3064" s="197"/>
      <c r="BP3064" s="197"/>
      <c r="BQ3064" s="197"/>
    </row>
    <row r="3065" spans="66:69" x14ac:dyDescent="0.2">
      <c r="BN3065" s="192"/>
      <c r="BO3065" s="197"/>
      <c r="BP3065" s="197"/>
      <c r="BQ3065" s="197"/>
    </row>
    <row r="3066" spans="66:69" x14ac:dyDescent="0.2">
      <c r="BN3066" s="192"/>
      <c r="BO3066" s="197"/>
      <c r="BP3066" s="197"/>
      <c r="BQ3066" s="197"/>
    </row>
    <row r="3067" spans="66:69" x14ac:dyDescent="0.2">
      <c r="BN3067" s="192"/>
      <c r="BO3067" s="197"/>
      <c r="BP3067" s="197"/>
      <c r="BQ3067" s="197"/>
    </row>
    <row r="3068" spans="66:69" x14ac:dyDescent="0.2">
      <c r="BN3068" s="192"/>
      <c r="BO3068" s="197"/>
      <c r="BP3068" s="197"/>
      <c r="BQ3068" s="197"/>
    </row>
    <row r="3069" spans="66:69" x14ac:dyDescent="0.2">
      <c r="BN3069" s="192"/>
      <c r="BO3069" s="197"/>
      <c r="BP3069" s="197"/>
      <c r="BQ3069" s="197"/>
    </row>
    <row r="3070" spans="66:69" x14ac:dyDescent="0.2">
      <c r="BN3070" s="192"/>
      <c r="BO3070" s="197"/>
      <c r="BP3070" s="197"/>
      <c r="BQ3070" s="197"/>
    </row>
    <row r="3071" spans="66:69" x14ac:dyDescent="0.2">
      <c r="BN3071" s="192"/>
      <c r="BO3071" s="197"/>
      <c r="BP3071" s="197"/>
      <c r="BQ3071" s="197"/>
    </row>
    <row r="3072" spans="66:69" x14ac:dyDescent="0.2">
      <c r="BN3072" s="192"/>
      <c r="BO3072" s="197"/>
      <c r="BP3072" s="197"/>
      <c r="BQ3072" s="197"/>
    </row>
    <row r="3073" spans="66:69" x14ac:dyDescent="0.2">
      <c r="BN3073" s="192"/>
      <c r="BO3073" s="197"/>
      <c r="BP3073" s="197"/>
      <c r="BQ3073" s="197"/>
    </row>
    <row r="3074" spans="66:69" x14ac:dyDescent="0.2">
      <c r="BN3074" s="192"/>
      <c r="BO3074" s="197"/>
      <c r="BP3074" s="197"/>
      <c r="BQ3074" s="197"/>
    </row>
    <row r="3075" spans="66:69" x14ac:dyDescent="0.2">
      <c r="BN3075" s="192"/>
      <c r="BO3075" s="197"/>
      <c r="BP3075" s="197"/>
      <c r="BQ3075" s="197"/>
    </row>
    <row r="3076" spans="66:69" x14ac:dyDescent="0.2">
      <c r="BN3076" s="192"/>
      <c r="BO3076" s="197"/>
      <c r="BP3076" s="197"/>
      <c r="BQ3076" s="197"/>
    </row>
    <row r="3077" spans="66:69" x14ac:dyDescent="0.2">
      <c r="BN3077" s="192"/>
      <c r="BO3077" s="197"/>
      <c r="BP3077" s="197"/>
      <c r="BQ3077" s="197"/>
    </row>
    <row r="3078" spans="66:69" x14ac:dyDescent="0.2">
      <c r="BN3078" s="192"/>
      <c r="BO3078" s="197"/>
      <c r="BP3078" s="197"/>
      <c r="BQ3078" s="197"/>
    </row>
    <row r="3079" spans="66:69" x14ac:dyDescent="0.2">
      <c r="BN3079" s="192"/>
      <c r="BO3079" s="197"/>
      <c r="BP3079" s="197"/>
      <c r="BQ3079" s="197"/>
    </row>
    <row r="3080" spans="66:69" x14ac:dyDescent="0.2">
      <c r="BN3080" s="192"/>
      <c r="BO3080" s="197"/>
      <c r="BP3080" s="197"/>
      <c r="BQ3080" s="197"/>
    </row>
    <row r="3081" spans="66:69" x14ac:dyDescent="0.2">
      <c r="BN3081" s="192"/>
      <c r="BO3081" s="197"/>
      <c r="BP3081" s="197"/>
      <c r="BQ3081" s="197"/>
    </row>
    <row r="3082" spans="66:69" x14ac:dyDescent="0.2">
      <c r="BN3082" s="192"/>
      <c r="BO3082" s="197"/>
      <c r="BP3082" s="197"/>
      <c r="BQ3082" s="197"/>
    </row>
    <row r="3083" spans="66:69" x14ac:dyDescent="0.2">
      <c r="BN3083" s="192"/>
      <c r="BO3083" s="197"/>
      <c r="BP3083" s="197"/>
      <c r="BQ3083" s="197"/>
    </row>
    <row r="3084" spans="66:69" x14ac:dyDescent="0.2">
      <c r="BN3084" s="192"/>
      <c r="BO3084" s="197"/>
      <c r="BP3084" s="197"/>
      <c r="BQ3084" s="197"/>
    </row>
    <row r="3085" spans="66:69" x14ac:dyDescent="0.2">
      <c r="BN3085" s="192"/>
      <c r="BO3085" s="197"/>
      <c r="BP3085" s="197"/>
      <c r="BQ3085" s="197"/>
    </row>
    <row r="3086" spans="66:69" x14ac:dyDescent="0.2">
      <c r="BN3086" s="192"/>
      <c r="BO3086" s="197"/>
      <c r="BP3086" s="197"/>
      <c r="BQ3086" s="197"/>
    </row>
    <row r="3087" spans="66:69" x14ac:dyDescent="0.2">
      <c r="BN3087" s="192"/>
      <c r="BO3087" s="197"/>
      <c r="BP3087" s="197"/>
      <c r="BQ3087" s="197"/>
    </row>
    <row r="3088" spans="66:69" x14ac:dyDescent="0.2">
      <c r="BN3088" s="192"/>
      <c r="BO3088" s="197"/>
      <c r="BP3088" s="197"/>
      <c r="BQ3088" s="197"/>
    </row>
    <row r="3089" spans="66:69" x14ac:dyDescent="0.2">
      <c r="BN3089" s="192"/>
      <c r="BO3089" s="197"/>
      <c r="BP3089" s="197"/>
      <c r="BQ3089" s="197"/>
    </row>
    <row r="3090" spans="66:69" x14ac:dyDescent="0.2">
      <c r="BN3090" s="192"/>
      <c r="BO3090" s="197"/>
      <c r="BP3090" s="197"/>
      <c r="BQ3090" s="197"/>
    </row>
    <row r="3091" spans="66:69" x14ac:dyDescent="0.2">
      <c r="BN3091" s="192"/>
      <c r="BO3091" s="197"/>
      <c r="BP3091" s="197"/>
      <c r="BQ3091" s="197"/>
    </row>
    <row r="3092" spans="66:69" x14ac:dyDescent="0.2">
      <c r="BN3092" s="192"/>
      <c r="BO3092" s="197"/>
      <c r="BP3092" s="197"/>
      <c r="BQ3092" s="197"/>
    </row>
    <row r="3093" spans="66:69" x14ac:dyDescent="0.2">
      <c r="BN3093" s="192"/>
      <c r="BO3093" s="197"/>
      <c r="BP3093" s="197"/>
      <c r="BQ3093" s="197"/>
    </row>
    <row r="3094" spans="66:69" x14ac:dyDescent="0.2">
      <c r="BN3094" s="192"/>
      <c r="BO3094" s="197"/>
      <c r="BP3094" s="197"/>
      <c r="BQ3094" s="197"/>
    </row>
    <row r="3095" spans="66:69" x14ac:dyDescent="0.2">
      <c r="BN3095" s="192"/>
      <c r="BO3095" s="197"/>
      <c r="BP3095" s="197"/>
      <c r="BQ3095" s="197"/>
    </row>
    <row r="3096" spans="66:69" x14ac:dyDescent="0.2">
      <c r="BN3096" s="192"/>
      <c r="BO3096" s="197"/>
      <c r="BP3096" s="197"/>
      <c r="BQ3096" s="197"/>
    </row>
    <row r="3097" spans="66:69" x14ac:dyDescent="0.2">
      <c r="BN3097" s="192"/>
      <c r="BO3097" s="197"/>
      <c r="BP3097" s="197"/>
      <c r="BQ3097" s="197"/>
    </row>
    <row r="3098" spans="66:69" x14ac:dyDescent="0.2">
      <c r="BN3098" s="192"/>
      <c r="BO3098" s="197"/>
      <c r="BP3098" s="197"/>
      <c r="BQ3098" s="197"/>
    </row>
    <row r="3099" spans="66:69" x14ac:dyDescent="0.2">
      <c r="BN3099" s="192"/>
      <c r="BO3099" s="197"/>
      <c r="BP3099" s="197"/>
      <c r="BQ3099" s="197"/>
    </row>
    <row r="3100" spans="66:69" x14ac:dyDescent="0.2">
      <c r="BN3100" s="192"/>
      <c r="BO3100" s="197"/>
      <c r="BP3100" s="197"/>
      <c r="BQ3100" s="197"/>
    </row>
    <row r="3101" spans="66:69" x14ac:dyDescent="0.2">
      <c r="BN3101" s="192"/>
      <c r="BO3101" s="197"/>
      <c r="BP3101" s="197"/>
      <c r="BQ3101" s="197"/>
    </row>
    <row r="3102" spans="66:69" x14ac:dyDescent="0.2">
      <c r="BN3102" s="192"/>
      <c r="BO3102" s="197"/>
      <c r="BP3102" s="197"/>
      <c r="BQ3102" s="197"/>
    </row>
    <row r="3103" spans="66:69" x14ac:dyDescent="0.2">
      <c r="BN3103" s="192"/>
      <c r="BO3103" s="197"/>
      <c r="BP3103" s="197"/>
      <c r="BQ3103" s="197"/>
    </row>
    <row r="3104" spans="66:69" x14ac:dyDescent="0.2">
      <c r="BN3104" s="192"/>
      <c r="BO3104" s="197"/>
      <c r="BP3104" s="197"/>
      <c r="BQ3104" s="197"/>
    </row>
    <row r="3105" spans="66:69" x14ac:dyDescent="0.2">
      <c r="BN3105" s="192"/>
      <c r="BO3105" s="197"/>
      <c r="BP3105" s="197"/>
      <c r="BQ3105" s="197"/>
    </row>
    <row r="3106" spans="66:69" x14ac:dyDescent="0.2">
      <c r="BN3106" s="192"/>
      <c r="BO3106" s="197"/>
      <c r="BP3106" s="197"/>
      <c r="BQ3106" s="197"/>
    </row>
    <row r="3107" spans="66:69" x14ac:dyDescent="0.2">
      <c r="BN3107" s="192"/>
      <c r="BO3107" s="197"/>
      <c r="BP3107" s="197"/>
      <c r="BQ3107" s="197"/>
    </row>
    <row r="3108" spans="66:69" x14ac:dyDescent="0.2">
      <c r="BN3108" s="192"/>
      <c r="BO3108" s="197"/>
      <c r="BP3108" s="197"/>
      <c r="BQ3108" s="197"/>
    </row>
    <row r="3109" spans="66:69" x14ac:dyDescent="0.2">
      <c r="BN3109" s="192"/>
      <c r="BO3109" s="197"/>
      <c r="BP3109" s="197"/>
      <c r="BQ3109" s="197"/>
    </row>
    <row r="3110" spans="66:69" x14ac:dyDescent="0.2">
      <c r="BN3110" s="192"/>
      <c r="BO3110" s="197"/>
      <c r="BP3110" s="197"/>
      <c r="BQ3110" s="197"/>
    </row>
    <row r="3111" spans="66:69" x14ac:dyDescent="0.2">
      <c r="BN3111" s="192"/>
      <c r="BO3111" s="197"/>
      <c r="BP3111" s="197"/>
      <c r="BQ3111" s="197"/>
    </row>
    <row r="3112" spans="66:69" x14ac:dyDescent="0.2">
      <c r="BN3112" s="192"/>
      <c r="BO3112" s="197"/>
      <c r="BP3112" s="197"/>
      <c r="BQ3112" s="197"/>
    </row>
    <row r="3113" spans="66:69" x14ac:dyDescent="0.2">
      <c r="BN3113" s="192"/>
      <c r="BO3113" s="197"/>
      <c r="BP3113" s="197"/>
      <c r="BQ3113" s="197"/>
    </row>
    <row r="3114" spans="66:69" x14ac:dyDescent="0.2">
      <c r="BN3114" s="192"/>
      <c r="BO3114" s="197"/>
      <c r="BP3114" s="197"/>
      <c r="BQ3114" s="197"/>
    </row>
    <row r="3115" spans="66:69" x14ac:dyDescent="0.2">
      <c r="BN3115" s="192"/>
      <c r="BO3115" s="197"/>
      <c r="BP3115" s="197"/>
      <c r="BQ3115" s="197"/>
    </row>
    <row r="3116" spans="66:69" x14ac:dyDescent="0.2">
      <c r="BN3116" s="192"/>
      <c r="BO3116" s="197"/>
      <c r="BP3116" s="197"/>
      <c r="BQ3116" s="197"/>
    </row>
    <row r="3117" spans="66:69" x14ac:dyDescent="0.2">
      <c r="BN3117" s="192"/>
      <c r="BO3117" s="197"/>
      <c r="BP3117" s="197"/>
      <c r="BQ3117" s="197"/>
    </row>
    <row r="3118" spans="66:69" x14ac:dyDescent="0.2">
      <c r="BN3118" s="192"/>
      <c r="BO3118" s="197"/>
      <c r="BP3118" s="197"/>
      <c r="BQ3118" s="197"/>
    </row>
    <row r="3119" spans="66:69" x14ac:dyDescent="0.2">
      <c r="BN3119" s="192"/>
      <c r="BO3119" s="197"/>
      <c r="BP3119" s="197"/>
      <c r="BQ3119" s="197"/>
    </row>
    <row r="3120" spans="66:69" x14ac:dyDescent="0.2">
      <c r="BN3120" s="192"/>
      <c r="BO3120" s="197"/>
      <c r="BP3120" s="197"/>
      <c r="BQ3120" s="197"/>
    </row>
    <row r="3121" spans="66:69" x14ac:dyDescent="0.2">
      <c r="BN3121" s="192"/>
      <c r="BO3121" s="197"/>
      <c r="BP3121" s="197"/>
      <c r="BQ3121" s="197"/>
    </row>
    <row r="3122" spans="66:69" x14ac:dyDescent="0.2">
      <c r="BN3122" s="192"/>
      <c r="BO3122" s="197"/>
      <c r="BP3122" s="197"/>
      <c r="BQ3122" s="197"/>
    </row>
    <row r="3123" spans="66:69" x14ac:dyDescent="0.2">
      <c r="BN3123" s="192"/>
      <c r="BO3123" s="197"/>
      <c r="BP3123" s="197"/>
      <c r="BQ3123" s="197"/>
    </row>
    <row r="3124" spans="66:69" x14ac:dyDescent="0.2">
      <c r="BN3124" s="192"/>
      <c r="BO3124" s="197"/>
      <c r="BP3124" s="197"/>
      <c r="BQ3124" s="197"/>
    </row>
    <row r="3125" spans="66:69" x14ac:dyDescent="0.2">
      <c r="BN3125" s="192"/>
      <c r="BO3125" s="197"/>
      <c r="BP3125" s="197"/>
      <c r="BQ3125" s="197"/>
    </row>
    <row r="3126" spans="66:69" x14ac:dyDescent="0.2">
      <c r="BN3126" s="192"/>
      <c r="BO3126" s="197"/>
      <c r="BP3126" s="197"/>
      <c r="BQ3126" s="197"/>
    </row>
    <row r="3127" spans="66:69" x14ac:dyDescent="0.2">
      <c r="BN3127" s="192"/>
      <c r="BO3127" s="197"/>
      <c r="BP3127" s="197"/>
      <c r="BQ3127" s="197"/>
    </row>
    <row r="3128" spans="66:69" x14ac:dyDescent="0.2">
      <c r="BN3128" s="192"/>
      <c r="BO3128" s="197"/>
      <c r="BP3128" s="197"/>
      <c r="BQ3128" s="197"/>
    </row>
    <row r="3129" spans="66:69" x14ac:dyDescent="0.2">
      <c r="BN3129" s="192"/>
      <c r="BO3129" s="197"/>
      <c r="BP3129" s="197"/>
      <c r="BQ3129" s="197"/>
    </row>
    <row r="3130" spans="66:69" x14ac:dyDescent="0.2">
      <c r="BN3130" s="192"/>
      <c r="BO3130" s="197"/>
      <c r="BP3130" s="197"/>
      <c r="BQ3130" s="197"/>
    </row>
    <row r="3131" spans="66:69" x14ac:dyDescent="0.2">
      <c r="BN3131" s="192"/>
      <c r="BO3131" s="197"/>
      <c r="BP3131" s="197"/>
      <c r="BQ3131" s="197"/>
    </row>
    <row r="3132" spans="66:69" x14ac:dyDescent="0.2">
      <c r="BN3132" s="192"/>
      <c r="BO3132" s="197"/>
      <c r="BP3132" s="197"/>
      <c r="BQ3132" s="197"/>
    </row>
    <row r="3133" spans="66:69" x14ac:dyDescent="0.2">
      <c r="BN3133" s="192"/>
      <c r="BO3133" s="197"/>
      <c r="BP3133" s="197"/>
      <c r="BQ3133" s="197"/>
    </row>
    <row r="3134" spans="66:69" x14ac:dyDescent="0.2">
      <c r="BN3134" s="192"/>
      <c r="BO3134" s="197"/>
      <c r="BP3134" s="197"/>
      <c r="BQ3134" s="197"/>
    </row>
    <row r="3135" spans="66:69" x14ac:dyDescent="0.2">
      <c r="BN3135" s="192"/>
      <c r="BO3135" s="197"/>
      <c r="BP3135" s="197"/>
      <c r="BQ3135" s="197"/>
    </row>
    <row r="3136" spans="66:69" x14ac:dyDescent="0.2">
      <c r="BN3136" s="192"/>
      <c r="BO3136" s="197"/>
      <c r="BP3136" s="197"/>
      <c r="BQ3136" s="197"/>
    </row>
    <row r="3137" spans="66:69" x14ac:dyDescent="0.2">
      <c r="BN3137" s="192"/>
      <c r="BO3137" s="197"/>
      <c r="BP3137" s="197"/>
      <c r="BQ3137" s="197"/>
    </row>
    <row r="3138" spans="66:69" x14ac:dyDescent="0.2">
      <c r="BN3138" s="192"/>
      <c r="BO3138" s="197"/>
      <c r="BP3138" s="197"/>
      <c r="BQ3138" s="197"/>
    </row>
    <row r="3139" spans="66:69" x14ac:dyDescent="0.2">
      <c r="BN3139" s="192"/>
      <c r="BO3139" s="197"/>
      <c r="BP3139" s="197"/>
      <c r="BQ3139" s="197"/>
    </row>
    <row r="3140" spans="66:69" x14ac:dyDescent="0.2">
      <c r="BN3140" s="192"/>
      <c r="BO3140" s="197"/>
      <c r="BP3140" s="197"/>
      <c r="BQ3140" s="197"/>
    </row>
    <row r="3141" spans="66:69" x14ac:dyDescent="0.2">
      <c r="BN3141" s="192"/>
      <c r="BO3141" s="197"/>
      <c r="BP3141" s="197"/>
      <c r="BQ3141" s="197"/>
    </row>
    <row r="3142" spans="66:69" x14ac:dyDescent="0.2">
      <c r="BN3142" s="192"/>
      <c r="BO3142" s="197"/>
      <c r="BP3142" s="197"/>
      <c r="BQ3142" s="197"/>
    </row>
    <row r="3143" spans="66:69" x14ac:dyDescent="0.2">
      <c r="BN3143" s="192"/>
      <c r="BO3143" s="197"/>
      <c r="BP3143" s="197"/>
      <c r="BQ3143" s="197"/>
    </row>
    <row r="3144" spans="66:69" x14ac:dyDescent="0.2">
      <c r="BN3144" s="192"/>
      <c r="BO3144" s="197"/>
      <c r="BP3144" s="197"/>
      <c r="BQ3144" s="197"/>
    </row>
    <row r="3145" spans="66:69" x14ac:dyDescent="0.2">
      <c r="BN3145" s="192"/>
      <c r="BO3145" s="197"/>
      <c r="BP3145" s="197"/>
      <c r="BQ3145" s="197"/>
    </row>
    <row r="3146" spans="66:69" x14ac:dyDescent="0.2">
      <c r="BN3146" s="192"/>
      <c r="BO3146" s="197"/>
      <c r="BP3146" s="197"/>
      <c r="BQ3146" s="197"/>
    </row>
    <row r="3147" spans="66:69" x14ac:dyDescent="0.2">
      <c r="BN3147" s="192"/>
      <c r="BO3147" s="197"/>
      <c r="BP3147" s="197"/>
      <c r="BQ3147" s="197"/>
    </row>
    <row r="3148" spans="66:69" x14ac:dyDescent="0.2">
      <c r="BN3148" s="192"/>
      <c r="BO3148" s="197"/>
      <c r="BP3148" s="197"/>
      <c r="BQ3148" s="197"/>
    </row>
    <row r="3149" spans="66:69" x14ac:dyDescent="0.2">
      <c r="BN3149" s="192"/>
      <c r="BO3149" s="197"/>
      <c r="BP3149" s="197"/>
      <c r="BQ3149" s="197"/>
    </row>
    <row r="3150" spans="66:69" x14ac:dyDescent="0.2">
      <c r="BN3150" s="192"/>
      <c r="BO3150" s="197"/>
      <c r="BP3150" s="197"/>
      <c r="BQ3150" s="197"/>
    </row>
    <row r="3151" spans="66:69" x14ac:dyDescent="0.2">
      <c r="BN3151" s="192"/>
      <c r="BO3151" s="197"/>
      <c r="BP3151" s="197"/>
      <c r="BQ3151" s="197"/>
    </row>
    <row r="3152" spans="66:69" x14ac:dyDescent="0.2">
      <c r="BN3152" s="192"/>
      <c r="BO3152" s="197"/>
      <c r="BP3152" s="197"/>
      <c r="BQ3152" s="197"/>
    </row>
    <row r="3153" spans="66:69" x14ac:dyDescent="0.2">
      <c r="BN3153" s="192"/>
      <c r="BO3153" s="197"/>
      <c r="BP3153" s="197"/>
      <c r="BQ3153" s="197"/>
    </row>
    <row r="3154" spans="66:69" x14ac:dyDescent="0.2">
      <c r="BN3154" s="192"/>
      <c r="BO3154" s="197"/>
      <c r="BP3154" s="197"/>
      <c r="BQ3154" s="197"/>
    </row>
    <row r="3155" spans="66:69" x14ac:dyDescent="0.2">
      <c r="BN3155" s="192"/>
      <c r="BO3155" s="197"/>
      <c r="BP3155" s="197"/>
      <c r="BQ3155" s="197"/>
    </row>
    <row r="3156" spans="66:69" x14ac:dyDescent="0.2">
      <c r="BN3156" s="192"/>
      <c r="BO3156" s="197"/>
      <c r="BP3156" s="197"/>
      <c r="BQ3156" s="197"/>
    </row>
    <row r="3157" spans="66:69" x14ac:dyDescent="0.2">
      <c r="BN3157" s="192"/>
      <c r="BO3157" s="197"/>
      <c r="BP3157" s="197"/>
      <c r="BQ3157" s="197"/>
    </row>
    <row r="3158" spans="66:69" x14ac:dyDescent="0.2">
      <c r="BN3158" s="192"/>
      <c r="BO3158" s="197"/>
      <c r="BP3158" s="197"/>
      <c r="BQ3158" s="197"/>
    </row>
    <row r="3159" spans="66:69" x14ac:dyDescent="0.2">
      <c r="BN3159" s="192"/>
      <c r="BO3159" s="197"/>
      <c r="BP3159" s="197"/>
      <c r="BQ3159" s="197"/>
    </row>
    <row r="3160" spans="66:69" x14ac:dyDescent="0.2">
      <c r="BN3160" s="192"/>
      <c r="BO3160" s="197"/>
      <c r="BP3160" s="197"/>
      <c r="BQ3160" s="197"/>
    </row>
    <row r="3161" spans="66:69" x14ac:dyDescent="0.2">
      <c r="BN3161" s="192"/>
      <c r="BO3161" s="197"/>
      <c r="BP3161" s="197"/>
      <c r="BQ3161" s="197"/>
    </row>
    <row r="3162" spans="66:69" x14ac:dyDescent="0.2">
      <c r="BN3162" s="192"/>
      <c r="BO3162" s="197"/>
      <c r="BP3162" s="197"/>
      <c r="BQ3162" s="197"/>
    </row>
    <row r="3163" spans="66:69" x14ac:dyDescent="0.2">
      <c r="BN3163" s="192"/>
      <c r="BO3163" s="197"/>
      <c r="BP3163" s="197"/>
      <c r="BQ3163" s="197"/>
    </row>
    <row r="3164" spans="66:69" x14ac:dyDescent="0.2">
      <c r="BN3164" s="192"/>
      <c r="BO3164" s="197"/>
      <c r="BP3164" s="197"/>
      <c r="BQ3164" s="197"/>
    </row>
    <row r="3165" spans="66:69" x14ac:dyDescent="0.2">
      <c r="BN3165" s="192"/>
      <c r="BO3165" s="197"/>
      <c r="BP3165" s="197"/>
      <c r="BQ3165" s="197"/>
    </row>
    <row r="3166" spans="66:69" x14ac:dyDescent="0.2">
      <c r="BN3166" s="192"/>
      <c r="BO3166" s="197"/>
      <c r="BP3166" s="197"/>
      <c r="BQ3166" s="197"/>
    </row>
    <row r="3167" spans="66:69" x14ac:dyDescent="0.2">
      <c r="BN3167" s="192"/>
      <c r="BO3167" s="197"/>
      <c r="BP3167" s="197"/>
      <c r="BQ3167" s="197"/>
    </row>
    <row r="3168" spans="66:69" x14ac:dyDescent="0.2">
      <c r="BN3168" s="192"/>
      <c r="BO3168" s="197"/>
      <c r="BP3168" s="197"/>
      <c r="BQ3168" s="197"/>
    </row>
    <row r="3169" spans="66:69" x14ac:dyDescent="0.2">
      <c r="BN3169" s="192"/>
      <c r="BO3169" s="197"/>
      <c r="BP3169" s="197"/>
      <c r="BQ3169" s="197"/>
    </row>
    <row r="3170" spans="66:69" x14ac:dyDescent="0.2">
      <c r="BN3170" s="192"/>
      <c r="BO3170" s="197"/>
      <c r="BP3170" s="197"/>
      <c r="BQ3170" s="197"/>
    </row>
    <row r="3171" spans="66:69" x14ac:dyDescent="0.2">
      <c r="BN3171" s="192"/>
      <c r="BO3171" s="197"/>
      <c r="BP3171" s="197"/>
      <c r="BQ3171" s="197"/>
    </row>
    <row r="3172" spans="66:69" x14ac:dyDescent="0.2">
      <c r="BN3172" s="192"/>
      <c r="BO3172" s="197"/>
      <c r="BP3172" s="197"/>
      <c r="BQ3172" s="197"/>
    </row>
    <row r="3173" spans="66:69" x14ac:dyDescent="0.2">
      <c r="BN3173" s="192"/>
      <c r="BO3173" s="197"/>
      <c r="BP3173" s="197"/>
      <c r="BQ3173" s="197"/>
    </row>
    <row r="3174" spans="66:69" x14ac:dyDescent="0.2">
      <c r="BN3174" s="192"/>
      <c r="BO3174" s="197"/>
      <c r="BP3174" s="197"/>
      <c r="BQ3174" s="197"/>
    </row>
    <row r="3175" spans="66:69" x14ac:dyDescent="0.2">
      <c r="BN3175" s="192"/>
      <c r="BO3175" s="197"/>
      <c r="BP3175" s="197"/>
      <c r="BQ3175" s="197"/>
    </row>
    <row r="3176" spans="66:69" x14ac:dyDescent="0.2">
      <c r="BN3176" s="192"/>
      <c r="BO3176" s="197"/>
      <c r="BP3176" s="197"/>
      <c r="BQ3176" s="197"/>
    </row>
    <row r="3177" spans="66:69" x14ac:dyDescent="0.2">
      <c r="BN3177" s="192"/>
      <c r="BO3177" s="197"/>
      <c r="BP3177" s="197"/>
      <c r="BQ3177" s="197"/>
    </row>
    <row r="3178" spans="66:69" x14ac:dyDescent="0.2">
      <c r="BN3178" s="192"/>
      <c r="BO3178" s="197"/>
      <c r="BP3178" s="197"/>
      <c r="BQ3178" s="197"/>
    </row>
    <row r="3179" spans="66:69" x14ac:dyDescent="0.2">
      <c r="BN3179" s="192"/>
      <c r="BO3179" s="197"/>
      <c r="BP3179" s="197"/>
      <c r="BQ3179" s="197"/>
    </row>
    <row r="3180" spans="66:69" x14ac:dyDescent="0.2">
      <c r="BN3180" s="192"/>
      <c r="BO3180" s="197"/>
      <c r="BP3180" s="197"/>
      <c r="BQ3180" s="197"/>
    </row>
    <row r="3181" spans="66:69" x14ac:dyDescent="0.2">
      <c r="BN3181" s="192"/>
      <c r="BO3181" s="197"/>
      <c r="BP3181" s="197"/>
      <c r="BQ3181" s="197"/>
    </row>
    <row r="3182" spans="66:69" x14ac:dyDescent="0.2">
      <c r="BN3182" s="192"/>
      <c r="BO3182" s="197"/>
      <c r="BP3182" s="197"/>
      <c r="BQ3182" s="197"/>
    </row>
    <row r="3183" spans="66:69" x14ac:dyDescent="0.2">
      <c r="BN3183" s="192"/>
      <c r="BO3183" s="197"/>
      <c r="BP3183" s="197"/>
      <c r="BQ3183" s="197"/>
    </row>
    <row r="3184" spans="66:69" x14ac:dyDescent="0.2">
      <c r="BN3184" s="192"/>
      <c r="BO3184" s="197"/>
      <c r="BP3184" s="197"/>
      <c r="BQ3184" s="197"/>
    </row>
    <row r="3185" spans="66:69" x14ac:dyDescent="0.2">
      <c r="BN3185" s="192"/>
      <c r="BO3185" s="197"/>
      <c r="BP3185" s="197"/>
      <c r="BQ3185" s="197"/>
    </row>
    <row r="3186" spans="66:69" x14ac:dyDescent="0.2">
      <c r="BN3186" s="192"/>
      <c r="BO3186" s="197"/>
      <c r="BP3186" s="197"/>
      <c r="BQ3186" s="197"/>
    </row>
    <row r="3187" spans="66:69" x14ac:dyDescent="0.2">
      <c r="BN3187" s="192"/>
      <c r="BO3187" s="197"/>
      <c r="BP3187" s="197"/>
      <c r="BQ3187" s="197"/>
    </row>
    <row r="3188" spans="66:69" x14ac:dyDescent="0.2">
      <c r="BN3188" s="192"/>
      <c r="BO3188" s="197"/>
      <c r="BP3188" s="197"/>
      <c r="BQ3188" s="197"/>
    </row>
    <row r="3189" spans="66:69" x14ac:dyDescent="0.2">
      <c r="BN3189" s="192"/>
      <c r="BO3189" s="197"/>
      <c r="BP3189" s="197"/>
      <c r="BQ3189" s="197"/>
    </row>
    <row r="3190" spans="66:69" x14ac:dyDescent="0.2">
      <c r="BN3190" s="192"/>
      <c r="BO3190" s="197"/>
      <c r="BP3190" s="197"/>
      <c r="BQ3190" s="197"/>
    </row>
    <row r="3191" spans="66:69" x14ac:dyDescent="0.2">
      <c r="BN3191" s="192"/>
      <c r="BO3191" s="197"/>
      <c r="BP3191" s="197"/>
      <c r="BQ3191" s="197"/>
    </row>
    <row r="3192" spans="66:69" x14ac:dyDescent="0.2">
      <c r="BN3192" s="192"/>
      <c r="BO3192" s="197"/>
      <c r="BP3192" s="197"/>
      <c r="BQ3192" s="197"/>
    </row>
    <row r="3193" spans="66:69" x14ac:dyDescent="0.2">
      <c r="BN3193" s="192"/>
      <c r="BO3193" s="197"/>
      <c r="BP3193" s="197"/>
      <c r="BQ3193" s="197"/>
    </row>
    <row r="3194" spans="66:69" x14ac:dyDescent="0.2">
      <c r="BN3194" s="192"/>
      <c r="BO3194" s="197"/>
      <c r="BP3194" s="197"/>
      <c r="BQ3194" s="197"/>
    </row>
    <row r="3195" spans="66:69" x14ac:dyDescent="0.2">
      <c r="BN3195" s="192"/>
      <c r="BO3195" s="197"/>
      <c r="BP3195" s="197"/>
      <c r="BQ3195" s="197"/>
    </row>
    <row r="3196" spans="66:69" x14ac:dyDescent="0.2">
      <c r="BN3196" s="192"/>
      <c r="BO3196" s="197"/>
      <c r="BP3196" s="197"/>
      <c r="BQ3196" s="197"/>
    </row>
    <row r="3197" spans="66:69" x14ac:dyDescent="0.2">
      <c r="BN3197" s="192"/>
      <c r="BO3197" s="197"/>
      <c r="BP3197" s="197"/>
      <c r="BQ3197" s="197"/>
    </row>
    <row r="3198" spans="66:69" x14ac:dyDescent="0.2">
      <c r="BN3198" s="192"/>
      <c r="BO3198" s="197"/>
      <c r="BP3198" s="197"/>
      <c r="BQ3198" s="197"/>
    </row>
    <row r="3199" spans="66:69" x14ac:dyDescent="0.2">
      <c r="BN3199" s="192"/>
      <c r="BO3199" s="197"/>
      <c r="BP3199" s="197"/>
      <c r="BQ3199" s="197"/>
    </row>
    <row r="3200" spans="66:69" x14ac:dyDescent="0.2">
      <c r="BN3200" s="192"/>
      <c r="BO3200" s="197"/>
      <c r="BP3200" s="197"/>
      <c r="BQ3200" s="197"/>
    </row>
    <row r="3201" spans="66:69" x14ac:dyDescent="0.2">
      <c r="BN3201" s="192"/>
      <c r="BO3201" s="197"/>
      <c r="BP3201" s="197"/>
      <c r="BQ3201" s="197"/>
    </row>
    <row r="3202" spans="66:69" x14ac:dyDescent="0.2">
      <c r="BN3202" s="192"/>
      <c r="BO3202" s="197"/>
      <c r="BP3202" s="197"/>
      <c r="BQ3202" s="197"/>
    </row>
    <row r="3203" spans="66:69" x14ac:dyDescent="0.2">
      <c r="BN3203" s="192"/>
      <c r="BO3203" s="197"/>
      <c r="BP3203" s="197"/>
      <c r="BQ3203" s="197"/>
    </row>
    <row r="3204" spans="66:69" x14ac:dyDescent="0.2">
      <c r="BN3204" s="192"/>
      <c r="BO3204" s="197"/>
      <c r="BP3204" s="197"/>
      <c r="BQ3204" s="197"/>
    </row>
    <row r="3205" spans="66:69" x14ac:dyDescent="0.2">
      <c r="BN3205" s="192"/>
      <c r="BO3205" s="197"/>
      <c r="BP3205" s="197"/>
      <c r="BQ3205" s="197"/>
    </row>
    <row r="3206" spans="66:69" x14ac:dyDescent="0.2">
      <c r="BN3206" s="192"/>
      <c r="BO3206" s="197"/>
      <c r="BP3206" s="197"/>
      <c r="BQ3206" s="197"/>
    </row>
    <row r="3207" spans="66:69" x14ac:dyDescent="0.2">
      <c r="BN3207" s="192"/>
      <c r="BO3207" s="197"/>
      <c r="BP3207" s="197"/>
      <c r="BQ3207" s="197"/>
    </row>
    <row r="3208" spans="66:69" x14ac:dyDescent="0.2">
      <c r="BN3208" s="192"/>
      <c r="BO3208" s="197"/>
      <c r="BP3208" s="197"/>
      <c r="BQ3208" s="197"/>
    </row>
    <row r="3209" spans="66:69" x14ac:dyDescent="0.2">
      <c r="BN3209" s="192"/>
      <c r="BO3209" s="197"/>
      <c r="BP3209" s="197"/>
      <c r="BQ3209" s="197"/>
    </row>
    <row r="3210" spans="66:69" x14ac:dyDescent="0.2">
      <c r="BN3210" s="192"/>
      <c r="BO3210" s="197"/>
      <c r="BP3210" s="197"/>
      <c r="BQ3210" s="197"/>
    </row>
    <row r="3211" spans="66:69" x14ac:dyDescent="0.2">
      <c r="BN3211" s="192"/>
      <c r="BO3211" s="197"/>
      <c r="BP3211" s="197"/>
      <c r="BQ3211" s="197"/>
    </row>
    <row r="3212" spans="66:69" x14ac:dyDescent="0.2">
      <c r="BN3212" s="192"/>
      <c r="BO3212" s="197"/>
      <c r="BP3212" s="197"/>
      <c r="BQ3212" s="197"/>
    </row>
    <row r="3213" spans="66:69" x14ac:dyDescent="0.2">
      <c r="BN3213" s="192"/>
      <c r="BO3213" s="197"/>
      <c r="BP3213" s="197"/>
      <c r="BQ3213" s="197"/>
    </row>
    <row r="3214" spans="66:69" x14ac:dyDescent="0.2">
      <c r="BN3214" s="192"/>
      <c r="BO3214" s="197"/>
      <c r="BP3214" s="197"/>
      <c r="BQ3214" s="197"/>
    </row>
    <row r="3215" spans="66:69" x14ac:dyDescent="0.2">
      <c r="BN3215" s="192"/>
      <c r="BO3215" s="197"/>
      <c r="BP3215" s="197"/>
      <c r="BQ3215" s="197"/>
    </row>
    <row r="3216" spans="66:69" x14ac:dyDescent="0.2">
      <c r="BN3216" s="192"/>
      <c r="BO3216" s="197"/>
      <c r="BP3216" s="197"/>
      <c r="BQ3216" s="197"/>
    </row>
    <row r="3217" spans="66:69" x14ac:dyDescent="0.2">
      <c r="BN3217" s="192"/>
      <c r="BO3217" s="197"/>
      <c r="BP3217" s="197"/>
      <c r="BQ3217" s="197"/>
    </row>
    <row r="3218" spans="66:69" x14ac:dyDescent="0.2">
      <c r="BN3218" s="192"/>
      <c r="BO3218" s="197"/>
      <c r="BP3218" s="197"/>
      <c r="BQ3218" s="197"/>
    </row>
    <row r="3219" spans="66:69" x14ac:dyDescent="0.2">
      <c r="BN3219" s="192"/>
      <c r="BO3219" s="197"/>
      <c r="BP3219" s="197"/>
      <c r="BQ3219" s="197"/>
    </row>
    <row r="3220" spans="66:69" x14ac:dyDescent="0.2">
      <c r="BN3220" s="192"/>
      <c r="BO3220" s="197"/>
      <c r="BP3220" s="197"/>
      <c r="BQ3220" s="197"/>
    </row>
    <row r="3221" spans="66:69" x14ac:dyDescent="0.2">
      <c r="BN3221" s="192"/>
      <c r="BO3221" s="197"/>
      <c r="BP3221" s="197"/>
      <c r="BQ3221" s="197"/>
    </row>
    <row r="3222" spans="66:69" x14ac:dyDescent="0.2">
      <c r="BN3222" s="192"/>
      <c r="BO3222" s="197"/>
      <c r="BP3222" s="197"/>
      <c r="BQ3222" s="197"/>
    </row>
    <row r="3223" spans="66:69" x14ac:dyDescent="0.2">
      <c r="BN3223" s="192"/>
      <c r="BO3223" s="197"/>
      <c r="BP3223" s="197"/>
      <c r="BQ3223" s="197"/>
    </row>
    <row r="3224" spans="66:69" x14ac:dyDescent="0.2">
      <c r="BN3224" s="192"/>
      <c r="BO3224" s="197"/>
      <c r="BP3224" s="197"/>
      <c r="BQ3224" s="197"/>
    </row>
    <row r="3225" spans="66:69" x14ac:dyDescent="0.2">
      <c r="BN3225" s="192"/>
      <c r="BO3225" s="197"/>
      <c r="BP3225" s="197"/>
      <c r="BQ3225" s="197"/>
    </row>
    <row r="3226" spans="66:69" x14ac:dyDescent="0.2">
      <c r="BN3226" s="192"/>
      <c r="BO3226" s="197"/>
      <c r="BP3226" s="197"/>
      <c r="BQ3226" s="197"/>
    </row>
    <row r="3227" spans="66:69" x14ac:dyDescent="0.2">
      <c r="BN3227" s="192"/>
      <c r="BO3227" s="197"/>
      <c r="BP3227" s="197"/>
      <c r="BQ3227" s="197"/>
    </row>
    <row r="3228" spans="66:69" x14ac:dyDescent="0.2">
      <c r="BN3228" s="192"/>
      <c r="BO3228" s="197"/>
      <c r="BP3228" s="197"/>
      <c r="BQ3228" s="197"/>
    </row>
    <row r="3229" spans="66:69" x14ac:dyDescent="0.2">
      <c r="BN3229" s="192"/>
      <c r="BO3229" s="197"/>
      <c r="BP3229" s="197"/>
      <c r="BQ3229" s="197"/>
    </row>
    <row r="3230" spans="66:69" x14ac:dyDescent="0.2">
      <c r="BN3230" s="192"/>
      <c r="BO3230" s="197"/>
      <c r="BP3230" s="197"/>
      <c r="BQ3230" s="197"/>
    </row>
    <row r="3231" spans="66:69" x14ac:dyDescent="0.2">
      <c r="BN3231" s="192"/>
      <c r="BO3231" s="197"/>
      <c r="BP3231" s="197"/>
      <c r="BQ3231" s="197"/>
    </row>
    <row r="3232" spans="66:69" x14ac:dyDescent="0.2">
      <c r="BN3232" s="192"/>
      <c r="BO3232" s="197"/>
      <c r="BP3232" s="197"/>
      <c r="BQ3232" s="197"/>
    </row>
    <row r="3233" spans="66:69" x14ac:dyDescent="0.2">
      <c r="BN3233" s="192"/>
      <c r="BO3233" s="197"/>
      <c r="BP3233" s="197"/>
      <c r="BQ3233" s="197"/>
    </row>
    <row r="3234" spans="66:69" x14ac:dyDescent="0.2">
      <c r="BN3234" s="192"/>
      <c r="BO3234" s="197"/>
      <c r="BP3234" s="197"/>
      <c r="BQ3234" s="197"/>
    </row>
    <row r="3235" spans="66:69" x14ac:dyDescent="0.2">
      <c r="BN3235" s="192"/>
      <c r="BO3235" s="197"/>
      <c r="BP3235" s="197"/>
      <c r="BQ3235" s="197"/>
    </row>
    <row r="3236" spans="66:69" x14ac:dyDescent="0.2">
      <c r="BN3236" s="192"/>
      <c r="BO3236" s="197"/>
      <c r="BP3236" s="197"/>
      <c r="BQ3236" s="197"/>
    </row>
    <row r="3237" spans="66:69" x14ac:dyDescent="0.2">
      <c r="BN3237" s="192"/>
      <c r="BO3237" s="197"/>
      <c r="BP3237" s="197"/>
      <c r="BQ3237" s="197"/>
    </row>
    <row r="3238" spans="66:69" x14ac:dyDescent="0.2">
      <c r="BN3238" s="192"/>
      <c r="BO3238" s="197"/>
      <c r="BP3238" s="197"/>
      <c r="BQ3238" s="197"/>
    </row>
    <row r="3239" spans="66:69" x14ac:dyDescent="0.2">
      <c r="BN3239" s="192"/>
      <c r="BO3239" s="197"/>
      <c r="BP3239" s="197"/>
      <c r="BQ3239" s="197"/>
    </row>
    <row r="3240" spans="66:69" x14ac:dyDescent="0.2">
      <c r="BN3240" s="192"/>
      <c r="BO3240" s="197"/>
      <c r="BP3240" s="197"/>
      <c r="BQ3240" s="197"/>
    </row>
    <row r="3241" spans="66:69" x14ac:dyDescent="0.2">
      <c r="BN3241" s="192"/>
      <c r="BO3241" s="197"/>
      <c r="BP3241" s="197"/>
      <c r="BQ3241" s="197"/>
    </row>
    <row r="3242" spans="66:69" x14ac:dyDescent="0.2">
      <c r="BN3242" s="192"/>
      <c r="BO3242" s="197"/>
      <c r="BP3242" s="197"/>
      <c r="BQ3242" s="197"/>
    </row>
    <row r="3243" spans="66:69" x14ac:dyDescent="0.2">
      <c r="BN3243" s="192"/>
      <c r="BO3243" s="197"/>
      <c r="BP3243" s="197"/>
      <c r="BQ3243" s="197"/>
    </row>
    <row r="3244" spans="66:69" x14ac:dyDescent="0.2">
      <c r="BN3244" s="192"/>
      <c r="BO3244" s="197"/>
      <c r="BP3244" s="197"/>
      <c r="BQ3244" s="197"/>
    </row>
    <row r="3245" spans="66:69" x14ac:dyDescent="0.2">
      <c r="BN3245" s="192"/>
      <c r="BO3245" s="197"/>
      <c r="BP3245" s="197"/>
      <c r="BQ3245" s="197"/>
    </row>
    <row r="3246" spans="66:69" x14ac:dyDescent="0.2">
      <c r="BN3246" s="192"/>
      <c r="BO3246" s="197"/>
      <c r="BP3246" s="197"/>
      <c r="BQ3246" s="197"/>
    </row>
    <row r="3247" spans="66:69" x14ac:dyDescent="0.2">
      <c r="BN3247" s="192"/>
      <c r="BO3247" s="197"/>
      <c r="BP3247" s="197"/>
      <c r="BQ3247" s="197"/>
    </row>
    <row r="3248" spans="66:69" x14ac:dyDescent="0.2">
      <c r="BN3248" s="192"/>
      <c r="BO3248" s="197"/>
      <c r="BP3248" s="197"/>
      <c r="BQ3248" s="197"/>
    </row>
    <row r="3249" spans="66:69" x14ac:dyDescent="0.2">
      <c r="BN3249" s="192"/>
      <c r="BO3249" s="197"/>
      <c r="BP3249" s="197"/>
      <c r="BQ3249" s="197"/>
    </row>
    <row r="3250" spans="66:69" x14ac:dyDescent="0.2">
      <c r="BN3250" s="192"/>
      <c r="BO3250" s="197"/>
      <c r="BP3250" s="197"/>
      <c r="BQ3250" s="197"/>
    </row>
    <row r="3251" spans="66:69" x14ac:dyDescent="0.2">
      <c r="BN3251" s="192"/>
      <c r="BO3251" s="197"/>
      <c r="BP3251" s="197"/>
      <c r="BQ3251" s="197"/>
    </row>
    <row r="3252" spans="66:69" x14ac:dyDescent="0.2">
      <c r="BN3252" s="192"/>
      <c r="BO3252" s="197"/>
      <c r="BP3252" s="197"/>
      <c r="BQ3252" s="197"/>
    </row>
    <row r="3253" spans="66:69" x14ac:dyDescent="0.2">
      <c r="BN3253" s="192"/>
      <c r="BO3253" s="197"/>
      <c r="BP3253" s="197"/>
      <c r="BQ3253" s="197"/>
    </row>
    <row r="3254" spans="66:69" x14ac:dyDescent="0.2">
      <c r="BN3254" s="192"/>
      <c r="BO3254" s="197"/>
      <c r="BP3254" s="197"/>
      <c r="BQ3254" s="197"/>
    </row>
    <row r="3255" spans="66:69" x14ac:dyDescent="0.2">
      <c r="BN3255" s="192"/>
      <c r="BO3255" s="197"/>
      <c r="BP3255" s="197"/>
      <c r="BQ3255" s="197"/>
    </row>
    <row r="3256" spans="66:69" x14ac:dyDescent="0.2">
      <c r="BN3256" s="192"/>
      <c r="BO3256" s="197"/>
      <c r="BP3256" s="197"/>
      <c r="BQ3256" s="197"/>
    </row>
    <row r="3257" spans="66:69" x14ac:dyDescent="0.2">
      <c r="BN3257" s="192"/>
      <c r="BO3257" s="197"/>
      <c r="BP3257" s="197"/>
      <c r="BQ3257" s="197"/>
    </row>
    <row r="3258" spans="66:69" x14ac:dyDescent="0.2">
      <c r="BN3258" s="192"/>
      <c r="BO3258" s="197"/>
      <c r="BP3258" s="197"/>
      <c r="BQ3258" s="197"/>
    </row>
    <row r="3259" spans="66:69" x14ac:dyDescent="0.2">
      <c r="BN3259" s="192"/>
      <c r="BO3259" s="197"/>
      <c r="BP3259" s="197"/>
      <c r="BQ3259" s="197"/>
    </row>
    <row r="3260" spans="66:69" x14ac:dyDescent="0.2">
      <c r="BN3260" s="192"/>
      <c r="BO3260" s="197"/>
      <c r="BP3260" s="197"/>
      <c r="BQ3260" s="197"/>
    </row>
    <row r="3261" spans="66:69" x14ac:dyDescent="0.2">
      <c r="BN3261" s="192"/>
      <c r="BO3261" s="197"/>
      <c r="BP3261" s="197"/>
      <c r="BQ3261" s="197"/>
    </row>
    <row r="3262" spans="66:69" x14ac:dyDescent="0.2">
      <c r="BN3262" s="192"/>
      <c r="BO3262" s="197"/>
      <c r="BP3262" s="197"/>
      <c r="BQ3262" s="197"/>
    </row>
    <row r="3263" spans="66:69" x14ac:dyDescent="0.2">
      <c r="BN3263" s="192"/>
      <c r="BO3263" s="197"/>
      <c r="BP3263" s="197"/>
      <c r="BQ3263" s="197"/>
    </row>
    <row r="3264" spans="66:69" x14ac:dyDescent="0.2">
      <c r="BN3264" s="192"/>
      <c r="BO3264" s="197"/>
      <c r="BP3264" s="197"/>
      <c r="BQ3264" s="197"/>
    </row>
    <row r="3265" spans="66:69" x14ac:dyDescent="0.2">
      <c r="BN3265" s="192"/>
      <c r="BO3265" s="197"/>
      <c r="BP3265" s="197"/>
      <c r="BQ3265" s="197"/>
    </row>
    <row r="3266" spans="66:69" x14ac:dyDescent="0.2">
      <c r="BN3266" s="192"/>
      <c r="BO3266" s="197"/>
      <c r="BP3266" s="197"/>
      <c r="BQ3266" s="197"/>
    </row>
    <row r="3267" spans="66:69" x14ac:dyDescent="0.2">
      <c r="BN3267" s="192"/>
      <c r="BO3267" s="197"/>
      <c r="BP3267" s="197"/>
      <c r="BQ3267" s="197"/>
    </row>
    <row r="3268" spans="66:69" x14ac:dyDescent="0.2">
      <c r="BN3268" s="192"/>
      <c r="BO3268" s="197"/>
      <c r="BP3268" s="197"/>
      <c r="BQ3268" s="197"/>
    </row>
    <row r="3269" spans="66:69" x14ac:dyDescent="0.2">
      <c r="BN3269" s="192"/>
      <c r="BO3269" s="197"/>
      <c r="BP3269" s="197"/>
      <c r="BQ3269" s="197"/>
    </row>
    <row r="3270" spans="66:69" x14ac:dyDescent="0.2">
      <c r="BN3270" s="192"/>
      <c r="BO3270" s="197"/>
      <c r="BP3270" s="197"/>
      <c r="BQ3270" s="197"/>
    </row>
    <row r="3271" spans="66:69" x14ac:dyDescent="0.2">
      <c r="BN3271" s="192"/>
      <c r="BO3271" s="197"/>
      <c r="BP3271" s="197"/>
      <c r="BQ3271" s="197"/>
    </row>
    <row r="3272" spans="66:69" x14ac:dyDescent="0.2">
      <c r="BN3272" s="192"/>
      <c r="BO3272" s="197"/>
      <c r="BP3272" s="197"/>
      <c r="BQ3272" s="197"/>
    </row>
    <row r="3273" spans="66:69" x14ac:dyDescent="0.2">
      <c r="BN3273" s="192"/>
      <c r="BO3273" s="197"/>
      <c r="BP3273" s="197"/>
      <c r="BQ3273" s="197"/>
    </row>
    <row r="3274" spans="66:69" x14ac:dyDescent="0.2">
      <c r="BN3274" s="192"/>
      <c r="BO3274" s="197"/>
      <c r="BP3274" s="197"/>
      <c r="BQ3274" s="197"/>
    </row>
    <row r="3275" spans="66:69" x14ac:dyDescent="0.2">
      <c r="BN3275" s="192"/>
      <c r="BO3275" s="197"/>
      <c r="BP3275" s="197"/>
      <c r="BQ3275" s="197"/>
    </row>
    <row r="3276" spans="66:69" x14ac:dyDescent="0.2">
      <c r="BN3276" s="192"/>
      <c r="BO3276" s="197"/>
      <c r="BP3276" s="197"/>
      <c r="BQ3276" s="197"/>
    </row>
    <row r="3277" spans="66:69" x14ac:dyDescent="0.2">
      <c r="BN3277" s="192"/>
      <c r="BO3277" s="197"/>
      <c r="BP3277" s="197"/>
      <c r="BQ3277" s="197"/>
    </row>
    <row r="3278" spans="66:69" x14ac:dyDescent="0.2">
      <c r="BN3278" s="192"/>
      <c r="BO3278" s="197"/>
      <c r="BP3278" s="197"/>
      <c r="BQ3278" s="197"/>
    </row>
    <row r="3279" spans="66:69" x14ac:dyDescent="0.2">
      <c r="BN3279" s="192"/>
      <c r="BO3279" s="197"/>
      <c r="BP3279" s="197"/>
      <c r="BQ3279" s="197"/>
    </row>
    <row r="3280" spans="66:69" x14ac:dyDescent="0.2">
      <c r="BN3280" s="192"/>
      <c r="BO3280" s="197"/>
      <c r="BP3280" s="197"/>
      <c r="BQ3280" s="197"/>
    </row>
    <row r="3281" spans="66:69" x14ac:dyDescent="0.2">
      <c r="BN3281" s="192"/>
      <c r="BO3281" s="197"/>
      <c r="BP3281" s="197"/>
      <c r="BQ3281" s="197"/>
    </row>
    <row r="3282" spans="66:69" x14ac:dyDescent="0.2">
      <c r="BN3282" s="192"/>
      <c r="BO3282" s="197"/>
      <c r="BP3282" s="197"/>
      <c r="BQ3282" s="197"/>
    </row>
    <row r="3283" spans="66:69" x14ac:dyDescent="0.2">
      <c r="BN3283" s="192"/>
      <c r="BO3283" s="197"/>
      <c r="BP3283" s="197"/>
      <c r="BQ3283" s="197"/>
    </row>
    <row r="3284" spans="66:69" x14ac:dyDescent="0.2">
      <c r="BN3284" s="192"/>
      <c r="BO3284" s="197"/>
      <c r="BP3284" s="197"/>
      <c r="BQ3284" s="197"/>
    </row>
    <row r="3285" spans="66:69" x14ac:dyDescent="0.2">
      <c r="BN3285" s="192"/>
      <c r="BO3285" s="197"/>
      <c r="BP3285" s="197"/>
      <c r="BQ3285" s="197"/>
    </row>
    <row r="3286" spans="66:69" x14ac:dyDescent="0.2">
      <c r="BN3286" s="192"/>
      <c r="BO3286" s="197"/>
      <c r="BP3286" s="197"/>
      <c r="BQ3286" s="197"/>
    </row>
    <row r="3287" spans="66:69" x14ac:dyDescent="0.2">
      <c r="BN3287" s="192"/>
      <c r="BO3287" s="197"/>
      <c r="BP3287" s="197"/>
      <c r="BQ3287" s="197"/>
    </row>
    <row r="3288" spans="66:69" x14ac:dyDescent="0.2">
      <c r="BN3288" s="192"/>
      <c r="BO3288" s="197"/>
      <c r="BP3288" s="197"/>
      <c r="BQ3288" s="197"/>
    </row>
    <row r="3289" spans="66:69" x14ac:dyDescent="0.2">
      <c r="BN3289" s="192"/>
      <c r="BO3289" s="197"/>
      <c r="BP3289" s="197"/>
      <c r="BQ3289" s="197"/>
    </row>
    <row r="3290" spans="66:69" x14ac:dyDescent="0.2">
      <c r="BN3290" s="192"/>
      <c r="BO3290" s="197"/>
      <c r="BP3290" s="197"/>
      <c r="BQ3290" s="197"/>
    </row>
    <row r="3291" spans="66:69" x14ac:dyDescent="0.2">
      <c r="BN3291" s="192"/>
      <c r="BO3291" s="197"/>
      <c r="BP3291" s="197"/>
      <c r="BQ3291" s="197"/>
    </row>
    <row r="3292" spans="66:69" x14ac:dyDescent="0.2">
      <c r="BN3292" s="192"/>
      <c r="BO3292" s="197"/>
      <c r="BP3292" s="197"/>
      <c r="BQ3292" s="197"/>
    </row>
    <row r="3293" spans="66:69" x14ac:dyDescent="0.2">
      <c r="BN3293" s="192"/>
      <c r="BO3293" s="197"/>
      <c r="BP3293" s="197"/>
      <c r="BQ3293" s="197"/>
    </row>
    <row r="3294" spans="66:69" x14ac:dyDescent="0.2">
      <c r="BN3294" s="192"/>
      <c r="BO3294" s="197"/>
      <c r="BP3294" s="197"/>
      <c r="BQ3294" s="197"/>
    </row>
    <row r="3295" spans="66:69" x14ac:dyDescent="0.2">
      <c r="BN3295" s="192"/>
      <c r="BO3295" s="197"/>
      <c r="BP3295" s="197"/>
      <c r="BQ3295" s="197"/>
    </row>
    <row r="3296" spans="66:69" x14ac:dyDescent="0.2">
      <c r="BN3296" s="192"/>
      <c r="BO3296" s="197"/>
      <c r="BP3296" s="197"/>
      <c r="BQ3296" s="197"/>
    </row>
    <row r="3297" spans="66:69" x14ac:dyDescent="0.2">
      <c r="BN3297" s="192"/>
      <c r="BO3297" s="197"/>
      <c r="BP3297" s="197"/>
      <c r="BQ3297" s="197"/>
    </row>
    <row r="3298" spans="66:69" x14ac:dyDescent="0.2">
      <c r="BN3298" s="192"/>
      <c r="BO3298" s="197"/>
      <c r="BP3298" s="197"/>
      <c r="BQ3298" s="197"/>
    </row>
    <row r="3299" spans="66:69" x14ac:dyDescent="0.2">
      <c r="BN3299" s="192"/>
      <c r="BO3299" s="197"/>
      <c r="BP3299" s="197"/>
      <c r="BQ3299" s="197"/>
    </row>
    <row r="3300" spans="66:69" x14ac:dyDescent="0.2">
      <c r="BN3300" s="192"/>
      <c r="BO3300" s="197"/>
      <c r="BP3300" s="197"/>
      <c r="BQ3300" s="197"/>
    </row>
    <row r="3301" spans="66:69" x14ac:dyDescent="0.2">
      <c r="BN3301" s="192"/>
      <c r="BO3301" s="197"/>
      <c r="BP3301" s="197"/>
      <c r="BQ3301" s="197"/>
    </row>
    <row r="3302" spans="66:69" x14ac:dyDescent="0.2">
      <c r="BN3302" s="192"/>
      <c r="BO3302" s="197"/>
      <c r="BP3302" s="197"/>
      <c r="BQ3302" s="197"/>
    </row>
    <row r="3303" spans="66:69" x14ac:dyDescent="0.2">
      <c r="BN3303" s="192"/>
      <c r="BO3303" s="197"/>
      <c r="BP3303" s="197"/>
      <c r="BQ3303" s="197"/>
    </row>
    <row r="3304" spans="66:69" x14ac:dyDescent="0.2">
      <c r="BN3304" s="192"/>
      <c r="BO3304" s="197"/>
      <c r="BP3304" s="197"/>
      <c r="BQ3304" s="197"/>
    </row>
    <row r="3305" spans="66:69" x14ac:dyDescent="0.2">
      <c r="BN3305" s="192"/>
      <c r="BO3305" s="197"/>
      <c r="BP3305" s="197"/>
      <c r="BQ3305" s="197"/>
    </row>
    <row r="3306" spans="66:69" x14ac:dyDescent="0.2">
      <c r="BN3306" s="192"/>
      <c r="BO3306" s="197"/>
      <c r="BP3306" s="197"/>
      <c r="BQ3306" s="197"/>
    </row>
    <row r="3307" spans="66:69" x14ac:dyDescent="0.2">
      <c r="BN3307" s="192"/>
      <c r="BO3307" s="197"/>
      <c r="BP3307" s="197"/>
      <c r="BQ3307" s="197"/>
    </row>
    <row r="3308" spans="66:69" x14ac:dyDescent="0.2">
      <c r="BN3308" s="192"/>
      <c r="BO3308" s="197"/>
      <c r="BP3308" s="197"/>
      <c r="BQ3308" s="197"/>
    </row>
    <row r="3309" spans="66:69" x14ac:dyDescent="0.2">
      <c r="BN3309" s="192"/>
      <c r="BO3309" s="197"/>
      <c r="BP3309" s="197"/>
      <c r="BQ3309" s="197"/>
    </row>
    <row r="3310" spans="66:69" x14ac:dyDescent="0.2">
      <c r="BN3310" s="192"/>
      <c r="BO3310" s="197"/>
      <c r="BP3310" s="197"/>
      <c r="BQ3310" s="197"/>
    </row>
    <row r="3311" spans="66:69" x14ac:dyDescent="0.2">
      <c r="BN3311" s="192"/>
      <c r="BO3311" s="197"/>
      <c r="BP3311" s="197"/>
      <c r="BQ3311" s="197"/>
    </row>
    <row r="3312" spans="66:69" x14ac:dyDescent="0.2">
      <c r="BN3312" s="192"/>
      <c r="BO3312" s="197"/>
      <c r="BP3312" s="197"/>
      <c r="BQ3312" s="197"/>
    </row>
    <row r="3313" spans="66:69" x14ac:dyDescent="0.2">
      <c r="BN3313" s="192"/>
      <c r="BO3313" s="197"/>
      <c r="BP3313" s="197"/>
      <c r="BQ3313" s="197"/>
    </row>
    <row r="3314" spans="66:69" x14ac:dyDescent="0.2">
      <c r="BN3314" s="192"/>
      <c r="BO3314" s="197"/>
      <c r="BP3314" s="197"/>
      <c r="BQ3314" s="197"/>
    </row>
    <row r="3315" spans="66:69" x14ac:dyDescent="0.2">
      <c r="BN3315" s="192"/>
      <c r="BO3315" s="197"/>
      <c r="BP3315" s="197"/>
      <c r="BQ3315" s="197"/>
    </row>
    <row r="3316" spans="66:69" x14ac:dyDescent="0.2">
      <c r="BN3316" s="192"/>
      <c r="BO3316" s="197"/>
      <c r="BP3316" s="197"/>
      <c r="BQ3316" s="197"/>
    </row>
    <row r="3317" spans="66:69" x14ac:dyDescent="0.2">
      <c r="BN3317" s="192"/>
      <c r="BO3317" s="197"/>
      <c r="BP3317" s="197"/>
      <c r="BQ3317" s="197"/>
    </row>
    <row r="3318" spans="66:69" x14ac:dyDescent="0.2">
      <c r="BN3318" s="192"/>
      <c r="BO3318" s="197"/>
      <c r="BP3318" s="197"/>
      <c r="BQ3318" s="197"/>
    </row>
    <row r="3319" spans="66:69" x14ac:dyDescent="0.2">
      <c r="BN3319" s="192"/>
      <c r="BO3319" s="197"/>
      <c r="BP3319" s="197"/>
      <c r="BQ3319" s="197"/>
    </row>
    <row r="3320" spans="66:69" x14ac:dyDescent="0.2">
      <c r="BN3320" s="192"/>
      <c r="BO3320" s="197"/>
      <c r="BP3320" s="197"/>
      <c r="BQ3320" s="197"/>
    </row>
    <row r="3321" spans="66:69" x14ac:dyDescent="0.2">
      <c r="BN3321" s="192"/>
      <c r="BO3321" s="197"/>
      <c r="BP3321" s="197"/>
      <c r="BQ3321" s="197"/>
    </row>
    <row r="3322" spans="66:69" x14ac:dyDescent="0.2">
      <c r="BN3322" s="192"/>
      <c r="BO3322" s="197"/>
      <c r="BP3322" s="197"/>
      <c r="BQ3322" s="197"/>
    </row>
    <row r="3323" spans="66:69" x14ac:dyDescent="0.2">
      <c r="BN3323" s="192"/>
      <c r="BO3323" s="197"/>
      <c r="BP3323" s="197"/>
      <c r="BQ3323" s="197"/>
    </row>
    <row r="3324" spans="66:69" x14ac:dyDescent="0.2">
      <c r="BN3324" s="192"/>
      <c r="BO3324" s="197"/>
      <c r="BP3324" s="197"/>
      <c r="BQ3324" s="197"/>
    </row>
    <row r="3325" spans="66:69" x14ac:dyDescent="0.2">
      <c r="BN3325" s="192"/>
      <c r="BO3325" s="197"/>
      <c r="BP3325" s="197"/>
      <c r="BQ3325" s="197"/>
    </row>
    <row r="3326" spans="66:69" x14ac:dyDescent="0.2">
      <c r="BN3326" s="192"/>
      <c r="BO3326" s="197"/>
      <c r="BP3326" s="197"/>
      <c r="BQ3326" s="197"/>
    </row>
    <row r="3327" spans="66:69" x14ac:dyDescent="0.2">
      <c r="BN3327" s="192"/>
      <c r="BO3327" s="197"/>
      <c r="BP3327" s="197"/>
      <c r="BQ3327" s="197"/>
    </row>
    <row r="3328" spans="66:69" x14ac:dyDescent="0.2">
      <c r="BN3328" s="192"/>
      <c r="BO3328" s="197"/>
      <c r="BP3328" s="197"/>
      <c r="BQ3328" s="197"/>
    </row>
    <row r="3329" spans="66:69" x14ac:dyDescent="0.2">
      <c r="BN3329" s="192"/>
      <c r="BO3329" s="197"/>
      <c r="BP3329" s="197"/>
      <c r="BQ3329" s="197"/>
    </row>
    <row r="3330" spans="66:69" x14ac:dyDescent="0.2">
      <c r="BN3330" s="192"/>
      <c r="BO3330" s="197"/>
      <c r="BP3330" s="197"/>
      <c r="BQ3330" s="197"/>
    </row>
    <row r="3331" spans="66:69" x14ac:dyDescent="0.2">
      <c r="BN3331" s="192"/>
      <c r="BO3331" s="197"/>
      <c r="BP3331" s="197"/>
      <c r="BQ3331" s="197"/>
    </row>
    <row r="3332" spans="66:69" x14ac:dyDescent="0.2">
      <c r="BN3332" s="192"/>
      <c r="BO3332" s="197"/>
      <c r="BP3332" s="197"/>
      <c r="BQ3332" s="197"/>
    </row>
    <row r="3333" spans="66:69" x14ac:dyDescent="0.2">
      <c r="BN3333" s="192"/>
      <c r="BO3333" s="197"/>
      <c r="BP3333" s="197"/>
      <c r="BQ3333" s="197"/>
    </row>
    <row r="3334" spans="66:69" x14ac:dyDescent="0.2">
      <c r="BN3334" s="192"/>
      <c r="BO3334" s="197"/>
      <c r="BP3334" s="197"/>
      <c r="BQ3334" s="197"/>
    </row>
    <row r="3335" spans="66:69" x14ac:dyDescent="0.2">
      <c r="BN3335" s="192"/>
      <c r="BO3335" s="197"/>
      <c r="BP3335" s="197"/>
      <c r="BQ3335" s="197"/>
    </row>
    <row r="3336" spans="66:69" x14ac:dyDescent="0.2">
      <c r="BN3336" s="192"/>
      <c r="BO3336" s="197"/>
      <c r="BP3336" s="197"/>
      <c r="BQ3336" s="197"/>
    </row>
    <row r="3337" spans="66:69" x14ac:dyDescent="0.2">
      <c r="BN3337" s="192"/>
      <c r="BO3337" s="197"/>
      <c r="BP3337" s="197"/>
      <c r="BQ3337" s="197"/>
    </row>
    <row r="3338" spans="66:69" x14ac:dyDescent="0.2">
      <c r="BN3338" s="192"/>
      <c r="BO3338" s="197"/>
      <c r="BP3338" s="197"/>
      <c r="BQ3338" s="197"/>
    </row>
    <row r="3339" spans="66:69" x14ac:dyDescent="0.2">
      <c r="BN3339" s="192"/>
      <c r="BO3339" s="197"/>
      <c r="BP3339" s="197"/>
      <c r="BQ3339" s="197"/>
    </row>
    <row r="3340" spans="66:69" x14ac:dyDescent="0.2">
      <c r="BN3340" s="192"/>
      <c r="BO3340" s="197"/>
      <c r="BP3340" s="197"/>
      <c r="BQ3340" s="197"/>
    </row>
    <row r="3341" spans="66:69" x14ac:dyDescent="0.2">
      <c r="BN3341" s="192"/>
      <c r="BO3341" s="197"/>
      <c r="BP3341" s="197"/>
      <c r="BQ3341" s="197"/>
    </row>
    <row r="3342" spans="66:69" x14ac:dyDescent="0.2">
      <c r="BN3342" s="192"/>
      <c r="BO3342" s="197"/>
      <c r="BP3342" s="197"/>
      <c r="BQ3342" s="197"/>
    </row>
    <row r="3343" spans="66:69" x14ac:dyDescent="0.2">
      <c r="BN3343" s="192"/>
      <c r="BO3343" s="197"/>
      <c r="BP3343" s="197"/>
      <c r="BQ3343" s="197"/>
    </row>
    <row r="3344" spans="66:69" x14ac:dyDescent="0.2">
      <c r="BN3344" s="192"/>
      <c r="BO3344" s="197"/>
      <c r="BP3344" s="197"/>
      <c r="BQ3344" s="197"/>
    </row>
    <row r="3345" spans="66:69" x14ac:dyDescent="0.2">
      <c r="BN3345" s="192"/>
      <c r="BO3345" s="197"/>
      <c r="BP3345" s="197"/>
      <c r="BQ3345" s="197"/>
    </row>
    <row r="3346" spans="66:69" x14ac:dyDescent="0.2">
      <c r="BN3346" s="192"/>
      <c r="BO3346" s="197"/>
      <c r="BP3346" s="197"/>
      <c r="BQ3346" s="197"/>
    </row>
    <row r="3347" spans="66:69" x14ac:dyDescent="0.2">
      <c r="BN3347" s="192"/>
      <c r="BO3347" s="197"/>
      <c r="BP3347" s="197"/>
      <c r="BQ3347" s="197"/>
    </row>
    <row r="3348" spans="66:69" x14ac:dyDescent="0.2">
      <c r="BN3348" s="192"/>
      <c r="BO3348" s="197"/>
      <c r="BP3348" s="197"/>
      <c r="BQ3348" s="197"/>
    </row>
    <row r="3349" spans="66:69" x14ac:dyDescent="0.2">
      <c r="BN3349" s="192"/>
      <c r="BO3349" s="197"/>
      <c r="BP3349" s="197"/>
      <c r="BQ3349" s="197"/>
    </row>
    <row r="3350" spans="66:69" x14ac:dyDescent="0.2">
      <c r="BN3350" s="192"/>
      <c r="BO3350" s="197"/>
      <c r="BP3350" s="197"/>
      <c r="BQ3350" s="197"/>
    </row>
    <row r="3351" spans="66:69" x14ac:dyDescent="0.2">
      <c r="BN3351" s="192"/>
      <c r="BO3351" s="197"/>
      <c r="BP3351" s="197"/>
      <c r="BQ3351" s="197"/>
    </row>
    <row r="3352" spans="66:69" x14ac:dyDescent="0.2">
      <c r="BN3352" s="192"/>
      <c r="BO3352" s="197"/>
      <c r="BP3352" s="197"/>
      <c r="BQ3352" s="197"/>
    </row>
    <row r="3353" spans="66:69" x14ac:dyDescent="0.2">
      <c r="BN3353" s="192"/>
      <c r="BO3353" s="197"/>
      <c r="BP3353" s="197"/>
      <c r="BQ3353" s="197"/>
    </row>
    <row r="3354" spans="66:69" x14ac:dyDescent="0.2">
      <c r="BN3354" s="192"/>
      <c r="BO3354" s="197"/>
      <c r="BP3354" s="197"/>
      <c r="BQ3354" s="197"/>
    </row>
    <row r="3355" spans="66:69" x14ac:dyDescent="0.2">
      <c r="BN3355" s="192"/>
      <c r="BO3355" s="197"/>
      <c r="BP3355" s="197"/>
      <c r="BQ3355" s="197"/>
    </row>
    <row r="3356" spans="66:69" x14ac:dyDescent="0.2">
      <c r="BN3356" s="192"/>
      <c r="BO3356" s="197"/>
      <c r="BP3356" s="197"/>
      <c r="BQ3356" s="197"/>
    </row>
    <row r="3357" spans="66:69" x14ac:dyDescent="0.2">
      <c r="BN3357" s="192"/>
      <c r="BO3357" s="197"/>
      <c r="BP3357" s="197"/>
      <c r="BQ3357" s="197"/>
    </row>
    <row r="3358" spans="66:69" x14ac:dyDescent="0.2">
      <c r="BN3358" s="192"/>
      <c r="BO3358" s="197"/>
      <c r="BP3358" s="197"/>
      <c r="BQ3358" s="197"/>
    </row>
    <row r="3359" spans="66:69" x14ac:dyDescent="0.2">
      <c r="BN3359" s="192"/>
      <c r="BO3359" s="197"/>
      <c r="BP3359" s="197"/>
      <c r="BQ3359" s="197"/>
    </row>
    <row r="3360" spans="66:69" x14ac:dyDescent="0.2">
      <c r="BN3360" s="192"/>
      <c r="BO3360" s="197"/>
      <c r="BP3360" s="197"/>
      <c r="BQ3360" s="197"/>
    </row>
    <row r="3361" spans="66:69" x14ac:dyDescent="0.2">
      <c r="BN3361" s="192"/>
      <c r="BO3361" s="197"/>
      <c r="BP3361" s="197"/>
      <c r="BQ3361" s="197"/>
    </row>
    <row r="3362" spans="66:69" x14ac:dyDescent="0.2">
      <c r="BN3362" s="192"/>
      <c r="BO3362" s="197"/>
      <c r="BP3362" s="197"/>
      <c r="BQ3362" s="197"/>
    </row>
    <row r="3363" spans="66:69" x14ac:dyDescent="0.2">
      <c r="BN3363" s="192"/>
      <c r="BO3363" s="197"/>
      <c r="BP3363" s="197"/>
      <c r="BQ3363" s="197"/>
    </row>
    <row r="3364" spans="66:69" x14ac:dyDescent="0.2">
      <c r="BN3364" s="192"/>
      <c r="BO3364" s="197"/>
      <c r="BP3364" s="197"/>
      <c r="BQ3364" s="197"/>
    </row>
    <row r="3365" spans="66:69" x14ac:dyDescent="0.2">
      <c r="BN3365" s="192"/>
      <c r="BO3365" s="197"/>
      <c r="BP3365" s="197"/>
      <c r="BQ3365" s="197"/>
    </row>
    <row r="3366" spans="66:69" x14ac:dyDescent="0.2">
      <c r="BN3366" s="192"/>
      <c r="BO3366" s="197"/>
      <c r="BP3366" s="197"/>
      <c r="BQ3366" s="197"/>
    </row>
    <row r="3367" spans="66:69" x14ac:dyDescent="0.2">
      <c r="BN3367" s="192"/>
      <c r="BO3367" s="197"/>
      <c r="BP3367" s="197"/>
      <c r="BQ3367" s="197"/>
    </row>
    <row r="3368" spans="66:69" x14ac:dyDescent="0.2">
      <c r="BN3368" s="192"/>
      <c r="BO3368" s="197"/>
      <c r="BP3368" s="197"/>
      <c r="BQ3368" s="197"/>
    </row>
    <row r="3369" spans="66:69" x14ac:dyDescent="0.2">
      <c r="BN3369" s="192"/>
      <c r="BO3369" s="197"/>
      <c r="BP3369" s="197"/>
      <c r="BQ3369" s="197"/>
    </row>
    <row r="3370" spans="66:69" x14ac:dyDescent="0.2">
      <c r="BN3370" s="192"/>
      <c r="BO3370" s="197"/>
      <c r="BP3370" s="197"/>
      <c r="BQ3370" s="197"/>
    </row>
    <row r="3371" spans="66:69" x14ac:dyDescent="0.2">
      <c r="BN3371" s="192"/>
      <c r="BO3371" s="197"/>
      <c r="BP3371" s="197"/>
      <c r="BQ3371" s="197"/>
    </row>
    <row r="3372" spans="66:69" x14ac:dyDescent="0.2">
      <c r="BN3372" s="192"/>
      <c r="BO3372" s="197"/>
      <c r="BP3372" s="197"/>
      <c r="BQ3372" s="197"/>
    </row>
    <row r="3373" spans="66:69" x14ac:dyDescent="0.2">
      <c r="BN3373" s="192"/>
      <c r="BO3373" s="197"/>
      <c r="BP3373" s="197"/>
      <c r="BQ3373" s="197"/>
    </row>
    <row r="3374" spans="66:69" x14ac:dyDescent="0.2">
      <c r="BN3374" s="192"/>
      <c r="BO3374" s="197"/>
      <c r="BP3374" s="197"/>
      <c r="BQ3374" s="197"/>
    </row>
    <row r="3375" spans="66:69" x14ac:dyDescent="0.2">
      <c r="BN3375" s="192"/>
      <c r="BO3375" s="197"/>
      <c r="BP3375" s="197"/>
      <c r="BQ3375" s="197"/>
    </row>
    <row r="3376" spans="66:69" x14ac:dyDescent="0.2">
      <c r="BN3376" s="192"/>
      <c r="BO3376" s="197"/>
      <c r="BP3376" s="197"/>
      <c r="BQ3376" s="197"/>
    </row>
    <row r="3377" spans="66:69" x14ac:dyDescent="0.2">
      <c r="BN3377" s="192"/>
      <c r="BO3377" s="197"/>
      <c r="BP3377" s="197"/>
      <c r="BQ3377" s="197"/>
    </row>
    <row r="3378" spans="66:69" x14ac:dyDescent="0.2">
      <c r="BN3378" s="192"/>
      <c r="BO3378" s="197"/>
      <c r="BP3378" s="197"/>
      <c r="BQ3378" s="197"/>
    </row>
    <row r="3379" spans="66:69" x14ac:dyDescent="0.2">
      <c r="BN3379" s="192"/>
      <c r="BO3379" s="197"/>
      <c r="BP3379" s="197"/>
      <c r="BQ3379" s="197"/>
    </row>
    <row r="3380" spans="66:69" x14ac:dyDescent="0.2">
      <c r="BN3380" s="192"/>
      <c r="BO3380" s="197"/>
      <c r="BP3380" s="197"/>
      <c r="BQ3380" s="197"/>
    </row>
    <row r="3381" spans="66:69" x14ac:dyDescent="0.2">
      <c r="BN3381" s="192"/>
      <c r="BO3381" s="197"/>
      <c r="BP3381" s="197"/>
      <c r="BQ3381" s="197"/>
    </row>
    <row r="3382" spans="66:69" x14ac:dyDescent="0.2">
      <c r="BN3382" s="192"/>
      <c r="BO3382" s="197"/>
      <c r="BP3382" s="197"/>
      <c r="BQ3382" s="197"/>
    </row>
    <row r="3383" spans="66:69" x14ac:dyDescent="0.2">
      <c r="BN3383" s="192"/>
      <c r="BO3383" s="197"/>
      <c r="BP3383" s="197"/>
      <c r="BQ3383" s="197"/>
    </row>
    <row r="3384" spans="66:69" x14ac:dyDescent="0.2">
      <c r="BN3384" s="192"/>
      <c r="BO3384" s="197"/>
      <c r="BP3384" s="197"/>
      <c r="BQ3384" s="197"/>
    </row>
    <row r="3385" spans="66:69" x14ac:dyDescent="0.2">
      <c r="BN3385" s="192"/>
      <c r="BO3385" s="197"/>
      <c r="BP3385" s="197"/>
      <c r="BQ3385" s="197"/>
    </row>
    <row r="3386" spans="66:69" x14ac:dyDescent="0.2">
      <c r="BN3386" s="192"/>
      <c r="BO3386" s="197"/>
      <c r="BP3386" s="197"/>
      <c r="BQ3386" s="197"/>
    </row>
    <row r="3387" spans="66:69" x14ac:dyDescent="0.2">
      <c r="BN3387" s="192"/>
      <c r="BO3387" s="197"/>
      <c r="BP3387" s="197"/>
      <c r="BQ3387" s="197"/>
    </row>
    <row r="3388" spans="66:69" x14ac:dyDescent="0.2">
      <c r="BN3388" s="192"/>
      <c r="BO3388" s="197"/>
      <c r="BP3388" s="197"/>
      <c r="BQ3388" s="197"/>
    </row>
    <row r="3389" spans="66:69" x14ac:dyDescent="0.2">
      <c r="BN3389" s="192"/>
      <c r="BO3389" s="197"/>
      <c r="BP3389" s="197"/>
      <c r="BQ3389" s="197"/>
    </row>
    <row r="3390" spans="66:69" x14ac:dyDescent="0.2">
      <c r="BN3390" s="192"/>
      <c r="BO3390" s="197"/>
      <c r="BP3390" s="197"/>
      <c r="BQ3390" s="197"/>
    </row>
    <row r="3391" spans="66:69" x14ac:dyDescent="0.2">
      <c r="BN3391" s="192"/>
      <c r="BO3391" s="197"/>
      <c r="BP3391" s="197"/>
      <c r="BQ3391" s="197"/>
    </row>
    <row r="3392" spans="66:69" x14ac:dyDescent="0.2">
      <c r="BN3392" s="192"/>
      <c r="BO3392" s="197"/>
      <c r="BP3392" s="197"/>
      <c r="BQ3392" s="197"/>
    </row>
    <row r="3393" spans="66:69" x14ac:dyDescent="0.2">
      <c r="BN3393" s="192"/>
      <c r="BO3393" s="197"/>
      <c r="BP3393" s="197"/>
      <c r="BQ3393" s="197"/>
    </row>
    <row r="3394" spans="66:69" x14ac:dyDescent="0.2">
      <c r="BN3394" s="192"/>
      <c r="BO3394" s="197"/>
      <c r="BP3394" s="197"/>
      <c r="BQ3394" s="197"/>
    </row>
    <row r="3395" spans="66:69" x14ac:dyDescent="0.2">
      <c r="BN3395" s="192"/>
      <c r="BO3395" s="197"/>
      <c r="BP3395" s="197"/>
      <c r="BQ3395" s="197"/>
    </row>
    <row r="3396" spans="66:69" x14ac:dyDescent="0.2">
      <c r="BN3396" s="192"/>
      <c r="BO3396" s="197"/>
      <c r="BP3396" s="197"/>
      <c r="BQ3396" s="197"/>
    </row>
    <row r="3397" spans="66:69" x14ac:dyDescent="0.2">
      <c r="BN3397" s="192"/>
      <c r="BO3397" s="197"/>
      <c r="BP3397" s="197"/>
      <c r="BQ3397" s="197"/>
    </row>
    <row r="3398" spans="66:69" x14ac:dyDescent="0.2">
      <c r="BN3398" s="192"/>
      <c r="BO3398" s="197"/>
      <c r="BP3398" s="197"/>
      <c r="BQ3398" s="197"/>
    </row>
    <row r="3399" spans="66:69" x14ac:dyDescent="0.2">
      <c r="BN3399" s="192"/>
      <c r="BO3399" s="197"/>
      <c r="BP3399" s="197"/>
      <c r="BQ3399" s="197"/>
    </row>
    <row r="3400" spans="66:69" x14ac:dyDescent="0.2">
      <c r="BN3400" s="192"/>
      <c r="BO3400" s="197"/>
      <c r="BP3400" s="197"/>
      <c r="BQ3400" s="197"/>
    </row>
    <row r="3401" spans="66:69" x14ac:dyDescent="0.2">
      <c r="BN3401" s="192"/>
      <c r="BO3401" s="197"/>
      <c r="BP3401" s="197"/>
      <c r="BQ3401" s="197"/>
    </row>
    <row r="3402" spans="66:69" x14ac:dyDescent="0.2">
      <c r="BN3402" s="192"/>
      <c r="BO3402" s="197"/>
      <c r="BP3402" s="197"/>
      <c r="BQ3402" s="197"/>
    </row>
    <row r="3403" spans="66:69" x14ac:dyDescent="0.2">
      <c r="BN3403" s="192"/>
      <c r="BO3403" s="197"/>
      <c r="BP3403" s="197"/>
      <c r="BQ3403" s="197"/>
    </row>
    <row r="3404" spans="66:69" x14ac:dyDescent="0.2">
      <c r="BN3404" s="192"/>
      <c r="BO3404" s="197"/>
      <c r="BP3404" s="197"/>
      <c r="BQ3404" s="197"/>
    </row>
    <row r="3405" spans="66:69" x14ac:dyDescent="0.2">
      <c r="BN3405" s="192"/>
      <c r="BO3405" s="197"/>
      <c r="BP3405" s="197"/>
      <c r="BQ3405" s="197"/>
    </row>
    <row r="3406" spans="66:69" x14ac:dyDescent="0.2">
      <c r="BN3406" s="192"/>
      <c r="BO3406" s="197"/>
      <c r="BP3406" s="197"/>
      <c r="BQ3406" s="197"/>
    </row>
    <row r="3407" spans="66:69" x14ac:dyDescent="0.2">
      <c r="BN3407" s="192"/>
      <c r="BO3407" s="197"/>
      <c r="BP3407" s="197"/>
      <c r="BQ3407" s="197"/>
    </row>
    <row r="3408" spans="66:69" x14ac:dyDescent="0.2">
      <c r="BN3408" s="192"/>
      <c r="BO3408" s="197"/>
      <c r="BP3408" s="197"/>
      <c r="BQ3408" s="197"/>
    </row>
    <row r="3409" spans="66:69" x14ac:dyDescent="0.2">
      <c r="BN3409" s="192"/>
      <c r="BO3409" s="197"/>
      <c r="BP3409" s="197"/>
      <c r="BQ3409" s="197"/>
    </row>
    <row r="3410" spans="66:69" x14ac:dyDescent="0.2">
      <c r="BN3410" s="192"/>
      <c r="BO3410" s="197"/>
      <c r="BP3410" s="197"/>
      <c r="BQ3410" s="197"/>
    </row>
    <row r="3411" spans="66:69" x14ac:dyDescent="0.2">
      <c r="BN3411" s="192"/>
      <c r="BO3411" s="197"/>
      <c r="BP3411" s="197"/>
      <c r="BQ3411" s="197"/>
    </row>
    <row r="3412" spans="66:69" x14ac:dyDescent="0.2">
      <c r="BN3412" s="192"/>
      <c r="BO3412" s="197"/>
      <c r="BP3412" s="197"/>
      <c r="BQ3412" s="197"/>
    </row>
    <row r="3413" spans="66:69" x14ac:dyDescent="0.2">
      <c r="BN3413" s="192"/>
      <c r="BO3413" s="197"/>
      <c r="BP3413" s="197"/>
      <c r="BQ3413" s="197"/>
    </row>
    <row r="3414" spans="66:69" x14ac:dyDescent="0.2">
      <c r="BN3414" s="192"/>
      <c r="BO3414" s="197"/>
      <c r="BP3414" s="197"/>
      <c r="BQ3414" s="197"/>
    </row>
    <row r="3415" spans="66:69" x14ac:dyDescent="0.2">
      <c r="BN3415" s="192"/>
      <c r="BO3415" s="197"/>
      <c r="BP3415" s="197"/>
      <c r="BQ3415" s="197"/>
    </row>
    <row r="3416" spans="66:69" x14ac:dyDescent="0.2">
      <c r="BN3416" s="192"/>
      <c r="BO3416" s="197"/>
      <c r="BP3416" s="197"/>
      <c r="BQ3416" s="197"/>
    </row>
    <row r="3417" spans="66:69" x14ac:dyDescent="0.2">
      <c r="BN3417" s="192"/>
      <c r="BO3417" s="197"/>
      <c r="BP3417" s="197"/>
      <c r="BQ3417" s="197"/>
    </row>
    <row r="3418" spans="66:69" x14ac:dyDescent="0.2">
      <c r="BN3418" s="192"/>
      <c r="BO3418" s="197"/>
      <c r="BP3418" s="197"/>
      <c r="BQ3418" s="197"/>
    </row>
    <row r="3419" spans="66:69" x14ac:dyDescent="0.2">
      <c r="BN3419" s="192"/>
      <c r="BO3419" s="197"/>
      <c r="BP3419" s="197"/>
      <c r="BQ3419" s="197"/>
    </row>
    <row r="3420" spans="66:69" x14ac:dyDescent="0.2">
      <c r="BN3420" s="192"/>
      <c r="BO3420" s="197"/>
      <c r="BP3420" s="197"/>
      <c r="BQ3420" s="197"/>
    </row>
    <row r="3421" spans="66:69" x14ac:dyDescent="0.2">
      <c r="BN3421" s="192"/>
      <c r="BO3421" s="197"/>
      <c r="BP3421" s="197"/>
      <c r="BQ3421" s="197"/>
    </row>
    <row r="3422" spans="66:69" x14ac:dyDescent="0.2">
      <c r="BN3422" s="192"/>
      <c r="BO3422" s="197"/>
      <c r="BP3422" s="197"/>
      <c r="BQ3422" s="197"/>
    </row>
    <row r="3423" spans="66:69" x14ac:dyDescent="0.2">
      <c r="BN3423" s="192"/>
      <c r="BO3423" s="197"/>
      <c r="BP3423" s="197"/>
      <c r="BQ3423" s="197"/>
    </row>
    <row r="3424" spans="66:69" x14ac:dyDescent="0.2">
      <c r="BN3424" s="192"/>
      <c r="BO3424" s="197"/>
      <c r="BP3424" s="197"/>
      <c r="BQ3424" s="197"/>
    </row>
    <row r="3425" spans="66:69" x14ac:dyDescent="0.2">
      <c r="BN3425" s="192"/>
      <c r="BO3425" s="197"/>
      <c r="BP3425" s="197"/>
      <c r="BQ3425" s="197"/>
    </row>
    <row r="3426" spans="66:69" x14ac:dyDescent="0.2">
      <c r="BN3426" s="192"/>
      <c r="BO3426" s="197"/>
      <c r="BP3426" s="197"/>
      <c r="BQ3426" s="197"/>
    </row>
    <row r="3427" spans="66:69" x14ac:dyDescent="0.2">
      <c r="BN3427" s="192"/>
      <c r="BO3427" s="197"/>
      <c r="BP3427" s="197"/>
      <c r="BQ3427" s="197"/>
    </row>
    <row r="3428" spans="66:69" x14ac:dyDescent="0.2">
      <c r="BN3428" s="192"/>
      <c r="BO3428" s="197"/>
      <c r="BP3428" s="197"/>
      <c r="BQ3428" s="197"/>
    </row>
    <row r="3429" spans="66:69" x14ac:dyDescent="0.2">
      <c r="BN3429" s="192"/>
      <c r="BO3429" s="197"/>
      <c r="BP3429" s="197"/>
      <c r="BQ3429" s="197"/>
    </row>
    <row r="3430" spans="66:69" x14ac:dyDescent="0.2">
      <c r="BN3430" s="192"/>
      <c r="BO3430" s="197"/>
      <c r="BP3430" s="197"/>
      <c r="BQ3430" s="197"/>
    </row>
    <row r="3431" spans="66:69" x14ac:dyDescent="0.2">
      <c r="BN3431" s="192"/>
      <c r="BO3431" s="197"/>
      <c r="BP3431" s="197"/>
      <c r="BQ3431" s="197"/>
    </row>
    <row r="3432" spans="66:69" x14ac:dyDescent="0.2">
      <c r="BN3432" s="192"/>
      <c r="BO3432" s="197"/>
      <c r="BP3432" s="197"/>
      <c r="BQ3432" s="197"/>
    </row>
    <row r="3433" spans="66:69" x14ac:dyDescent="0.2">
      <c r="BN3433" s="192"/>
      <c r="BO3433" s="197"/>
      <c r="BP3433" s="197"/>
      <c r="BQ3433" s="197"/>
    </row>
    <row r="3434" spans="66:69" x14ac:dyDescent="0.2">
      <c r="BN3434" s="192"/>
      <c r="BO3434" s="197"/>
      <c r="BP3434" s="197"/>
      <c r="BQ3434" s="197"/>
    </row>
    <row r="3435" spans="66:69" x14ac:dyDescent="0.2">
      <c r="BN3435" s="192"/>
      <c r="BO3435" s="197"/>
      <c r="BP3435" s="197"/>
      <c r="BQ3435" s="197"/>
    </row>
    <row r="3436" spans="66:69" x14ac:dyDescent="0.2">
      <c r="BN3436" s="192"/>
      <c r="BO3436" s="197"/>
      <c r="BP3436" s="197"/>
      <c r="BQ3436" s="197"/>
    </row>
    <row r="3437" spans="66:69" x14ac:dyDescent="0.2">
      <c r="BN3437" s="192"/>
      <c r="BO3437" s="197"/>
      <c r="BP3437" s="197"/>
      <c r="BQ3437" s="197"/>
    </row>
    <row r="3438" spans="66:69" x14ac:dyDescent="0.2">
      <c r="BN3438" s="192"/>
      <c r="BO3438" s="197"/>
      <c r="BP3438" s="197"/>
      <c r="BQ3438" s="197"/>
    </row>
    <row r="3439" spans="66:69" x14ac:dyDescent="0.2">
      <c r="BN3439" s="192"/>
      <c r="BO3439" s="197"/>
      <c r="BP3439" s="197"/>
      <c r="BQ3439" s="197"/>
    </row>
    <row r="3440" spans="66:69" x14ac:dyDescent="0.2">
      <c r="BN3440" s="192"/>
      <c r="BO3440" s="197"/>
      <c r="BP3440" s="197"/>
      <c r="BQ3440" s="197"/>
    </row>
    <row r="3441" spans="66:69" x14ac:dyDescent="0.2">
      <c r="BN3441" s="192"/>
      <c r="BO3441" s="197"/>
      <c r="BP3441" s="197"/>
      <c r="BQ3441" s="197"/>
    </row>
    <row r="3442" spans="66:69" x14ac:dyDescent="0.2">
      <c r="BN3442" s="192"/>
      <c r="BO3442" s="197"/>
      <c r="BP3442" s="197"/>
      <c r="BQ3442" s="197"/>
    </row>
    <row r="3443" spans="66:69" x14ac:dyDescent="0.2">
      <c r="BN3443" s="192"/>
      <c r="BO3443" s="197"/>
      <c r="BP3443" s="197"/>
      <c r="BQ3443" s="197"/>
    </row>
    <row r="3444" spans="66:69" x14ac:dyDescent="0.2">
      <c r="BN3444" s="192"/>
      <c r="BO3444" s="197"/>
      <c r="BP3444" s="197"/>
      <c r="BQ3444" s="197"/>
    </row>
    <row r="3445" spans="66:69" x14ac:dyDescent="0.2">
      <c r="BN3445" s="192"/>
      <c r="BO3445" s="197"/>
      <c r="BP3445" s="197"/>
      <c r="BQ3445" s="197"/>
    </row>
    <row r="3446" spans="66:69" x14ac:dyDescent="0.2">
      <c r="BN3446" s="192"/>
      <c r="BO3446" s="197"/>
      <c r="BP3446" s="197"/>
      <c r="BQ3446" s="197"/>
    </row>
    <row r="3447" spans="66:69" x14ac:dyDescent="0.2">
      <c r="BN3447" s="192"/>
      <c r="BO3447" s="197"/>
      <c r="BP3447" s="197"/>
      <c r="BQ3447" s="197"/>
    </row>
    <row r="3448" spans="66:69" x14ac:dyDescent="0.2">
      <c r="BN3448" s="192"/>
      <c r="BO3448" s="197"/>
      <c r="BP3448" s="197"/>
      <c r="BQ3448" s="197"/>
    </row>
    <row r="3449" spans="66:69" x14ac:dyDescent="0.2">
      <c r="BN3449" s="192"/>
      <c r="BO3449" s="197"/>
      <c r="BP3449" s="197"/>
      <c r="BQ3449" s="197"/>
    </row>
    <row r="3450" spans="66:69" x14ac:dyDescent="0.2">
      <c r="BN3450" s="192"/>
      <c r="BO3450" s="197"/>
      <c r="BP3450" s="197"/>
      <c r="BQ3450" s="197"/>
    </row>
    <row r="3451" spans="66:69" x14ac:dyDescent="0.2">
      <c r="BN3451" s="192"/>
      <c r="BO3451" s="197"/>
      <c r="BP3451" s="197"/>
      <c r="BQ3451" s="197"/>
    </row>
    <row r="3452" spans="66:69" x14ac:dyDescent="0.2">
      <c r="BN3452" s="192"/>
      <c r="BO3452" s="197"/>
      <c r="BP3452" s="197"/>
      <c r="BQ3452" s="197"/>
    </row>
    <row r="3453" spans="66:69" x14ac:dyDescent="0.2">
      <c r="BN3453" s="192"/>
      <c r="BO3453" s="197"/>
      <c r="BP3453" s="197"/>
      <c r="BQ3453" s="197"/>
    </row>
    <row r="3454" spans="66:69" x14ac:dyDescent="0.2">
      <c r="BN3454" s="192"/>
      <c r="BO3454" s="197"/>
      <c r="BP3454" s="197"/>
      <c r="BQ3454" s="197"/>
    </row>
    <row r="3455" spans="66:69" x14ac:dyDescent="0.2">
      <c r="BN3455" s="192"/>
      <c r="BO3455" s="197"/>
      <c r="BP3455" s="197"/>
      <c r="BQ3455" s="197"/>
    </row>
    <row r="3456" spans="66:69" x14ac:dyDescent="0.2">
      <c r="BN3456" s="192"/>
      <c r="BO3456" s="197"/>
      <c r="BP3456" s="197"/>
      <c r="BQ3456" s="197"/>
    </row>
    <row r="3457" spans="66:69" x14ac:dyDescent="0.2">
      <c r="BN3457" s="192"/>
      <c r="BO3457" s="197"/>
      <c r="BP3457" s="197"/>
      <c r="BQ3457" s="197"/>
    </row>
    <row r="3458" spans="66:69" x14ac:dyDescent="0.2">
      <c r="BN3458" s="192"/>
      <c r="BO3458" s="197"/>
      <c r="BP3458" s="197"/>
      <c r="BQ3458" s="197"/>
    </row>
    <row r="3459" spans="66:69" x14ac:dyDescent="0.2">
      <c r="BN3459" s="192"/>
      <c r="BO3459" s="197"/>
      <c r="BP3459" s="197"/>
      <c r="BQ3459" s="197"/>
    </row>
    <row r="3460" spans="66:69" x14ac:dyDescent="0.2">
      <c r="BN3460" s="192"/>
      <c r="BO3460" s="197"/>
      <c r="BP3460" s="197"/>
      <c r="BQ3460" s="197"/>
    </row>
    <row r="3461" spans="66:69" x14ac:dyDescent="0.2">
      <c r="BN3461" s="192"/>
      <c r="BO3461" s="197"/>
      <c r="BP3461" s="197"/>
      <c r="BQ3461" s="197"/>
    </row>
    <row r="3462" spans="66:69" x14ac:dyDescent="0.2">
      <c r="BN3462" s="192"/>
      <c r="BO3462" s="197"/>
      <c r="BP3462" s="197"/>
      <c r="BQ3462" s="197"/>
    </row>
    <row r="3463" spans="66:69" x14ac:dyDescent="0.2">
      <c r="BN3463" s="192"/>
      <c r="BO3463" s="197"/>
      <c r="BP3463" s="197"/>
      <c r="BQ3463" s="197"/>
    </row>
    <row r="3464" spans="66:69" x14ac:dyDescent="0.2">
      <c r="BN3464" s="192"/>
      <c r="BO3464" s="197"/>
      <c r="BP3464" s="197"/>
      <c r="BQ3464" s="197"/>
    </row>
    <row r="3465" spans="66:69" x14ac:dyDescent="0.2">
      <c r="BN3465" s="192"/>
      <c r="BO3465" s="197"/>
      <c r="BP3465" s="197"/>
      <c r="BQ3465" s="197"/>
    </row>
    <row r="3466" spans="66:69" x14ac:dyDescent="0.2">
      <c r="BN3466" s="192"/>
      <c r="BO3466" s="197"/>
      <c r="BP3466" s="197"/>
      <c r="BQ3466" s="197"/>
    </row>
    <row r="3467" spans="66:69" x14ac:dyDescent="0.2">
      <c r="BN3467" s="192"/>
      <c r="BO3467" s="197"/>
      <c r="BP3467" s="197"/>
      <c r="BQ3467" s="197"/>
    </row>
    <row r="3468" spans="66:69" x14ac:dyDescent="0.2">
      <c r="BN3468" s="192"/>
      <c r="BO3468" s="197"/>
      <c r="BP3468" s="197"/>
      <c r="BQ3468" s="197"/>
    </row>
    <row r="3469" spans="66:69" x14ac:dyDescent="0.2">
      <c r="BN3469" s="192"/>
      <c r="BO3469" s="197"/>
      <c r="BP3469" s="197"/>
      <c r="BQ3469" s="197"/>
    </row>
    <row r="3470" spans="66:69" x14ac:dyDescent="0.2">
      <c r="BN3470" s="192"/>
      <c r="BO3470" s="197"/>
      <c r="BP3470" s="197"/>
      <c r="BQ3470" s="197"/>
    </row>
    <row r="3471" spans="66:69" x14ac:dyDescent="0.2">
      <c r="BN3471" s="192"/>
      <c r="BO3471" s="197"/>
      <c r="BP3471" s="197"/>
      <c r="BQ3471" s="197"/>
    </row>
    <row r="3472" spans="66:69" x14ac:dyDescent="0.2">
      <c r="BN3472" s="192"/>
      <c r="BO3472" s="197"/>
      <c r="BP3472" s="197"/>
      <c r="BQ3472" s="197"/>
    </row>
    <row r="3473" spans="66:69" x14ac:dyDescent="0.2">
      <c r="BN3473" s="192"/>
      <c r="BO3473" s="197"/>
      <c r="BP3473" s="197"/>
      <c r="BQ3473" s="197"/>
    </row>
    <row r="3474" spans="66:69" x14ac:dyDescent="0.2">
      <c r="BN3474" s="192"/>
      <c r="BO3474" s="197"/>
      <c r="BP3474" s="197"/>
      <c r="BQ3474" s="197"/>
    </row>
    <row r="3475" spans="66:69" x14ac:dyDescent="0.2">
      <c r="BN3475" s="192"/>
      <c r="BO3475" s="197"/>
      <c r="BP3475" s="197"/>
      <c r="BQ3475" s="197"/>
    </row>
    <row r="3476" spans="66:69" x14ac:dyDescent="0.2">
      <c r="BN3476" s="192"/>
      <c r="BO3476" s="197"/>
      <c r="BP3476" s="197"/>
      <c r="BQ3476" s="197"/>
    </row>
    <row r="3477" spans="66:69" x14ac:dyDescent="0.2">
      <c r="BN3477" s="192"/>
      <c r="BO3477" s="197"/>
      <c r="BP3477" s="197"/>
      <c r="BQ3477" s="197"/>
    </row>
    <row r="3478" spans="66:69" x14ac:dyDescent="0.2">
      <c r="BN3478" s="192"/>
      <c r="BO3478" s="197"/>
      <c r="BP3478" s="197"/>
      <c r="BQ3478" s="197"/>
    </row>
    <row r="3479" spans="66:69" x14ac:dyDescent="0.2">
      <c r="BN3479" s="192"/>
      <c r="BO3479" s="197"/>
      <c r="BP3479" s="197"/>
      <c r="BQ3479" s="197"/>
    </row>
    <row r="3480" spans="66:69" x14ac:dyDescent="0.2">
      <c r="BN3480" s="192"/>
      <c r="BO3480" s="197"/>
      <c r="BP3480" s="197"/>
      <c r="BQ3480" s="197"/>
    </row>
    <row r="3481" spans="66:69" x14ac:dyDescent="0.2">
      <c r="BN3481" s="192"/>
      <c r="BO3481" s="197"/>
      <c r="BP3481" s="197"/>
      <c r="BQ3481" s="197"/>
    </row>
    <row r="3482" spans="66:69" x14ac:dyDescent="0.2">
      <c r="BN3482" s="192"/>
      <c r="BO3482" s="197"/>
      <c r="BP3482" s="197"/>
      <c r="BQ3482" s="197"/>
    </row>
    <row r="3483" spans="66:69" x14ac:dyDescent="0.2">
      <c r="BN3483" s="192"/>
      <c r="BO3483" s="197"/>
      <c r="BP3483" s="197"/>
      <c r="BQ3483" s="197"/>
    </row>
    <row r="3484" spans="66:69" x14ac:dyDescent="0.2">
      <c r="BN3484" s="192"/>
      <c r="BO3484" s="197"/>
      <c r="BP3484" s="197"/>
      <c r="BQ3484" s="197"/>
    </row>
    <row r="3485" spans="66:69" x14ac:dyDescent="0.2">
      <c r="BN3485" s="192"/>
      <c r="BO3485" s="197"/>
      <c r="BP3485" s="197"/>
      <c r="BQ3485" s="197"/>
    </row>
    <row r="3486" spans="66:69" x14ac:dyDescent="0.2">
      <c r="BN3486" s="192"/>
      <c r="BO3486" s="197"/>
      <c r="BP3486" s="197"/>
      <c r="BQ3486" s="197"/>
    </row>
    <row r="3487" spans="66:69" x14ac:dyDescent="0.2">
      <c r="BN3487" s="192"/>
      <c r="BO3487" s="197"/>
      <c r="BP3487" s="197"/>
      <c r="BQ3487" s="197"/>
    </row>
    <row r="3488" spans="66:69" x14ac:dyDescent="0.2">
      <c r="BN3488" s="192"/>
      <c r="BO3488" s="197"/>
      <c r="BP3488" s="197"/>
      <c r="BQ3488" s="197"/>
    </row>
    <row r="3489" spans="66:69" x14ac:dyDescent="0.2">
      <c r="BN3489" s="192"/>
      <c r="BO3489" s="197"/>
      <c r="BP3489" s="197"/>
      <c r="BQ3489" s="197"/>
    </row>
    <row r="3490" spans="66:69" x14ac:dyDescent="0.2">
      <c r="BN3490" s="192"/>
      <c r="BO3490" s="197"/>
      <c r="BP3490" s="197"/>
      <c r="BQ3490" s="197"/>
    </row>
    <row r="3491" spans="66:69" x14ac:dyDescent="0.2">
      <c r="BN3491" s="192"/>
      <c r="BO3491" s="197"/>
      <c r="BP3491" s="197"/>
      <c r="BQ3491" s="197"/>
    </row>
    <row r="3492" spans="66:69" x14ac:dyDescent="0.2">
      <c r="BN3492" s="192"/>
      <c r="BO3492" s="197"/>
      <c r="BP3492" s="197"/>
      <c r="BQ3492" s="197"/>
    </row>
    <row r="3493" spans="66:69" x14ac:dyDescent="0.2">
      <c r="BN3493" s="192"/>
      <c r="BO3493" s="197"/>
      <c r="BP3493" s="197"/>
      <c r="BQ3493" s="197"/>
    </row>
    <row r="3494" spans="66:69" x14ac:dyDescent="0.2">
      <c r="BN3494" s="192"/>
      <c r="BO3494" s="197"/>
      <c r="BP3494" s="197"/>
      <c r="BQ3494" s="197"/>
    </row>
    <row r="3495" spans="66:69" x14ac:dyDescent="0.2">
      <c r="BN3495" s="192"/>
      <c r="BO3495" s="197"/>
      <c r="BP3495" s="197"/>
      <c r="BQ3495" s="197"/>
    </row>
    <row r="3496" spans="66:69" x14ac:dyDescent="0.2">
      <c r="BN3496" s="192"/>
      <c r="BO3496" s="197"/>
      <c r="BP3496" s="197"/>
      <c r="BQ3496" s="197"/>
    </row>
    <row r="3497" spans="66:69" x14ac:dyDescent="0.2">
      <c r="BN3497" s="192"/>
      <c r="BO3497" s="197"/>
      <c r="BP3497" s="197"/>
      <c r="BQ3497" s="197"/>
    </row>
    <row r="3498" spans="66:69" x14ac:dyDescent="0.2">
      <c r="BN3498" s="192"/>
      <c r="BO3498" s="197"/>
      <c r="BP3498" s="197"/>
      <c r="BQ3498" s="197"/>
    </row>
    <row r="3499" spans="66:69" x14ac:dyDescent="0.2">
      <c r="BN3499" s="192"/>
      <c r="BO3499" s="197"/>
      <c r="BP3499" s="197"/>
      <c r="BQ3499" s="197"/>
    </row>
    <row r="3500" spans="66:69" x14ac:dyDescent="0.2">
      <c r="BN3500" s="192"/>
      <c r="BO3500" s="197"/>
      <c r="BP3500" s="197"/>
      <c r="BQ3500" s="197"/>
    </row>
    <row r="3501" spans="66:69" x14ac:dyDescent="0.2">
      <c r="BN3501" s="192"/>
      <c r="BO3501" s="197"/>
      <c r="BP3501" s="197"/>
      <c r="BQ3501" s="197"/>
    </row>
    <row r="3502" spans="66:69" x14ac:dyDescent="0.2">
      <c r="BN3502" s="192"/>
      <c r="BO3502" s="197"/>
      <c r="BP3502" s="197"/>
      <c r="BQ3502" s="197"/>
    </row>
    <row r="3503" spans="66:69" x14ac:dyDescent="0.2">
      <c r="BN3503" s="192"/>
      <c r="BO3503" s="197"/>
      <c r="BP3503" s="197"/>
      <c r="BQ3503" s="197"/>
    </row>
    <row r="3504" spans="66:69" x14ac:dyDescent="0.2">
      <c r="BN3504" s="192"/>
      <c r="BO3504" s="197"/>
      <c r="BP3504" s="197"/>
      <c r="BQ3504" s="197"/>
    </row>
    <row r="3505" spans="66:69" x14ac:dyDescent="0.2">
      <c r="BN3505" s="192"/>
      <c r="BO3505" s="197"/>
      <c r="BP3505" s="197"/>
      <c r="BQ3505" s="197"/>
    </row>
    <row r="3506" spans="66:69" x14ac:dyDescent="0.2">
      <c r="BN3506" s="192"/>
      <c r="BO3506" s="197"/>
      <c r="BP3506" s="197"/>
      <c r="BQ3506" s="197"/>
    </row>
    <row r="3507" spans="66:69" x14ac:dyDescent="0.2">
      <c r="BN3507" s="192"/>
      <c r="BO3507" s="197"/>
      <c r="BP3507" s="197"/>
      <c r="BQ3507" s="197"/>
    </row>
    <row r="3508" spans="66:69" x14ac:dyDescent="0.2">
      <c r="BN3508" s="192"/>
      <c r="BO3508" s="197"/>
      <c r="BP3508" s="197"/>
      <c r="BQ3508" s="197"/>
    </row>
    <row r="3509" spans="66:69" x14ac:dyDescent="0.2">
      <c r="BN3509" s="192"/>
      <c r="BO3509" s="197"/>
      <c r="BP3509" s="197"/>
      <c r="BQ3509" s="197"/>
    </row>
    <row r="3510" spans="66:69" x14ac:dyDescent="0.2">
      <c r="BN3510" s="192"/>
      <c r="BO3510" s="197"/>
      <c r="BP3510" s="197"/>
      <c r="BQ3510" s="197"/>
    </row>
    <row r="3511" spans="66:69" x14ac:dyDescent="0.2">
      <c r="BN3511" s="192"/>
      <c r="BO3511" s="197"/>
      <c r="BP3511" s="197"/>
      <c r="BQ3511" s="197"/>
    </row>
    <row r="3512" spans="66:69" x14ac:dyDescent="0.2">
      <c r="BN3512" s="192"/>
      <c r="BO3512" s="197"/>
      <c r="BP3512" s="197"/>
      <c r="BQ3512" s="197"/>
    </row>
    <row r="3513" spans="66:69" x14ac:dyDescent="0.2">
      <c r="BN3513" s="192"/>
      <c r="BO3513" s="197"/>
      <c r="BP3513" s="197"/>
      <c r="BQ3513" s="197"/>
    </row>
    <row r="3514" spans="66:69" x14ac:dyDescent="0.2">
      <c r="BN3514" s="192"/>
      <c r="BO3514" s="197"/>
      <c r="BP3514" s="197"/>
      <c r="BQ3514" s="197"/>
    </row>
    <row r="3515" spans="66:69" x14ac:dyDescent="0.2">
      <c r="BN3515" s="192"/>
      <c r="BO3515" s="197"/>
      <c r="BP3515" s="197"/>
      <c r="BQ3515" s="197"/>
    </row>
    <row r="3516" spans="66:69" x14ac:dyDescent="0.2">
      <c r="BN3516" s="192"/>
      <c r="BO3516" s="197"/>
      <c r="BP3516" s="197"/>
      <c r="BQ3516" s="197"/>
    </row>
    <row r="3517" spans="66:69" x14ac:dyDescent="0.2">
      <c r="BN3517" s="192"/>
      <c r="BO3517" s="197"/>
      <c r="BP3517" s="197"/>
      <c r="BQ3517" s="197"/>
    </row>
    <row r="3518" spans="66:69" x14ac:dyDescent="0.2">
      <c r="BN3518" s="192"/>
      <c r="BO3518" s="197"/>
      <c r="BP3518" s="197"/>
      <c r="BQ3518" s="197"/>
    </row>
    <row r="3519" spans="66:69" x14ac:dyDescent="0.2">
      <c r="BN3519" s="192"/>
      <c r="BO3519" s="197"/>
      <c r="BP3519" s="197"/>
      <c r="BQ3519" s="197"/>
    </row>
    <row r="3520" spans="66:69" x14ac:dyDescent="0.2">
      <c r="BN3520" s="192"/>
      <c r="BO3520" s="197"/>
      <c r="BP3520" s="197"/>
      <c r="BQ3520" s="197"/>
    </row>
    <row r="3521" spans="66:69" x14ac:dyDescent="0.2">
      <c r="BN3521" s="192"/>
      <c r="BO3521" s="197"/>
      <c r="BP3521" s="197"/>
      <c r="BQ3521" s="197"/>
    </row>
    <row r="3522" spans="66:69" x14ac:dyDescent="0.2">
      <c r="BN3522" s="192"/>
      <c r="BO3522" s="197"/>
      <c r="BP3522" s="197"/>
      <c r="BQ3522" s="197"/>
    </row>
    <row r="3523" spans="66:69" x14ac:dyDescent="0.2">
      <c r="BN3523" s="192"/>
      <c r="BO3523" s="197"/>
      <c r="BP3523" s="197"/>
      <c r="BQ3523" s="197"/>
    </row>
    <row r="3524" spans="66:69" x14ac:dyDescent="0.2">
      <c r="BN3524" s="192"/>
      <c r="BO3524" s="197"/>
      <c r="BP3524" s="197"/>
      <c r="BQ3524" s="197"/>
    </row>
    <row r="3525" spans="66:69" x14ac:dyDescent="0.2">
      <c r="BN3525" s="192"/>
      <c r="BO3525" s="197"/>
      <c r="BP3525" s="197"/>
      <c r="BQ3525" s="197"/>
    </row>
    <row r="3526" spans="66:69" x14ac:dyDescent="0.2">
      <c r="BN3526" s="192"/>
      <c r="BO3526" s="197"/>
      <c r="BP3526" s="197"/>
      <c r="BQ3526" s="197"/>
    </row>
    <row r="3527" spans="66:69" x14ac:dyDescent="0.2">
      <c r="BN3527" s="192"/>
      <c r="BO3527" s="197"/>
      <c r="BP3527" s="197"/>
      <c r="BQ3527" s="197"/>
    </row>
    <row r="3528" spans="66:69" x14ac:dyDescent="0.2">
      <c r="BN3528" s="192"/>
      <c r="BO3528" s="197"/>
      <c r="BP3528" s="197"/>
      <c r="BQ3528" s="197"/>
    </row>
    <row r="3529" spans="66:69" x14ac:dyDescent="0.2">
      <c r="BN3529" s="192"/>
      <c r="BO3529" s="197"/>
      <c r="BP3529" s="197"/>
      <c r="BQ3529" s="197"/>
    </row>
    <row r="3530" spans="66:69" x14ac:dyDescent="0.2">
      <c r="BN3530" s="192"/>
      <c r="BO3530" s="197"/>
      <c r="BP3530" s="197"/>
      <c r="BQ3530" s="197"/>
    </row>
    <row r="3531" spans="66:69" x14ac:dyDescent="0.2">
      <c r="BN3531" s="192"/>
      <c r="BO3531" s="197"/>
      <c r="BP3531" s="197"/>
      <c r="BQ3531" s="197"/>
    </row>
    <row r="3532" spans="66:69" x14ac:dyDescent="0.2">
      <c r="BN3532" s="192"/>
      <c r="BO3532" s="197"/>
      <c r="BP3532" s="197"/>
      <c r="BQ3532" s="197"/>
    </row>
    <row r="3533" spans="66:69" x14ac:dyDescent="0.2">
      <c r="BN3533" s="192"/>
      <c r="BO3533" s="197"/>
      <c r="BP3533" s="197"/>
      <c r="BQ3533" s="197"/>
    </row>
    <row r="3534" spans="66:69" x14ac:dyDescent="0.2">
      <c r="BN3534" s="192"/>
      <c r="BO3534" s="197"/>
      <c r="BP3534" s="197"/>
      <c r="BQ3534" s="197"/>
    </row>
    <row r="3535" spans="66:69" x14ac:dyDescent="0.2">
      <c r="BN3535" s="192"/>
      <c r="BO3535" s="197"/>
      <c r="BP3535" s="197"/>
      <c r="BQ3535" s="197"/>
    </row>
    <row r="3536" spans="66:69" x14ac:dyDescent="0.2">
      <c r="BN3536" s="192"/>
      <c r="BO3536" s="197"/>
      <c r="BP3536" s="197"/>
      <c r="BQ3536" s="197"/>
    </row>
    <row r="3537" spans="66:69" x14ac:dyDescent="0.2">
      <c r="BN3537" s="192"/>
      <c r="BO3537" s="197"/>
      <c r="BP3537" s="197"/>
      <c r="BQ3537" s="197"/>
    </row>
    <row r="3538" spans="66:69" x14ac:dyDescent="0.2">
      <c r="BN3538" s="192"/>
      <c r="BO3538" s="197"/>
      <c r="BP3538" s="197"/>
      <c r="BQ3538" s="197"/>
    </row>
    <row r="3539" spans="66:69" x14ac:dyDescent="0.2">
      <c r="BN3539" s="192"/>
      <c r="BO3539" s="197"/>
      <c r="BP3539" s="197"/>
      <c r="BQ3539" s="197"/>
    </row>
    <row r="3540" spans="66:69" x14ac:dyDescent="0.2">
      <c r="BN3540" s="192"/>
      <c r="BO3540" s="197"/>
      <c r="BP3540" s="197"/>
      <c r="BQ3540" s="197"/>
    </row>
    <row r="3541" spans="66:69" x14ac:dyDescent="0.2">
      <c r="BN3541" s="192"/>
      <c r="BO3541" s="197"/>
      <c r="BP3541" s="197"/>
      <c r="BQ3541" s="197"/>
    </row>
    <row r="3542" spans="66:69" x14ac:dyDescent="0.2">
      <c r="BN3542" s="192"/>
      <c r="BO3542" s="197"/>
      <c r="BP3542" s="197"/>
      <c r="BQ3542" s="197"/>
    </row>
    <row r="3543" spans="66:69" x14ac:dyDescent="0.2">
      <c r="BN3543" s="192"/>
      <c r="BO3543" s="197"/>
      <c r="BP3543" s="197"/>
      <c r="BQ3543" s="197"/>
    </row>
    <row r="3544" spans="66:69" x14ac:dyDescent="0.2">
      <c r="BN3544" s="192"/>
      <c r="BO3544" s="197"/>
      <c r="BP3544" s="197"/>
      <c r="BQ3544" s="197"/>
    </row>
    <row r="3545" spans="66:69" x14ac:dyDescent="0.2">
      <c r="BN3545" s="192"/>
      <c r="BO3545" s="197"/>
      <c r="BP3545" s="197"/>
      <c r="BQ3545" s="197"/>
    </row>
    <row r="3546" spans="66:69" x14ac:dyDescent="0.2">
      <c r="BN3546" s="192"/>
      <c r="BO3546" s="197"/>
      <c r="BP3546" s="197"/>
      <c r="BQ3546" s="197"/>
    </row>
    <row r="3547" spans="66:69" x14ac:dyDescent="0.2">
      <c r="BN3547" s="192"/>
      <c r="BO3547" s="197"/>
      <c r="BP3547" s="197"/>
      <c r="BQ3547" s="197"/>
    </row>
    <row r="3548" spans="66:69" x14ac:dyDescent="0.2">
      <c r="BN3548" s="192"/>
      <c r="BO3548" s="197"/>
      <c r="BP3548" s="197"/>
      <c r="BQ3548" s="197"/>
    </row>
    <row r="3549" spans="66:69" x14ac:dyDescent="0.2">
      <c r="BN3549" s="192"/>
      <c r="BO3549" s="197"/>
      <c r="BP3549" s="197"/>
      <c r="BQ3549" s="197"/>
    </row>
    <row r="3550" spans="66:69" x14ac:dyDescent="0.2">
      <c r="BN3550" s="192"/>
      <c r="BO3550" s="197"/>
      <c r="BP3550" s="197"/>
      <c r="BQ3550" s="197"/>
    </row>
    <row r="3551" spans="66:69" x14ac:dyDescent="0.2">
      <c r="BN3551" s="192"/>
      <c r="BO3551" s="197"/>
      <c r="BP3551" s="197"/>
      <c r="BQ3551" s="197"/>
    </row>
    <row r="3552" spans="66:69" x14ac:dyDescent="0.2">
      <c r="BN3552" s="192"/>
      <c r="BO3552" s="197"/>
      <c r="BP3552" s="197"/>
      <c r="BQ3552" s="197"/>
    </row>
    <row r="3553" spans="66:69" x14ac:dyDescent="0.2">
      <c r="BN3553" s="192"/>
      <c r="BO3553" s="197"/>
      <c r="BP3553" s="197"/>
      <c r="BQ3553" s="197"/>
    </row>
    <row r="3554" spans="66:69" x14ac:dyDescent="0.2">
      <c r="BN3554" s="192"/>
      <c r="BO3554" s="197"/>
      <c r="BP3554" s="197"/>
      <c r="BQ3554" s="197"/>
    </row>
    <row r="3555" spans="66:69" x14ac:dyDescent="0.2">
      <c r="BN3555" s="192"/>
      <c r="BO3555" s="197"/>
      <c r="BP3555" s="197"/>
      <c r="BQ3555" s="197"/>
    </row>
    <row r="3556" spans="66:69" x14ac:dyDescent="0.2">
      <c r="BN3556" s="192"/>
      <c r="BO3556" s="197"/>
      <c r="BP3556" s="197"/>
      <c r="BQ3556" s="197"/>
    </row>
    <row r="3557" spans="66:69" x14ac:dyDescent="0.2">
      <c r="BN3557" s="192"/>
      <c r="BO3557" s="197"/>
      <c r="BP3557" s="197"/>
      <c r="BQ3557" s="197"/>
    </row>
    <row r="3558" spans="66:69" x14ac:dyDescent="0.2">
      <c r="BN3558" s="192"/>
      <c r="BO3558" s="197"/>
      <c r="BP3558" s="197"/>
      <c r="BQ3558" s="197"/>
    </row>
    <row r="3559" spans="66:69" x14ac:dyDescent="0.2">
      <c r="BN3559" s="192"/>
      <c r="BO3559" s="197"/>
      <c r="BP3559" s="197"/>
      <c r="BQ3559" s="197"/>
    </row>
    <row r="3560" spans="66:69" x14ac:dyDescent="0.2">
      <c r="BN3560" s="192"/>
      <c r="BO3560" s="197"/>
      <c r="BP3560" s="197"/>
      <c r="BQ3560" s="197"/>
    </row>
    <row r="3561" spans="66:69" x14ac:dyDescent="0.2">
      <c r="BN3561" s="192"/>
      <c r="BO3561" s="197"/>
      <c r="BP3561" s="197"/>
      <c r="BQ3561" s="197"/>
    </row>
    <row r="3562" spans="66:69" x14ac:dyDescent="0.2">
      <c r="BN3562" s="192"/>
      <c r="BO3562" s="197"/>
      <c r="BP3562" s="197"/>
      <c r="BQ3562" s="197"/>
    </row>
    <row r="3563" spans="66:69" x14ac:dyDescent="0.2">
      <c r="BN3563" s="192"/>
      <c r="BO3563" s="197"/>
      <c r="BP3563" s="197"/>
      <c r="BQ3563" s="197"/>
    </row>
    <row r="3564" spans="66:69" x14ac:dyDescent="0.2">
      <c r="BN3564" s="192"/>
      <c r="BO3564" s="197"/>
      <c r="BP3564" s="197"/>
      <c r="BQ3564" s="197"/>
    </row>
    <row r="3565" spans="66:69" x14ac:dyDescent="0.2">
      <c r="BN3565" s="192"/>
      <c r="BO3565" s="197"/>
      <c r="BP3565" s="197"/>
      <c r="BQ3565" s="197"/>
    </row>
    <row r="3566" spans="66:69" x14ac:dyDescent="0.2">
      <c r="BN3566" s="192"/>
      <c r="BO3566" s="197"/>
      <c r="BP3566" s="197"/>
      <c r="BQ3566" s="197"/>
    </row>
    <row r="3567" spans="66:69" x14ac:dyDescent="0.2">
      <c r="BN3567" s="192"/>
      <c r="BO3567" s="197"/>
      <c r="BP3567" s="197"/>
      <c r="BQ3567" s="197"/>
    </row>
    <row r="3568" spans="66:69" x14ac:dyDescent="0.2">
      <c r="BN3568" s="192"/>
      <c r="BO3568" s="197"/>
      <c r="BP3568" s="197"/>
      <c r="BQ3568" s="197"/>
    </row>
    <row r="3569" spans="66:69" x14ac:dyDescent="0.2">
      <c r="BN3569" s="192"/>
      <c r="BO3569" s="197"/>
      <c r="BP3569" s="197"/>
      <c r="BQ3569" s="197"/>
    </row>
    <row r="3570" spans="66:69" x14ac:dyDescent="0.2">
      <c r="BN3570" s="192"/>
      <c r="BO3570" s="197"/>
      <c r="BP3570" s="197"/>
      <c r="BQ3570" s="197"/>
    </row>
    <row r="3571" spans="66:69" x14ac:dyDescent="0.2">
      <c r="BN3571" s="192"/>
      <c r="BO3571" s="197"/>
      <c r="BP3571" s="197"/>
      <c r="BQ3571" s="197"/>
    </row>
    <row r="3572" spans="66:69" x14ac:dyDescent="0.2">
      <c r="BN3572" s="192"/>
      <c r="BO3572" s="197"/>
      <c r="BP3572" s="197"/>
      <c r="BQ3572" s="197"/>
    </row>
    <row r="3573" spans="66:69" x14ac:dyDescent="0.2">
      <c r="BN3573" s="192"/>
      <c r="BO3573" s="197"/>
      <c r="BP3573" s="197"/>
      <c r="BQ3573" s="197"/>
    </row>
    <row r="3574" spans="66:69" x14ac:dyDescent="0.2">
      <c r="BN3574" s="192"/>
      <c r="BO3574" s="197"/>
      <c r="BP3574" s="197"/>
      <c r="BQ3574" s="197"/>
    </row>
    <row r="3575" spans="66:69" x14ac:dyDescent="0.2">
      <c r="BN3575" s="192"/>
      <c r="BO3575" s="197"/>
      <c r="BP3575" s="197"/>
      <c r="BQ3575" s="197"/>
    </row>
    <row r="3576" spans="66:69" x14ac:dyDescent="0.2">
      <c r="BN3576" s="192"/>
      <c r="BO3576" s="197"/>
      <c r="BP3576" s="197"/>
      <c r="BQ3576" s="197"/>
    </row>
    <row r="3577" spans="66:69" x14ac:dyDescent="0.2">
      <c r="BN3577" s="192"/>
      <c r="BO3577" s="197"/>
      <c r="BP3577" s="197"/>
      <c r="BQ3577" s="197"/>
    </row>
    <row r="3578" spans="66:69" x14ac:dyDescent="0.2">
      <c r="BN3578" s="192"/>
      <c r="BO3578" s="197"/>
      <c r="BP3578" s="197"/>
      <c r="BQ3578" s="197"/>
    </row>
    <row r="3579" spans="66:69" x14ac:dyDescent="0.2">
      <c r="BN3579" s="192"/>
      <c r="BO3579" s="197"/>
      <c r="BP3579" s="197"/>
      <c r="BQ3579" s="197"/>
    </row>
    <row r="3580" spans="66:69" x14ac:dyDescent="0.2">
      <c r="BN3580" s="192"/>
      <c r="BO3580" s="197"/>
      <c r="BP3580" s="197"/>
      <c r="BQ3580" s="197"/>
    </row>
    <row r="3581" spans="66:69" x14ac:dyDescent="0.2">
      <c r="BN3581" s="192"/>
      <c r="BO3581" s="197"/>
      <c r="BP3581" s="197"/>
      <c r="BQ3581" s="197"/>
    </row>
    <row r="3582" spans="66:69" x14ac:dyDescent="0.2">
      <c r="BN3582" s="192"/>
      <c r="BO3582" s="197"/>
      <c r="BP3582" s="197"/>
      <c r="BQ3582" s="197"/>
    </row>
    <row r="3583" spans="66:69" x14ac:dyDescent="0.2">
      <c r="BN3583" s="192"/>
      <c r="BO3583" s="197"/>
      <c r="BP3583" s="197"/>
      <c r="BQ3583" s="197"/>
    </row>
    <row r="3584" spans="66:69" x14ac:dyDescent="0.2">
      <c r="BN3584" s="192"/>
      <c r="BO3584" s="197"/>
      <c r="BP3584" s="197"/>
      <c r="BQ3584" s="197"/>
    </row>
    <row r="3585" spans="66:69" x14ac:dyDescent="0.2">
      <c r="BN3585" s="192"/>
      <c r="BO3585" s="197"/>
      <c r="BP3585" s="197"/>
      <c r="BQ3585" s="197"/>
    </row>
    <row r="3586" spans="66:69" x14ac:dyDescent="0.2">
      <c r="BN3586" s="192"/>
      <c r="BO3586" s="197"/>
      <c r="BP3586" s="197"/>
      <c r="BQ3586" s="197"/>
    </row>
    <row r="3587" spans="66:69" x14ac:dyDescent="0.2">
      <c r="BN3587" s="192"/>
      <c r="BO3587" s="197"/>
      <c r="BP3587" s="197"/>
      <c r="BQ3587" s="197"/>
    </row>
    <row r="3588" spans="66:69" x14ac:dyDescent="0.2">
      <c r="BN3588" s="192"/>
      <c r="BO3588" s="197"/>
      <c r="BP3588" s="197"/>
      <c r="BQ3588" s="197"/>
    </row>
    <row r="3589" spans="66:69" x14ac:dyDescent="0.2">
      <c r="BN3589" s="192"/>
      <c r="BO3589" s="197"/>
      <c r="BP3589" s="197"/>
      <c r="BQ3589" s="197"/>
    </row>
    <row r="3590" spans="66:69" x14ac:dyDescent="0.2">
      <c r="BN3590" s="192"/>
      <c r="BO3590" s="197"/>
      <c r="BP3590" s="197"/>
      <c r="BQ3590" s="197"/>
    </row>
    <row r="3591" spans="66:69" x14ac:dyDescent="0.2">
      <c r="BN3591" s="192"/>
      <c r="BO3591" s="197"/>
      <c r="BP3591" s="197"/>
      <c r="BQ3591" s="197"/>
    </row>
    <row r="3592" spans="66:69" x14ac:dyDescent="0.2">
      <c r="BN3592" s="192"/>
      <c r="BO3592" s="197"/>
      <c r="BP3592" s="197"/>
      <c r="BQ3592" s="197"/>
    </row>
    <row r="3593" spans="66:69" x14ac:dyDescent="0.2">
      <c r="BN3593" s="192"/>
      <c r="BO3593" s="197"/>
      <c r="BP3593" s="197"/>
      <c r="BQ3593" s="197"/>
    </row>
    <row r="3594" spans="66:69" x14ac:dyDescent="0.2">
      <c r="BN3594" s="192"/>
      <c r="BO3594" s="197"/>
      <c r="BP3594" s="197"/>
      <c r="BQ3594" s="197"/>
    </row>
    <row r="3595" spans="66:69" x14ac:dyDescent="0.2">
      <c r="BN3595" s="192"/>
      <c r="BO3595" s="197"/>
      <c r="BP3595" s="197"/>
      <c r="BQ3595" s="197"/>
    </row>
    <row r="3596" spans="66:69" x14ac:dyDescent="0.2">
      <c r="BN3596" s="192"/>
      <c r="BO3596" s="197"/>
      <c r="BP3596" s="197"/>
      <c r="BQ3596" s="197"/>
    </row>
    <row r="3597" spans="66:69" x14ac:dyDescent="0.2">
      <c r="BN3597" s="192"/>
      <c r="BO3597" s="197"/>
      <c r="BP3597" s="197"/>
      <c r="BQ3597" s="197"/>
    </row>
    <row r="3598" spans="66:69" x14ac:dyDescent="0.2">
      <c r="BN3598" s="192"/>
      <c r="BO3598" s="197"/>
      <c r="BP3598" s="197"/>
      <c r="BQ3598" s="197"/>
    </row>
    <row r="3599" spans="66:69" x14ac:dyDescent="0.2">
      <c r="BN3599" s="192"/>
      <c r="BO3599" s="197"/>
      <c r="BP3599" s="197"/>
      <c r="BQ3599" s="197"/>
    </row>
    <row r="3600" spans="66:69" x14ac:dyDescent="0.2">
      <c r="BN3600" s="192"/>
      <c r="BO3600" s="197"/>
      <c r="BP3600" s="197"/>
      <c r="BQ3600" s="197"/>
    </row>
    <row r="3601" spans="66:69" x14ac:dyDescent="0.2">
      <c r="BN3601" s="192"/>
      <c r="BO3601" s="197"/>
      <c r="BP3601" s="197"/>
      <c r="BQ3601" s="197"/>
    </row>
    <row r="3602" spans="66:69" x14ac:dyDescent="0.2">
      <c r="BN3602" s="192"/>
      <c r="BO3602" s="197"/>
      <c r="BP3602" s="197"/>
      <c r="BQ3602" s="197"/>
    </row>
    <row r="3603" spans="66:69" x14ac:dyDescent="0.2">
      <c r="BN3603" s="192"/>
      <c r="BO3603" s="197"/>
      <c r="BP3603" s="197"/>
      <c r="BQ3603" s="197"/>
    </row>
    <row r="3604" spans="66:69" x14ac:dyDescent="0.2">
      <c r="BN3604" s="192"/>
      <c r="BO3604" s="197"/>
      <c r="BP3604" s="197"/>
      <c r="BQ3604" s="197"/>
    </row>
    <row r="3605" spans="66:69" x14ac:dyDescent="0.2">
      <c r="BN3605" s="192"/>
      <c r="BO3605" s="197"/>
      <c r="BP3605" s="197"/>
      <c r="BQ3605" s="197"/>
    </row>
    <row r="3606" spans="66:69" x14ac:dyDescent="0.2">
      <c r="BN3606" s="192"/>
      <c r="BO3606" s="197"/>
      <c r="BP3606" s="197"/>
      <c r="BQ3606" s="197"/>
    </row>
    <row r="3607" spans="66:69" x14ac:dyDescent="0.2">
      <c r="BN3607" s="192"/>
      <c r="BO3607" s="197"/>
      <c r="BP3607" s="197"/>
      <c r="BQ3607" s="197"/>
    </row>
    <row r="3608" spans="66:69" x14ac:dyDescent="0.2">
      <c r="BN3608" s="192"/>
      <c r="BO3608" s="197"/>
      <c r="BP3608" s="197"/>
      <c r="BQ3608" s="197"/>
    </row>
    <row r="3609" spans="66:69" x14ac:dyDescent="0.2">
      <c r="BN3609" s="192"/>
      <c r="BO3609" s="197"/>
      <c r="BP3609" s="197"/>
      <c r="BQ3609" s="197"/>
    </row>
    <row r="3610" spans="66:69" x14ac:dyDescent="0.2">
      <c r="BN3610" s="192"/>
      <c r="BO3610" s="197"/>
      <c r="BP3610" s="197"/>
      <c r="BQ3610" s="197"/>
    </row>
    <row r="3611" spans="66:69" x14ac:dyDescent="0.2">
      <c r="BN3611" s="192"/>
      <c r="BO3611" s="197"/>
      <c r="BP3611" s="197"/>
      <c r="BQ3611" s="197"/>
    </row>
    <row r="3612" spans="66:69" x14ac:dyDescent="0.2">
      <c r="BN3612" s="192"/>
      <c r="BO3612" s="197"/>
      <c r="BP3612" s="197"/>
      <c r="BQ3612" s="197"/>
    </row>
    <row r="3613" spans="66:69" x14ac:dyDescent="0.2">
      <c r="BN3613" s="192"/>
      <c r="BO3613" s="197"/>
      <c r="BP3613" s="197"/>
      <c r="BQ3613" s="197"/>
    </row>
    <row r="3614" spans="66:69" x14ac:dyDescent="0.2">
      <c r="BN3614" s="192"/>
      <c r="BO3614" s="197"/>
      <c r="BP3614" s="197"/>
      <c r="BQ3614" s="197"/>
    </row>
    <row r="3615" spans="66:69" x14ac:dyDescent="0.2">
      <c r="BN3615" s="192"/>
      <c r="BO3615" s="197"/>
      <c r="BP3615" s="197"/>
      <c r="BQ3615" s="197"/>
    </row>
    <row r="3616" spans="66:69" x14ac:dyDescent="0.2">
      <c r="BN3616" s="192"/>
      <c r="BO3616" s="197"/>
      <c r="BP3616" s="197"/>
      <c r="BQ3616" s="197"/>
    </row>
    <row r="3617" spans="66:69" x14ac:dyDescent="0.2">
      <c r="BN3617" s="192"/>
      <c r="BO3617" s="197"/>
      <c r="BP3617" s="197"/>
      <c r="BQ3617" s="197"/>
    </row>
    <row r="3618" spans="66:69" x14ac:dyDescent="0.2">
      <c r="BN3618" s="192"/>
      <c r="BO3618" s="197"/>
      <c r="BP3618" s="197"/>
      <c r="BQ3618" s="197"/>
    </row>
    <row r="3619" spans="66:69" x14ac:dyDescent="0.2">
      <c r="BN3619" s="192"/>
      <c r="BO3619" s="197"/>
      <c r="BP3619" s="197"/>
      <c r="BQ3619" s="197"/>
    </row>
    <row r="3620" spans="66:69" x14ac:dyDescent="0.2">
      <c r="BN3620" s="192"/>
      <c r="BO3620" s="197"/>
      <c r="BP3620" s="197"/>
      <c r="BQ3620" s="197"/>
    </row>
    <row r="3621" spans="66:69" x14ac:dyDescent="0.2">
      <c r="BN3621" s="192"/>
      <c r="BO3621" s="197"/>
      <c r="BP3621" s="197"/>
      <c r="BQ3621" s="197"/>
    </row>
    <row r="3622" spans="66:69" x14ac:dyDescent="0.2">
      <c r="BN3622" s="192"/>
      <c r="BO3622" s="197"/>
      <c r="BP3622" s="197"/>
      <c r="BQ3622" s="197"/>
    </row>
    <row r="3623" spans="66:69" x14ac:dyDescent="0.2">
      <c r="BN3623" s="192"/>
      <c r="BO3623" s="197"/>
      <c r="BP3623" s="197"/>
      <c r="BQ3623" s="197"/>
    </row>
    <row r="3624" spans="66:69" x14ac:dyDescent="0.2">
      <c r="BN3624" s="192"/>
      <c r="BO3624" s="197"/>
      <c r="BP3624" s="197"/>
      <c r="BQ3624" s="197"/>
    </row>
    <row r="3625" spans="66:69" x14ac:dyDescent="0.2">
      <c r="BN3625" s="192"/>
      <c r="BO3625" s="197"/>
      <c r="BP3625" s="197"/>
      <c r="BQ3625" s="197"/>
    </row>
    <row r="3626" spans="66:69" x14ac:dyDescent="0.2">
      <c r="BN3626" s="192"/>
      <c r="BO3626" s="197"/>
      <c r="BP3626" s="197"/>
      <c r="BQ3626" s="197"/>
    </row>
    <row r="3627" spans="66:69" x14ac:dyDescent="0.2">
      <c r="BN3627" s="192"/>
      <c r="BO3627" s="197"/>
      <c r="BP3627" s="197"/>
      <c r="BQ3627" s="197"/>
    </row>
    <row r="3628" spans="66:69" x14ac:dyDescent="0.2">
      <c r="BN3628" s="192"/>
      <c r="BO3628" s="197"/>
      <c r="BP3628" s="197"/>
      <c r="BQ3628" s="197"/>
    </row>
    <row r="3629" spans="66:69" x14ac:dyDescent="0.2">
      <c r="BN3629" s="192"/>
      <c r="BO3629" s="197"/>
      <c r="BP3629" s="197"/>
      <c r="BQ3629" s="197"/>
    </row>
    <row r="3630" spans="66:69" x14ac:dyDescent="0.2">
      <c r="BN3630" s="192"/>
      <c r="BO3630" s="197"/>
      <c r="BP3630" s="197"/>
      <c r="BQ3630" s="197"/>
    </row>
    <row r="3631" spans="66:69" x14ac:dyDescent="0.2">
      <c r="BN3631" s="192"/>
      <c r="BO3631" s="197"/>
      <c r="BP3631" s="197"/>
      <c r="BQ3631" s="197"/>
    </row>
    <row r="3632" spans="66:69" x14ac:dyDescent="0.2">
      <c r="BN3632" s="192"/>
      <c r="BO3632" s="197"/>
      <c r="BP3632" s="197"/>
      <c r="BQ3632" s="197"/>
    </row>
    <row r="3633" spans="66:69" x14ac:dyDescent="0.2">
      <c r="BN3633" s="192"/>
      <c r="BO3633" s="197"/>
      <c r="BP3633" s="197"/>
      <c r="BQ3633" s="197"/>
    </row>
    <row r="3634" spans="66:69" x14ac:dyDescent="0.2">
      <c r="BN3634" s="192"/>
      <c r="BO3634" s="197"/>
      <c r="BP3634" s="197"/>
      <c r="BQ3634" s="197"/>
    </row>
    <row r="3635" spans="66:69" x14ac:dyDescent="0.2">
      <c r="BN3635" s="192"/>
      <c r="BO3635" s="197"/>
      <c r="BP3635" s="197"/>
      <c r="BQ3635" s="197"/>
    </row>
    <row r="3636" spans="66:69" x14ac:dyDescent="0.2">
      <c r="BN3636" s="192"/>
      <c r="BO3636" s="197"/>
      <c r="BP3636" s="197"/>
      <c r="BQ3636" s="197"/>
    </row>
    <row r="3637" spans="66:69" x14ac:dyDescent="0.2">
      <c r="BN3637" s="192"/>
      <c r="BO3637" s="197"/>
      <c r="BP3637" s="197"/>
      <c r="BQ3637" s="197"/>
    </row>
    <row r="3638" spans="66:69" x14ac:dyDescent="0.2">
      <c r="BN3638" s="192"/>
      <c r="BO3638" s="197"/>
      <c r="BP3638" s="197"/>
      <c r="BQ3638" s="197"/>
    </row>
    <row r="3639" spans="66:69" x14ac:dyDescent="0.2">
      <c r="BN3639" s="192"/>
      <c r="BO3639" s="197"/>
      <c r="BP3639" s="197"/>
      <c r="BQ3639" s="197"/>
    </row>
    <row r="3640" spans="66:69" x14ac:dyDescent="0.2">
      <c r="BN3640" s="192"/>
      <c r="BO3640" s="197"/>
      <c r="BP3640" s="197"/>
      <c r="BQ3640" s="197"/>
    </row>
    <row r="3641" spans="66:69" x14ac:dyDescent="0.2">
      <c r="BN3641" s="192"/>
      <c r="BO3641" s="197"/>
      <c r="BP3641" s="197"/>
      <c r="BQ3641" s="197"/>
    </row>
    <row r="3642" spans="66:69" x14ac:dyDescent="0.2">
      <c r="BN3642" s="192"/>
      <c r="BO3642" s="197"/>
      <c r="BP3642" s="197"/>
      <c r="BQ3642" s="197"/>
    </row>
    <row r="3643" spans="66:69" x14ac:dyDescent="0.2">
      <c r="BN3643" s="192"/>
      <c r="BO3643" s="197"/>
      <c r="BP3643" s="197"/>
      <c r="BQ3643" s="197"/>
    </row>
    <row r="3644" spans="66:69" x14ac:dyDescent="0.2">
      <c r="BN3644" s="192"/>
      <c r="BO3644" s="197"/>
      <c r="BP3644" s="197"/>
      <c r="BQ3644" s="197"/>
    </row>
    <row r="3645" spans="66:69" x14ac:dyDescent="0.2">
      <c r="BN3645" s="192"/>
      <c r="BO3645" s="197"/>
      <c r="BP3645" s="197"/>
      <c r="BQ3645" s="197"/>
    </row>
    <row r="3646" spans="66:69" x14ac:dyDescent="0.2">
      <c r="BN3646" s="192"/>
      <c r="BO3646" s="197"/>
      <c r="BP3646" s="197"/>
      <c r="BQ3646" s="197"/>
    </row>
    <row r="3647" spans="66:69" x14ac:dyDescent="0.2">
      <c r="BN3647" s="192"/>
      <c r="BO3647" s="197"/>
      <c r="BP3647" s="197"/>
      <c r="BQ3647" s="197"/>
    </row>
    <row r="3648" spans="66:69" x14ac:dyDescent="0.2">
      <c r="BN3648" s="192"/>
      <c r="BO3648" s="197"/>
      <c r="BP3648" s="197"/>
      <c r="BQ3648" s="197"/>
    </row>
    <row r="3649" spans="66:69" x14ac:dyDescent="0.2">
      <c r="BN3649" s="192"/>
      <c r="BO3649" s="197"/>
      <c r="BP3649" s="197"/>
      <c r="BQ3649" s="197"/>
    </row>
    <row r="3650" spans="66:69" x14ac:dyDescent="0.2">
      <c r="BN3650" s="192"/>
      <c r="BO3650" s="197"/>
      <c r="BP3650" s="197"/>
      <c r="BQ3650" s="197"/>
    </row>
    <row r="3651" spans="66:69" x14ac:dyDescent="0.2">
      <c r="BN3651" s="192"/>
      <c r="BO3651" s="197"/>
      <c r="BP3651" s="197"/>
      <c r="BQ3651" s="197"/>
    </row>
    <row r="3652" spans="66:69" x14ac:dyDescent="0.2">
      <c r="BN3652" s="192"/>
      <c r="BO3652" s="197"/>
      <c r="BP3652" s="197"/>
      <c r="BQ3652" s="197"/>
    </row>
    <row r="3653" spans="66:69" x14ac:dyDescent="0.2">
      <c r="BN3653" s="192"/>
      <c r="BO3653" s="197"/>
      <c r="BP3653" s="197"/>
      <c r="BQ3653" s="197"/>
    </row>
    <row r="3654" spans="66:69" x14ac:dyDescent="0.2">
      <c r="BN3654" s="192"/>
      <c r="BO3654" s="197"/>
      <c r="BP3654" s="197"/>
      <c r="BQ3654" s="197"/>
    </row>
    <row r="3655" spans="66:69" x14ac:dyDescent="0.2">
      <c r="BN3655" s="192"/>
      <c r="BO3655" s="197"/>
      <c r="BP3655" s="197"/>
      <c r="BQ3655" s="197"/>
    </row>
    <row r="3656" spans="66:69" x14ac:dyDescent="0.2">
      <c r="BN3656" s="192"/>
      <c r="BO3656" s="197"/>
      <c r="BP3656" s="197"/>
      <c r="BQ3656" s="197"/>
    </row>
    <row r="3657" spans="66:69" x14ac:dyDescent="0.2">
      <c r="BN3657" s="192"/>
      <c r="BO3657" s="197"/>
      <c r="BP3657" s="197"/>
      <c r="BQ3657" s="197"/>
    </row>
    <row r="3658" spans="66:69" x14ac:dyDescent="0.2">
      <c r="BN3658" s="192"/>
      <c r="BO3658" s="197"/>
      <c r="BP3658" s="197"/>
      <c r="BQ3658" s="197"/>
    </row>
    <row r="3659" spans="66:69" x14ac:dyDescent="0.2">
      <c r="BN3659" s="192"/>
      <c r="BO3659" s="197"/>
      <c r="BP3659" s="197"/>
      <c r="BQ3659" s="197"/>
    </row>
    <row r="3660" spans="66:69" x14ac:dyDescent="0.2">
      <c r="BN3660" s="192"/>
      <c r="BO3660" s="197"/>
      <c r="BP3660" s="197"/>
      <c r="BQ3660" s="197"/>
    </row>
    <row r="3661" spans="66:69" x14ac:dyDescent="0.2">
      <c r="BN3661" s="192"/>
      <c r="BO3661" s="197"/>
      <c r="BP3661" s="197"/>
      <c r="BQ3661" s="197"/>
    </row>
    <row r="3662" spans="66:69" x14ac:dyDescent="0.2">
      <c r="BN3662" s="192"/>
      <c r="BO3662" s="197"/>
      <c r="BP3662" s="197"/>
      <c r="BQ3662" s="197"/>
    </row>
    <row r="3663" spans="66:69" x14ac:dyDescent="0.2">
      <c r="BN3663" s="192"/>
      <c r="BO3663" s="197"/>
      <c r="BP3663" s="197"/>
      <c r="BQ3663" s="197"/>
    </row>
    <row r="3664" spans="66:69" x14ac:dyDescent="0.2">
      <c r="BN3664" s="192"/>
      <c r="BO3664" s="197"/>
      <c r="BP3664" s="197"/>
      <c r="BQ3664" s="197"/>
    </row>
    <row r="3665" spans="66:69" x14ac:dyDescent="0.2">
      <c r="BN3665" s="192"/>
      <c r="BO3665" s="197"/>
      <c r="BP3665" s="197"/>
      <c r="BQ3665" s="197"/>
    </row>
    <row r="3666" spans="66:69" x14ac:dyDescent="0.2">
      <c r="BN3666" s="192"/>
      <c r="BO3666" s="197"/>
      <c r="BP3666" s="197"/>
      <c r="BQ3666" s="197"/>
    </row>
    <row r="3667" spans="66:69" x14ac:dyDescent="0.2">
      <c r="BN3667" s="192"/>
      <c r="BO3667" s="197"/>
      <c r="BP3667" s="197"/>
      <c r="BQ3667" s="197"/>
    </row>
    <row r="3668" spans="66:69" x14ac:dyDescent="0.2">
      <c r="BN3668" s="192"/>
      <c r="BO3668" s="197"/>
      <c r="BP3668" s="197"/>
      <c r="BQ3668" s="197"/>
    </row>
    <row r="3669" spans="66:69" x14ac:dyDescent="0.2">
      <c r="BN3669" s="192"/>
      <c r="BO3669" s="197"/>
      <c r="BP3669" s="197"/>
      <c r="BQ3669" s="197"/>
    </row>
    <row r="3670" spans="66:69" x14ac:dyDescent="0.2">
      <c r="BN3670" s="192"/>
      <c r="BO3670" s="197"/>
      <c r="BP3670" s="197"/>
      <c r="BQ3670" s="197"/>
    </row>
    <row r="3671" spans="66:69" x14ac:dyDescent="0.2">
      <c r="BN3671" s="192"/>
      <c r="BO3671" s="197"/>
      <c r="BP3671" s="197"/>
      <c r="BQ3671" s="197"/>
    </row>
    <row r="3672" spans="66:69" x14ac:dyDescent="0.2">
      <c r="BN3672" s="192"/>
      <c r="BO3672" s="197"/>
      <c r="BP3672" s="197"/>
      <c r="BQ3672" s="197"/>
    </row>
    <row r="3673" spans="66:69" x14ac:dyDescent="0.2">
      <c r="BN3673" s="192"/>
      <c r="BO3673" s="197"/>
      <c r="BP3673" s="197"/>
      <c r="BQ3673" s="197"/>
    </row>
    <row r="3674" spans="66:69" x14ac:dyDescent="0.2">
      <c r="BN3674" s="192"/>
      <c r="BO3674" s="197"/>
      <c r="BP3674" s="197"/>
      <c r="BQ3674" s="197"/>
    </row>
    <row r="3675" spans="66:69" x14ac:dyDescent="0.2">
      <c r="BN3675" s="192"/>
      <c r="BO3675" s="197"/>
      <c r="BP3675" s="197"/>
      <c r="BQ3675" s="197"/>
    </row>
    <row r="3676" spans="66:69" x14ac:dyDescent="0.2">
      <c r="BN3676" s="192"/>
      <c r="BO3676" s="197"/>
      <c r="BP3676" s="197"/>
      <c r="BQ3676" s="197"/>
    </row>
    <row r="3677" spans="66:69" x14ac:dyDescent="0.2">
      <c r="BN3677" s="192"/>
      <c r="BO3677" s="197"/>
      <c r="BP3677" s="197"/>
      <c r="BQ3677" s="197"/>
    </row>
    <row r="3678" spans="66:69" x14ac:dyDescent="0.2">
      <c r="BN3678" s="192"/>
      <c r="BO3678" s="197"/>
      <c r="BP3678" s="197"/>
      <c r="BQ3678" s="197"/>
    </row>
    <row r="3679" spans="66:69" x14ac:dyDescent="0.2">
      <c r="BN3679" s="192"/>
      <c r="BO3679" s="197"/>
      <c r="BP3679" s="197"/>
      <c r="BQ3679" s="197"/>
    </row>
    <row r="3680" spans="66:69" x14ac:dyDescent="0.2">
      <c r="BN3680" s="192"/>
      <c r="BO3680" s="197"/>
      <c r="BP3680" s="197"/>
      <c r="BQ3680" s="197"/>
    </row>
    <row r="3681" spans="66:69" x14ac:dyDescent="0.2">
      <c r="BN3681" s="192"/>
      <c r="BO3681" s="197"/>
      <c r="BP3681" s="197"/>
      <c r="BQ3681" s="197"/>
    </row>
    <row r="3682" spans="66:69" x14ac:dyDescent="0.2">
      <c r="BN3682" s="192"/>
      <c r="BO3682" s="197"/>
      <c r="BP3682" s="197"/>
      <c r="BQ3682" s="197"/>
    </row>
    <row r="3683" spans="66:69" x14ac:dyDescent="0.2">
      <c r="BN3683" s="192"/>
      <c r="BO3683" s="197"/>
      <c r="BP3683" s="197"/>
      <c r="BQ3683" s="197"/>
    </row>
    <row r="3684" spans="66:69" x14ac:dyDescent="0.2">
      <c r="BN3684" s="192"/>
      <c r="BO3684" s="197"/>
      <c r="BP3684" s="197"/>
      <c r="BQ3684" s="197"/>
    </row>
    <row r="3685" spans="66:69" x14ac:dyDescent="0.2">
      <c r="BN3685" s="192"/>
      <c r="BO3685" s="197"/>
      <c r="BP3685" s="197"/>
      <c r="BQ3685" s="197"/>
    </row>
    <row r="3686" spans="66:69" x14ac:dyDescent="0.2">
      <c r="BN3686" s="192"/>
      <c r="BO3686" s="197"/>
      <c r="BP3686" s="197"/>
      <c r="BQ3686" s="197"/>
    </row>
    <row r="3687" spans="66:69" x14ac:dyDescent="0.2">
      <c r="BN3687" s="192"/>
      <c r="BO3687" s="197"/>
      <c r="BP3687" s="197"/>
      <c r="BQ3687" s="197"/>
    </row>
    <row r="3688" spans="66:69" x14ac:dyDescent="0.2">
      <c r="BN3688" s="192"/>
      <c r="BO3688" s="197"/>
      <c r="BP3688" s="197"/>
      <c r="BQ3688" s="197"/>
    </row>
    <row r="3689" spans="66:69" x14ac:dyDescent="0.2">
      <c r="BN3689" s="192"/>
      <c r="BO3689" s="197"/>
      <c r="BP3689" s="197"/>
      <c r="BQ3689" s="197"/>
    </row>
    <row r="3690" spans="66:69" x14ac:dyDescent="0.2">
      <c r="BN3690" s="192"/>
      <c r="BO3690" s="197"/>
      <c r="BP3690" s="197"/>
      <c r="BQ3690" s="197"/>
    </row>
    <row r="3691" spans="66:69" x14ac:dyDescent="0.2">
      <c r="BN3691" s="192"/>
      <c r="BO3691" s="197"/>
      <c r="BP3691" s="197"/>
      <c r="BQ3691" s="197"/>
    </row>
    <row r="3692" spans="66:69" x14ac:dyDescent="0.2">
      <c r="BN3692" s="192"/>
      <c r="BO3692" s="197"/>
      <c r="BP3692" s="197"/>
      <c r="BQ3692" s="197"/>
    </row>
    <row r="3693" spans="66:69" x14ac:dyDescent="0.2">
      <c r="BN3693" s="192"/>
      <c r="BO3693" s="197"/>
      <c r="BP3693" s="197"/>
      <c r="BQ3693" s="197"/>
    </row>
    <row r="3694" spans="66:69" x14ac:dyDescent="0.2">
      <c r="BN3694" s="192"/>
      <c r="BO3694" s="197"/>
      <c r="BP3694" s="197"/>
      <c r="BQ3694" s="197"/>
    </row>
    <row r="3695" spans="66:69" x14ac:dyDescent="0.2">
      <c r="BN3695" s="192"/>
      <c r="BO3695" s="197"/>
      <c r="BP3695" s="197"/>
      <c r="BQ3695" s="197"/>
    </row>
    <row r="3696" spans="66:69" x14ac:dyDescent="0.2">
      <c r="BN3696" s="192"/>
      <c r="BO3696" s="197"/>
      <c r="BP3696" s="197"/>
      <c r="BQ3696" s="197"/>
    </row>
    <row r="3697" spans="66:69" x14ac:dyDescent="0.2">
      <c r="BN3697" s="192"/>
      <c r="BO3697" s="197"/>
      <c r="BP3697" s="197"/>
      <c r="BQ3697" s="197"/>
    </row>
    <row r="3698" spans="66:69" x14ac:dyDescent="0.2">
      <c r="BN3698" s="192"/>
      <c r="BO3698" s="197"/>
      <c r="BP3698" s="197"/>
      <c r="BQ3698" s="197"/>
    </row>
    <row r="3699" spans="66:69" x14ac:dyDescent="0.2">
      <c r="BN3699" s="192"/>
      <c r="BO3699" s="197"/>
      <c r="BP3699" s="197"/>
      <c r="BQ3699" s="197"/>
    </row>
    <row r="3700" spans="66:69" x14ac:dyDescent="0.2">
      <c r="BN3700" s="192"/>
      <c r="BO3700" s="197"/>
      <c r="BP3700" s="197"/>
      <c r="BQ3700" s="197"/>
    </row>
    <row r="3701" spans="66:69" x14ac:dyDescent="0.2">
      <c r="BN3701" s="192"/>
      <c r="BO3701" s="197"/>
      <c r="BP3701" s="197"/>
      <c r="BQ3701" s="197"/>
    </row>
    <row r="3702" spans="66:69" x14ac:dyDescent="0.2">
      <c r="BN3702" s="192"/>
      <c r="BO3702" s="197"/>
      <c r="BP3702" s="197"/>
      <c r="BQ3702" s="197"/>
    </row>
    <row r="3703" spans="66:69" x14ac:dyDescent="0.2">
      <c r="BN3703" s="192"/>
      <c r="BO3703" s="197"/>
      <c r="BP3703" s="197"/>
      <c r="BQ3703" s="197"/>
    </row>
    <row r="3704" spans="66:69" x14ac:dyDescent="0.2">
      <c r="BN3704" s="192"/>
      <c r="BO3704" s="197"/>
      <c r="BP3704" s="197"/>
      <c r="BQ3704" s="197"/>
    </row>
    <row r="3705" spans="66:69" x14ac:dyDescent="0.2">
      <c r="BN3705" s="192"/>
      <c r="BO3705" s="197"/>
      <c r="BP3705" s="197"/>
      <c r="BQ3705" s="197"/>
    </row>
    <row r="3706" spans="66:69" x14ac:dyDescent="0.2">
      <c r="BN3706" s="192"/>
      <c r="BO3706" s="197"/>
      <c r="BP3706" s="197"/>
      <c r="BQ3706" s="197"/>
    </row>
    <row r="3707" spans="66:69" x14ac:dyDescent="0.2">
      <c r="BN3707" s="192"/>
      <c r="BO3707" s="197"/>
      <c r="BP3707" s="197"/>
      <c r="BQ3707" s="197"/>
    </row>
    <row r="3708" spans="66:69" x14ac:dyDescent="0.2">
      <c r="BN3708" s="192"/>
      <c r="BO3708" s="197"/>
      <c r="BP3708" s="197"/>
      <c r="BQ3708" s="197"/>
    </row>
    <row r="3709" spans="66:69" x14ac:dyDescent="0.2">
      <c r="BN3709" s="192"/>
      <c r="BO3709" s="197"/>
      <c r="BP3709" s="197"/>
      <c r="BQ3709" s="197"/>
    </row>
    <row r="3710" spans="66:69" x14ac:dyDescent="0.2">
      <c r="BN3710" s="192"/>
      <c r="BO3710" s="197"/>
      <c r="BP3710" s="197"/>
      <c r="BQ3710" s="197"/>
    </row>
    <row r="3711" spans="66:69" x14ac:dyDescent="0.2">
      <c r="BN3711" s="192"/>
      <c r="BO3711" s="197"/>
      <c r="BP3711" s="197"/>
      <c r="BQ3711" s="197"/>
    </row>
    <row r="3712" spans="66:69" x14ac:dyDescent="0.2">
      <c r="BN3712" s="192"/>
      <c r="BO3712" s="197"/>
      <c r="BP3712" s="197"/>
      <c r="BQ3712" s="197"/>
    </row>
    <row r="3713" spans="66:69" x14ac:dyDescent="0.2">
      <c r="BN3713" s="192"/>
      <c r="BO3713" s="197"/>
      <c r="BP3713" s="197"/>
      <c r="BQ3713" s="197"/>
    </row>
    <row r="3714" spans="66:69" x14ac:dyDescent="0.2">
      <c r="BN3714" s="192"/>
      <c r="BO3714" s="197"/>
      <c r="BP3714" s="197"/>
      <c r="BQ3714" s="197"/>
    </row>
    <row r="3715" spans="66:69" x14ac:dyDescent="0.2">
      <c r="BN3715" s="192"/>
      <c r="BO3715" s="197"/>
      <c r="BP3715" s="197"/>
      <c r="BQ3715" s="197"/>
    </row>
    <row r="3716" spans="66:69" x14ac:dyDescent="0.2">
      <c r="BN3716" s="192"/>
      <c r="BO3716" s="197"/>
      <c r="BP3716" s="197"/>
      <c r="BQ3716" s="197"/>
    </row>
    <row r="3717" spans="66:69" x14ac:dyDescent="0.2">
      <c r="BN3717" s="192"/>
      <c r="BO3717" s="197"/>
      <c r="BP3717" s="197"/>
      <c r="BQ3717" s="197"/>
    </row>
    <row r="3718" spans="66:69" x14ac:dyDescent="0.2">
      <c r="BN3718" s="192"/>
      <c r="BO3718" s="197"/>
      <c r="BP3718" s="197"/>
      <c r="BQ3718" s="197"/>
    </row>
    <row r="3719" spans="66:69" x14ac:dyDescent="0.2">
      <c r="BN3719" s="192"/>
      <c r="BO3719" s="197"/>
      <c r="BP3719" s="197"/>
      <c r="BQ3719" s="197"/>
    </row>
    <row r="3720" spans="66:69" x14ac:dyDescent="0.2">
      <c r="BN3720" s="192"/>
      <c r="BO3720" s="197"/>
      <c r="BP3720" s="197"/>
      <c r="BQ3720" s="197"/>
    </row>
    <row r="3721" spans="66:69" x14ac:dyDescent="0.2">
      <c r="BN3721" s="192"/>
      <c r="BO3721" s="197"/>
      <c r="BP3721" s="197"/>
      <c r="BQ3721" s="197"/>
    </row>
    <row r="3722" spans="66:69" x14ac:dyDescent="0.2">
      <c r="BN3722" s="192"/>
      <c r="BO3722" s="197"/>
      <c r="BP3722" s="197"/>
      <c r="BQ3722" s="197"/>
    </row>
    <row r="3723" spans="66:69" x14ac:dyDescent="0.2">
      <c r="BN3723" s="192"/>
      <c r="BO3723" s="197"/>
      <c r="BP3723" s="197"/>
      <c r="BQ3723" s="197"/>
    </row>
    <row r="3724" spans="66:69" x14ac:dyDescent="0.2">
      <c r="BN3724" s="192"/>
      <c r="BO3724" s="197"/>
      <c r="BP3724" s="197"/>
      <c r="BQ3724" s="197"/>
    </row>
    <row r="3725" spans="66:69" x14ac:dyDescent="0.2">
      <c r="BN3725" s="192"/>
      <c r="BO3725" s="197"/>
      <c r="BP3725" s="197"/>
      <c r="BQ3725" s="197"/>
    </row>
    <row r="3726" spans="66:69" x14ac:dyDescent="0.2">
      <c r="BN3726" s="192"/>
      <c r="BO3726" s="197"/>
      <c r="BP3726" s="197"/>
      <c r="BQ3726" s="197"/>
    </row>
    <row r="3727" spans="66:69" x14ac:dyDescent="0.2">
      <c r="BN3727" s="192"/>
      <c r="BO3727" s="197"/>
      <c r="BP3727" s="197"/>
      <c r="BQ3727" s="197"/>
    </row>
    <row r="3728" spans="66:69" x14ac:dyDescent="0.2">
      <c r="BN3728" s="192"/>
      <c r="BO3728" s="197"/>
      <c r="BP3728" s="197"/>
      <c r="BQ3728" s="197"/>
    </row>
    <row r="3729" spans="66:69" x14ac:dyDescent="0.2">
      <c r="BN3729" s="192"/>
      <c r="BO3729" s="197"/>
      <c r="BP3729" s="197"/>
      <c r="BQ3729" s="197"/>
    </row>
    <row r="3730" spans="66:69" x14ac:dyDescent="0.2">
      <c r="BN3730" s="192"/>
      <c r="BO3730" s="197"/>
      <c r="BP3730" s="197"/>
      <c r="BQ3730" s="197"/>
    </row>
    <row r="3731" spans="66:69" x14ac:dyDescent="0.2">
      <c r="BN3731" s="192"/>
      <c r="BO3731" s="197"/>
      <c r="BP3731" s="197"/>
      <c r="BQ3731" s="197"/>
    </row>
    <row r="3732" spans="66:69" x14ac:dyDescent="0.2">
      <c r="BN3732" s="192"/>
      <c r="BO3732" s="197"/>
      <c r="BP3732" s="197"/>
      <c r="BQ3732" s="197"/>
    </row>
    <row r="3733" spans="66:69" x14ac:dyDescent="0.2">
      <c r="BN3733" s="192"/>
      <c r="BO3733" s="197"/>
      <c r="BP3733" s="197"/>
      <c r="BQ3733" s="197"/>
    </row>
    <row r="3734" spans="66:69" x14ac:dyDescent="0.2">
      <c r="BN3734" s="192"/>
      <c r="BO3734" s="197"/>
      <c r="BP3734" s="197"/>
      <c r="BQ3734" s="197"/>
    </row>
    <row r="3735" spans="66:69" x14ac:dyDescent="0.2">
      <c r="BN3735" s="192"/>
      <c r="BO3735" s="197"/>
      <c r="BP3735" s="197"/>
      <c r="BQ3735" s="197"/>
    </row>
    <row r="3736" spans="66:69" x14ac:dyDescent="0.2">
      <c r="BN3736" s="192"/>
      <c r="BO3736" s="197"/>
      <c r="BP3736" s="197"/>
      <c r="BQ3736" s="197"/>
    </row>
    <row r="3737" spans="66:69" x14ac:dyDescent="0.2">
      <c r="BN3737" s="192"/>
      <c r="BO3737" s="197"/>
      <c r="BP3737" s="197"/>
      <c r="BQ3737" s="197"/>
    </row>
    <row r="3738" spans="66:69" x14ac:dyDescent="0.2">
      <c r="BN3738" s="192"/>
      <c r="BO3738" s="197"/>
      <c r="BP3738" s="197"/>
      <c r="BQ3738" s="197"/>
    </row>
    <row r="3739" spans="66:69" x14ac:dyDescent="0.2">
      <c r="BN3739" s="192"/>
      <c r="BO3739" s="197"/>
      <c r="BP3739" s="197"/>
      <c r="BQ3739" s="197"/>
    </row>
    <row r="3740" spans="66:69" x14ac:dyDescent="0.2">
      <c r="BN3740" s="192"/>
      <c r="BO3740" s="197"/>
      <c r="BP3740" s="197"/>
      <c r="BQ3740" s="197"/>
    </row>
    <row r="3741" spans="66:69" x14ac:dyDescent="0.2">
      <c r="BN3741" s="192"/>
      <c r="BO3741" s="197"/>
      <c r="BP3741" s="197"/>
      <c r="BQ3741" s="197"/>
    </row>
    <row r="3742" spans="66:69" x14ac:dyDescent="0.2">
      <c r="BN3742" s="192"/>
      <c r="BO3742" s="197"/>
      <c r="BP3742" s="197"/>
      <c r="BQ3742" s="197"/>
    </row>
    <row r="3743" spans="66:69" x14ac:dyDescent="0.2">
      <c r="BN3743" s="192"/>
      <c r="BO3743" s="197"/>
      <c r="BP3743" s="197"/>
      <c r="BQ3743" s="197"/>
    </row>
    <row r="3744" spans="66:69" x14ac:dyDescent="0.2">
      <c r="BN3744" s="192"/>
      <c r="BO3744" s="197"/>
      <c r="BP3744" s="197"/>
      <c r="BQ3744" s="197"/>
    </row>
    <row r="3745" spans="66:69" x14ac:dyDescent="0.2">
      <c r="BN3745" s="192"/>
      <c r="BO3745" s="197"/>
      <c r="BP3745" s="197"/>
      <c r="BQ3745" s="197"/>
    </row>
    <row r="3746" spans="66:69" x14ac:dyDescent="0.2">
      <c r="BN3746" s="192"/>
      <c r="BO3746" s="197"/>
      <c r="BP3746" s="197"/>
      <c r="BQ3746" s="197"/>
    </row>
    <row r="3747" spans="66:69" x14ac:dyDescent="0.2">
      <c r="BN3747" s="192"/>
      <c r="BO3747" s="197"/>
      <c r="BP3747" s="197"/>
      <c r="BQ3747" s="197"/>
    </row>
    <row r="3748" spans="66:69" x14ac:dyDescent="0.2">
      <c r="BN3748" s="192"/>
      <c r="BO3748" s="197"/>
      <c r="BP3748" s="197"/>
      <c r="BQ3748" s="197"/>
    </row>
    <row r="3749" spans="66:69" x14ac:dyDescent="0.2">
      <c r="BN3749" s="192"/>
      <c r="BO3749" s="197"/>
      <c r="BP3749" s="197"/>
      <c r="BQ3749" s="197"/>
    </row>
    <row r="3750" spans="66:69" x14ac:dyDescent="0.2">
      <c r="BN3750" s="192"/>
      <c r="BO3750" s="197"/>
      <c r="BP3750" s="197"/>
      <c r="BQ3750" s="197"/>
    </row>
    <row r="3751" spans="66:69" x14ac:dyDescent="0.2">
      <c r="BN3751" s="192"/>
      <c r="BO3751" s="197"/>
      <c r="BP3751" s="197"/>
      <c r="BQ3751" s="197"/>
    </row>
    <row r="3752" spans="66:69" x14ac:dyDescent="0.2">
      <c r="BN3752" s="192"/>
      <c r="BO3752" s="197"/>
      <c r="BP3752" s="197"/>
      <c r="BQ3752" s="197"/>
    </row>
    <row r="3753" spans="66:69" x14ac:dyDescent="0.2">
      <c r="BN3753" s="192"/>
      <c r="BO3753" s="197"/>
      <c r="BP3753" s="197"/>
      <c r="BQ3753" s="197"/>
    </row>
    <row r="3754" spans="66:69" x14ac:dyDescent="0.2">
      <c r="BN3754" s="192"/>
      <c r="BO3754" s="197"/>
      <c r="BP3754" s="197"/>
      <c r="BQ3754" s="197"/>
    </row>
    <row r="3755" spans="66:69" x14ac:dyDescent="0.2">
      <c r="BN3755" s="192"/>
      <c r="BO3755" s="197"/>
      <c r="BP3755" s="197"/>
      <c r="BQ3755" s="197"/>
    </row>
    <row r="3756" spans="66:69" x14ac:dyDescent="0.2">
      <c r="BN3756" s="192"/>
      <c r="BO3756" s="197"/>
      <c r="BP3756" s="197"/>
      <c r="BQ3756" s="197"/>
    </row>
    <row r="3757" spans="66:69" x14ac:dyDescent="0.2">
      <c r="BN3757" s="192"/>
      <c r="BO3757" s="197"/>
      <c r="BP3757" s="197"/>
      <c r="BQ3757" s="197"/>
    </row>
    <row r="3758" spans="66:69" x14ac:dyDescent="0.2">
      <c r="BN3758" s="192"/>
      <c r="BO3758" s="197"/>
      <c r="BP3758" s="197"/>
      <c r="BQ3758" s="197"/>
    </row>
    <row r="3759" spans="66:69" x14ac:dyDescent="0.2">
      <c r="BN3759" s="192"/>
      <c r="BO3759" s="197"/>
      <c r="BP3759" s="197"/>
      <c r="BQ3759" s="197"/>
    </row>
    <row r="3760" spans="66:69" x14ac:dyDescent="0.2">
      <c r="BN3760" s="192"/>
      <c r="BO3760" s="197"/>
      <c r="BP3760" s="197"/>
      <c r="BQ3760" s="197"/>
    </row>
    <row r="3761" spans="66:69" x14ac:dyDescent="0.2">
      <c r="BN3761" s="192"/>
      <c r="BO3761" s="197"/>
      <c r="BP3761" s="197"/>
      <c r="BQ3761" s="197"/>
    </row>
    <row r="3762" spans="66:69" x14ac:dyDescent="0.2">
      <c r="BN3762" s="192"/>
      <c r="BO3762" s="197"/>
      <c r="BP3762" s="197"/>
      <c r="BQ3762" s="197"/>
    </row>
    <row r="3763" spans="66:69" x14ac:dyDescent="0.2">
      <c r="BN3763" s="192"/>
      <c r="BO3763" s="197"/>
      <c r="BP3763" s="197"/>
      <c r="BQ3763" s="197"/>
    </row>
    <row r="3764" spans="66:69" x14ac:dyDescent="0.2">
      <c r="BN3764" s="192"/>
      <c r="BO3764" s="197"/>
      <c r="BP3764" s="197"/>
      <c r="BQ3764" s="197"/>
    </row>
    <row r="3765" spans="66:69" x14ac:dyDescent="0.2">
      <c r="BN3765" s="192"/>
      <c r="BO3765" s="197"/>
      <c r="BP3765" s="197"/>
      <c r="BQ3765" s="197"/>
    </row>
    <row r="3766" spans="66:69" x14ac:dyDescent="0.2">
      <c r="BN3766" s="192"/>
      <c r="BO3766" s="197"/>
      <c r="BP3766" s="197"/>
      <c r="BQ3766" s="197"/>
    </row>
    <row r="3767" spans="66:69" x14ac:dyDescent="0.2">
      <c r="BN3767" s="192"/>
      <c r="BO3767" s="197"/>
      <c r="BP3767" s="197"/>
      <c r="BQ3767" s="197"/>
    </row>
    <row r="3768" spans="66:69" x14ac:dyDescent="0.2">
      <c r="BN3768" s="192"/>
      <c r="BO3768" s="197"/>
      <c r="BP3768" s="197"/>
      <c r="BQ3768" s="197"/>
    </row>
    <row r="3769" spans="66:69" x14ac:dyDescent="0.2">
      <c r="BN3769" s="192"/>
      <c r="BO3769" s="197"/>
      <c r="BP3769" s="197"/>
      <c r="BQ3769" s="197"/>
    </row>
    <row r="3770" spans="66:69" x14ac:dyDescent="0.2">
      <c r="BN3770" s="192"/>
      <c r="BO3770" s="197"/>
      <c r="BP3770" s="197"/>
      <c r="BQ3770" s="197"/>
    </row>
    <row r="3771" spans="66:69" x14ac:dyDescent="0.2">
      <c r="BN3771" s="192"/>
      <c r="BO3771" s="197"/>
      <c r="BP3771" s="197"/>
      <c r="BQ3771" s="197"/>
    </row>
    <row r="3772" spans="66:69" x14ac:dyDescent="0.2">
      <c r="BN3772" s="192"/>
      <c r="BO3772" s="197"/>
      <c r="BP3772" s="197"/>
      <c r="BQ3772" s="197"/>
    </row>
    <row r="3773" spans="66:69" x14ac:dyDescent="0.2">
      <c r="BN3773" s="192"/>
      <c r="BO3773" s="197"/>
      <c r="BP3773" s="197"/>
      <c r="BQ3773" s="197"/>
    </row>
    <row r="3774" spans="66:69" x14ac:dyDescent="0.2">
      <c r="BN3774" s="192"/>
      <c r="BO3774" s="197"/>
      <c r="BP3774" s="197"/>
      <c r="BQ3774" s="197"/>
    </row>
    <row r="3775" spans="66:69" x14ac:dyDescent="0.2">
      <c r="BN3775" s="192"/>
      <c r="BO3775" s="197"/>
      <c r="BP3775" s="197"/>
      <c r="BQ3775" s="197"/>
    </row>
    <row r="3776" spans="66:69" x14ac:dyDescent="0.2">
      <c r="BN3776" s="192"/>
      <c r="BO3776" s="197"/>
      <c r="BP3776" s="197"/>
      <c r="BQ3776" s="197"/>
    </row>
    <row r="3777" spans="66:69" x14ac:dyDescent="0.2">
      <c r="BN3777" s="192"/>
      <c r="BO3777" s="197"/>
      <c r="BP3777" s="197"/>
      <c r="BQ3777" s="197"/>
    </row>
    <row r="3778" spans="66:69" x14ac:dyDescent="0.2">
      <c r="BN3778" s="192"/>
      <c r="BO3778" s="197"/>
      <c r="BP3778" s="197"/>
      <c r="BQ3778" s="197"/>
    </row>
    <row r="3779" spans="66:69" x14ac:dyDescent="0.2">
      <c r="BN3779" s="192"/>
      <c r="BO3779" s="197"/>
      <c r="BP3779" s="197"/>
      <c r="BQ3779" s="197"/>
    </row>
    <row r="3780" spans="66:69" x14ac:dyDescent="0.2">
      <c r="BN3780" s="192"/>
      <c r="BO3780" s="197"/>
      <c r="BP3780" s="197"/>
      <c r="BQ3780" s="197"/>
    </row>
    <row r="3781" spans="66:69" x14ac:dyDescent="0.2">
      <c r="BN3781" s="192"/>
      <c r="BO3781" s="197"/>
      <c r="BP3781" s="197"/>
      <c r="BQ3781" s="197"/>
    </row>
    <row r="3782" spans="66:69" x14ac:dyDescent="0.2">
      <c r="BN3782" s="192"/>
      <c r="BO3782" s="197"/>
      <c r="BP3782" s="197"/>
      <c r="BQ3782" s="197"/>
    </row>
    <row r="3783" spans="66:69" x14ac:dyDescent="0.2">
      <c r="BN3783" s="192"/>
      <c r="BO3783" s="197"/>
      <c r="BP3783" s="197"/>
      <c r="BQ3783" s="197"/>
    </row>
    <row r="3784" spans="66:69" x14ac:dyDescent="0.2">
      <c r="BN3784" s="192"/>
      <c r="BO3784" s="197"/>
      <c r="BP3784" s="197"/>
      <c r="BQ3784" s="197"/>
    </row>
    <row r="3785" spans="66:69" x14ac:dyDescent="0.2">
      <c r="BN3785" s="192"/>
      <c r="BO3785" s="197"/>
      <c r="BP3785" s="197"/>
      <c r="BQ3785" s="197"/>
    </row>
    <row r="3786" spans="66:69" x14ac:dyDescent="0.2">
      <c r="BN3786" s="192"/>
      <c r="BO3786" s="197"/>
      <c r="BP3786" s="197"/>
      <c r="BQ3786" s="197"/>
    </row>
    <row r="3787" spans="66:69" x14ac:dyDescent="0.2">
      <c r="BN3787" s="192"/>
      <c r="BO3787" s="197"/>
      <c r="BP3787" s="197"/>
      <c r="BQ3787" s="197"/>
    </row>
    <row r="3788" spans="66:69" x14ac:dyDescent="0.2">
      <c r="BN3788" s="192"/>
      <c r="BO3788" s="197"/>
      <c r="BP3788" s="197"/>
      <c r="BQ3788" s="197"/>
    </row>
    <row r="3789" spans="66:69" x14ac:dyDescent="0.2">
      <c r="BN3789" s="192"/>
      <c r="BO3789" s="197"/>
      <c r="BP3789" s="197"/>
      <c r="BQ3789" s="197"/>
    </row>
    <row r="3790" spans="66:69" x14ac:dyDescent="0.2">
      <c r="BN3790" s="192"/>
      <c r="BO3790" s="197"/>
      <c r="BP3790" s="197"/>
      <c r="BQ3790" s="197"/>
    </row>
    <row r="3791" spans="66:69" x14ac:dyDescent="0.2">
      <c r="BN3791" s="192"/>
      <c r="BO3791" s="197"/>
      <c r="BP3791" s="197"/>
      <c r="BQ3791" s="197"/>
    </row>
    <row r="3792" spans="66:69" x14ac:dyDescent="0.2">
      <c r="BN3792" s="192"/>
      <c r="BO3792" s="197"/>
      <c r="BP3792" s="197"/>
      <c r="BQ3792" s="197"/>
    </row>
    <row r="3793" spans="66:69" x14ac:dyDescent="0.2">
      <c r="BN3793" s="192"/>
      <c r="BO3793" s="197"/>
      <c r="BP3793" s="197"/>
      <c r="BQ3793" s="197"/>
    </row>
    <row r="3794" spans="66:69" x14ac:dyDescent="0.2">
      <c r="BN3794" s="192"/>
      <c r="BO3794" s="197"/>
      <c r="BP3794" s="197"/>
      <c r="BQ3794" s="197"/>
    </row>
    <row r="3795" spans="66:69" x14ac:dyDescent="0.2">
      <c r="BN3795" s="192"/>
      <c r="BO3795" s="197"/>
      <c r="BP3795" s="197"/>
      <c r="BQ3795" s="197"/>
    </row>
    <row r="3796" spans="66:69" x14ac:dyDescent="0.2">
      <c r="BN3796" s="192"/>
      <c r="BO3796" s="197"/>
      <c r="BP3796" s="197"/>
      <c r="BQ3796" s="197"/>
    </row>
    <row r="3797" spans="66:69" x14ac:dyDescent="0.2">
      <c r="BN3797" s="192"/>
      <c r="BO3797" s="197"/>
      <c r="BP3797" s="197"/>
      <c r="BQ3797" s="197"/>
    </row>
    <row r="3798" spans="66:69" x14ac:dyDescent="0.2">
      <c r="BN3798" s="192"/>
      <c r="BO3798" s="197"/>
      <c r="BP3798" s="197"/>
      <c r="BQ3798" s="197"/>
    </row>
    <row r="3799" spans="66:69" x14ac:dyDescent="0.2">
      <c r="BN3799" s="192"/>
      <c r="BO3799" s="197"/>
      <c r="BP3799" s="197"/>
      <c r="BQ3799" s="197"/>
    </row>
    <row r="3800" spans="66:69" x14ac:dyDescent="0.2">
      <c r="BN3800" s="192"/>
      <c r="BO3800" s="197"/>
      <c r="BP3800" s="197"/>
      <c r="BQ3800" s="197"/>
    </row>
    <row r="3801" spans="66:69" x14ac:dyDescent="0.2">
      <c r="BN3801" s="192"/>
      <c r="BO3801" s="197"/>
      <c r="BP3801" s="197"/>
      <c r="BQ3801" s="197"/>
    </row>
    <row r="3802" spans="66:69" x14ac:dyDescent="0.2">
      <c r="BN3802" s="192"/>
      <c r="BO3802" s="197"/>
      <c r="BP3802" s="197"/>
      <c r="BQ3802" s="197"/>
    </row>
    <row r="3803" spans="66:69" x14ac:dyDescent="0.2">
      <c r="BN3803" s="192"/>
      <c r="BO3803" s="197"/>
      <c r="BP3803" s="197"/>
      <c r="BQ3803" s="197"/>
    </row>
    <row r="3804" spans="66:69" x14ac:dyDescent="0.2">
      <c r="BN3804" s="192"/>
      <c r="BO3804" s="197"/>
      <c r="BP3804" s="197"/>
      <c r="BQ3804" s="197"/>
    </row>
    <row r="3805" spans="66:69" x14ac:dyDescent="0.2">
      <c r="BN3805" s="192"/>
      <c r="BO3805" s="197"/>
      <c r="BP3805" s="197"/>
      <c r="BQ3805" s="197"/>
    </row>
    <row r="3806" spans="66:69" x14ac:dyDescent="0.2">
      <c r="BN3806" s="192"/>
      <c r="BO3806" s="197"/>
      <c r="BP3806" s="197"/>
      <c r="BQ3806" s="197"/>
    </row>
    <row r="3807" spans="66:69" x14ac:dyDescent="0.2">
      <c r="BN3807" s="192"/>
      <c r="BO3807" s="197"/>
      <c r="BP3807" s="197"/>
      <c r="BQ3807" s="197"/>
    </row>
    <row r="3808" spans="66:69" x14ac:dyDescent="0.2">
      <c r="BN3808" s="192"/>
      <c r="BO3808" s="197"/>
      <c r="BP3808" s="197"/>
      <c r="BQ3808" s="197"/>
    </row>
    <row r="3809" spans="66:69" x14ac:dyDescent="0.2">
      <c r="BN3809" s="192"/>
      <c r="BO3809" s="197"/>
      <c r="BP3809" s="197"/>
      <c r="BQ3809" s="197"/>
    </row>
    <row r="3810" spans="66:69" x14ac:dyDescent="0.2">
      <c r="BN3810" s="192"/>
      <c r="BO3810" s="197"/>
      <c r="BP3810" s="197"/>
      <c r="BQ3810" s="197"/>
    </row>
    <row r="3811" spans="66:69" x14ac:dyDescent="0.2">
      <c r="BN3811" s="192"/>
      <c r="BO3811" s="197"/>
      <c r="BP3811" s="197"/>
      <c r="BQ3811" s="197"/>
    </row>
    <row r="3812" spans="66:69" x14ac:dyDescent="0.2">
      <c r="BN3812" s="192"/>
      <c r="BO3812" s="197"/>
      <c r="BP3812" s="197"/>
      <c r="BQ3812" s="197"/>
    </row>
    <row r="3813" spans="66:69" x14ac:dyDescent="0.2">
      <c r="BN3813" s="192"/>
      <c r="BO3813" s="197"/>
      <c r="BP3813" s="197"/>
      <c r="BQ3813" s="197"/>
    </row>
    <row r="3814" spans="66:69" x14ac:dyDescent="0.2">
      <c r="BN3814" s="192"/>
      <c r="BO3814" s="197"/>
      <c r="BP3814" s="197"/>
      <c r="BQ3814" s="197"/>
    </row>
    <row r="3815" spans="66:69" x14ac:dyDescent="0.2">
      <c r="BN3815" s="192"/>
      <c r="BO3815" s="197"/>
      <c r="BP3815" s="197"/>
      <c r="BQ3815" s="197"/>
    </row>
    <row r="3816" spans="66:69" x14ac:dyDescent="0.2">
      <c r="BN3816" s="192"/>
      <c r="BO3816" s="197"/>
      <c r="BP3816" s="197"/>
      <c r="BQ3816" s="197"/>
    </row>
    <row r="3817" spans="66:69" x14ac:dyDescent="0.2">
      <c r="BN3817" s="192"/>
      <c r="BO3817" s="197"/>
      <c r="BP3817" s="197"/>
      <c r="BQ3817" s="197"/>
    </row>
    <row r="3818" spans="66:69" x14ac:dyDescent="0.2">
      <c r="BN3818" s="192"/>
      <c r="BO3818" s="197"/>
      <c r="BP3818" s="197"/>
      <c r="BQ3818" s="197"/>
    </row>
    <row r="3819" spans="66:69" x14ac:dyDescent="0.2">
      <c r="BN3819" s="192"/>
      <c r="BO3819" s="197"/>
      <c r="BP3819" s="197"/>
      <c r="BQ3819" s="197"/>
    </row>
    <row r="3820" spans="66:69" x14ac:dyDescent="0.2">
      <c r="BN3820" s="192"/>
      <c r="BO3820" s="197"/>
      <c r="BP3820" s="197"/>
      <c r="BQ3820" s="197"/>
    </row>
    <row r="3821" spans="66:69" x14ac:dyDescent="0.2">
      <c r="BN3821" s="192"/>
      <c r="BO3821" s="197"/>
      <c r="BP3821" s="197"/>
      <c r="BQ3821" s="197"/>
    </row>
    <row r="3822" spans="66:69" x14ac:dyDescent="0.2">
      <c r="BN3822" s="192"/>
      <c r="BO3822" s="197"/>
      <c r="BP3822" s="197"/>
      <c r="BQ3822" s="197"/>
    </row>
    <row r="3823" spans="66:69" x14ac:dyDescent="0.2">
      <c r="BN3823" s="192"/>
      <c r="BO3823" s="197"/>
      <c r="BP3823" s="197"/>
      <c r="BQ3823" s="197"/>
    </row>
    <row r="3824" spans="66:69" x14ac:dyDescent="0.2">
      <c r="BN3824" s="192"/>
      <c r="BO3824" s="197"/>
      <c r="BP3824" s="197"/>
      <c r="BQ3824" s="197"/>
    </row>
    <row r="3825" spans="66:69" x14ac:dyDescent="0.2">
      <c r="BN3825" s="192"/>
      <c r="BO3825" s="197"/>
      <c r="BP3825" s="197"/>
      <c r="BQ3825" s="197"/>
    </row>
    <row r="3826" spans="66:69" x14ac:dyDescent="0.2">
      <c r="BN3826" s="192"/>
      <c r="BO3826" s="197"/>
      <c r="BP3826" s="197"/>
      <c r="BQ3826" s="197"/>
    </row>
    <row r="3827" spans="66:69" x14ac:dyDescent="0.2">
      <c r="BN3827" s="192"/>
      <c r="BO3827" s="197"/>
      <c r="BP3827" s="197"/>
      <c r="BQ3827" s="197"/>
    </row>
    <row r="3828" spans="66:69" x14ac:dyDescent="0.2">
      <c r="BN3828" s="192"/>
      <c r="BO3828" s="197"/>
      <c r="BP3828" s="197"/>
      <c r="BQ3828" s="197"/>
    </row>
    <row r="3829" spans="66:69" x14ac:dyDescent="0.2">
      <c r="BN3829" s="192"/>
      <c r="BO3829" s="197"/>
      <c r="BP3829" s="197"/>
      <c r="BQ3829" s="197"/>
    </row>
    <row r="3830" spans="66:69" x14ac:dyDescent="0.2">
      <c r="BN3830" s="192"/>
      <c r="BO3830" s="197"/>
      <c r="BP3830" s="197"/>
      <c r="BQ3830" s="197"/>
    </row>
    <row r="3831" spans="66:69" x14ac:dyDescent="0.2">
      <c r="BN3831" s="192"/>
      <c r="BO3831" s="197"/>
      <c r="BP3831" s="197"/>
      <c r="BQ3831" s="197"/>
    </row>
    <row r="3832" spans="66:69" x14ac:dyDescent="0.2">
      <c r="BN3832" s="192"/>
      <c r="BO3832" s="197"/>
      <c r="BP3832" s="197"/>
      <c r="BQ3832" s="197"/>
    </row>
    <row r="3833" spans="66:69" x14ac:dyDescent="0.2">
      <c r="BN3833" s="192"/>
      <c r="BO3833" s="197"/>
      <c r="BP3833" s="197"/>
      <c r="BQ3833" s="197"/>
    </row>
    <row r="3834" spans="66:69" x14ac:dyDescent="0.2">
      <c r="BN3834" s="192"/>
      <c r="BO3834" s="197"/>
      <c r="BP3834" s="197"/>
      <c r="BQ3834" s="197"/>
    </row>
    <row r="3835" spans="66:69" x14ac:dyDescent="0.2">
      <c r="BN3835" s="192"/>
      <c r="BO3835" s="197"/>
      <c r="BP3835" s="197"/>
      <c r="BQ3835" s="197"/>
    </row>
    <row r="3836" spans="66:69" x14ac:dyDescent="0.2">
      <c r="BN3836" s="192"/>
      <c r="BO3836" s="197"/>
      <c r="BP3836" s="197"/>
      <c r="BQ3836" s="197"/>
    </row>
    <row r="3837" spans="66:69" x14ac:dyDescent="0.2">
      <c r="BN3837" s="192"/>
      <c r="BO3837" s="197"/>
      <c r="BP3837" s="197"/>
      <c r="BQ3837" s="197"/>
    </row>
    <row r="3838" spans="66:69" x14ac:dyDescent="0.2">
      <c r="BN3838" s="192"/>
      <c r="BO3838" s="197"/>
      <c r="BP3838" s="197"/>
      <c r="BQ3838" s="197"/>
    </row>
    <row r="3839" spans="66:69" x14ac:dyDescent="0.2">
      <c r="BN3839" s="192"/>
      <c r="BO3839" s="197"/>
      <c r="BP3839" s="197"/>
      <c r="BQ3839" s="197"/>
    </row>
    <row r="3840" spans="66:69" x14ac:dyDescent="0.2">
      <c r="BN3840" s="192"/>
      <c r="BO3840" s="197"/>
      <c r="BP3840" s="197"/>
      <c r="BQ3840" s="197"/>
    </row>
    <row r="3841" spans="66:69" x14ac:dyDescent="0.2">
      <c r="BN3841" s="192"/>
      <c r="BO3841" s="197"/>
      <c r="BP3841" s="197"/>
      <c r="BQ3841" s="197"/>
    </row>
    <row r="3842" spans="66:69" x14ac:dyDescent="0.2">
      <c r="BN3842" s="192"/>
      <c r="BO3842" s="197"/>
      <c r="BP3842" s="197"/>
      <c r="BQ3842" s="197"/>
    </row>
    <row r="3843" spans="66:69" x14ac:dyDescent="0.2">
      <c r="BN3843" s="192"/>
      <c r="BO3843" s="197"/>
      <c r="BP3843" s="197"/>
      <c r="BQ3843" s="197"/>
    </row>
    <row r="3844" spans="66:69" x14ac:dyDescent="0.2">
      <c r="BN3844" s="192"/>
      <c r="BO3844" s="197"/>
      <c r="BP3844" s="197"/>
      <c r="BQ3844" s="197"/>
    </row>
    <row r="3845" spans="66:69" x14ac:dyDescent="0.2">
      <c r="BN3845" s="192"/>
      <c r="BO3845" s="197"/>
      <c r="BP3845" s="197"/>
      <c r="BQ3845" s="197"/>
    </row>
    <row r="3846" spans="66:69" x14ac:dyDescent="0.2">
      <c r="BN3846" s="192"/>
      <c r="BO3846" s="197"/>
      <c r="BP3846" s="197"/>
      <c r="BQ3846" s="197"/>
    </row>
    <row r="3847" spans="66:69" x14ac:dyDescent="0.2">
      <c r="BN3847" s="192"/>
      <c r="BO3847" s="197"/>
      <c r="BP3847" s="197"/>
      <c r="BQ3847" s="197"/>
    </row>
    <row r="3848" spans="66:69" x14ac:dyDescent="0.2">
      <c r="BN3848" s="192"/>
      <c r="BO3848" s="197"/>
      <c r="BP3848" s="197"/>
      <c r="BQ3848" s="197"/>
    </row>
    <row r="3849" spans="66:69" x14ac:dyDescent="0.2">
      <c r="BN3849" s="192"/>
      <c r="BO3849" s="197"/>
      <c r="BP3849" s="197"/>
      <c r="BQ3849" s="197"/>
    </row>
    <row r="3850" spans="66:69" x14ac:dyDescent="0.2">
      <c r="BN3850" s="192"/>
      <c r="BO3850" s="197"/>
      <c r="BP3850" s="197"/>
      <c r="BQ3850" s="197"/>
    </row>
    <row r="3851" spans="66:69" x14ac:dyDescent="0.2">
      <c r="BN3851" s="192"/>
      <c r="BO3851" s="197"/>
      <c r="BP3851" s="197"/>
      <c r="BQ3851" s="197"/>
    </row>
    <row r="3852" spans="66:69" x14ac:dyDescent="0.2">
      <c r="BN3852" s="192"/>
      <c r="BO3852" s="197"/>
      <c r="BP3852" s="197"/>
      <c r="BQ3852" s="197"/>
    </row>
    <row r="3853" spans="66:69" x14ac:dyDescent="0.2">
      <c r="BN3853" s="192"/>
      <c r="BO3853" s="197"/>
      <c r="BP3853" s="197"/>
      <c r="BQ3853" s="197"/>
    </row>
    <row r="3854" spans="66:69" x14ac:dyDescent="0.2">
      <c r="BN3854" s="192"/>
      <c r="BO3854" s="197"/>
      <c r="BP3854" s="197"/>
      <c r="BQ3854" s="197"/>
    </row>
    <row r="3855" spans="66:69" x14ac:dyDescent="0.2">
      <c r="BN3855" s="192"/>
      <c r="BO3855" s="197"/>
      <c r="BP3855" s="197"/>
      <c r="BQ3855" s="197"/>
    </row>
    <row r="3856" spans="66:69" x14ac:dyDescent="0.2">
      <c r="BN3856" s="192"/>
      <c r="BO3856" s="197"/>
      <c r="BP3856" s="197"/>
      <c r="BQ3856" s="197"/>
    </row>
    <row r="3857" spans="66:69" x14ac:dyDescent="0.2">
      <c r="BN3857" s="192"/>
      <c r="BO3857" s="197"/>
      <c r="BP3857" s="197"/>
      <c r="BQ3857" s="197"/>
    </row>
    <row r="3858" spans="66:69" x14ac:dyDescent="0.2">
      <c r="BN3858" s="192"/>
      <c r="BO3858" s="197"/>
      <c r="BP3858" s="197"/>
      <c r="BQ3858" s="197"/>
    </row>
    <row r="3859" spans="66:69" x14ac:dyDescent="0.2">
      <c r="BN3859" s="192"/>
      <c r="BO3859" s="197"/>
      <c r="BP3859" s="197"/>
      <c r="BQ3859" s="197"/>
    </row>
    <row r="3860" spans="66:69" x14ac:dyDescent="0.2">
      <c r="BN3860" s="192"/>
      <c r="BO3860" s="197"/>
      <c r="BP3860" s="197"/>
      <c r="BQ3860" s="197"/>
    </row>
    <row r="3861" spans="66:69" x14ac:dyDescent="0.2">
      <c r="BN3861" s="192"/>
      <c r="BO3861" s="197"/>
      <c r="BP3861" s="197"/>
      <c r="BQ3861" s="197"/>
    </row>
    <row r="3862" spans="66:69" x14ac:dyDescent="0.2">
      <c r="BN3862" s="192"/>
      <c r="BO3862" s="197"/>
      <c r="BP3862" s="197"/>
      <c r="BQ3862" s="197"/>
    </row>
    <row r="3863" spans="66:69" x14ac:dyDescent="0.2">
      <c r="BN3863" s="192"/>
      <c r="BO3863" s="197"/>
      <c r="BP3863" s="197"/>
      <c r="BQ3863" s="197"/>
    </row>
    <row r="3864" spans="66:69" x14ac:dyDescent="0.2">
      <c r="BN3864" s="192"/>
      <c r="BO3864" s="197"/>
      <c r="BP3864" s="197"/>
      <c r="BQ3864" s="197"/>
    </row>
    <row r="3865" spans="66:69" x14ac:dyDescent="0.2">
      <c r="BN3865" s="192"/>
      <c r="BO3865" s="197"/>
      <c r="BP3865" s="197"/>
      <c r="BQ3865" s="197"/>
    </row>
    <row r="3866" spans="66:69" x14ac:dyDescent="0.2">
      <c r="BN3866" s="192"/>
      <c r="BO3866" s="197"/>
      <c r="BP3866" s="197"/>
      <c r="BQ3866" s="197"/>
    </row>
    <row r="3867" spans="66:69" x14ac:dyDescent="0.2">
      <c r="BN3867" s="192"/>
      <c r="BO3867" s="197"/>
      <c r="BP3867" s="197"/>
      <c r="BQ3867" s="197"/>
    </row>
    <row r="3868" spans="66:69" x14ac:dyDescent="0.2">
      <c r="BN3868" s="192"/>
      <c r="BO3868" s="197"/>
      <c r="BP3868" s="197"/>
      <c r="BQ3868" s="197"/>
    </row>
    <row r="3869" spans="66:69" x14ac:dyDescent="0.2">
      <c r="BN3869" s="192"/>
      <c r="BO3869" s="197"/>
      <c r="BP3869" s="197"/>
      <c r="BQ3869" s="197"/>
    </row>
    <row r="3870" spans="66:69" x14ac:dyDescent="0.2">
      <c r="BN3870" s="192"/>
      <c r="BO3870" s="197"/>
      <c r="BP3870" s="197"/>
      <c r="BQ3870" s="197"/>
    </row>
    <row r="3871" spans="66:69" x14ac:dyDescent="0.2">
      <c r="BN3871" s="192"/>
      <c r="BO3871" s="197"/>
      <c r="BP3871" s="197"/>
      <c r="BQ3871" s="197"/>
    </row>
    <row r="3872" spans="66:69" x14ac:dyDescent="0.2">
      <c r="BN3872" s="192"/>
      <c r="BO3872" s="197"/>
      <c r="BP3872" s="197"/>
      <c r="BQ3872" s="197"/>
    </row>
    <row r="3873" spans="66:69" x14ac:dyDescent="0.2">
      <c r="BN3873" s="192"/>
      <c r="BO3873" s="197"/>
      <c r="BP3873" s="197"/>
      <c r="BQ3873" s="197"/>
    </row>
    <row r="3874" spans="66:69" x14ac:dyDescent="0.2">
      <c r="BN3874" s="192"/>
      <c r="BO3874" s="197"/>
      <c r="BP3874" s="197"/>
      <c r="BQ3874" s="197"/>
    </row>
    <row r="3875" spans="66:69" x14ac:dyDescent="0.2">
      <c r="BN3875" s="192"/>
      <c r="BO3875" s="197"/>
      <c r="BP3875" s="197"/>
      <c r="BQ3875" s="197"/>
    </row>
    <row r="3876" spans="66:69" x14ac:dyDescent="0.2">
      <c r="BN3876" s="192"/>
      <c r="BO3876" s="197"/>
      <c r="BP3876" s="197"/>
      <c r="BQ3876" s="197"/>
    </row>
    <row r="3877" spans="66:69" x14ac:dyDescent="0.2">
      <c r="BN3877" s="192"/>
      <c r="BO3877" s="197"/>
      <c r="BP3877" s="197"/>
      <c r="BQ3877" s="197"/>
    </row>
    <row r="3878" spans="66:69" x14ac:dyDescent="0.2">
      <c r="BN3878" s="192"/>
      <c r="BO3878" s="197"/>
      <c r="BP3878" s="197"/>
      <c r="BQ3878" s="197"/>
    </row>
    <row r="3879" spans="66:69" x14ac:dyDescent="0.2">
      <c r="BN3879" s="192"/>
      <c r="BO3879" s="197"/>
      <c r="BP3879" s="197"/>
      <c r="BQ3879" s="197"/>
    </row>
    <row r="3880" spans="66:69" x14ac:dyDescent="0.2">
      <c r="BN3880" s="192"/>
      <c r="BO3880" s="197"/>
      <c r="BP3880" s="197"/>
      <c r="BQ3880" s="197"/>
    </row>
    <row r="3881" spans="66:69" x14ac:dyDescent="0.2">
      <c r="BN3881" s="192"/>
      <c r="BO3881" s="197"/>
      <c r="BP3881" s="197"/>
      <c r="BQ3881" s="197"/>
    </row>
    <row r="3882" spans="66:69" x14ac:dyDescent="0.2">
      <c r="BN3882" s="192"/>
      <c r="BO3882" s="197"/>
      <c r="BP3882" s="197"/>
      <c r="BQ3882" s="197"/>
    </row>
    <row r="3883" spans="66:69" x14ac:dyDescent="0.2">
      <c r="BN3883" s="192"/>
      <c r="BO3883" s="197"/>
      <c r="BP3883" s="197"/>
      <c r="BQ3883" s="197"/>
    </row>
    <row r="3884" spans="66:69" x14ac:dyDescent="0.2">
      <c r="BN3884" s="192"/>
      <c r="BO3884" s="197"/>
      <c r="BP3884" s="197"/>
      <c r="BQ3884" s="197"/>
    </row>
    <row r="3885" spans="66:69" x14ac:dyDescent="0.2">
      <c r="BN3885" s="192"/>
      <c r="BO3885" s="197"/>
      <c r="BP3885" s="197"/>
      <c r="BQ3885" s="197"/>
    </row>
    <row r="3886" spans="66:69" x14ac:dyDescent="0.2">
      <c r="BN3886" s="192"/>
      <c r="BO3886" s="197"/>
      <c r="BP3886" s="197"/>
      <c r="BQ3886" s="197"/>
    </row>
    <row r="3887" spans="66:69" x14ac:dyDescent="0.2">
      <c r="BN3887" s="192"/>
      <c r="BO3887" s="197"/>
      <c r="BP3887" s="197"/>
      <c r="BQ3887" s="197"/>
    </row>
    <row r="3888" spans="66:69" x14ac:dyDescent="0.2">
      <c r="BN3888" s="192"/>
      <c r="BO3888" s="197"/>
      <c r="BP3888" s="197"/>
      <c r="BQ3888" s="197"/>
    </row>
    <row r="3889" spans="66:69" x14ac:dyDescent="0.2">
      <c r="BN3889" s="192"/>
      <c r="BO3889" s="197"/>
      <c r="BP3889" s="197"/>
      <c r="BQ3889" s="197"/>
    </row>
    <row r="3890" spans="66:69" x14ac:dyDescent="0.2">
      <c r="BN3890" s="192"/>
      <c r="BO3890" s="197"/>
      <c r="BP3890" s="197"/>
      <c r="BQ3890" s="197"/>
    </row>
    <row r="3891" spans="66:69" x14ac:dyDescent="0.2">
      <c r="BN3891" s="192"/>
      <c r="BO3891" s="197"/>
      <c r="BP3891" s="197"/>
      <c r="BQ3891" s="197"/>
    </row>
    <row r="3892" spans="66:69" x14ac:dyDescent="0.2">
      <c r="BN3892" s="192"/>
      <c r="BO3892" s="197"/>
      <c r="BP3892" s="197"/>
      <c r="BQ3892" s="197"/>
    </row>
    <row r="3893" spans="66:69" x14ac:dyDescent="0.2">
      <c r="BN3893" s="192"/>
      <c r="BO3893" s="197"/>
      <c r="BP3893" s="197"/>
      <c r="BQ3893" s="197"/>
    </row>
    <row r="3894" spans="66:69" x14ac:dyDescent="0.2">
      <c r="BN3894" s="192"/>
      <c r="BO3894" s="197"/>
      <c r="BP3894" s="197"/>
      <c r="BQ3894" s="197"/>
    </row>
    <row r="3895" spans="66:69" x14ac:dyDescent="0.2">
      <c r="BN3895" s="192"/>
      <c r="BO3895" s="197"/>
      <c r="BP3895" s="197"/>
      <c r="BQ3895" s="197"/>
    </row>
    <row r="3896" spans="66:69" x14ac:dyDescent="0.2">
      <c r="BN3896" s="192"/>
      <c r="BO3896" s="197"/>
      <c r="BP3896" s="197"/>
      <c r="BQ3896" s="197"/>
    </row>
    <row r="3897" spans="66:69" x14ac:dyDescent="0.2">
      <c r="BN3897" s="192"/>
      <c r="BO3897" s="197"/>
      <c r="BP3897" s="197"/>
      <c r="BQ3897" s="197"/>
    </row>
    <row r="3898" spans="66:69" x14ac:dyDescent="0.2">
      <c r="BN3898" s="192"/>
      <c r="BO3898" s="197"/>
      <c r="BP3898" s="197"/>
      <c r="BQ3898" s="197"/>
    </row>
    <row r="3899" spans="66:69" x14ac:dyDescent="0.2">
      <c r="BN3899" s="192"/>
      <c r="BO3899" s="197"/>
      <c r="BP3899" s="197"/>
      <c r="BQ3899" s="197"/>
    </row>
    <row r="3900" spans="66:69" x14ac:dyDescent="0.2">
      <c r="BN3900" s="192"/>
      <c r="BO3900" s="197"/>
      <c r="BP3900" s="197"/>
      <c r="BQ3900" s="197"/>
    </row>
    <row r="3901" spans="66:69" x14ac:dyDescent="0.2">
      <c r="BN3901" s="192"/>
      <c r="BO3901" s="197"/>
      <c r="BP3901" s="197"/>
      <c r="BQ3901" s="197"/>
    </row>
    <row r="3902" spans="66:69" x14ac:dyDescent="0.2">
      <c r="BN3902" s="192"/>
      <c r="BO3902" s="197"/>
      <c r="BP3902" s="197"/>
      <c r="BQ3902" s="197"/>
    </row>
    <row r="3903" spans="66:69" x14ac:dyDescent="0.2">
      <c r="BN3903" s="192"/>
      <c r="BO3903" s="197"/>
      <c r="BP3903" s="197"/>
      <c r="BQ3903" s="197"/>
    </row>
    <row r="3904" spans="66:69" x14ac:dyDescent="0.2">
      <c r="BN3904" s="192"/>
      <c r="BO3904" s="197"/>
      <c r="BP3904" s="197"/>
      <c r="BQ3904" s="197"/>
    </row>
    <row r="3905" spans="66:69" x14ac:dyDescent="0.2">
      <c r="BN3905" s="192"/>
      <c r="BO3905" s="197"/>
      <c r="BP3905" s="197"/>
      <c r="BQ3905" s="197"/>
    </row>
    <row r="3906" spans="66:69" x14ac:dyDescent="0.2">
      <c r="BN3906" s="192"/>
      <c r="BO3906" s="197"/>
      <c r="BP3906" s="197"/>
      <c r="BQ3906" s="197"/>
    </row>
    <row r="3907" spans="66:69" x14ac:dyDescent="0.2">
      <c r="BN3907" s="192"/>
      <c r="BO3907" s="197"/>
      <c r="BP3907" s="197"/>
      <c r="BQ3907" s="197"/>
    </row>
    <row r="3908" spans="66:69" x14ac:dyDescent="0.2">
      <c r="BN3908" s="192"/>
      <c r="BO3908" s="197"/>
      <c r="BP3908" s="197"/>
      <c r="BQ3908" s="197"/>
    </row>
    <row r="3909" spans="66:69" x14ac:dyDescent="0.2">
      <c r="BN3909" s="192"/>
      <c r="BO3909" s="197"/>
      <c r="BP3909" s="197"/>
      <c r="BQ3909" s="197"/>
    </row>
    <row r="3910" spans="66:69" x14ac:dyDescent="0.2">
      <c r="BN3910" s="192"/>
      <c r="BO3910" s="197"/>
      <c r="BP3910" s="197"/>
      <c r="BQ3910" s="197"/>
    </row>
    <row r="3911" spans="66:69" x14ac:dyDescent="0.2">
      <c r="BN3911" s="192"/>
      <c r="BO3911" s="197"/>
      <c r="BP3911" s="197"/>
      <c r="BQ3911" s="197"/>
    </row>
    <row r="3912" spans="66:69" x14ac:dyDescent="0.2">
      <c r="BN3912" s="192"/>
      <c r="BO3912" s="197"/>
      <c r="BP3912" s="197"/>
      <c r="BQ3912" s="197"/>
    </row>
    <row r="3913" spans="66:69" x14ac:dyDescent="0.2">
      <c r="BN3913" s="192"/>
      <c r="BO3913" s="197"/>
      <c r="BP3913" s="197"/>
      <c r="BQ3913" s="197"/>
    </row>
    <row r="3914" spans="66:69" x14ac:dyDescent="0.2">
      <c r="BN3914" s="192"/>
      <c r="BO3914" s="197"/>
      <c r="BP3914" s="197"/>
      <c r="BQ3914" s="197"/>
    </row>
    <row r="3915" spans="66:69" x14ac:dyDescent="0.2">
      <c r="BN3915" s="192"/>
      <c r="BO3915" s="197"/>
      <c r="BP3915" s="197"/>
      <c r="BQ3915" s="197"/>
    </row>
    <row r="3916" spans="66:69" x14ac:dyDescent="0.2">
      <c r="BN3916" s="192"/>
      <c r="BO3916" s="197"/>
      <c r="BP3916" s="197"/>
      <c r="BQ3916" s="197"/>
    </row>
    <row r="3917" spans="66:69" x14ac:dyDescent="0.2">
      <c r="BN3917" s="192"/>
      <c r="BO3917" s="197"/>
      <c r="BP3917" s="197"/>
      <c r="BQ3917" s="197"/>
    </row>
    <row r="3918" spans="66:69" x14ac:dyDescent="0.2">
      <c r="BN3918" s="192"/>
      <c r="BO3918" s="197"/>
      <c r="BP3918" s="197"/>
      <c r="BQ3918" s="197"/>
    </row>
    <row r="3919" spans="66:69" x14ac:dyDescent="0.2">
      <c r="BN3919" s="192"/>
      <c r="BO3919" s="197"/>
      <c r="BP3919" s="197"/>
      <c r="BQ3919" s="197"/>
    </row>
    <row r="3920" spans="66:69" x14ac:dyDescent="0.2">
      <c r="BN3920" s="192"/>
      <c r="BO3920" s="197"/>
      <c r="BP3920" s="197"/>
      <c r="BQ3920" s="197"/>
    </row>
    <row r="3921" spans="66:69" x14ac:dyDescent="0.2">
      <c r="BN3921" s="192"/>
      <c r="BO3921" s="197"/>
      <c r="BP3921" s="197"/>
      <c r="BQ3921" s="197"/>
    </row>
    <row r="3922" spans="66:69" x14ac:dyDescent="0.2">
      <c r="BN3922" s="192"/>
      <c r="BO3922" s="197"/>
      <c r="BP3922" s="197"/>
      <c r="BQ3922" s="197"/>
    </row>
    <row r="3923" spans="66:69" x14ac:dyDescent="0.2">
      <c r="BN3923" s="192"/>
      <c r="BO3923" s="197"/>
      <c r="BP3923" s="197"/>
      <c r="BQ3923" s="197"/>
    </row>
    <row r="3924" spans="66:69" x14ac:dyDescent="0.2">
      <c r="BN3924" s="192"/>
      <c r="BO3924" s="197"/>
      <c r="BP3924" s="197"/>
      <c r="BQ3924" s="197"/>
    </row>
    <row r="3925" spans="66:69" x14ac:dyDescent="0.2">
      <c r="BN3925" s="192"/>
      <c r="BO3925" s="197"/>
      <c r="BP3925" s="197"/>
      <c r="BQ3925" s="197"/>
    </row>
    <row r="3926" spans="66:69" x14ac:dyDescent="0.2">
      <c r="BN3926" s="192"/>
      <c r="BO3926" s="197"/>
      <c r="BP3926" s="197"/>
      <c r="BQ3926" s="197"/>
    </row>
    <row r="3927" spans="66:69" x14ac:dyDescent="0.2">
      <c r="BN3927" s="192"/>
      <c r="BO3927" s="197"/>
      <c r="BP3927" s="197"/>
      <c r="BQ3927" s="197"/>
    </row>
    <row r="3928" spans="66:69" x14ac:dyDescent="0.2">
      <c r="BN3928" s="192"/>
      <c r="BO3928" s="197"/>
      <c r="BP3928" s="197"/>
      <c r="BQ3928" s="197"/>
    </row>
    <row r="3929" spans="66:69" x14ac:dyDescent="0.2">
      <c r="BN3929" s="192"/>
      <c r="BO3929" s="197"/>
      <c r="BP3929" s="197"/>
      <c r="BQ3929" s="197"/>
    </row>
    <row r="3930" spans="66:69" x14ac:dyDescent="0.2">
      <c r="BN3930" s="192"/>
      <c r="BO3930" s="197"/>
      <c r="BP3930" s="197"/>
      <c r="BQ3930" s="197"/>
    </row>
    <row r="3931" spans="66:69" x14ac:dyDescent="0.2">
      <c r="BN3931" s="192"/>
      <c r="BO3931" s="197"/>
      <c r="BP3931" s="197"/>
      <c r="BQ3931" s="197"/>
    </row>
    <row r="3932" spans="66:69" x14ac:dyDescent="0.2">
      <c r="BN3932" s="192"/>
      <c r="BO3932" s="197"/>
      <c r="BP3932" s="197"/>
      <c r="BQ3932" s="197"/>
    </row>
    <row r="3933" spans="66:69" x14ac:dyDescent="0.2">
      <c r="BN3933" s="192"/>
      <c r="BO3933" s="197"/>
      <c r="BP3933" s="197"/>
      <c r="BQ3933" s="197"/>
    </row>
    <row r="3934" spans="66:69" x14ac:dyDescent="0.2">
      <c r="BN3934" s="192"/>
      <c r="BO3934" s="197"/>
      <c r="BP3934" s="197"/>
      <c r="BQ3934" s="197"/>
    </row>
    <row r="3935" spans="66:69" x14ac:dyDescent="0.2">
      <c r="BN3935" s="192"/>
      <c r="BO3935" s="197"/>
      <c r="BP3935" s="197"/>
      <c r="BQ3935" s="197"/>
    </row>
    <row r="3936" spans="66:69" x14ac:dyDescent="0.2">
      <c r="BN3936" s="192"/>
      <c r="BO3936" s="197"/>
      <c r="BP3936" s="197"/>
      <c r="BQ3936" s="197"/>
    </row>
    <row r="3937" spans="66:69" x14ac:dyDescent="0.2">
      <c r="BN3937" s="192"/>
      <c r="BO3937" s="197"/>
      <c r="BP3937" s="197"/>
      <c r="BQ3937" s="197"/>
    </row>
    <row r="3938" spans="66:69" x14ac:dyDescent="0.2">
      <c r="BN3938" s="192"/>
      <c r="BO3938" s="197"/>
      <c r="BP3938" s="197"/>
      <c r="BQ3938" s="197"/>
    </row>
    <row r="3939" spans="66:69" x14ac:dyDescent="0.2">
      <c r="BN3939" s="192"/>
      <c r="BO3939" s="197"/>
      <c r="BP3939" s="197"/>
      <c r="BQ3939" s="197"/>
    </row>
    <row r="3940" spans="66:69" x14ac:dyDescent="0.2">
      <c r="BN3940" s="192"/>
      <c r="BO3940" s="197"/>
      <c r="BP3940" s="197"/>
      <c r="BQ3940" s="197"/>
    </row>
    <row r="3941" spans="66:69" x14ac:dyDescent="0.2">
      <c r="BN3941" s="192"/>
      <c r="BO3941" s="197"/>
      <c r="BP3941" s="197"/>
      <c r="BQ3941" s="197"/>
    </row>
    <row r="3942" spans="66:69" x14ac:dyDescent="0.2">
      <c r="BN3942" s="192"/>
      <c r="BO3942" s="197"/>
      <c r="BP3942" s="197"/>
      <c r="BQ3942" s="197"/>
    </row>
    <row r="3943" spans="66:69" x14ac:dyDescent="0.2">
      <c r="BN3943" s="192"/>
      <c r="BO3943" s="197"/>
      <c r="BP3943" s="197"/>
      <c r="BQ3943" s="197"/>
    </row>
    <row r="3944" spans="66:69" x14ac:dyDescent="0.2">
      <c r="BN3944" s="192"/>
      <c r="BO3944" s="197"/>
      <c r="BP3944" s="197"/>
      <c r="BQ3944" s="197"/>
    </row>
    <row r="3945" spans="66:69" x14ac:dyDescent="0.2">
      <c r="BN3945" s="192"/>
      <c r="BO3945" s="197"/>
      <c r="BP3945" s="197"/>
      <c r="BQ3945" s="197"/>
    </row>
    <row r="3946" spans="66:69" x14ac:dyDescent="0.2">
      <c r="BN3946" s="192"/>
      <c r="BO3946" s="197"/>
      <c r="BP3946" s="197"/>
      <c r="BQ3946" s="197"/>
    </row>
    <row r="3947" spans="66:69" x14ac:dyDescent="0.2">
      <c r="BN3947" s="192"/>
      <c r="BO3947" s="197"/>
      <c r="BP3947" s="197"/>
      <c r="BQ3947" s="197"/>
    </row>
    <row r="3948" spans="66:69" x14ac:dyDescent="0.2">
      <c r="BN3948" s="192"/>
      <c r="BO3948" s="197"/>
      <c r="BP3948" s="197"/>
      <c r="BQ3948" s="197"/>
    </row>
    <row r="3949" spans="66:69" x14ac:dyDescent="0.2">
      <c r="BN3949" s="192"/>
      <c r="BO3949" s="197"/>
      <c r="BP3949" s="197"/>
      <c r="BQ3949" s="197"/>
    </row>
    <row r="3950" spans="66:69" x14ac:dyDescent="0.2">
      <c r="BN3950" s="192"/>
      <c r="BO3950" s="197"/>
      <c r="BP3950" s="197"/>
      <c r="BQ3950" s="197"/>
    </row>
    <row r="3951" spans="66:69" x14ac:dyDescent="0.2">
      <c r="BN3951" s="192"/>
      <c r="BO3951" s="197"/>
      <c r="BP3951" s="197"/>
      <c r="BQ3951" s="197"/>
    </row>
    <row r="3952" spans="66:69" x14ac:dyDescent="0.2">
      <c r="BN3952" s="192"/>
      <c r="BO3952" s="197"/>
      <c r="BP3952" s="197"/>
      <c r="BQ3952" s="197"/>
    </row>
    <row r="3953" spans="66:69" x14ac:dyDescent="0.2">
      <c r="BN3953" s="192"/>
      <c r="BO3953" s="197"/>
      <c r="BP3953" s="197"/>
      <c r="BQ3953" s="197"/>
    </row>
    <row r="3954" spans="66:69" x14ac:dyDescent="0.2">
      <c r="BN3954" s="192"/>
      <c r="BO3954" s="197"/>
      <c r="BP3954" s="197"/>
      <c r="BQ3954" s="197"/>
    </row>
    <row r="3955" spans="66:69" x14ac:dyDescent="0.2">
      <c r="BN3955" s="192"/>
      <c r="BO3955" s="197"/>
      <c r="BP3955" s="197"/>
      <c r="BQ3955" s="197"/>
    </row>
    <row r="3956" spans="66:69" x14ac:dyDescent="0.2">
      <c r="BN3956" s="192"/>
      <c r="BO3956" s="197"/>
      <c r="BP3956" s="197"/>
      <c r="BQ3956" s="197"/>
    </row>
    <row r="3957" spans="66:69" x14ac:dyDescent="0.2">
      <c r="BN3957" s="192"/>
      <c r="BO3957" s="197"/>
      <c r="BP3957" s="197"/>
      <c r="BQ3957" s="197"/>
    </row>
    <row r="3958" spans="66:69" x14ac:dyDescent="0.2">
      <c r="BN3958" s="192"/>
      <c r="BO3958" s="197"/>
      <c r="BP3958" s="197"/>
      <c r="BQ3958" s="197"/>
    </row>
    <row r="3959" spans="66:69" x14ac:dyDescent="0.2">
      <c r="BN3959" s="192"/>
      <c r="BO3959" s="197"/>
      <c r="BP3959" s="197"/>
      <c r="BQ3959" s="197"/>
    </row>
    <row r="3960" spans="66:69" x14ac:dyDescent="0.2">
      <c r="BN3960" s="192"/>
      <c r="BO3960" s="197"/>
      <c r="BP3960" s="197"/>
      <c r="BQ3960" s="197"/>
    </row>
    <row r="3961" spans="66:69" x14ac:dyDescent="0.2">
      <c r="BN3961" s="192"/>
      <c r="BO3961" s="197"/>
      <c r="BP3961" s="197"/>
      <c r="BQ3961" s="197"/>
    </row>
    <row r="3962" spans="66:69" x14ac:dyDescent="0.2">
      <c r="BN3962" s="192"/>
      <c r="BO3962" s="197"/>
      <c r="BP3962" s="197"/>
      <c r="BQ3962" s="197"/>
    </row>
    <row r="3963" spans="66:69" x14ac:dyDescent="0.2">
      <c r="BN3963" s="192"/>
      <c r="BO3963" s="197"/>
      <c r="BP3963" s="197"/>
      <c r="BQ3963" s="197"/>
    </row>
    <row r="3964" spans="66:69" x14ac:dyDescent="0.2">
      <c r="BN3964" s="192"/>
      <c r="BO3964" s="197"/>
      <c r="BP3964" s="197"/>
      <c r="BQ3964" s="197"/>
    </row>
    <row r="3965" spans="66:69" x14ac:dyDescent="0.2">
      <c r="BN3965" s="192"/>
      <c r="BO3965" s="197"/>
      <c r="BP3965" s="197"/>
      <c r="BQ3965" s="197"/>
    </row>
    <row r="3966" spans="66:69" x14ac:dyDescent="0.2">
      <c r="BN3966" s="192"/>
      <c r="BO3966" s="197"/>
      <c r="BP3966" s="197"/>
      <c r="BQ3966" s="197"/>
    </row>
    <row r="3967" spans="66:69" x14ac:dyDescent="0.2">
      <c r="BN3967" s="192"/>
      <c r="BO3967" s="197"/>
      <c r="BP3967" s="197"/>
      <c r="BQ3967" s="197"/>
    </row>
    <row r="3968" spans="66:69" x14ac:dyDescent="0.2">
      <c r="BN3968" s="192"/>
      <c r="BO3968" s="197"/>
      <c r="BP3968" s="197"/>
      <c r="BQ3968" s="197"/>
    </row>
    <row r="3969" spans="66:69" x14ac:dyDescent="0.2">
      <c r="BN3969" s="192"/>
      <c r="BO3969" s="197"/>
      <c r="BP3969" s="197"/>
      <c r="BQ3969" s="197"/>
    </row>
    <row r="3970" spans="66:69" x14ac:dyDescent="0.2">
      <c r="BN3970" s="192"/>
      <c r="BO3970" s="197"/>
      <c r="BP3970" s="197"/>
      <c r="BQ3970" s="197"/>
    </row>
    <row r="3971" spans="66:69" x14ac:dyDescent="0.2">
      <c r="BN3971" s="192"/>
      <c r="BO3971" s="197"/>
      <c r="BP3971" s="197"/>
      <c r="BQ3971" s="197"/>
    </row>
    <row r="3972" spans="66:69" x14ac:dyDescent="0.2">
      <c r="BN3972" s="192"/>
      <c r="BO3972" s="197"/>
      <c r="BP3972" s="197"/>
      <c r="BQ3972" s="197"/>
    </row>
    <row r="3973" spans="66:69" x14ac:dyDescent="0.2">
      <c r="BN3973" s="192"/>
      <c r="BO3973" s="197"/>
      <c r="BP3973" s="197"/>
      <c r="BQ3973" s="197"/>
    </row>
    <row r="3974" spans="66:69" x14ac:dyDescent="0.2">
      <c r="BN3974" s="192"/>
      <c r="BO3974" s="197"/>
      <c r="BP3974" s="197"/>
      <c r="BQ3974" s="197"/>
    </row>
    <row r="3975" spans="66:69" x14ac:dyDescent="0.2">
      <c r="BN3975" s="192"/>
      <c r="BO3975" s="197"/>
      <c r="BP3975" s="197"/>
      <c r="BQ3975" s="197"/>
    </row>
    <row r="3976" spans="66:69" x14ac:dyDescent="0.2">
      <c r="BN3976" s="192"/>
      <c r="BO3976" s="197"/>
      <c r="BP3976" s="197"/>
      <c r="BQ3976" s="197"/>
    </row>
    <row r="3977" spans="66:69" x14ac:dyDescent="0.2">
      <c r="BN3977" s="192"/>
      <c r="BO3977" s="197"/>
      <c r="BP3977" s="197"/>
      <c r="BQ3977" s="197"/>
    </row>
    <row r="3978" spans="66:69" x14ac:dyDescent="0.2">
      <c r="BN3978" s="192"/>
      <c r="BO3978" s="197"/>
      <c r="BP3978" s="197"/>
      <c r="BQ3978" s="197"/>
    </row>
    <row r="3979" spans="66:69" x14ac:dyDescent="0.2">
      <c r="BN3979" s="192"/>
      <c r="BO3979" s="197"/>
      <c r="BP3979" s="197"/>
      <c r="BQ3979" s="197"/>
    </row>
    <row r="3980" spans="66:69" x14ac:dyDescent="0.2">
      <c r="BN3980" s="192"/>
      <c r="BO3980" s="197"/>
      <c r="BP3980" s="197"/>
      <c r="BQ3980" s="197"/>
    </row>
    <row r="3981" spans="66:69" x14ac:dyDescent="0.2">
      <c r="BN3981" s="192"/>
      <c r="BO3981" s="197"/>
      <c r="BP3981" s="197"/>
      <c r="BQ3981" s="197"/>
    </row>
    <row r="3982" spans="66:69" x14ac:dyDescent="0.2">
      <c r="BN3982" s="192"/>
      <c r="BO3982" s="197"/>
      <c r="BP3982" s="197"/>
      <c r="BQ3982" s="197"/>
    </row>
    <row r="3983" spans="66:69" x14ac:dyDescent="0.2">
      <c r="BN3983" s="192"/>
      <c r="BO3983" s="197"/>
      <c r="BP3983" s="197"/>
      <c r="BQ3983" s="197"/>
    </row>
    <row r="3984" spans="66:69" x14ac:dyDescent="0.2">
      <c r="BN3984" s="192"/>
      <c r="BO3984" s="197"/>
      <c r="BP3984" s="197"/>
      <c r="BQ3984" s="197"/>
    </row>
    <row r="3985" spans="66:69" x14ac:dyDescent="0.2">
      <c r="BN3985" s="192"/>
      <c r="BO3985" s="197"/>
      <c r="BP3985" s="197"/>
      <c r="BQ3985" s="197"/>
    </row>
    <row r="3986" spans="66:69" x14ac:dyDescent="0.2">
      <c r="BN3986" s="192"/>
      <c r="BO3986" s="197"/>
      <c r="BP3986" s="197"/>
      <c r="BQ3986" s="197"/>
    </row>
    <row r="3987" spans="66:69" x14ac:dyDescent="0.2">
      <c r="BN3987" s="192"/>
      <c r="BO3987" s="197"/>
      <c r="BP3987" s="197"/>
      <c r="BQ3987" s="197"/>
    </row>
    <row r="3988" spans="66:69" x14ac:dyDescent="0.2">
      <c r="BN3988" s="192"/>
      <c r="BO3988" s="197"/>
      <c r="BP3988" s="197"/>
      <c r="BQ3988" s="197"/>
    </row>
    <row r="3989" spans="66:69" x14ac:dyDescent="0.2">
      <c r="BN3989" s="192"/>
      <c r="BO3989" s="197"/>
      <c r="BP3989" s="197"/>
      <c r="BQ3989" s="197"/>
    </row>
    <row r="3990" spans="66:69" x14ac:dyDescent="0.2">
      <c r="BN3990" s="192"/>
      <c r="BO3990" s="197"/>
      <c r="BP3990" s="197"/>
      <c r="BQ3990" s="197"/>
    </row>
    <row r="3991" spans="66:69" x14ac:dyDescent="0.2">
      <c r="BN3991" s="192"/>
      <c r="BO3991" s="197"/>
      <c r="BP3991" s="197"/>
      <c r="BQ3991" s="197"/>
    </row>
    <row r="3992" spans="66:69" x14ac:dyDescent="0.2">
      <c r="BN3992" s="192"/>
      <c r="BO3992" s="197"/>
      <c r="BP3992" s="197"/>
      <c r="BQ3992" s="197"/>
    </row>
    <row r="3993" spans="66:69" x14ac:dyDescent="0.2">
      <c r="BN3993" s="192"/>
      <c r="BO3993" s="197"/>
      <c r="BP3993" s="197"/>
      <c r="BQ3993" s="197"/>
    </row>
    <row r="3994" spans="66:69" x14ac:dyDescent="0.2">
      <c r="BN3994" s="192"/>
      <c r="BO3994" s="197"/>
      <c r="BP3994" s="197"/>
      <c r="BQ3994" s="197"/>
    </row>
    <row r="3995" spans="66:69" x14ac:dyDescent="0.2">
      <c r="BN3995" s="192"/>
      <c r="BO3995" s="197"/>
      <c r="BP3995" s="197"/>
      <c r="BQ3995" s="197"/>
    </row>
    <row r="3996" spans="66:69" x14ac:dyDescent="0.2">
      <c r="BN3996" s="192"/>
      <c r="BO3996" s="197"/>
      <c r="BP3996" s="197"/>
      <c r="BQ3996" s="197"/>
    </row>
    <row r="3997" spans="66:69" x14ac:dyDescent="0.2">
      <c r="BN3997" s="192"/>
      <c r="BO3997" s="197"/>
      <c r="BP3997" s="197"/>
      <c r="BQ3997" s="197"/>
    </row>
    <row r="3998" spans="66:69" x14ac:dyDescent="0.2">
      <c r="BN3998" s="192"/>
      <c r="BO3998" s="197"/>
      <c r="BP3998" s="197"/>
      <c r="BQ3998" s="197"/>
    </row>
    <row r="3999" spans="66:69" x14ac:dyDescent="0.2">
      <c r="BN3999" s="192"/>
      <c r="BO3999" s="197"/>
      <c r="BP3999" s="197"/>
      <c r="BQ3999" s="197"/>
    </row>
    <row r="4000" spans="66:69" x14ac:dyDescent="0.2">
      <c r="BN4000" s="192"/>
      <c r="BO4000" s="197"/>
      <c r="BP4000" s="197"/>
      <c r="BQ4000" s="197"/>
    </row>
    <row r="4001" spans="66:69" x14ac:dyDescent="0.2">
      <c r="BN4001" s="192"/>
      <c r="BO4001" s="197"/>
      <c r="BP4001" s="197"/>
      <c r="BQ4001" s="197"/>
    </row>
    <row r="4002" spans="66:69" x14ac:dyDescent="0.2">
      <c r="BN4002" s="192"/>
      <c r="BO4002" s="197"/>
      <c r="BP4002" s="197"/>
      <c r="BQ4002" s="197"/>
    </row>
    <row r="4003" spans="66:69" x14ac:dyDescent="0.2">
      <c r="BN4003" s="192"/>
      <c r="BO4003" s="197"/>
      <c r="BP4003" s="197"/>
      <c r="BQ4003" s="197"/>
    </row>
    <row r="4004" spans="66:69" x14ac:dyDescent="0.2">
      <c r="BN4004" s="192"/>
      <c r="BO4004" s="197"/>
      <c r="BP4004" s="197"/>
      <c r="BQ4004" s="197"/>
    </row>
    <row r="4005" spans="66:69" x14ac:dyDescent="0.2">
      <c r="BN4005" s="192"/>
      <c r="BO4005" s="197"/>
      <c r="BP4005" s="197"/>
      <c r="BQ4005" s="197"/>
    </row>
    <row r="4006" spans="66:69" x14ac:dyDescent="0.2">
      <c r="BN4006" s="192"/>
      <c r="BO4006" s="197"/>
      <c r="BP4006" s="197"/>
      <c r="BQ4006" s="197"/>
    </row>
    <row r="4007" spans="66:69" x14ac:dyDescent="0.2">
      <c r="BN4007" s="192"/>
      <c r="BO4007" s="197"/>
      <c r="BP4007" s="197"/>
      <c r="BQ4007" s="197"/>
    </row>
    <row r="4008" spans="66:69" x14ac:dyDescent="0.2">
      <c r="BN4008" s="192"/>
      <c r="BO4008" s="197"/>
      <c r="BP4008" s="197"/>
      <c r="BQ4008" s="197"/>
    </row>
    <row r="4009" spans="66:69" x14ac:dyDescent="0.2">
      <c r="BN4009" s="192"/>
      <c r="BO4009" s="197"/>
      <c r="BP4009" s="197"/>
      <c r="BQ4009" s="197"/>
    </row>
    <row r="4010" spans="66:69" x14ac:dyDescent="0.2">
      <c r="BN4010" s="192"/>
      <c r="BO4010" s="197"/>
      <c r="BP4010" s="197"/>
      <c r="BQ4010" s="197"/>
    </row>
    <row r="4011" spans="66:69" x14ac:dyDescent="0.2">
      <c r="BN4011" s="192"/>
      <c r="BO4011" s="197"/>
      <c r="BP4011" s="197"/>
      <c r="BQ4011" s="197"/>
    </row>
    <row r="4012" spans="66:69" x14ac:dyDescent="0.2">
      <c r="BN4012" s="192"/>
      <c r="BO4012" s="197"/>
      <c r="BP4012" s="197"/>
      <c r="BQ4012" s="197"/>
    </row>
    <row r="4013" spans="66:69" x14ac:dyDescent="0.2">
      <c r="BN4013" s="192"/>
      <c r="BO4013" s="197"/>
      <c r="BP4013" s="197"/>
      <c r="BQ4013" s="197"/>
    </row>
    <row r="4014" spans="66:69" x14ac:dyDescent="0.2">
      <c r="BN4014" s="192"/>
      <c r="BO4014" s="197"/>
      <c r="BP4014" s="197"/>
      <c r="BQ4014" s="197"/>
    </row>
    <row r="4015" spans="66:69" x14ac:dyDescent="0.2">
      <c r="BN4015" s="192"/>
      <c r="BO4015" s="197"/>
      <c r="BP4015" s="197"/>
      <c r="BQ4015" s="197"/>
    </row>
    <row r="4016" spans="66:69" x14ac:dyDescent="0.2">
      <c r="BN4016" s="192"/>
      <c r="BO4016" s="197"/>
      <c r="BP4016" s="197"/>
      <c r="BQ4016" s="197"/>
    </row>
    <row r="4017" spans="66:69" x14ac:dyDescent="0.2">
      <c r="BN4017" s="192"/>
      <c r="BO4017" s="197"/>
      <c r="BP4017" s="197"/>
      <c r="BQ4017" s="197"/>
    </row>
    <row r="4018" spans="66:69" x14ac:dyDescent="0.2">
      <c r="BN4018" s="192"/>
      <c r="BO4018" s="197"/>
      <c r="BP4018" s="197"/>
      <c r="BQ4018" s="197"/>
    </row>
    <row r="4019" spans="66:69" x14ac:dyDescent="0.2">
      <c r="BN4019" s="192"/>
      <c r="BO4019" s="197"/>
      <c r="BP4019" s="197"/>
      <c r="BQ4019" s="197"/>
    </row>
    <row r="4020" spans="66:69" x14ac:dyDescent="0.2">
      <c r="BN4020" s="192"/>
      <c r="BO4020" s="197"/>
      <c r="BP4020" s="197"/>
      <c r="BQ4020" s="197"/>
    </row>
    <row r="4021" spans="66:69" x14ac:dyDescent="0.2">
      <c r="BN4021" s="192"/>
      <c r="BO4021" s="197"/>
      <c r="BP4021" s="197"/>
      <c r="BQ4021" s="197"/>
    </row>
    <row r="4022" spans="66:69" x14ac:dyDescent="0.2">
      <c r="BN4022" s="192"/>
      <c r="BO4022" s="197"/>
      <c r="BP4022" s="197"/>
      <c r="BQ4022" s="197"/>
    </row>
    <row r="4023" spans="66:69" x14ac:dyDescent="0.2">
      <c r="BN4023" s="192"/>
      <c r="BO4023" s="197"/>
      <c r="BP4023" s="197"/>
      <c r="BQ4023" s="197"/>
    </row>
    <row r="4024" spans="66:69" x14ac:dyDescent="0.2">
      <c r="BN4024" s="192"/>
      <c r="BO4024" s="197"/>
      <c r="BP4024" s="197"/>
      <c r="BQ4024" s="197"/>
    </row>
    <row r="4025" spans="66:69" x14ac:dyDescent="0.2">
      <c r="BN4025" s="192"/>
      <c r="BO4025" s="197"/>
      <c r="BP4025" s="197"/>
      <c r="BQ4025" s="197"/>
    </row>
    <row r="4026" spans="66:69" x14ac:dyDescent="0.2">
      <c r="BN4026" s="192"/>
      <c r="BO4026" s="197"/>
      <c r="BP4026" s="197"/>
      <c r="BQ4026" s="197"/>
    </row>
    <row r="4027" spans="66:69" x14ac:dyDescent="0.2">
      <c r="BN4027" s="192"/>
      <c r="BO4027" s="197"/>
      <c r="BP4027" s="197"/>
      <c r="BQ4027" s="197"/>
    </row>
    <row r="4028" spans="66:69" x14ac:dyDescent="0.2">
      <c r="BN4028" s="192"/>
      <c r="BO4028" s="197"/>
      <c r="BP4028" s="197"/>
      <c r="BQ4028" s="197"/>
    </row>
    <row r="4029" spans="66:69" x14ac:dyDescent="0.2">
      <c r="BN4029" s="192"/>
      <c r="BO4029" s="197"/>
      <c r="BP4029" s="197"/>
      <c r="BQ4029" s="197"/>
    </row>
    <row r="4030" spans="66:69" x14ac:dyDescent="0.2">
      <c r="BN4030" s="192"/>
      <c r="BO4030" s="197"/>
      <c r="BP4030" s="197"/>
      <c r="BQ4030" s="197"/>
    </row>
    <row r="4031" spans="66:69" x14ac:dyDescent="0.2">
      <c r="BN4031" s="192"/>
      <c r="BO4031" s="197"/>
      <c r="BP4031" s="197"/>
      <c r="BQ4031" s="197"/>
    </row>
    <row r="4032" spans="66:69" x14ac:dyDescent="0.2">
      <c r="BN4032" s="192"/>
      <c r="BO4032" s="197"/>
      <c r="BP4032" s="197"/>
      <c r="BQ4032" s="197"/>
    </row>
    <row r="4033" spans="66:69" x14ac:dyDescent="0.2">
      <c r="BN4033" s="192"/>
      <c r="BO4033" s="197"/>
      <c r="BP4033" s="197"/>
      <c r="BQ4033" s="197"/>
    </row>
    <row r="4034" spans="66:69" x14ac:dyDescent="0.2">
      <c r="BN4034" s="192"/>
      <c r="BO4034" s="197"/>
      <c r="BP4034" s="197"/>
      <c r="BQ4034" s="197"/>
    </row>
    <row r="4035" spans="66:69" x14ac:dyDescent="0.2">
      <c r="BN4035" s="192"/>
      <c r="BO4035" s="197"/>
      <c r="BP4035" s="197"/>
      <c r="BQ4035" s="197"/>
    </row>
    <row r="4036" spans="66:69" x14ac:dyDescent="0.2">
      <c r="BN4036" s="192"/>
      <c r="BO4036" s="197"/>
      <c r="BP4036" s="197"/>
      <c r="BQ4036" s="197"/>
    </row>
    <row r="4037" spans="66:69" x14ac:dyDescent="0.2">
      <c r="BN4037" s="192"/>
      <c r="BO4037" s="197"/>
      <c r="BP4037" s="197"/>
      <c r="BQ4037" s="197"/>
    </row>
    <row r="4038" spans="66:69" x14ac:dyDescent="0.2">
      <c r="BN4038" s="192"/>
      <c r="BO4038" s="197"/>
      <c r="BP4038" s="197"/>
      <c r="BQ4038" s="197"/>
    </row>
    <row r="4039" spans="66:69" x14ac:dyDescent="0.2">
      <c r="BN4039" s="192"/>
      <c r="BO4039" s="197"/>
      <c r="BP4039" s="197"/>
      <c r="BQ4039" s="197"/>
    </row>
    <row r="4040" spans="66:69" x14ac:dyDescent="0.2">
      <c r="BN4040" s="192"/>
      <c r="BO4040" s="197"/>
      <c r="BP4040" s="197"/>
      <c r="BQ4040" s="197"/>
    </row>
    <row r="4041" spans="66:69" x14ac:dyDescent="0.2">
      <c r="BN4041" s="192"/>
      <c r="BO4041" s="197"/>
      <c r="BP4041" s="197"/>
      <c r="BQ4041" s="197"/>
    </row>
    <row r="4042" spans="66:69" x14ac:dyDescent="0.2">
      <c r="BN4042" s="192"/>
      <c r="BO4042" s="197"/>
      <c r="BP4042" s="197"/>
      <c r="BQ4042" s="197"/>
    </row>
    <row r="4043" spans="66:69" x14ac:dyDescent="0.2">
      <c r="BN4043" s="192"/>
      <c r="BO4043" s="197"/>
      <c r="BP4043" s="197"/>
      <c r="BQ4043" s="197"/>
    </row>
    <row r="4044" spans="66:69" x14ac:dyDescent="0.2">
      <c r="BN4044" s="192"/>
      <c r="BO4044" s="197"/>
      <c r="BP4044" s="197"/>
      <c r="BQ4044" s="197"/>
    </row>
    <row r="4045" spans="66:69" x14ac:dyDescent="0.2">
      <c r="BN4045" s="192"/>
      <c r="BO4045" s="197"/>
      <c r="BP4045" s="197"/>
      <c r="BQ4045" s="197"/>
    </row>
    <row r="4046" spans="66:69" x14ac:dyDescent="0.2">
      <c r="BN4046" s="192"/>
      <c r="BO4046" s="197"/>
      <c r="BP4046" s="197"/>
      <c r="BQ4046" s="197"/>
    </row>
    <row r="4047" spans="66:69" x14ac:dyDescent="0.2">
      <c r="BN4047" s="192"/>
      <c r="BO4047" s="197"/>
      <c r="BP4047" s="197"/>
      <c r="BQ4047" s="197"/>
    </row>
    <row r="4048" spans="66:69" x14ac:dyDescent="0.2">
      <c r="BN4048" s="192"/>
      <c r="BO4048" s="197"/>
      <c r="BP4048" s="197"/>
      <c r="BQ4048" s="197"/>
    </row>
    <row r="4049" spans="66:69" x14ac:dyDescent="0.2">
      <c r="BN4049" s="192"/>
      <c r="BO4049" s="197"/>
      <c r="BP4049" s="197"/>
      <c r="BQ4049" s="197"/>
    </row>
    <row r="4050" spans="66:69" x14ac:dyDescent="0.2">
      <c r="BN4050" s="192"/>
      <c r="BO4050" s="197"/>
      <c r="BP4050" s="197"/>
      <c r="BQ4050" s="197"/>
    </row>
    <row r="4051" spans="66:69" x14ac:dyDescent="0.2">
      <c r="BN4051" s="192"/>
      <c r="BO4051" s="197"/>
      <c r="BP4051" s="197"/>
      <c r="BQ4051" s="197"/>
    </row>
    <row r="4052" spans="66:69" x14ac:dyDescent="0.2">
      <c r="BN4052" s="192"/>
      <c r="BO4052" s="197"/>
      <c r="BP4052" s="197"/>
      <c r="BQ4052" s="197"/>
    </row>
    <row r="4053" spans="66:69" x14ac:dyDescent="0.2">
      <c r="BN4053" s="192"/>
      <c r="BO4053" s="197"/>
      <c r="BP4053" s="197"/>
      <c r="BQ4053" s="197"/>
    </row>
    <row r="4054" spans="66:69" x14ac:dyDescent="0.2">
      <c r="BN4054" s="192"/>
      <c r="BO4054" s="197"/>
      <c r="BP4054" s="197"/>
      <c r="BQ4054" s="197"/>
    </row>
    <row r="4055" spans="66:69" x14ac:dyDescent="0.2">
      <c r="BN4055" s="192"/>
      <c r="BO4055" s="197"/>
      <c r="BP4055" s="197"/>
      <c r="BQ4055" s="197"/>
    </row>
    <row r="4056" spans="66:69" x14ac:dyDescent="0.2">
      <c r="BN4056" s="192"/>
      <c r="BO4056" s="197"/>
      <c r="BP4056" s="197"/>
      <c r="BQ4056" s="197"/>
    </row>
    <row r="4057" spans="66:69" x14ac:dyDescent="0.2">
      <c r="BN4057" s="192"/>
      <c r="BO4057" s="197"/>
      <c r="BP4057" s="197"/>
      <c r="BQ4057" s="197"/>
    </row>
    <row r="4058" spans="66:69" x14ac:dyDescent="0.2">
      <c r="BN4058" s="192"/>
      <c r="BO4058" s="197"/>
      <c r="BP4058" s="197"/>
      <c r="BQ4058" s="197"/>
    </row>
    <row r="4059" spans="66:69" x14ac:dyDescent="0.2">
      <c r="BN4059" s="192"/>
      <c r="BO4059" s="197"/>
      <c r="BP4059" s="197"/>
      <c r="BQ4059" s="197"/>
    </row>
    <row r="4060" spans="66:69" x14ac:dyDescent="0.2">
      <c r="BN4060" s="192"/>
      <c r="BO4060" s="197"/>
      <c r="BP4060" s="197"/>
      <c r="BQ4060" s="197"/>
    </row>
    <row r="4061" spans="66:69" x14ac:dyDescent="0.2">
      <c r="BN4061" s="192"/>
      <c r="BO4061" s="197"/>
      <c r="BP4061" s="197"/>
      <c r="BQ4061" s="197"/>
    </row>
    <row r="4062" spans="66:69" x14ac:dyDescent="0.2">
      <c r="BN4062" s="192"/>
      <c r="BO4062" s="197"/>
      <c r="BP4062" s="197"/>
      <c r="BQ4062" s="197"/>
    </row>
    <row r="4063" spans="66:69" x14ac:dyDescent="0.2">
      <c r="BN4063" s="192"/>
      <c r="BO4063" s="197"/>
      <c r="BP4063" s="197"/>
      <c r="BQ4063" s="197"/>
    </row>
    <row r="4064" spans="66:69" x14ac:dyDescent="0.2">
      <c r="BN4064" s="192"/>
      <c r="BO4064" s="197"/>
      <c r="BP4064" s="197"/>
      <c r="BQ4064" s="197"/>
    </row>
    <row r="4065" spans="66:69" x14ac:dyDescent="0.2">
      <c r="BN4065" s="192"/>
      <c r="BO4065" s="197"/>
      <c r="BP4065" s="197"/>
      <c r="BQ4065" s="197"/>
    </row>
    <row r="4066" spans="66:69" x14ac:dyDescent="0.2">
      <c r="BN4066" s="192"/>
      <c r="BO4066" s="197"/>
      <c r="BP4066" s="197"/>
      <c r="BQ4066" s="197"/>
    </row>
    <row r="4067" spans="66:69" x14ac:dyDescent="0.2">
      <c r="BN4067" s="192"/>
      <c r="BO4067" s="197"/>
      <c r="BP4067" s="197"/>
      <c r="BQ4067" s="197"/>
    </row>
    <row r="4068" spans="66:69" x14ac:dyDescent="0.2">
      <c r="BN4068" s="192"/>
      <c r="BO4068" s="197"/>
      <c r="BP4068" s="197"/>
      <c r="BQ4068" s="197"/>
    </row>
    <row r="4069" spans="66:69" x14ac:dyDescent="0.2">
      <c r="BN4069" s="192"/>
      <c r="BO4069" s="197"/>
      <c r="BP4069" s="197"/>
      <c r="BQ4069" s="197"/>
    </row>
    <row r="4070" spans="66:69" x14ac:dyDescent="0.2">
      <c r="BN4070" s="192"/>
      <c r="BO4070" s="197"/>
      <c r="BP4070" s="197"/>
      <c r="BQ4070" s="197"/>
    </row>
    <row r="4071" spans="66:69" x14ac:dyDescent="0.2">
      <c r="BN4071" s="192"/>
      <c r="BO4071" s="197"/>
      <c r="BP4071" s="197"/>
      <c r="BQ4071" s="197"/>
    </row>
    <row r="4072" spans="66:69" x14ac:dyDescent="0.2">
      <c r="BN4072" s="192"/>
      <c r="BO4072" s="197"/>
      <c r="BP4072" s="197"/>
      <c r="BQ4072" s="197"/>
    </row>
    <row r="4073" spans="66:69" x14ac:dyDescent="0.2">
      <c r="BN4073" s="192"/>
      <c r="BO4073" s="197"/>
      <c r="BP4073" s="197"/>
      <c r="BQ4073" s="197"/>
    </row>
    <row r="4074" spans="66:69" x14ac:dyDescent="0.2">
      <c r="BN4074" s="192"/>
      <c r="BO4074" s="197"/>
      <c r="BP4074" s="197"/>
      <c r="BQ4074" s="197"/>
    </row>
    <row r="4075" spans="66:69" x14ac:dyDescent="0.2">
      <c r="BN4075" s="192"/>
      <c r="BO4075" s="197"/>
      <c r="BP4075" s="197"/>
      <c r="BQ4075" s="197"/>
    </row>
    <row r="4076" spans="66:69" x14ac:dyDescent="0.2">
      <c r="BN4076" s="192"/>
      <c r="BO4076" s="197"/>
      <c r="BP4076" s="197"/>
      <c r="BQ4076" s="197"/>
    </row>
    <row r="4077" spans="66:69" x14ac:dyDescent="0.2">
      <c r="BN4077" s="192"/>
      <c r="BO4077" s="197"/>
      <c r="BP4077" s="197"/>
      <c r="BQ4077" s="197"/>
    </row>
    <row r="4078" spans="66:69" x14ac:dyDescent="0.2">
      <c r="BN4078" s="192"/>
      <c r="BO4078" s="197"/>
      <c r="BP4078" s="197"/>
      <c r="BQ4078" s="197"/>
    </row>
    <row r="4079" spans="66:69" x14ac:dyDescent="0.2">
      <c r="BN4079" s="192"/>
      <c r="BO4079" s="197"/>
      <c r="BP4079" s="197"/>
      <c r="BQ4079" s="197"/>
    </row>
    <row r="4080" spans="66:69" x14ac:dyDescent="0.2">
      <c r="BN4080" s="192"/>
      <c r="BO4080" s="197"/>
      <c r="BP4080" s="197"/>
      <c r="BQ4080" s="197"/>
    </row>
    <row r="4081" spans="66:69" x14ac:dyDescent="0.2">
      <c r="BN4081" s="192"/>
      <c r="BO4081" s="197"/>
      <c r="BP4081" s="197"/>
      <c r="BQ4081" s="197"/>
    </row>
    <row r="4082" spans="66:69" x14ac:dyDescent="0.2">
      <c r="BN4082" s="192"/>
      <c r="BO4082" s="197"/>
      <c r="BP4082" s="197"/>
      <c r="BQ4082" s="197"/>
    </row>
    <row r="4083" spans="66:69" x14ac:dyDescent="0.2">
      <c r="BN4083" s="192"/>
      <c r="BO4083" s="197"/>
      <c r="BP4083" s="197"/>
      <c r="BQ4083" s="197"/>
    </row>
    <row r="4084" spans="66:69" x14ac:dyDescent="0.2">
      <c r="BN4084" s="192"/>
      <c r="BO4084" s="197"/>
      <c r="BP4084" s="197"/>
      <c r="BQ4084" s="197"/>
    </row>
    <row r="4085" spans="66:69" x14ac:dyDescent="0.2">
      <c r="BN4085" s="192"/>
      <c r="BO4085" s="197"/>
      <c r="BP4085" s="197"/>
      <c r="BQ4085" s="197"/>
    </row>
    <row r="4086" spans="66:69" x14ac:dyDescent="0.2">
      <c r="BN4086" s="192"/>
      <c r="BO4086" s="197"/>
      <c r="BP4086" s="197"/>
      <c r="BQ4086" s="197"/>
    </row>
    <row r="4087" spans="66:69" x14ac:dyDescent="0.2">
      <c r="BN4087" s="192"/>
      <c r="BO4087" s="197"/>
      <c r="BP4087" s="197"/>
      <c r="BQ4087" s="197"/>
    </row>
    <row r="4088" spans="66:69" x14ac:dyDescent="0.2">
      <c r="BN4088" s="192"/>
      <c r="BO4088" s="197"/>
      <c r="BP4088" s="197"/>
      <c r="BQ4088" s="197"/>
    </row>
    <row r="4089" spans="66:69" x14ac:dyDescent="0.2">
      <c r="BN4089" s="192"/>
      <c r="BO4089" s="197"/>
      <c r="BP4089" s="197"/>
      <c r="BQ4089" s="197"/>
    </row>
    <row r="4090" spans="66:69" x14ac:dyDescent="0.2">
      <c r="BN4090" s="192"/>
      <c r="BO4090" s="197"/>
      <c r="BP4090" s="197"/>
      <c r="BQ4090" s="197"/>
    </row>
    <row r="4091" spans="66:69" x14ac:dyDescent="0.2">
      <c r="BN4091" s="192"/>
      <c r="BO4091" s="197"/>
      <c r="BP4091" s="197"/>
      <c r="BQ4091" s="197"/>
    </row>
    <row r="4092" spans="66:69" x14ac:dyDescent="0.2">
      <c r="BN4092" s="192"/>
      <c r="BO4092" s="197"/>
      <c r="BP4092" s="197"/>
      <c r="BQ4092" s="197"/>
    </row>
    <row r="4093" spans="66:69" x14ac:dyDescent="0.2">
      <c r="BN4093" s="192"/>
      <c r="BO4093" s="197"/>
      <c r="BP4093" s="197"/>
      <c r="BQ4093" s="197"/>
    </row>
    <row r="4094" spans="66:69" x14ac:dyDescent="0.2">
      <c r="BN4094" s="192"/>
      <c r="BO4094" s="197"/>
      <c r="BP4094" s="197"/>
      <c r="BQ4094" s="197"/>
    </row>
    <row r="4095" spans="66:69" x14ac:dyDescent="0.2">
      <c r="BN4095" s="192"/>
      <c r="BO4095" s="197"/>
      <c r="BP4095" s="197"/>
      <c r="BQ4095" s="197"/>
    </row>
    <row r="4096" spans="66:69" x14ac:dyDescent="0.2">
      <c r="BN4096" s="192"/>
      <c r="BO4096" s="197"/>
      <c r="BP4096" s="197"/>
      <c r="BQ4096" s="197"/>
    </row>
    <row r="4097" spans="66:69" x14ac:dyDescent="0.2">
      <c r="BN4097" s="192"/>
      <c r="BO4097" s="197"/>
      <c r="BP4097" s="197"/>
      <c r="BQ4097" s="197"/>
    </row>
    <row r="4098" spans="66:69" x14ac:dyDescent="0.2">
      <c r="BN4098" s="192"/>
      <c r="BO4098" s="197"/>
      <c r="BP4098" s="197"/>
      <c r="BQ4098" s="197"/>
    </row>
    <row r="4099" spans="66:69" x14ac:dyDescent="0.2">
      <c r="BN4099" s="192"/>
      <c r="BO4099" s="197"/>
      <c r="BP4099" s="197"/>
      <c r="BQ4099" s="197"/>
    </row>
    <row r="4100" spans="66:69" x14ac:dyDescent="0.2">
      <c r="BN4100" s="192"/>
      <c r="BO4100" s="197"/>
      <c r="BP4100" s="197"/>
      <c r="BQ4100" s="197"/>
    </row>
    <row r="4101" spans="66:69" x14ac:dyDescent="0.2">
      <c r="BN4101" s="192"/>
      <c r="BO4101" s="197"/>
      <c r="BP4101" s="197"/>
      <c r="BQ4101" s="197"/>
    </row>
    <row r="4102" spans="66:69" x14ac:dyDescent="0.2">
      <c r="BN4102" s="192"/>
      <c r="BO4102" s="197"/>
      <c r="BP4102" s="197"/>
      <c r="BQ4102" s="197"/>
    </row>
    <row r="4103" spans="66:69" x14ac:dyDescent="0.2">
      <c r="BN4103" s="192"/>
      <c r="BO4103" s="197"/>
      <c r="BP4103" s="197"/>
      <c r="BQ4103" s="197"/>
    </row>
    <row r="4104" spans="66:69" x14ac:dyDescent="0.2">
      <c r="BN4104" s="192"/>
      <c r="BO4104" s="197"/>
      <c r="BP4104" s="197"/>
      <c r="BQ4104" s="197"/>
    </row>
    <row r="4105" spans="66:69" x14ac:dyDescent="0.2">
      <c r="BN4105" s="192"/>
      <c r="BO4105" s="197"/>
      <c r="BP4105" s="197"/>
      <c r="BQ4105" s="197"/>
    </row>
    <row r="4106" spans="66:69" x14ac:dyDescent="0.2">
      <c r="BN4106" s="192"/>
      <c r="BO4106" s="197"/>
      <c r="BP4106" s="197"/>
      <c r="BQ4106" s="197"/>
    </row>
    <row r="4107" spans="66:69" x14ac:dyDescent="0.2">
      <c r="BN4107" s="192"/>
      <c r="BO4107" s="197"/>
      <c r="BP4107" s="197"/>
      <c r="BQ4107" s="197"/>
    </row>
    <row r="4108" spans="66:69" x14ac:dyDescent="0.2">
      <c r="BN4108" s="192"/>
      <c r="BO4108" s="197"/>
      <c r="BP4108" s="197"/>
      <c r="BQ4108" s="197"/>
    </row>
    <row r="4109" spans="66:69" x14ac:dyDescent="0.2">
      <c r="BN4109" s="192"/>
      <c r="BO4109" s="197"/>
      <c r="BP4109" s="197"/>
      <c r="BQ4109" s="197"/>
    </row>
    <row r="4110" spans="66:69" x14ac:dyDescent="0.2">
      <c r="BN4110" s="192"/>
      <c r="BO4110" s="197"/>
      <c r="BP4110" s="197"/>
      <c r="BQ4110" s="197"/>
    </row>
    <row r="4111" spans="66:69" x14ac:dyDescent="0.2">
      <c r="BN4111" s="192"/>
      <c r="BO4111" s="197"/>
      <c r="BP4111" s="197"/>
      <c r="BQ4111" s="197"/>
    </row>
    <row r="4112" spans="66:69" x14ac:dyDescent="0.2">
      <c r="BN4112" s="192"/>
      <c r="BO4112" s="197"/>
      <c r="BP4112" s="197"/>
      <c r="BQ4112" s="197"/>
    </row>
    <row r="4113" spans="66:69" x14ac:dyDescent="0.2">
      <c r="BN4113" s="192"/>
      <c r="BO4113" s="197"/>
      <c r="BP4113" s="197"/>
      <c r="BQ4113" s="197"/>
    </row>
    <row r="4114" spans="66:69" x14ac:dyDescent="0.2">
      <c r="BN4114" s="192"/>
      <c r="BO4114" s="197"/>
      <c r="BP4114" s="197"/>
      <c r="BQ4114" s="197"/>
    </row>
    <row r="4115" spans="66:69" x14ac:dyDescent="0.2">
      <c r="BN4115" s="192"/>
      <c r="BO4115" s="197"/>
      <c r="BP4115" s="197"/>
      <c r="BQ4115" s="197"/>
    </row>
    <row r="4116" spans="66:69" x14ac:dyDescent="0.2">
      <c r="BN4116" s="192"/>
      <c r="BO4116" s="197"/>
      <c r="BP4116" s="197"/>
      <c r="BQ4116" s="197"/>
    </row>
    <row r="4117" spans="66:69" x14ac:dyDescent="0.2">
      <c r="BN4117" s="192"/>
      <c r="BO4117" s="197"/>
      <c r="BP4117" s="197"/>
      <c r="BQ4117" s="197"/>
    </row>
    <row r="4118" spans="66:69" x14ac:dyDescent="0.2">
      <c r="BN4118" s="192"/>
      <c r="BO4118" s="197"/>
      <c r="BP4118" s="197"/>
      <c r="BQ4118" s="197"/>
    </row>
    <row r="4119" spans="66:69" x14ac:dyDescent="0.2">
      <c r="BN4119" s="192"/>
      <c r="BO4119" s="197"/>
      <c r="BP4119" s="197"/>
      <c r="BQ4119" s="197"/>
    </row>
    <row r="4120" spans="66:69" x14ac:dyDescent="0.2">
      <c r="BN4120" s="192"/>
      <c r="BO4120" s="197"/>
      <c r="BP4120" s="197"/>
      <c r="BQ4120" s="197"/>
    </row>
    <row r="4121" spans="66:69" x14ac:dyDescent="0.2">
      <c r="BN4121" s="192"/>
      <c r="BO4121" s="197"/>
      <c r="BP4121" s="197"/>
      <c r="BQ4121" s="197"/>
    </row>
    <row r="4122" spans="66:69" x14ac:dyDescent="0.2">
      <c r="BN4122" s="192"/>
      <c r="BO4122" s="197"/>
      <c r="BP4122" s="197"/>
      <c r="BQ4122" s="197"/>
    </row>
    <row r="4123" spans="66:69" x14ac:dyDescent="0.2">
      <c r="BN4123" s="192"/>
      <c r="BO4123" s="197"/>
      <c r="BP4123" s="197"/>
      <c r="BQ4123" s="197"/>
    </row>
    <row r="4124" spans="66:69" x14ac:dyDescent="0.2">
      <c r="BN4124" s="192"/>
      <c r="BO4124" s="197"/>
      <c r="BP4124" s="197"/>
      <c r="BQ4124" s="197"/>
    </row>
    <row r="4125" spans="66:69" x14ac:dyDescent="0.2">
      <c r="BN4125" s="192"/>
      <c r="BO4125" s="197"/>
      <c r="BP4125" s="197"/>
      <c r="BQ4125" s="197"/>
    </row>
    <row r="4126" spans="66:69" x14ac:dyDescent="0.2">
      <c r="BN4126" s="192"/>
      <c r="BO4126" s="197"/>
      <c r="BP4126" s="197"/>
      <c r="BQ4126" s="197"/>
    </row>
    <row r="4127" spans="66:69" x14ac:dyDescent="0.2">
      <c r="BN4127" s="192"/>
      <c r="BO4127" s="197"/>
      <c r="BP4127" s="197"/>
      <c r="BQ4127" s="197"/>
    </row>
    <row r="4128" spans="66:69" x14ac:dyDescent="0.2">
      <c r="BN4128" s="192"/>
      <c r="BO4128" s="197"/>
      <c r="BP4128" s="197"/>
      <c r="BQ4128" s="197"/>
    </row>
    <row r="4129" spans="66:69" x14ac:dyDescent="0.2">
      <c r="BN4129" s="192"/>
      <c r="BO4129" s="197"/>
      <c r="BP4129" s="197"/>
      <c r="BQ4129" s="197"/>
    </row>
    <row r="4130" spans="66:69" x14ac:dyDescent="0.2">
      <c r="BN4130" s="192"/>
      <c r="BO4130" s="197"/>
      <c r="BP4130" s="197"/>
      <c r="BQ4130" s="197"/>
    </row>
    <row r="4131" spans="66:69" x14ac:dyDescent="0.2">
      <c r="BN4131" s="192"/>
      <c r="BO4131" s="197"/>
      <c r="BP4131" s="197"/>
      <c r="BQ4131" s="197"/>
    </row>
    <row r="4132" spans="66:69" x14ac:dyDescent="0.2">
      <c r="BN4132" s="192"/>
      <c r="BO4132" s="197"/>
      <c r="BP4132" s="197"/>
      <c r="BQ4132" s="197"/>
    </row>
    <row r="4133" spans="66:69" x14ac:dyDescent="0.2">
      <c r="BN4133" s="192"/>
      <c r="BO4133" s="197"/>
      <c r="BP4133" s="197"/>
      <c r="BQ4133" s="197"/>
    </row>
    <row r="4134" spans="66:69" x14ac:dyDescent="0.2">
      <c r="BN4134" s="192"/>
      <c r="BO4134" s="197"/>
      <c r="BP4134" s="197"/>
      <c r="BQ4134" s="197"/>
    </row>
    <row r="4135" spans="66:69" x14ac:dyDescent="0.2">
      <c r="BN4135" s="192"/>
      <c r="BO4135" s="197"/>
      <c r="BP4135" s="197"/>
      <c r="BQ4135" s="197"/>
    </row>
    <row r="4136" spans="66:69" x14ac:dyDescent="0.2">
      <c r="BN4136" s="192"/>
      <c r="BO4136" s="197"/>
      <c r="BP4136" s="197"/>
      <c r="BQ4136" s="197"/>
    </row>
    <row r="4137" spans="66:69" x14ac:dyDescent="0.2">
      <c r="BN4137" s="192"/>
      <c r="BO4137" s="197"/>
      <c r="BP4137" s="197"/>
      <c r="BQ4137" s="197"/>
    </row>
    <row r="4138" spans="66:69" x14ac:dyDescent="0.2">
      <c r="BN4138" s="192"/>
      <c r="BO4138" s="197"/>
      <c r="BP4138" s="197"/>
      <c r="BQ4138" s="197"/>
    </row>
    <row r="4139" spans="66:69" x14ac:dyDescent="0.2">
      <c r="BN4139" s="192"/>
      <c r="BO4139" s="197"/>
      <c r="BP4139" s="197"/>
      <c r="BQ4139" s="197"/>
    </row>
    <row r="4140" spans="66:69" x14ac:dyDescent="0.2">
      <c r="BN4140" s="192"/>
      <c r="BO4140" s="197"/>
      <c r="BP4140" s="197"/>
      <c r="BQ4140" s="197"/>
    </row>
    <row r="4141" spans="66:69" x14ac:dyDescent="0.2">
      <c r="BN4141" s="192"/>
      <c r="BO4141" s="197"/>
      <c r="BP4141" s="197"/>
      <c r="BQ4141" s="197"/>
    </row>
    <row r="4142" spans="66:69" x14ac:dyDescent="0.2">
      <c r="BN4142" s="192"/>
      <c r="BO4142" s="197"/>
      <c r="BP4142" s="197"/>
      <c r="BQ4142" s="197"/>
    </row>
    <row r="4143" spans="66:69" x14ac:dyDescent="0.2">
      <c r="BN4143" s="192"/>
      <c r="BO4143" s="197"/>
      <c r="BP4143" s="197"/>
      <c r="BQ4143" s="197"/>
    </row>
    <row r="4144" spans="66:69" x14ac:dyDescent="0.2">
      <c r="BN4144" s="192"/>
      <c r="BO4144" s="197"/>
      <c r="BP4144" s="197"/>
      <c r="BQ4144" s="197"/>
    </row>
    <row r="4145" spans="66:69" x14ac:dyDescent="0.2">
      <c r="BN4145" s="192"/>
      <c r="BO4145" s="197"/>
      <c r="BP4145" s="197"/>
      <c r="BQ4145" s="197"/>
    </row>
    <row r="4146" spans="66:69" x14ac:dyDescent="0.2">
      <c r="BN4146" s="192"/>
      <c r="BO4146" s="197"/>
      <c r="BP4146" s="197"/>
      <c r="BQ4146" s="197"/>
    </row>
    <row r="4147" spans="66:69" x14ac:dyDescent="0.2">
      <c r="BN4147" s="192"/>
      <c r="BO4147" s="197"/>
      <c r="BP4147" s="197"/>
      <c r="BQ4147" s="197"/>
    </row>
    <row r="4148" spans="66:69" x14ac:dyDescent="0.2">
      <c r="BN4148" s="192"/>
      <c r="BO4148" s="197"/>
      <c r="BP4148" s="197"/>
      <c r="BQ4148" s="197"/>
    </row>
    <row r="4149" spans="66:69" x14ac:dyDescent="0.2">
      <c r="BN4149" s="192"/>
      <c r="BO4149" s="197"/>
      <c r="BP4149" s="197"/>
      <c r="BQ4149" s="197"/>
    </row>
    <row r="4150" spans="66:69" x14ac:dyDescent="0.2">
      <c r="BN4150" s="192"/>
      <c r="BO4150" s="197"/>
      <c r="BP4150" s="197"/>
      <c r="BQ4150" s="197"/>
    </row>
    <row r="4151" spans="66:69" x14ac:dyDescent="0.2">
      <c r="BN4151" s="192"/>
      <c r="BO4151" s="197"/>
      <c r="BP4151" s="197"/>
      <c r="BQ4151" s="197"/>
    </row>
    <row r="4152" spans="66:69" x14ac:dyDescent="0.2">
      <c r="BN4152" s="192"/>
      <c r="BO4152" s="197"/>
      <c r="BP4152" s="197"/>
      <c r="BQ4152" s="197"/>
    </row>
    <row r="4153" spans="66:69" x14ac:dyDescent="0.2">
      <c r="BN4153" s="192"/>
      <c r="BO4153" s="197"/>
      <c r="BP4153" s="197"/>
      <c r="BQ4153" s="197"/>
    </row>
    <row r="4154" spans="66:69" x14ac:dyDescent="0.2">
      <c r="BN4154" s="192"/>
      <c r="BO4154" s="197"/>
      <c r="BP4154" s="197"/>
      <c r="BQ4154" s="197"/>
    </row>
    <row r="4155" spans="66:69" x14ac:dyDescent="0.2">
      <c r="BN4155" s="192"/>
      <c r="BO4155" s="197"/>
      <c r="BP4155" s="197"/>
      <c r="BQ4155" s="197"/>
    </row>
    <row r="4156" spans="66:69" x14ac:dyDescent="0.2">
      <c r="BN4156" s="192"/>
      <c r="BO4156" s="197"/>
      <c r="BP4156" s="197"/>
      <c r="BQ4156" s="197"/>
    </row>
    <row r="4157" spans="66:69" x14ac:dyDescent="0.2">
      <c r="BN4157" s="192"/>
      <c r="BO4157" s="197"/>
      <c r="BP4157" s="197"/>
      <c r="BQ4157" s="197"/>
    </row>
    <row r="4158" spans="66:69" x14ac:dyDescent="0.2">
      <c r="BN4158" s="192"/>
      <c r="BO4158" s="197"/>
      <c r="BP4158" s="197"/>
      <c r="BQ4158" s="197"/>
    </row>
    <row r="4159" spans="66:69" x14ac:dyDescent="0.2">
      <c r="BN4159" s="192"/>
      <c r="BO4159" s="197"/>
      <c r="BP4159" s="197"/>
      <c r="BQ4159" s="197"/>
    </row>
    <row r="4160" spans="66:69" x14ac:dyDescent="0.2">
      <c r="BN4160" s="192"/>
      <c r="BO4160" s="197"/>
      <c r="BP4160" s="197"/>
      <c r="BQ4160" s="197"/>
    </row>
    <row r="4161" spans="66:69" x14ac:dyDescent="0.2">
      <c r="BN4161" s="192"/>
      <c r="BO4161" s="197"/>
      <c r="BP4161" s="197"/>
      <c r="BQ4161" s="197"/>
    </row>
    <row r="4162" spans="66:69" x14ac:dyDescent="0.2">
      <c r="BN4162" s="192"/>
      <c r="BO4162" s="197"/>
      <c r="BP4162" s="197"/>
      <c r="BQ4162" s="197"/>
    </row>
    <row r="4163" spans="66:69" x14ac:dyDescent="0.2">
      <c r="BN4163" s="192"/>
      <c r="BO4163" s="197"/>
      <c r="BP4163" s="197"/>
      <c r="BQ4163" s="197"/>
    </row>
    <row r="4164" spans="66:69" x14ac:dyDescent="0.2">
      <c r="BN4164" s="192"/>
      <c r="BO4164" s="197"/>
      <c r="BP4164" s="197"/>
      <c r="BQ4164" s="197"/>
    </row>
    <row r="4165" spans="66:69" x14ac:dyDescent="0.2">
      <c r="BN4165" s="192"/>
      <c r="BO4165" s="197"/>
      <c r="BP4165" s="197"/>
      <c r="BQ4165" s="197"/>
    </row>
    <row r="4166" spans="66:69" x14ac:dyDescent="0.2">
      <c r="BN4166" s="192"/>
      <c r="BO4166" s="197"/>
      <c r="BP4166" s="197"/>
      <c r="BQ4166" s="197"/>
    </row>
    <row r="4167" spans="66:69" x14ac:dyDescent="0.2">
      <c r="BN4167" s="192"/>
      <c r="BO4167" s="197"/>
      <c r="BP4167" s="197"/>
      <c r="BQ4167" s="197"/>
    </row>
    <row r="4168" spans="66:69" x14ac:dyDescent="0.2">
      <c r="BN4168" s="192"/>
      <c r="BO4168" s="197"/>
      <c r="BP4168" s="197"/>
      <c r="BQ4168" s="197"/>
    </row>
    <row r="4169" spans="66:69" x14ac:dyDescent="0.2">
      <c r="BN4169" s="192"/>
      <c r="BO4169" s="197"/>
      <c r="BP4169" s="197"/>
      <c r="BQ4169" s="197"/>
    </row>
    <row r="4170" spans="66:69" x14ac:dyDescent="0.2">
      <c r="BN4170" s="192"/>
      <c r="BO4170" s="197"/>
      <c r="BP4170" s="197"/>
      <c r="BQ4170" s="197"/>
    </row>
    <row r="4171" spans="66:69" x14ac:dyDescent="0.2">
      <c r="BN4171" s="192"/>
      <c r="BO4171" s="197"/>
      <c r="BP4171" s="197"/>
      <c r="BQ4171" s="197"/>
    </row>
    <row r="4172" spans="66:69" x14ac:dyDescent="0.2">
      <c r="BN4172" s="192"/>
      <c r="BO4172" s="197"/>
      <c r="BP4172" s="197"/>
      <c r="BQ4172" s="197"/>
    </row>
    <row r="4173" spans="66:69" x14ac:dyDescent="0.2">
      <c r="BN4173" s="192"/>
      <c r="BO4173" s="197"/>
      <c r="BP4173" s="197"/>
      <c r="BQ4173" s="197"/>
    </row>
    <row r="4174" spans="66:69" x14ac:dyDescent="0.2">
      <c r="BN4174" s="192"/>
      <c r="BO4174" s="197"/>
      <c r="BP4174" s="197"/>
      <c r="BQ4174" s="197"/>
    </row>
    <row r="4175" spans="66:69" x14ac:dyDescent="0.2">
      <c r="BN4175" s="192"/>
      <c r="BO4175" s="197"/>
      <c r="BP4175" s="197"/>
      <c r="BQ4175" s="197"/>
    </row>
    <row r="4176" spans="66:69" x14ac:dyDescent="0.2">
      <c r="BN4176" s="192"/>
      <c r="BO4176" s="197"/>
      <c r="BP4176" s="197"/>
      <c r="BQ4176" s="197"/>
    </row>
    <row r="4177" spans="66:69" x14ac:dyDescent="0.2">
      <c r="BN4177" s="192"/>
      <c r="BO4177" s="197"/>
      <c r="BP4177" s="197"/>
      <c r="BQ4177" s="197"/>
    </row>
    <row r="4178" spans="66:69" x14ac:dyDescent="0.2">
      <c r="BN4178" s="192"/>
      <c r="BO4178" s="197"/>
      <c r="BP4178" s="197"/>
      <c r="BQ4178" s="197"/>
    </row>
    <row r="4179" spans="66:69" x14ac:dyDescent="0.2">
      <c r="BN4179" s="192"/>
      <c r="BO4179" s="197"/>
      <c r="BP4179" s="197"/>
      <c r="BQ4179" s="197"/>
    </row>
    <row r="4180" spans="66:69" x14ac:dyDescent="0.2">
      <c r="BN4180" s="192"/>
      <c r="BO4180" s="197"/>
      <c r="BP4180" s="197"/>
      <c r="BQ4180" s="197"/>
    </row>
    <row r="4181" spans="66:69" x14ac:dyDescent="0.2">
      <c r="BN4181" s="192"/>
      <c r="BO4181" s="197"/>
      <c r="BP4181" s="197"/>
      <c r="BQ4181" s="197"/>
    </row>
    <row r="4182" spans="66:69" x14ac:dyDescent="0.2">
      <c r="BN4182" s="192"/>
      <c r="BO4182" s="197"/>
      <c r="BP4182" s="197"/>
      <c r="BQ4182" s="197"/>
    </row>
    <row r="4183" spans="66:69" x14ac:dyDescent="0.2">
      <c r="BN4183" s="192"/>
      <c r="BO4183" s="197"/>
      <c r="BP4183" s="197"/>
      <c r="BQ4183" s="197"/>
    </row>
    <row r="4184" spans="66:69" x14ac:dyDescent="0.2">
      <c r="BN4184" s="192"/>
      <c r="BO4184" s="197"/>
      <c r="BP4184" s="197"/>
      <c r="BQ4184" s="197"/>
    </row>
    <row r="4185" spans="66:69" x14ac:dyDescent="0.2">
      <c r="BN4185" s="192"/>
      <c r="BO4185" s="197"/>
      <c r="BP4185" s="197"/>
      <c r="BQ4185" s="197"/>
    </row>
    <row r="4186" spans="66:69" x14ac:dyDescent="0.2">
      <c r="BN4186" s="192"/>
      <c r="BO4186" s="197"/>
      <c r="BP4186" s="197"/>
      <c r="BQ4186" s="197"/>
    </row>
    <row r="4187" spans="66:69" x14ac:dyDescent="0.2">
      <c r="BN4187" s="192"/>
      <c r="BO4187" s="197"/>
      <c r="BP4187" s="197"/>
      <c r="BQ4187" s="197"/>
    </row>
    <row r="4188" spans="66:69" x14ac:dyDescent="0.2">
      <c r="BN4188" s="192"/>
      <c r="BO4188" s="197"/>
      <c r="BP4188" s="197"/>
      <c r="BQ4188" s="197"/>
    </row>
    <row r="4189" spans="66:69" x14ac:dyDescent="0.2">
      <c r="BN4189" s="192"/>
      <c r="BO4189" s="197"/>
      <c r="BP4189" s="197"/>
      <c r="BQ4189" s="197"/>
    </row>
    <row r="4190" spans="66:69" x14ac:dyDescent="0.2">
      <c r="BN4190" s="192"/>
      <c r="BO4190" s="197"/>
      <c r="BP4190" s="197"/>
      <c r="BQ4190" s="197"/>
    </row>
    <row r="4191" spans="66:69" x14ac:dyDescent="0.2">
      <c r="BN4191" s="192"/>
      <c r="BO4191" s="197"/>
      <c r="BP4191" s="197"/>
      <c r="BQ4191" s="197"/>
    </row>
    <row r="4192" spans="66:69" x14ac:dyDescent="0.2">
      <c r="BN4192" s="192"/>
      <c r="BO4192" s="197"/>
      <c r="BP4192" s="197"/>
      <c r="BQ4192" s="197"/>
    </row>
    <row r="4193" spans="66:69" x14ac:dyDescent="0.2">
      <c r="BN4193" s="192"/>
      <c r="BO4193" s="197"/>
      <c r="BP4193" s="197"/>
      <c r="BQ4193" s="197"/>
    </row>
    <row r="4194" spans="66:69" x14ac:dyDescent="0.2">
      <c r="BN4194" s="192"/>
      <c r="BO4194" s="197"/>
      <c r="BP4194" s="197"/>
      <c r="BQ4194" s="197"/>
    </row>
    <row r="4195" spans="66:69" x14ac:dyDescent="0.2">
      <c r="BN4195" s="192"/>
      <c r="BO4195" s="197"/>
      <c r="BP4195" s="197"/>
      <c r="BQ4195" s="197"/>
    </row>
    <row r="4196" spans="66:69" x14ac:dyDescent="0.2">
      <c r="BN4196" s="192"/>
      <c r="BO4196" s="197"/>
      <c r="BP4196" s="197"/>
      <c r="BQ4196" s="197"/>
    </row>
    <row r="4197" spans="66:69" x14ac:dyDescent="0.2">
      <c r="BN4197" s="192"/>
      <c r="BO4197" s="197"/>
      <c r="BP4197" s="197"/>
      <c r="BQ4197" s="197"/>
    </row>
    <row r="4198" spans="66:69" x14ac:dyDescent="0.2">
      <c r="BN4198" s="192"/>
      <c r="BO4198" s="197"/>
      <c r="BP4198" s="197"/>
      <c r="BQ4198" s="197"/>
    </row>
    <row r="4199" spans="66:69" x14ac:dyDescent="0.2">
      <c r="BN4199" s="192"/>
      <c r="BO4199" s="197"/>
      <c r="BP4199" s="197"/>
      <c r="BQ4199" s="197"/>
    </row>
    <row r="4200" spans="66:69" x14ac:dyDescent="0.2">
      <c r="BN4200" s="192"/>
      <c r="BO4200" s="197"/>
      <c r="BP4200" s="197"/>
      <c r="BQ4200" s="197"/>
    </row>
    <row r="4201" spans="66:69" x14ac:dyDescent="0.2">
      <c r="BN4201" s="192"/>
      <c r="BO4201" s="197"/>
      <c r="BP4201" s="197"/>
      <c r="BQ4201" s="197"/>
    </row>
    <row r="4202" spans="66:69" x14ac:dyDescent="0.2">
      <c r="BN4202" s="192"/>
      <c r="BO4202" s="197"/>
      <c r="BP4202" s="197"/>
      <c r="BQ4202" s="197"/>
    </row>
    <row r="4203" spans="66:69" x14ac:dyDescent="0.2">
      <c r="BN4203" s="192"/>
      <c r="BO4203" s="197"/>
      <c r="BP4203" s="197"/>
      <c r="BQ4203" s="197"/>
    </row>
    <row r="4204" spans="66:69" x14ac:dyDescent="0.2">
      <c r="BN4204" s="192"/>
      <c r="BO4204" s="197"/>
      <c r="BP4204" s="197"/>
      <c r="BQ4204" s="197"/>
    </row>
    <row r="4205" spans="66:69" x14ac:dyDescent="0.2">
      <c r="BN4205" s="192"/>
      <c r="BO4205" s="197"/>
      <c r="BP4205" s="197"/>
      <c r="BQ4205" s="197"/>
    </row>
    <row r="4206" spans="66:69" x14ac:dyDescent="0.2">
      <c r="BN4206" s="192"/>
      <c r="BO4206" s="197"/>
      <c r="BP4206" s="197"/>
      <c r="BQ4206" s="197"/>
    </row>
    <row r="4207" spans="66:69" x14ac:dyDescent="0.2">
      <c r="BN4207" s="192"/>
      <c r="BO4207" s="197"/>
      <c r="BP4207" s="197"/>
      <c r="BQ4207" s="197"/>
    </row>
    <row r="4208" spans="66:69" x14ac:dyDescent="0.2">
      <c r="BN4208" s="192"/>
      <c r="BO4208" s="197"/>
      <c r="BP4208" s="197"/>
      <c r="BQ4208" s="197"/>
    </row>
    <row r="4209" spans="66:69" x14ac:dyDescent="0.2">
      <c r="BN4209" s="192"/>
      <c r="BO4209" s="197"/>
      <c r="BP4209" s="197"/>
      <c r="BQ4209" s="197"/>
    </row>
    <row r="4210" spans="66:69" x14ac:dyDescent="0.2">
      <c r="BN4210" s="192"/>
      <c r="BO4210" s="197"/>
      <c r="BP4210" s="197"/>
      <c r="BQ4210" s="197"/>
    </row>
    <row r="4211" spans="66:69" x14ac:dyDescent="0.2">
      <c r="BN4211" s="192"/>
      <c r="BO4211" s="197"/>
      <c r="BP4211" s="197"/>
      <c r="BQ4211" s="197"/>
    </row>
    <row r="4212" spans="66:69" x14ac:dyDescent="0.2">
      <c r="BN4212" s="192"/>
      <c r="BO4212" s="197"/>
      <c r="BP4212" s="197"/>
      <c r="BQ4212" s="197"/>
    </row>
    <row r="4213" spans="66:69" x14ac:dyDescent="0.2">
      <c r="BN4213" s="192"/>
      <c r="BO4213" s="197"/>
      <c r="BP4213" s="197"/>
      <c r="BQ4213" s="197"/>
    </row>
    <row r="4214" spans="66:69" x14ac:dyDescent="0.2">
      <c r="BN4214" s="192"/>
      <c r="BO4214" s="197"/>
      <c r="BP4214" s="197"/>
      <c r="BQ4214" s="197"/>
    </row>
    <row r="4215" spans="66:69" x14ac:dyDescent="0.2">
      <c r="BN4215" s="192"/>
      <c r="BO4215" s="197"/>
      <c r="BP4215" s="197"/>
      <c r="BQ4215" s="197"/>
    </row>
    <row r="4216" spans="66:69" x14ac:dyDescent="0.2">
      <c r="BN4216" s="192"/>
      <c r="BO4216" s="197"/>
      <c r="BP4216" s="197"/>
      <c r="BQ4216" s="197"/>
    </row>
    <row r="4217" spans="66:69" x14ac:dyDescent="0.2">
      <c r="BN4217" s="192"/>
      <c r="BO4217" s="197"/>
      <c r="BP4217" s="197"/>
      <c r="BQ4217" s="197"/>
    </row>
    <row r="4218" spans="66:69" x14ac:dyDescent="0.2">
      <c r="BN4218" s="192"/>
      <c r="BO4218" s="197"/>
      <c r="BP4218" s="197"/>
      <c r="BQ4218" s="197"/>
    </row>
    <row r="4219" spans="66:69" x14ac:dyDescent="0.2">
      <c r="BN4219" s="192"/>
      <c r="BO4219" s="197"/>
      <c r="BP4219" s="197"/>
      <c r="BQ4219" s="197"/>
    </row>
    <row r="4220" spans="66:69" x14ac:dyDescent="0.2">
      <c r="BN4220" s="192"/>
      <c r="BO4220" s="197"/>
      <c r="BP4220" s="197"/>
      <c r="BQ4220" s="197"/>
    </row>
    <row r="4221" spans="66:69" x14ac:dyDescent="0.2">
      <c r="BN4221" s="192"/>
      <c r="BO4221" s="197"/>
      <c r="BP4221" s="197"/>
      <c r="BQ4221" s="197"/>
    </row>
    <row r="4222" spans="66:69" x14ac:dyDescent="0.2">
      <c r="BN4222" s="192"/>
      <c r="BO4222" s="197"/>
      <c r="BP4222" s="197"/>
      <c r="BQ4222" s="197"/>
    </row>
    <row r="4223" spans="66:69" x14ac:dyDescent="0.2">
      <c r="BN4223" s="192"/>
      <c r="BO4223" s="197"/>
      <c r="BP4223" s="197"/>
      <c r="BQ4223" s="197"/>
    </row>
    <row r="4224" spans="66:69" x14ac:dyDescent="0.2">
      <c r="BN4224" s="192"/>
      <c r="BO4224" s="197"/>
      <c r="BP4224" s="197"/>
      <c r="BQ4224" s="197"/>
    </row>
    <row r="4225" spans="66:69" x14ac:dyDescent="0.2">
      <c r="BN4225" s="192"/>
      <c r="BO4225" s="197"/>
      <c r="BP4225" s="197"/>
      <c r="BQ4225" s="197"/>
    </row>
    <row r="4226" spans="66:69" x14ac:dyDescent="0.2">
      <c r="BN4226" s="192"/>
      <c r="BO4226" s="197"/>
      <c r="BP4226" s="197"/>
      <c r="BQ4226" s="197"/>
    </row>
    <row r="4227" spans="66:69" x14ac:dyDescent="0.2">
      <c r="BN4227" s="192"/>
      <c r="BO4227" s="197"/>
      <c r="BP4227" s="197"/>
      <c r="BQ4227" s="197"/>
    </row>
    <row r="4228" spans="66:69" x14ac:dyDescent="0.2">
      <c r="BN4228" s="192"/>
      <c r="BO4228" s="197"/>
      <c r="BP4228" s="197"/>
      <c r="BQ4228" s="197"/>
    </row>
    <row r="4229" spans="66:69" x14ac:dyDescent="0.2">
      <c r="BN4229" s="192"/>
      <c r="BO4229" s="197"/>
      <c r="BP4229" s="197"/>
      <c r="BQ4229" s="197"/>
    </row>
    <row r="4230" spans="66:69" x14ac:dyDescent="0.2">
      <c r="BN4230" s="192"/>
      <c r="BO4230" s="197"/>
      <c r="BP4230" s="197"/>
      <c r="BQ4230" s="197"/>
    </row>
    <row r="4231" spans="66:69" x14ac:dyDescent="0.2">
      <c r="BN4231" s="192"/>
      <c r="BO4231" s="197"/>
      <c r="BP4231" s="197"/>
      <c r="BQ4231" s="197"/>
    </row>
    <row r="4232" spans="66:69" x14ac:dyDescent="0.2">
      <c r="BN4232" s="192"/>
      <c r="BO4232" s="197"/>
      <c r="BP4232" s="197"/>
      <c r="BQ4232" s="197"/>
    </row>
    <row r="4233" spans="66:69" x14ac:dyDescent="0.2">
      <c r="BN4233" s="192"/>
      <c r="BO4233" s="197"/>
      <c r="BP4233" s="197"/>
      <c r="BQ4233" s="197"/>
    </row>
    <row r="4234" spans="66:69" x14ac:dyDescent="0.2">
      <c r="BN4234" s="192"/>
      <c r="BO4234" s="197"/>
      <c r="BP4234" s="197"/>
      <c r="BQ4234" s="197"/>
    </row>
    <row r="4235" spans="66:69" x14ac:dyDescent="0.2">
      <c r="BN4235" s="192"/>
      <c r="BO4235" s="197"/>
      <c r="BP4235" s="197"/>
      <c r="BQ4235" s="197"/>
    </row>
    <row r="4236" spans="66:69" x14ac:dyDescent="0.2">
      <c r="BN4236" s="192"/>
      <c r="BO4236" s="197"/>
      <c r="BP4236" s="197"/>
      <c r="BQ4236" s="197"/>
    </row>
    <row r="4237" spans="66:69" x14ac:dyDescent="0.2">
      <c r="BN4237" s="192"/>
      <c r="BO4237" s="197"/>
      <c r="BP4237" s="197"/>
      <c r="BQ4237" s="197"/>
    </row>
    <row r="4238" spans="66:69" x14ac:dyDescent="0.2">
      <c r="BN4238" s="192"/>
      <c r="BO4238" s="197"/>
      <c r="BP4238" s="197"/>
      <c r="BQ4238" s="197"/>
    </row>
    <row r="4239" spans="66:69" x14ac:dyDescent="0.2">
      <c r="BN4239" s="192"/>
      <c r="BO4239" s="197"/>
      <c r="BP4239" s="197"/>
      <c r="BQ4239" s="197"/>
    </row>
    <row r="4240" spans="66:69" x14ac:dyDescent="0.2">
      <c r="BN4240" s="192"/>
      <c r="BO4240" s="197"/>
      <c r="BP4240" s="197"/>
      <c r="BQ4240" s="197"/>
    </row>
    <row r="4241" spans="66:69" x14ac:dyDescent="0.2">
      <c r="BN4241" s="192"/>
      <c r="BO4241" s="197"/>
      <c r="BP4241" s="197"/>
      <c r="BQ4241" s="197"/>
    </row>
    <row r="4242" spans="66:69" x14ac:dyDescent="0.2">
      <c r="BN4242" s="192"/>
      <c r="BO4242" s="197"/>
      <c r="BP4242" s="197"/>
      <c r="BQ4242" s="197"/>
    </row>
    <row r="4243" spans="66:69" x14ac:dyDescent="0.2">
      <c r="BN4243" s="192"/>
      <c r="BO4243" s="197"/>
      <c r="BP4243" s="197"/>
      <c r="BQ4243" s="197"/>
    </row>
    <row r="4244" spans="66:69" x14ac:dyDescent="0.2">
      <c r="BN4244" s="192"/>
      <c r="BO4244" s="197"/>
      <c r="BP4244" s="197"/>
      <c r="BQ4244" s="197"/>
    </row>
    <row r="4245" spans="66:69" x14ac:dyDescent="0.2">
      <c r="BN4245" s="192"/>
      <c r="BO4245" s="197"/>
      <c r="BP4245" s="197"/>
      <c r="BQ4245" s="197"/>
    </row>
    <row r="4246" spans="66:69" x14ac:dyDescent="0.2">
      <c r="BN4246" s="192"/>
      <c r="BO4246" s="197"/>
      <c r="BP4246" s="197"/>
      <c r="BQ4246" s="197"/>
    </row>
    <row r="4247" spans="66:69" x14ac:dyDescent="0.2">
      <c r="BN4247" s="192"/>
      <c r="BO4247" s="197"/>
      <c r="BP4247" s="197"/>
      <c r="BQ4247" s="197"/>
    </row>
    <row r="4248" spans="66:69" x14ac:dyDescent="0.2">
      <c r="BN4248" s="192"/>
      <c r="BO4248" s="197"/>
      <c r="BP4248" s="197"/>
      <c r="BQ4248" s="197"/>
    </row>
    <row r="4249" spans="66:69" x14ac:dyDescent="0.2">
      <c r="BN4249" s="192"/>
      <c r="BO4249" s="197"/>
      <c r="BP4249" s="197"/>
      <c r="BQ4249" s="197"/>
    </row>
    <row r="4250" spans="66:69" x14ac:dyDescent="0.2">
      <c r="BN4250" s="192"/>
      <c r="BO4250" s="197"/>
      <c r="BP4250" s="197"/>
      <c r="BQ4250" s="197"/>
    </row>
    <row r="4251" spans="66:69" x14ac:dyDescent="0.2">
      <c r="BN4251" s="192"/>
      <c r="BO4251" s="197"/>
      <c r="BP4251" s="197"/>
      <c r="BQ4251" s="197"/>
    </row>
    <row r="4252" spans="66:69" x14ac:dyDescent="0.2">
      <c r="BN4252" s="192"/>
      <c r="BO4252" s="197"/>
      <c r="BP4252" s="197"/>
      <c r="BQ4252" s="197"/>
    </row>
    <row r="4253" spans="66:69" x14ac:dyDescent="0.2">
      <c r="BN4253" s="192"/>
      <c r="BO4253" s="197"/>
      <c r="BP4253" s="197"/>
      <c r="BQ4253" s="197"/>
    </row>
    <row r="4254" spans="66:69" x14ac:dyDescent="0.2">
      <c r="BN4254" s="192"/>
      <c r="BO4254" s="197"/>
      <c r="BP4254" s="197"/>
      <c r="BQ4254" s="197"/>
    </row>
    <row r="4255" spans="66:69" x14ac:dyDescent="0.2">
      <c r="BN4255" s="192"/>
      <c r="BO4255" s="197"/>
      <c r="BP4255" s="197"/>
      <c r="BQ4255" s="197"/>
    </row>
    <row r="4256" spans="66:69" x14ac:dyDescent="0.2">
      <c r="BN4256" s="192"/>
      <c r="BO4256" s="197"/>
      <c r="BP4256" s="197"/>
      <c r="BQ4256" s="197"/>
    </row>
    <row r="4257" spans="66:69" x14ac:dyDescent="0.2">
      <c r="BN4257" s="192"/>
      <c r="BO4257" s="197"/>
      <c r="BP4257" s="197"/>
      <c r="BQ4257" s="197"/>
    </row>
    <row r="4258" spans="66:69" x14ac:dyDescent="0.2">
      <c r="BN4258" s="192"/>
      <c r="BO4258" s="197"/>
      <c r="BP4258" s="197"/>
      <c r="BQ4258" s="197"/>
    </row>
    <row r="4259" spans="66:69" x14ac:dyDescent="0.2">
      <c r="BN4259" s="192"/>
      <c r="BO4259" s="197"/>
      <c r="BP4259" s="197"/>
      <c r="BQ4259" s="197"/>
    </row>
    <row r="4260" spans="66:69" x14ac:dyDescent="0.2">
      <c r="BN4260" s="192"/>
      <c r="BO4260" s="197"/>
      <c r="BP4260" s="197"/>
      <c r="BQ4260" s="197"/>
    </row>
    <row r="4261" spans="66:69" x14ac:dyDescent="0.2">
      <c r="BN4261" s="192"/>
      <c r="BO4261" s="197"/>
      <c r="BP4261" s="197"/>
      <c r="BQ4261" s="197"/>
    </row>
    <row r="4262" spans="66:69" x14ac:dyDescent="0.2">
      <c r="BN4262" s="192"/>
      <c r="BO4262" s="197"/>
      <c r="BP4262" s="197"/>
      <c r="BQ4262" s="197"/>
    </row>
    <row r="4263" spans="66:69" x14ac:dyDescent="0.2">
      <c r="BN4263" s="192"/>
      <c r="BO4263" s="197"/>
      <c r="BP4263" s="197"/>
      <c r="BQ4263" s="197"/>
    </row>
    <row r="4264" spans="66:69" x14ac:dyDescent="0.2">
      <c r="BN4264" s="192"/>
      <c r="BO4264" s="197"/>
      <c r="BP4264" s="197"/>
      <c r="BQ4264" s="197"/>
    </row>
    <row r="4265" spans="66:69" x14ac:dyDescent="0.2">
      <c r="BN4265" s="192"/>
      <c r="BO4265" s="197"/>
      <c r="BP4265" s="197"/>
      <c r="BQ4265" s="197"/>
    </row>
    <row r="4266" spans="66:69" x14ac:dyDescent="0.2">
      <c r="BN4266" s="192"/>
      <c r="BO4266" s="197"/>
      <c r="BP4266" s="197"/>
      <c r="BQ4266" s="197"/>
    </row>
    <row r="4267" spans="66:69" x14ac:dyDescent="0.2">
      <c r="BN4267" s="192"/>
      <c r="BO4267" s="197"/>
      <c r="BP4267" s="197"/>
      <c r="BQ4267" s="197"/>
    </row>
    <row r="4268" spans="66:69" x14ac:dyDescent="0.2">
      <c r="BN4268" s="192"/>
      <c r="BO4268" s="197"/>
      <c r="BP4268" s="197"/>
      <c r="BQ4268" s="197"/>
    </row>
    <row r="4269" spans="66:69" x14ac:dyDescent="0.2">
      <c r="BN4269" s="192"/>
      <c r="BO4269" s="197"/>
      <c r="BP4269" s="197"/>
      <c r="BQ4269" s="197"/>
    </row>
    <row r="4270" spans="66:69" x14ac:dyDescent="0.2">
      <c r="BN4270" s="192"/>
      <c r="BO4270" s="197"/>
      <c r="BP4270" s="197"/>
      <c r="BQ4270" s="197"/>
    </row>
    <row r="4271" spans="66:69" x14ac:dyDescent="0.2">
      <c r="BN4271" s="192"/>
      <c r="BO4271" s="197"/>
      <c r="BP4271" s="197"/>
      <c r="BQ4271" s="197"/>
    </row>
    <row r="4272" spans="66:69" x14ac:dyDescent="0.2">
      <c r="BN4272" s="192"/>
      <c r="BO4272" s="197"/>
      <c r="BP4272" s="197"/>
      <c r="BQ4272" s="197"/>
    </row>
    <row r="4273" spans="66:69" x14ac:dyDescent="0.2">
      <c r="BN4273" s="192"/>
      <c r="BO4273" s="197"/>
      <c r="BP4273" s="197"/>
      <c r="BQ4273" s="197"/>
    </row>
    <row r="4274" spans="66:69" x14ac:dyDescent="0.2">
      <c r="BN4274" s="192"/>
      <c r="BO4274" s="197"/>
      <c r="BP4274" s="197"/>
      <c r="BQ4274" s="197"/>
    </row>
    <row r="4275" spans="66:69" x14ac:dyDescent="0.2">
      <c r="BN4275" s="192"/>
      <c r="BO4275" s="197"/>
      <c r="BP4275" s="197"/>
      <c r="BQ4275" s="197"/>
    </row>
    <row r="4276" spans="66:69" x14ac:dyDescent="0.2">
      <c r="BN4276" s="192"/>
      <c r="BO4276" s="197"/>
      <c r="BP4276" s="197"/>
      <c r="BQ4276" s="197"/>
    </row>
    <row r="4277" spans="66:69" x14ac:dyDescent="0.2">
      <c r="BN4277" s="192"/>
      <c r="BO4277" s="197"/>
      <c r="BP4277" s="197"/>
      <c r="BQ4277" s="197"/>
    </row>
    <row r="4278" spans="66:69" x14ac:dyDescent="0.2">
      <c r="BN4278" s="192"/>
      <c r="BO4278" s="197"/>
      <c r="BP4278" s="197"/>
      <c r="BQ4278" s="197"/>
    </row>
    <row r="4279" spans="66:69" x14ac:dyDescent="0.2">
      <c r="BN4279" s="192"/>
      <c r="BO4279" s="197"/>
      <c r="BP4279" s="197"/>
      <c r="BQ4279" s="197"/>
    </row>
    <row r="4280" spans="66:69" x14ac:dyDescent="0.2">
      <c r="BN4280" s="192"/>
      <c r="BO4280" s="197"/>
      <c r="BP4280" s="197"/>
      <c r="BQ4280" s="197"/>
    </row>
    <row r="4281" spans="66:69" x14ac:dyDescent="0.2">
      <c r="BN4281" s="192"/>
      <c r="BO4281" s="197"/>
      <c r="BP4281" s="197"/>
      <c r="BQ4281" s="197"/>
    </row>
    <row r="4282" spans="66:69" x14ac:dyDescent="0.2">
      <c r="BN4282" s="192"/>
      <c r="BO4282" s="197"/>
      <c r="BP4282" s="197"/>
      <c r="BQ4282" s="197"/>
    </row>
    <row r="4283" spans="66:69" x14ac:dyDescent="0.2">
      <c r="BN4283" s="192"/>
      <c r="BO4283" s="197"/>
      <c r="BP4283" s="197"/>
      <c r="BQ4283" s="197"/>
    </row>
    <row r="4284" spans="66:69" x14ac:dyDescent="0.2">
      <c r="BN4284" s="192"/>
      <c r="BO4284" s="197"/>
      <c r="BP4284" s="197"/>
      <c r="BQ4284" s="197"/>
    </row>
    <row r="4285" spans="66:69" x14ac:dyDescent="0.2">
      <c r="BN4285" s="192"/>
      <c r="BO4285" s="197"/>
      <c r="BP4285" s="197"/>
      <c r="BQ4285" s="197"/>
    </row>
    <row r="4286" spans="66:69" x14ac:dyDescent="0.2">
      <c r="BN4286" s="192"/>
      <c r="BO4286" s="197"/>
      <c r="BP4286" s="197"/>
      <c r="BQ4286" s="197"/>
    </row>
    <row r="4287" spans="66:69" x14ac:dyDescent="0.2">
      <c r="BN4287" s="192"/>
      <c r="BO4287" s="197"/>
      <c r="BP4287" s="197"/>
      <c r="BQ4287" s="197"/>
    </row>
    <row r="4288" spans="66:69" x14ac:dyDescent="0.2">
      <c r="BN4288" s="192"/>
      <c r="BO4288" s="197"/>
      <c r="BP4288" s="197"/>
      <c r="BQ4288" s="197"/>
    </row>
    <row r="4289" spans="66:69" x14ac:dyDescent="0.2">
      <c r="BN4289" s="192"/>
      <c r="BO4289" s="197"/>
      <c r="BP4289" s="197"/>
      <c r="BQ4289" s="197"/>
    </row>
    <row r="4290" spans="66:69" x14ac:dyDescent="0.2">
      <c r="BN4290" s="192"/>
      <c r="BO4290" s="197"/>
      <c r="BP4290" s="197"/>
      <c r="BQ4290" s="197"/>
    </row>
    <row r="4291" spans="66:69" x14ac:dyDescent="0.2">
      <c r="BN4291" s="192"/>
      <c r="BO4291" s="197"/>
      <c r="BP4291" s="197"/>
      <c r="BQ4291" s="197"/>
    </row>
    <row r="4292" spans="66:69" x14ac:dyDescent="0.2">
      <c r="BN4292" s="192"/>
      <c r="BO4292" s="197"/>
      <c r="BP4292" s="197"/>
      <c r="BQ4292" s="197"/>
    </row>
    <row r="4293" spans="66:69" x14ac:dyDescent="0.2">
      <c r="BN4293" s="192"/>
      <c r="BO4293" s="197"/>
      <c r="BP4293" s="197"/>
      <c r="BQ4293" s="197"/>
    </row>
    <row r="4294" spans="66:69" x14ac:dyDescent="0.2">
      <c r="BN4294" s="192"/>
      <c r="BO4294" s="197"/>
      <c r="BP4294" s="197"/>
      <c r="BQ4294" s="197"/>
    </row>
    <row r="4295" spans="66:69" x14ac:dyDescent="0.2">
      <c r="BN4295" s="192"/>
      <c r="BO4295" s="197"/>
      <c r="BP4295" s="197"/>
      <c r="BQ4295" s="197"/>
    </row>
    <row r="4296" spans="66:69" x14ac:dyDescent="0.2">
      <c r="BN4296" s="192"/>
      <c r="BO4296" s="197"/>
      <c r="BP4296" s="197"/>
      <c r="BQ4296" s="197"/>
    </row>
    <row r="4297" spans="66:69" x14ac:dyDescent="0.2">
      <c r="BN4297" s="192"/>
      <c r="BO4297" s="197"/>
      <c r="BP4297" s="197"/>
      <c r="BQ4297" s="197"/>
    </row>
    <row r="4298" spans="66:69" x14ac:dyDescent="0.2">
      <c r="BN4298" s="192"/>
      <c r="BO4298" s="197"/>
      <c r="BP4298" s="197"/>
      <c r="BQ4298" s="197"/>
    </row>
    <row r="4299" spans="66:69" x14ac:dyDescent="0.2">
      <c r="BN4299" s="192"/>
      <c r="BO4299" s="197"/>
      <c r="BP4299" s="197"/>
      <c r="BQ4299" s="197"/>
    </row>
    <row r="4300" spans="66:69" x14ac:dyDescent="0.2">
      <c r="BN4300" s="192"/>
      <c r="BO4300" s="197"/>
      <c r="BP4300" s="197"/>
      <c r="BQ4300" s="197"/>
    </row>
    <row r="4301" spans="66:69" x14ac:dyDescent="0.2">
      <c r="BN4301" s="192"/>
      <c r="BO4301" s="197"/>
      <c r="BP4301" s="197"/>
      <c r="BQ4301" s="197"/>
    </row>
    <row r="4302" spans="66:69" x14ac:dyDescent="0.2">
      <c r="BN4302" s="192"/>
      <c r="BO4302" s="197"/>
      <c r="BP4302" s="197"/>
      <c r="BQ4302" s="197"/>
    </row>
    <row r="4303" spans="66:69" x14ac:dyDescent="0.2">
      <c r="BN4303" s="192"/>
      <c r="BO4303" s="197"/>
      <c r="BP4303" s="197"/>
      <c r="BQ4303" s="197"/>
    </row>
    <row r="4304" spans="66:69" x14ac:dyDescent="0.2">
      <c r="BN4304" s="192"/>
      <c r="BO4304" s="197"/>
      <c r="BP4304" s="197"/>
      <c r="BQ4304" s="197"/>
    </row>
    <row r="4305" spans="66:69" x14ac:dyDescent="0.2">
      <c r="BN4305" s="192"/>
      <c r="BO4305" s="197"/>
      <c r="BP4305" s="197"/>
      <c r="BQ4305" s="197"/>
    </row>
    <row r="4306" spans="66:69" x14ac:dyDescent="0.2">
      <c r="BN4306" s="192"/>
      <c r="BO4306" s="197"/>
      <c r="BP4306" s="197"/>
      <c r="BQ4306" s="197"/>
    </row>
    <row r="4307" spans="66:69" x14ac:dyDescent="0.2">
      <c r="BN4307" s="192"/>
      <c r="BO4307" s="197"/>
      <c r="BP4307" s="197"/>
      <c r="BQ4307" s="197"/>
    </row>
    <row r="4308" spans="66:69" x14ac:dyDescent="0.2">
      <c r="BN4308" s="192"/>
      <c r="BO4308" s="197"/>
      <c r="BP4308" s="197"/>
      <c r="BQ4308" s="197"/>
    </row>
    <row r="4309" spans="66:69" x14ac:dyDescent="0.2">
      <c r="BN4309" s="192"/>
      <c r="BO4309" s="197"/>
      <c r="BP4309" s="197"/>
      <c r="BQ4309" s="197"/>
    </row>
    <row r="4310" spans="66:69" x14ac:dyDescent="0.2">
      <c r="BN4310" s="192"/>
      <c r="BO4310" s="197"/>
      <c r="BP4310" s="197"/>
      <c r="BQ4310" s="197"/>
    </row>
    <row r="4311" spans="66:69" x14ac:dyDescent="0.2">
      <c r="BN4311" s="192"/>
      <c r="BO4311" s="197"/>
      <c r="BP4311" s="197"/>
      <c r="BQ4311" s="197"/>
    </row>
    <row r="4312" spans="66:69" x14ac:dyDescent="0.2">
      <c r="BN4312" s="192"/>
      <c r="BO4312" s="197"/>
      <c r="BP4312" s="197"/>
      <c r="BQ4312" s="197"/>
    </row>
    <row r="4313" spans="66:69" x14ac:dyDescent="0.2">
      <c r="BN4313" s="192"/>
      <c r="BO4313" s="197"/>
      <c r="BP4313" s="197"/>
      <c r="BQ4313" s="197"/>
    </row>
    <row r="4314" spans="66:69" x14ac:dyDescent="0.2">
      <c r="BN4314" s="192"/>
      <c r="BO4314" s="197"/>
      <c r="BP4314" s="197"/>
      <c r="BQ4314" s="197"/>
    </row>
    <row r="4315" spans="66:69" x14ac:dyDescent="0.2">
      <c r="BN4315" s="192"/>
      <c r="BO4315" s="197"/>
      <c r="BP4315" s="197"/>
      <c r="BQ4315" s="197"/>
    </row>
    <row r="4316" spans="66:69" x14ac:dyDescent="0.2">
      <c r="BN4316" s="192"/>
      <c r="BO4316" s="197"/>
      <c r="BP4316" s="197"/>
      <c r="BQ4316" s="197"/>
    </row>
    <row r="4317" spans="66:69" x14ac:dyDescent="0.2">
      <c r="BN4317" s="192"/>
      <c r="BO4317" s="197"/>
      <c r="BP4317" s="197"/>
      <c r="BQ4317" s="197"/>
    </row>
    <row r="4318" spans="66:69" x14ac:dyDescent="0.2">
      <c r="BN4318" s="192"/>
      <c r="BO4318" s="197"/>
      <c r="BP4318" s="197"/>
      <c r="BQ4318" s="197"/>
    </row>
    <row r="4319" spans="66:69" x14ac:dyDescent="0.2">
      <c r="BN4319" s="192"/>
      <c r="BO4319" s="197"/>
      <c r="BP4319" s="197"/>
      <c r="BQ4319" s="197"/>
    </row>
    <row r="4320" spans="66:69" x14ac:dyDescent="0.2">
      <c r="BN4320" s="192"/>
      <c r="BO4320" s="197"/>
      <c r="BP4320" s="197"/>
      <c r="BQ4320" s="197"/>
    </row>
    <row r="4321" spans="66:69" x14ac:dyDescent="0.2">
      <c r="BN4321" s="192"/>
      <c r="BO4321" s="197"/>
      <c r="BP4321" s="197"/>
      <c r="BQ4321" s="197"/>
    </row>
    <row r="4322" spans="66:69" x14ac:dyDescent="0.2">
      <c r="BN4322" s="192"/>
      <c r="BO4322" s="197"/>
      <c r="BP4322" s="197"/>
      <c r="BQ4322" s="197"/>
    </row>
    <row r="4323" spans="66:69" x14ac:dyDescent="0.2">
      <c r="BN4323" s="192"/>
      <c r="BO4323" s="197"/>
      <c r="BP4323" s="197"/>
      <c r="BQ4323" s="197"/>
    </row>
    <row r="4324" spans="66:69" x14ac:dyDescent="0.2">
      <c r="BN4324" s="192"/>
      <c r="BO4324" s="197"/>
      <c r="BP4324" s="197"/>
      <c r="BQ4324" s="197"/>
    </row>
    <row r="4325" spans="66:69" x14ac:dyDescent="0.2">
      <c r="BN4325" s="192"/>
      <c r="BO4325" s="197"/>
      <c r="BP4325" s="197"/>
      <c r="BQ4325" s="197"/>
    </row>
    <row r="4326" spans="66:69" x14ac:dyDescent="0.2">
      <c r="BN4326" s="192"/>
      <c r="BO4326" s="197"/>
      <c r="BP4326" s="197"/>
      <c r="BQ4326" s="197"/>
    </row>
    <row r="4327" spans="66:69" x14ac:dyDescent="0.2">
      <c r="BN4327" s="192"/>
      <c r="BO4327" s="197"/>
      <c r="BP4327" s="197"/>
      <c r="BQ4327" s="197"/>
    </row>
    <row r="4328" spans="66:69" x14ac:dyDescent="0.2">
      <c r="BN4328" s="192"/>
      <c r="BO4328" s="197"/>
      <c r="BP4328" s="197"/>
      <c r="BQ4328" s="197"/>
    </row>
    <row r="4329" spans="66:69" x14ac:dyDescent="0.2">
      <c r="BN4329" s="192"/>
      <c r="BO4329" s="197"/>
      <c r="BP4329" s="197"/>
      <c r="BQ4329" s="197"/>
    </row>
    <row r="4330" spans="66:69" x14ac:dyDescent="0.2">
      <c r="BN4330" s="192"/>
      <c r="BO4330" s="197"/>
      <c r="BP4330" s="197"/>
      <c r="BQ4330" s="197"/>
    </row>
    <row r="4331" spans="66:69" x14ac:dyDescent="0.2">
      <c r="BN4331" s="192"/>
      <c r="BO4331" s="197"/>
      <c r="BP4331" s="197"/>
      <c r="BQ4331" s="197"/>
    </row>
    <row r="4332" spans="66:69" x14ac:dyDescent="0.2">
      <c r="BN4332" s="192"/>
      <c r="BO4332" s="197"/>
      <c r="BP4332" s="197"/>
      <c r="BQ4332" s="197"/>
    </row>
    <row r="4333" spans="66:69" x14ac:dyDescent="0.2">
      <c r="BN4333" s="192"/>
      <c r="BO4333" s="197"/>
      <c r="BP4333" s="197"/>
      <c r="BQ4333" s="197"/>
    </row>
    <row r="4334" spans="66:69" x14ac:dyDescent="0.2">
      <c r="BN4334" s="192"/>
      <c r="BO4334" s="197"/>
      <c r="BP4334" s="197"/>
      <c r="BQ4334" s="197"/>
    </row>
    <row r="4335" spans="66:69" x14ac:dyDescent="0.2">
      <c r="BN4335" s="192"/>
      <c r="BO4335" s="197"/>
      <c r="BP4335" s="197"/>
      <c r="BQ4335" s="197"/>
    </row>
    <row r="4336" spans="66:69" x14ac:dyDescent="0.2">
      <c r="BN4336" s="192"/>
      <c r="BO4336" s="197"/>
      <c r="BP4336" s="197"/>
      <c r="BQ4336" s="197"/>
    </row>
    <row r="4337" spans="66:69" x14ac:dyDescent="0.2">
      <c r="BN4337" s="192"/>
      <c r="BO4337" s="197"/>
      <c r="BP4337" s="197"/>
      <c r="BQ4337" s="197"/>
    </row>
    <row r="4338" spans="66:69" x14ac:dyDescent="0.2">
      <c r="BN4338" s="192"/>
      <c r="BO4338" s="197"/>
      <c r="BP4338" s="197"/>
      <c r="BQ4338" s="197"/>
    </row>
    <row r="4339" spans="66:69" x14ac:dyDescent="0.2">
      <c r="BN4339" s="192"/>
      <c r="BO4339" s="197"/>
      <c r="BP4339" s="197"/>
      <c r="BQ4339" s="197"/>
    </row>
    <row r="4340" spans="66:69" x14ac:dyDescent="0.2">
      <c r="BN4340" s="192"/>
      <c r="BO4340" s="197"/>
      <c r="BP4340" s="197"/>
      <c r="BQ4340" s="197"/>
    </row>
    <row r="4341" spans="66:69" x14ac:dyDescent="0.2">
      <c r="BN4341" s="192"/>
      <c r="BO4341" s="197"/>
      <c r="BP4341" s="197"/>
      <c r="BQ4341" s="197"/>
    </row>
    <row r="4342" spans="66:69" x14ac:dyDescent="0.2">
      <c r="BN4342" s="192"/>
      <c r="BO4342" s="197"/>
      <c r="BP4342" s="197"/>
      <c r="BQ4342" s="197"/>
    </row>
    <row r="4343" spans="66:69" x14ac:dyDescent="0.2">
      <c r="BN4343" s="192"/>
      <c r="BO4343" s="197"/>
      <c r="BP4343" s="197"/>
      <c r="BQ4343" s="197"/>
    </row>
    <row r="4344" spans="66:69" x14ac:dyDescent="0.2">
      <c r="BN4344" s="192"/>
      <c r="BO4344" s="197"/>
      <c r="BP4344" s="197"/>
      <c r="BQ4344" s="197"/>
    </row>
    <row r="4345" spans="66:69" x14ac:dyDescent="0.2">
      <c r="BN4345" s="192"/>
      <c r="BO4345" s="197"/>
      <c r="BP4345" s="197"/>
      <c r="BQ4345" s="197"/>
    </row>
    <row r="4346" spans="66:69" x14ac:dyDescent="0.2">
      <c r="BN4346" s="192"/>
      <c r="BO4346" s="197"/>
      <c r="BP4346" s="197"/>
      <c r="BQ4346" s="197"/>
    </row>
    <row r="4347" spans="66:69" x14ac:dyDescent="0.2">
      <c r="BN4347" s="192"/>
      <c r="BO4347" s="197"/>
      <c r="BP4347" s="197"/>
      <c r="BQ4347" s="197"/>
    </row>
    <row r="4348" spans="66:69" x14ac:dyDescent="0.2">
      <c r="BN4348" s="192"/>
      <c r="BO4348" s="197"/>
      <c r="BP4348" s="197"/>
      <c r="BQ4348" s="197"/>
    </row>
    <row r="4349" spans="66:69" x14ac:dyDescent="0.2">
      <c r="BN4349" s="192"/>
      <c r="BO4349" s="197"/>
      <c r="BP4349" s="197"/>
      <c r="BQ4349" s="197"/>
    </row>
    <row r="4350" spans="66:69" x14ac:dyDescent="0.2">
      <c r="BN4350" s="192"/>
      <c r="BO4350" s="197"/>
      <c r="BP4350" s="197"/>
      <c r="BQ4350" s="197"/>
    </row>
    <row r="4351" spans="66:69" x14ac:dyDescent="0.2">
      <c r="BN4351" s="192"/>
      <c r="BO4351" s="197"/>
      <c r="BP4351" s="197"/>
      <c r="BQ4351" s="197"/>
    </row>
    <row r="4352" spans="66:69" x14ac:dyDescent="0.2">
      <c r="BN4352" s="192"/>
      <c r="BO4352" s="197"/>
      <c r="BP4352" s="197"/>
      <c r="BQ4352" s="197"/>
    </row>
    <row r="4353" spans="66:69" x14ac:dyDescent="0.2">
      <c r="BN4353" s="192"/>
      <c r="BO4353" s="197"/>
      <c r="BP4353" s="197"/>
      <c r="BQ4353" s="197"/>
    </row>
    <row r="4354" spans="66:69" x14ac:dyDescent="0.2">
      <c r="BN4354" s="192"/>
      <c r="BO4354" s="197"/>
      <c r="BP4354" s="197"/>
      <c r="BQ4354" s="197"/>
    </row>
    <row r="4355" spans="66:69" x14ac:dyDescent="0.2">
      <c r="BN4355" s="192"/>
      <c r="BO4355" s="197"/>
      <c r="BP4355" s="197"/>
      <c r="BQ4355" s="197"/>
    </row>
    <row r="4356" spans="66:69" x14ac:dyDescent="0.2">
      <c r="BN4356" s="192"/>
      <c r="BO4356" s="197"/>
      <c r="BP4356" s="197"/>
      <c r="BQ4356" s="197"/>
    </row>
    <row r="4357" spans="66:69" x14ac:dyDescent="0.2">
      <c r="BN4357" s="192"/>
      <c r="BO4357" s="197"/>
      <c r="BP4357" s="197"/>
      <c r="BQ4357" s="197"/>
    </row>
    <row r="4358" spans="66:69" x14ac:dyDescent="0.2">
      <c r="BN4358" s="192"/>
      <c r="BO4358" s="197"/>
      <c r="BP4358" s="197"/>
      <c r="BQ4358" s="197"/>
    </row>
    <row r="4359" spans="66:69" x14ac:dyDescent="0.2">
      <c r="BN4359" s="192"/>
      <c r="BO4359" s="197"/>
      <c r="BP4359" s="197"/>
      <c r="BQ4359" s="197"/>
    </row>
    <row r="4360" spans="66:69" x14ac:dyDescent="0.2">
      <c r="BN4360" s="192"/>
      <c r="BO4360" s="197"/>
      <c r="BP4360" s="197"/>
      <c r="BQ4360" s="197"/>
    </row>
    <row r="4361" spans="66:69" x14ac:dyDescent="0.2">
      <c r="BN4361" s="192"/>
      <c r="BO4361" s="197"/>
      <c r="BP4361" s="197"/>
      <c r="BQ4361" s="197"/>
    </row>
    <row r="4362" spans="66:69" x14ac:dyDescent="0.2">
      <c r="BN4362" s="192"/>
      <c r="BO4362" s="197"/>
      <c r="BP4362" s="197"/>
      <c r="BQ4362" s="197"/>
    </row>
    <row r="4363" spans="66:69" x14ac:dyDescent="0.2">
      <c r="BN4363" s="192"/>
      <c r="BO4363" s="197"/>
      <c r="BP4363" s="197"/>
      <c r="BQ4363" s="197"/>
    </row>
    <row r="4364" spans="66:69" x14ac:dyDescent="0.2">
      <c r="BN4364" s="192"/>
      <c r="BO4364" s="197"/>
      <c r="BP4364" s="197"/>
      <c r="BQ4364" s="197"/>
    </row>
    <row r="4365" spans="66:69" x14ac:dyDescent="0.2">
      <c r="BN4365" s="192"/>
      <c r="BO4365" s="197"/>
      <c r="BP4365" s="197"/>
      <c r="BQ4365" s="197"/>
    </row>
    <row r="4366" spans="66:69" x14ac:dyDescent="0.2">
      <c r="BN4366" s="192"/>
      <c r="BO4366" s="197"/>
      <c r="BP4366" s="197"/>
      <c r="BQ4366" s="197"/>
    </row>
    <row r="4367" spans="66:69" x14ac:dyDescent="0.2">
      <c r="BN4367" s="192"/>
      <c r="BO4367" s="197"/>
      <c r="BP4367" s="197"/>
      <c r="BQ4367" s="197"/>
    </row>
    <row r="4368" spans="66:69" x14ac:dyDescent="0.2">
      <c r="BN4368" s="192"/>
      <c r="BO4368" s="197"/>
      <c r="BP4368" s="197"/>
      <c r="BQ4368" s="197"/>
    </row>
    <row r="4369" spans="66:69" x14ac:dyDescent="0.2">
      <c r="BN4369" s="192"/>
      <c r="BO4369" s="197"/>
      <c r="BP4369" s="197"/>
      <c r="BQ4369" s="197"/>
    </row>
    <row r="4370" spans="66:69" x14ac:dyDescent="0.2">
      <c r="BN4370" s="192"/>
      <c r="BO4370" s="197"/>
      <c r="BP4370" s="197"/>
      <c r="BQ4370" s="197"/>
    </row>
    <row r="4371" spans="66:69" x14ac:dyDescent="0.2">
      <c r="BN4371" s="192"/>
      <c r="BO4371" s="197"/>
      <c r="BP4371" s="197"/>
      <c r="BQ4371" s="197"/>
    </row>
    <row r="4372" spans="66:69" x14ac:dyDescent="0.2">
      <c r="BN4372" s="192"/>
      <c r="BO4372" s="197"/>
      <c r="BP4372" s="197"/>
      <c r="BQ4372" s="197"/>
    </row>
    <row r="4373" spans="66:69" x14ac:dyDescent="0.2">
      <c r="BN4373" s="192"/>
      <c r="BO4373" s="197"/>
      <c r="BP4373" s="197"/>
      <c r="BQ4373" s="197"/>
    </row>
    <row r="4374" spans="66:69" x14ac:dyDescent="0.2">
      <c r="BN4374" s="192"/>
      <c r="BO4374" s="197"/>
      <c r="BP4374" s="197"/>
      <c r="BQ4374" s="197"/>
    </row>
    <row r="4375" spans="66:69" x14ac:dyDescent="0.2">
      <c r="BN4375" s="192"/>
      <c r="BO4375" s="197"/>
      <c r="BP4375" s="197"/>
      <c r="BQ4375" s="197"/>
    </row>
    <row r="4376" spans="66:69" x14ac:dyDescent="0.2">
      <c r="BN4376" s="192"/>
      <c r="BO4376" s="197"/>
      <c r="BP4376" s="197"/>
      <c r="BQ4376" s="197"/>
    </row>
    <row r="4377" spans="66:69" x14ac:dyDescent="0.2">
      <c r="BN4377" s="192"/>
      <c r="BO4377" s="197"/>
      <c r="BP4377" s="197"/>
      <c r="BQ4377" s="197"/>
    </row>
    <row r="4378" spans="66:69" x14ac:dyDescent="0.2">
      <c r="BN4378" s="192"/>
      <c r="BO4378" s="197"/>
      <c r="BP4378" s="197"/>
      <c r="BQ4378" s="197"/>
    </row>
    <row r="4379" spans="66:69" x14ac:dyDescent="0.2">
      <c r="BN4379" s="192"/>
      <c r="BO4379" s="197"/>
      <c r="BP4379" s="197"/>
      <c r="BQ4379" s="197"/>
    </row>
    <row r="4380" spans="66:69" x14ac:dyDescent="0.2">
      <c r="BN4380" s="192"/>
      <c r="BO4380" s="197"/>
      <c r="BP4380" s="197"/>
      <c r="BQ4380" s="197"/>
    </row>
    <row r="4381" spans="66:69" x14ac:dyDescent="0.2">
      <c r="BN4381" s="192"/>
      <c r="BO4381" s="197"/>
      <c r="BP4381" s="197"/>
      <c r="BQ4381" s="197"/>
    </row>
    <row r="4382" spans="66:69" x14ac:dyDescent="0.2">
      <c r="BN4382" s="192"/>
      <c r="BO4382" s="197"/>
      <c r="BP4382" s="197"/>
      <c r="BQ4382" s="197"/>
    </row>
    <row r="4383" spans="66:69" x14ac:dyDescent="0.2">
      <c r="BN4383" s="192"/>
      <c r="BO4383" s="197"/>
      <c r="BP4383" s="197"/>
      <c r="BQ4383" s="197"/>
    </row>
    <row r="4384" spans="66:69" x14ac:dyDescent="0.2">
      <c r="BN4384" s="192"/>
      <c r="BO4384" s="197"/>
      <c r="BP4384" s="197"/>
      <c r="BQ4384" s="197"/>
    </row>
    <row r="4385" spans="66:69" x14ac:dyDescent="0.2">
      <c r="BN4385" s="192"/>
      <c r="BO4385" s="197"/>
      <c r="BP4385" s="197"/>
      <c r="BQ4385" s="197"/>
    </row>
    <row r="4386" spans="66:69" x14ac:dyDescent="0.2">
      <c r="BN4386" s="192"/>
      <c r="BO4386" s="197"/>
      <c r="BP4386" s="197"/>
      <c r="BQ4386" s="197"/>
    </row>
    <row r="4387" spans="66:69" x14ac:dyDescent="0.2">
      <c r="BN4387" s="192"/>
      <c r="BO4387" s="197"/>
      <c r="BP4387" s="197"/>
      <c r="BQ4387" s="197"/>
    </row>
    <row r="4388" spans="66:69" x14ac:dyDescent="0.2">
      <c r="BN4388" s="192"/>
      <c r="BO4388" s="197"/>
      <c r="BP4388" s="197"/>
      <c r="BQ4388" s="197"/>
    </row>
    <row r="4389" spans="66:69" x14ac:dyDescent="0.2">
      <c r="BN4389" s="192"/>
      <c r="BO4389" s="197"/>
      <c r="BP4389" s="197"/>
      <c r="BQ4389" s="197"/>
    </row>
    <row r="4390" spans="66:69" x14ac:dyDescent="0.2">
      <c r="BN4390" s="192"/>
      <c r="BO4390" s="197"/>
      <c r="BP4390" s="197"/>
      <c r="BQ4390" s="197"/>
    </row>
    <row r="4391" spans="66:69" x14ac:dyDescent="0.2">
      <c r="BN4391" s="192"/>
      <c r="BO4391" s="197"/>
      <c r="BP4391" s="197"/>
      <c r="BQ4391" s="197"/>
    </row>
    <row r="4392" spans="66:69" x14ac:dyDescent="0.2">
      <c r="BN4392" s="192"/>
      <c r="BO4392" s="197"/>
      <c r="BP4392" s="197"/>
      <c r="BQ4392" s="197"/>
    </row>
    <row r="4393" spans="66:69" x14ac:dyDescent="0.2">
      <c r="BN4393" s="192"/>
      <c r="BO4393" s="197"/>
      <c r="BP4393" s="197"/>
      <c r="BQ4393" s="197"/>
    </row>
    <row r="4394" spans="66:69" x14ac:dyDescent="0.2">
      <c r="BN4394" s="192"/>
      <c r="BO4394" s="197"/>
      <c r="BP4394" s="197"/>
      <c r="BQ4394" s="197"/>
    </row>
    <row r="4395" spans="66:69" x14ac:dyDescent="0.2">
      <c r="BN4395" s="192"/>
      <c r="BO4395" s="197"/>
      <c r="BP4395" s="197"/>
      <c r="BQ4395" s="197"/>
    </row>
    <row r="4396" spans="66:69" x14ac:dyDescent="0.2">
      <c r="BN4396" s="192"/>
      <c r="BO4396" s="197"/>
      <c r="BP4396" s="197"/>
      <c r="BQ4396" s="197"/>
    </row>
    <row r="4397" spans="66:69" x14ac:dyDescent="0.2">
      <c r="BN4397" s="192"/>
      <c r="BO4397" s="197"/>
      <c r="BP4397" s="197"/>
      <c r="BQ4397" s="197"/>
    </row>
    <row r="4398" spans="66:69" x14ac:dyDescent="0.2">
      <c r="BN4398" s="192"/>
      <c r="BO4398" s="197"/>
      <c r="BP4398" s="197"/>
      <c r="BQ4398" s="197"/>
    </row>
    <row r="4399" spans="66:69" x14ac:dyDescent="0.2">
      <c r="BN4399" s="192"/>
      <c r="BO4399" s="197"/>
      <c r="BP4399" s="197"/>
      <c r="BQ4399" s="197"/>
    </row>
    <row r="4400" spans="66:69" x14ac:dyDescent="0.2">
      <c r="BN4400" s="192"/>
      <c r="BO4400" s="197"/>
      <c r="BP4400" s="197"/>
      <c r="BQ4400" s="197"/>
    </row>
    <row r="4401" spans="66:69" x14ac:dyDescent="0.2">
      <c r="BN4401" s="192"/>
      <c r="BO4401" s="197"/>
      <c r="BP4401" s="197"/>
      <c r="BQ4401" s="197"/>
    </row>
    <row r="4402" spans="66:69" x14ac:dyDescent="0.2">
      <c r="BN4402" s="192"/>
      <c r="BO4402" s="197"/>
      <c r="BP4402" s="197"/>
      <c r="BQ4402" s="197"/>
    </row>
    <row r="4403" spans="66:69" x14ac:dyDescent="0.2">
      <c r="BN4403" s="192"/>
      <c r="BO4403" s="197"/>
      <c r="BP4403" s="197"/>
      <c r="BQ4403" s="197"/>
    </row>
    <row r="4404" spans="66:69" x14ac:dyDescent="0.2">
      <c r="BN4404" s="192"/>
      <c r="BO4404" s="197"/>
      <c r="BP4404" s="197"/>
      <c r="BQ4404" s="197"/>
    </row>
    <row r="4405" spans="66:69" x14ac:dyDescent="0.2">
      <c r="BN4405" s="192"/>
      <c r="BO4405" s="197"/>
      <c r="BP4405" s="197"/>
      <c r="BQ4405" s="197"/>
    </row>
    <row r="4406" spans="66:69" x14ac:dyDescent="0.2">
      <c r="BN4406" s="192"/>
      <c r="BO4406" s="197"/>
      <c r="BP4406" s="197"/>
      <c r="BQ4406" s="197"/>
    </row>
    <row r="4407" spans="66:69" x14ac:dyDescent="0.2">
      <c r="BN4407" s="192"/>
      <c r="BO4407" s="197"/>
      <c r="BP4407" s="197"/>
      <c r="BQ4407" s="197"/>
    </row>
    <row r="4408" spans="66:69" x14ac:dyDescent="0.2">
      <c r="BN4408" s="192"/>
      <c r="BO4408" s="197"/>
      <c r="BP4408" s="197"/>
      <c r="BQ4408" s="197"/>
    </row>
    <row r="4409" spans="66:69" x14ac:dyDescent="0.2">
      <c r="BN4409" s="192"/>
      <c r="BO4409" s="197"/>
      <c r="BP4409" s="197"/>
      <c r="BQ4409" s="197"/>
    </row>
    <row r="4410" spans="66:69" x14ac:dyDescent="0.2">
      <c r="BN4410" s="192"/>
      <c r="BO4410" s="197"/>
      <c r="BP4410" s="197"/>
      <c r="BQ4410" s="197"/>
    </row>
    <row r="4411" spans="66:69" x14ac:dyDescent="0.2">
      <c r="BN4411" s="192"/>
      <c r="BO4411" s="197"/>
      <c r="BP4411" s="197"/>
      <c r="BQ4411" s="197"/>
    </row>
    <row r="4412" spans="66:69" x14ac:dyDescent="0.2">
      <c r="BN4412" s="192"/>
      <c r="BO4412" s="197"/>
      <c r="BP4412" s="197"/>
      <c r="BQ4412" s="197"/>
    </row>
    <row r="4413" spans="66:69" x14ac:dyDescent="0.2">
      <c r="BN4413" s="192"/>
      <c r="BO4413" s="197"/>
      <c r="BP4413" s="197"/>
      <c r="BQ4413" s="197"/>
    </row>
    <row r="4414" spans="66:69" x14ac:dyDescent="0.2">
      <c r="BN4414" s="192"/>
      <c r="BO4414" s="197"/>
      <c r="BP4414" s="197"/>
      <c r="BQ4414" s="197"/>
    </row>
    <row r="4415" spans="66:69" x14ac:dyDescent="0.2">
      <c r="BN4415" s="192"/>
      <c r="BO4415" s="197"/>
      <c r="BP4415" s="197"/>
      <c r="BQ4415" s="197"/>
    </row>
    <row r="4416" spans="66:69" x14ac:dyDescent="0.2">
      <c r="BN4416" s="192"/>
      <c r="BO4416" s="197"/>
      <c r="BP4416" s="197"/>
      <c r="BQ4416" s="197"/>
    </row>
    <row r="4417" spans="66:69" x14ac:dyDescent="0.2">
      <c r="BN4417" s="192"/>
      <c r="BO4417" s="197"/>
      <c r="BP4417" s="197"/>
      <c r="BQ4417" s="197"/>
    </row>
    <row r="4418" spans="66:69" x14ac:dyDescent="0.2">
      <c r="BN4418" s="192"/>
      <c r="BO4418" s="197"/>
      <c r="BP4418" s="197"/>
      <c r="BQ4418" s="197"/>
    </row>
    <row r="4419" spans="66:69" x14ac:dyDescent="0.2">
      <c r="BN4419" s="192"/>
      <c r="BO4419" s="197"/>
      <c r="BP4419" s="197"/>
      <c r="BQ4419" s="197"/>
    </row>
    <row r="4420" spans="66:69" x14ac:dyDescent="0.2">
      <c r="BN4420" s="192"/>
      <c r="BO4420" s="197"/>
      <c r="BP4420" s="197"/>
      <c r="BQ4420" s="197"/>
    </row>
    <row r="4421" spans="66:69" x14ac:dyDescent="0.2">
      <c r="BN4421" s="192"/>
      <c r="BO4421" s="197"/>
      <c r="BP4421" s="197"/>
      <c r="BQ4421" s="197"/>
    </row>
    <row r="4422" spans="66:69" x14ac:dyDescent="0.2">
      <c r="BN4422" s="192"/>
      <c r="BO4422" s="197"/>
      <c r="BP4422" s="197"/>
      <c r="BQ4422" s="197"/>
    </row>
    <row r="4423" spans="66:69" x14ac:dyDescent="0.2">
      <c r="BN4423" s="192"/>
      <c r="BO4423" s="197"/>
      <c r="BP4423" s="197"/>
      <c r="BQ4423" s="197"/>
    </row>
    <row r="4424" spans="66:69" x14ac:dyDescent="0.2">
      <c r="BN4424" s="192"/>
      <c r="BO4424" s="197"/>
      <c r="BP4424" s="197"/>
      <c r="BQ4424" s="197"/>
    </row>
    <row r="4425" spans="66:69" x14ac:dyDescent="0.2">
      <c r="BN4425" s="192"/>
      <c r="BO4425" s="197"/>
      <c r="BP4425" s="197"/>
      <c r="BQ4425" s="197"/>
    </row>
    <row r="4426" spans="66:69" x14ac:dyDescent="0.2">
      <c r="BN4426" s="192"/>
      <c r="BO4426" s="197"/>
      <c r="BP4426" s="197"/>
      <c r="BQ4426" s="197"/>
    </row>
    <row r="4427" spans="66:69" x14ac:dyDescent="0.2">
      <c r="BN4427" s="192"/>
      <c r="BO4427" s="197"/>
      <c r="BP4427" s="197"/>
      <c r="BQ4427" s="197"/>
    </row>
    <row r="4428" spans="66:69" x14ac:dyDescent="0.2">
      <c r="BN4428" s="192"/>
      <c r="BO4428" s="197"/>
      <c r="BP4428" s="197"/>
      <c r="BQ4428" s="197"/>
    </row>
    <row r="4429" spans="66:69" x14ac:dyDescent="0.2">
      <c r="BN4429" s="192"/>
      <c r="BO4429" s="197"/>
      <c r="BP4429" s="197"/>
      <c r="BQ4429" s="197"/>
    </row>
    <row r="4430" spans="66:69" x14ac:dyDescent="0.2">
      <c r="BN4430" s="192"/>
      <c r="BO4430" s="197"/>
      <c r="BP4430" s="197"/>
      <c r="BQ4430" s="197"/>
    </row>
    <row r="4431" spans="66:69" x14ac:dyDescent="0.2">
      <c r="BN4431" s="192"/>
      <c r="BO4431" s="197"/>
      <c r="BP4431" s="197"/>
      <c r="BQ4431" s="197"/>
    </row>
    <row r="4432" spans="66:69" x14ac:dyDescent="0.2">
      <c r="BN4432" s="192"/>
      <c r="BO4432" s="197"/>
      <c r="BP4432" s="197"/>
      <c r="BQ4432" s="197"/>
    </row>
    <row r="4433" spans="66:69" x14ac:dyDescent="0.2">
      <c r="BN4433" s="192"/>
      <c r="BO4433" s="197"/>
      <c r="BP4433" s="197"/>
      <c r="BQ4433" s="197"/>
    </row>
    <row r="4434" spans="66:69" x14ac:dyDescent="0.2">
      <c r="BN4434" s="192"/>
      <c r="BO4434" s="197"/>
      <c r="BP4434" s="197"/>
      <c r="BQ4434" s="197"/>
    </row>
    <row r="4435" spans="66:69" x14ac:dyDescent="0.2">
      <c r="BN4435" s="192"/>
      <c r="BO4435" s="197"/>
      <c r="BP4435" s="197"/>
      <c r="BQ4435" s="197"/>
    </row>
    <row r="4436" spans="66:69" x14ac:dyDescent="0.2">
      <c r="BN4436" s="192"/>
      <c r="BO4436" s="197"/>
      <c r="BP4436" s="197"/>
      <c r="BQ4436" s="197"/>
    </row>
    <row r="4437" spans="66:69" x14ac:dyDescent="0.2">
      <c r="BN4437" s="192"/>
      <c r="BO4437" s="197"/>
      <c r="BP4437" s="197"/>
      <c r="BQ4437" s="197"/>
    </row>
    <row r="4438" spans="66:69" x14ac:dyDescent="0.2">
      <c r="BN4438" s="192"/>
      <c r="BO4438" s="197"/>
      <c r="BP4438" s="197"/>
      <c r="BQ4438" s="197"/>
    </row>
    <row r="4439" spans="66:69" x14ac:dyDescent="0.2">
      <c r="BN4439" s="192"/>
      <c r="BO4439" s="197"/>
      <c r="BP4439" s="197"/>
      <c r="BQ4439" s="197"/>
    </row>
    <row r="4440" spans="66:69" x14ac:dyDescent="0.2">
      <c r="BN4440" s="192"/>
      <c r="BO4440" s="197"/>
      <c r="BP4440" s="197"/>
      <c r="BQ4440" s="197"/>
    </row>
    <row r="4441" spans="66:69" x14ac:dyDescent="0.2">
      <c r="BN4441" s="192"/>
      <c r="BO4441" s="197"/>
      <c r="BP4441" s="197"/>
      <c r="BQ4441" s="197"/>
    </row>
    <row r="4442" spans="66:69" x14ac:dyDescent="0.2">
      <c r="BN4442" s="192"/>
      <c r="BO4442" s="197"/>
      <c r="BP4442" s="197"/>
      <c r="BQ4442" s="197"/>
    </row>
    <row r="4443" spans="66:69" x14ac:dyDescent="0.2">
      <c r="BN4443" s="192"/>
      <c r="BO4443" s="197"/>
      <c r="BP4443" s="197"/>
      <c r="BQ4443" s="197"/>
    </row>
    <row r="4444" spans="66:69" x14ac:dyDescent="0.2">
      <c r="BN4444" s="192"/>
      <c r="BO4444" s="197"/>
      <c r="BP4444" s="197"/>
      <c r="BQ4444" s="197"/>
    </row>
    <row r="4445" spans="66:69" x14ac:dyDescent="0.2">
      <c r="BN4445" s="192"/>
      <c r="BO4445" s="197"/>
      <c r="BP4445" s="197"/>
      <c r="BQ4445" s="197"/>
    </row>
    <row r="4446" spans="66:69" x14ac:dyDescent="0.2">
      <c r="BN4446" s="192"/>
      <c r="BO4446" s="197"/>
      <c r="BP4446" s="197"/>
      <c r="BQ4446" s="197"/>
    </row>
    <row r="4447" spans="66:69" x14ac:dyDescent="0.2">
      <c r="BN4447" s="192"/>
      <c r="BO4447" s="197"/>
      <c r="BP4447" s="197"/>
      <c r="BQ4447" s="197"/>
    </row>
    <row r="4448" spans="66:69" x14ac:dyDescent="0.2">
      <c r="BN4448" s="192"/>
      <c r="BO4448" s="197"/>
      <c r="BP4448" s="197"/>
      <c r="BQ4448" s="197"/>
    </row>
    <row r="4449" spans="66:69" x14ac:dyDescent="0.2">
      <c r="BN4449" s="192"/>
      <c r="BO4449" s="197"/>
      <c r="BP4449" s="197"/>
      <c r="BQ4449" s="197"/>
    </row>
    <row r="4450" spans="66:69" x14ac:dyDescent="0.2">
      <c r="BN4450" s="192"/>
      <c r="BO4450" s="197"/>
      <c r="BP4450" s="197"/>
      <c r="BQ4450" s="197"/>
    </row>
    <row r="4451" spans="66:69" x14ac:dyDescent="0.2">
      <c r="BN4451" s="192"/>
      <c r="BO4451" s="197"/>
      <c r="BP4451" s="197"/>
      <c r="BQ4451" s="197"/>
    </row>
    <row r="4452" spans="66:69" x14ac:dyDescent="0.2">
      <c r="BN4452" s="192"/>
      <c r="BO4452" s="197"/>
      <c r="BP4452" s="197"/>
      <c r="BQ4452" s="197"/>
    </row>
    <row r="4453" spans="66:69" x14ac:dyDescent="0.2">
      <c r="BN4453" s="192"/>
      <c r="BO4453" s="197"/>
      <c r="BP4453" s="197"/>
      <c r="BQ4453" s="197"/>
    </row>
    <row r="4454" spans="66:69" x14ac:dyDescent="0.2">
      <c r="BN4454" s="192"/>
      <c r="BO4454" s="197"/>
      <c r="BP4454" s="197"/>
      <c r="BQ4454" s="197"/>
    </row>
    <row r="4455" spans="66:69" x14ac:dyDescent="0.2">
      <c r="BN4455" s="192"/>
      <c r="BO4455" s="197"/>
      <c r="BP4455" s="197"/>
      <c r="BQ4455" s="197"/>
    </row>
    <row r="4456" spans="66:69" x14ac:dyDescent="0.2">
      <c r="BN4456" s="192"/>
      <c r="BO4456" s="197"/>
      <c r="BP4456" s="197"/>
      <c r="BQ4456" s="197"/>
    </row>
    <row r="4457" spans="66:69" x14ac:dyDescent="0.2">
      <c r="BN4457" s="192"/>
      <c r="BO4457" s="197"/>
      <c r="BP4457" s="197"/>
      <c r="BQ4457" s="197"/>
    </row>
    <row r="4458" spans="66:69" x14ac:dyDescent="0.2">
      <c r="BN4458" s="192"/>
      <c r="BO4458" s="197"/>
      <c r="BP4458" s="197"/>
      <c r="BQ4458" s="197"/>
    </row>
    <row r="4459" spans="66:69" x14ac:dyDescent="0.2">
      <c r="BN4459" s="192"/>
      <c r="BO4459" s="197"/>
      <c r="BP4459" s="197"/>
      <c r="BQ4459" s="197"/>
    </row>
    <row r="4460" spans="66:69" x14ac:dyDescent="0.2">
      <c r="BN4460" s="192"/>
      <c r="BO4460" s="197"/>
      <c r="BP4460" s="197"/>
      <c r="BQ4460" s="197"/>
    </row>
    <row r="4461" spans="66:69" x14ac:dyDescent="0.2">
      <c r="BN4461" s="192"/>
      <c r="BO4461" s="197"/>
      <c r="BP4461" s="197"/>
      <c r="BQ4461" s="197"/>
    </row>
    <row r="4462" spans="66:69" x14ac:dyDescent="0.2">
      <c r="BN4462" s="192"/>
      <c r="BO4462" s="197"/>
      <c r="BP4462" s="197"/>
      <c r="BQ4462" s="197"/>
    </row>
    <row r="4463" spans="66:69" x14ac:dyDescent="0.2">
      <c r="BN4463" s="192"/>
      <c r="BO4463" s="197"/>
      <c r="BP4463" s="197"/>
      <c r="BQ4463" s="197"/>
    </row>
    <row r="4464" spans="66:69" x14ac:dyDescent="0.2">
      <c r="BN4464" s="192"/>
      <c r="BO4464" s="197"/>
      <c r="BP4464" s="197"/>
      <c r="BQ4464" s="197"/>
    </row>
    <row r="4465" spans="66:69" x14ac:dyDescent="0.2">
      <c r="BN4465" s="192"/>
      <c r="BO4465" s="197"/>
      <c r="BP4465" s="197"/>
      <c r="BQ4465" s="197"/>
    </row>
    <row r="4466" spans="66:69" x14ac:dyDescent="0.2">
      <c r="BN4466" s="192"/>
      <c r="BO4466" s="197"/>
      <c r="BP4466" s="197"/>
      <c r="BQ4466" s="197"/>
    </row>
    <row r="4467" spans="66:69" x14ac:dyDescent="0.2">
      <c r="BN4467" s="192"/>
      <c r="BO4467" s="197"/>
      <c r="BP4467" s="197"/>
      <c r="BQ4467" s="197"/>
    </row>
    <row r="4468" spans="66:69" x14ac:dyDescent="0.2">
      <c r="BN4468" s="192"/>
      <c r="BO4468" s="197"/>
      <c r="BP4468" s="197"/>
      <c r="BQ4468" s="197"/>
    </row>
    <row r="4469" spans="66:69" x14ac:dyDescent="0.2">
      <c r="BN4469" s="192"/>
      <c r="BO4469" s="197"/>
      <c r="BP4469" s="197"/>
      <c r="BQ4469" s="197"/>
    </row>
    <row r="4470" spans="66:69" x14ac:dyDescent="0.2">
      <c r="BN4470" s="192"/>
      <c r="BO4470" s="197"/>
      <c r="BP4470" s="197"/>
      <c r="BQ4470" s="197"/>
    </row>
    <row r="4471" spans="66:69" x14ac:dyDescent="0.2">
      <c r="BN4471" s="192"/>
      <c r="BO4471" s="197"/>
      <c r="BP4471" s="197"/>
      <c r="BQ4471" s="197"/>
    </row>
    <row r="4472" spans="66:69" x14ac:dyDescent="0.2">
      <c r="BN4472" s="192"/>
      <c r="BO4472" s="197"/>
      <c r="BP4472" s="197"/>
      <c r="BQ4472" s="197"/>
    </row>
    <row r="4473" spans="66:69" x14ac:dyDescent="0.2">
      <c r="BN4473" s="192"/>
      <c r="BO4473" s="197"/>
      <c r="BP4473" s="197"/>
      <c r="BQ4473" s="197"/>
    </row>
    <row r="4474" spans="66:69" x14ac:dyDescent="0.2">
      <c r="BN4474" s="192"/>
      <c r="BO4474" s="197"/>
      <c r="BP4474" s="197"/>
      <c r="BQ4474" s="197"/>
    </row>
    <row r="4475" spans="66:69" x14ac:dyDescent="0.2">
      <c r="BN4475" s="192"/>
      <c r="BO4475" s="197"/>
      <c r="BP4475" s="197"/>
      <c r="BQ4475" s="197"/>
    </row>
    <row r="4476" spans="66:69" x14ac:dyDescent="0.2">
      <c r="BN4476" s="192"/>
      <c r="BO4476" s="197"/>
      <c r="BP4476" s="197"/>
      <c r="BQ4476" s="197"/>
    </row>
    <row r="4477" spans="66:69" x14ac:dyDescent="0.2">
      <c r="BN4477" s="192"/>
      <c r="BO4477" s="197"/>
      <c r="BP4477" s="197"/>
      <c r="BQ4477" s="197"/>
    </row>
    <row r="4478" spans="66:69" x14ac:dyDescent="0.2">
      <c r="BN4478" s="192"/>
      <c r="BO4478" s="197"/>
      <c r="BP4478" s="197"/>
      <c r="BQ4478" s="197"/>
    </row>
    <row r="4479" spans="66:69" x14ac:dyDescent="0.2">
      <c r="BN4479" s="192"/>
      <c r="BO4479" s="197"/>
      <c r="BP4479" s="197"/>
      <c r="BQ4479" s="197"/>
    </row>
    <row r="4480" spans="66:69" x14ac:dyDescent="0.2">
      <c r="BN4480" s="192"/>
      <c r="BO4480" s="197"/>
      <c r="BP4480" s="197"/>
      <c r="BQ4480" s="197"/>
    </row>
    <row r="4481" spans="66:69" x14ac:dyDescent="0.2">
      <c r="BN4481" s="192"/>
      <c r="BO4481" s="197"/>
      <c r="BP4481" s="197"/>
      <c r="BQ4481" s="197"/>
    </row>
    <row r="4482" spans="66:69" x14ac:dyDescent="0.2">
      <c r="BN4482" s="192"/>
      <c r="BO4482" s="197"/>
      <c r="BP4482" s="197"/>
      <c r="BQ4482" s="197"/>
    </row>
    <row r="4483" spans="66:69" x14ac:dyDescent="0.2">
      <c r="BN4483" s="192"/>
      <c r="BO4483" s="197"/>
      <c r="BP4483" s="197"/>
      <c r="BQ4483" s="197"/>
    </row>
    <row r="4484" spans="66:69" x14ac:dyDescent="0.2">
      <c r="BN4484" s="192"/>
      <c r="BO4484" s="197"/>
      <c r="BP4484" s="197"/>
      <c r="BQ4484" s="197"/>
    </row>
    <row r="4485" spans="66:69" x14ac:dyDescent="0.2">
      <c r="BN4485" s="192"/>
      <c r="BO4485" s="197"/>
      <c r="BP4485" s="197"/>
      <c r="BQ4485" s="197"/>
    </row>
    <row r="4486" spans="66:69" x14ac:dyDescent="0.2">
      <c r="BN4486" s="192"/>
      <c r="BO4486" s="197"/>
      <c r="BP4486" s="197"/>
      <c r="BQ4486" s="197"/>
    </row>
    <row r="4487" spans="66:69" x14ac:dyDescent="0.2">
      <c r="BN4487" s="192"/>
      <c r="BO4487" s="197"/>
      <c r="BP4487" s="197"/>
      <c r="BQ4487" s="197"/>
    </row>
    <row r="4488" spans="66:69" x14ac:dyDescent="0.2">
      <c r="BN4488" s="192"/>
      <c r="BO4488" s="197"/>
      <c r="BP4488" s="197"/>
      <c r="BQ4488" s="197"/>
    </row>
    <row r="4489" spans="66:69" x14ac:dyDescent="0.2">
      <c r="BN4489" s="192"/>
      <c r="BO4489" s="197"/>
      <c r="BP4489" s="197"/>
      <c r="BQ4489" s="197"/>
    </row>
    <row r="4490" spans="66:69" x14ac:dyDescent="0.2">
      <c r="BN4490" s="192"/>
      <c r="BO4490" s="197"/>
      <c r="BP4490" s="197"/>
      <c r="BQ4490" s="197"/>
    </row>
    <row r="4491" spans="66:69" x14ac:dyDescent="0.2">
      <c r="BN4491" s="192"/>
      <c r="BO4491" s="197"/>
      <c r="BP4491" s="197"/>
      <c r="BQ4491" s="197"/>
    </row>
    <row r="4492" spans="66:69" x14ac:dyDescent="0.2">
      <c r="BN4492" s="192"/>
      <c r="BO4492" s="197"/>
      <c r="BP4492" s="197"/>
      <c r="BQ4492" s="197"/>
    </row>
    <row r="4493" spans="66:69" x14ac:dyDescent="0.2">
      <c r="BN4493" s="192"/>
      <c r="BO4493" s="197"/>
      <c r="BP4493" s="197"/>
      <c r="BQ4493" s="197"/>
    </row>
    <row r="4494" spans="66:69" x14ac:dyDescent="0.2">
      <c r="BN4494" s="192"/>
      <c r="BO4494" s="197"/>
      <c r="BP4494" s="197"/>
      <c r="BQ4494" s="197"/>
    </row>
    <row r="4495" spans="66:69" x14ac:dyDescent="0.2">
      <c r="BN4495" s="192"/>
      <c r="BO4495" s="197"/>
      <c r="BP4495" s="197"/>
      <c r="BQ4495" s="197"/>
    </row>
    <row r="4496" spans="66:69" x14ac:dyDescent="0.2">
      <c r="BN4496" s="192"/>
      <c r="BO4496" s="197"/>
      <c r="BP4496" s="197"/>
      <c r="BQ4496" s="197"/>
    </row>
    <row r="4497" spans="66:69" x14ac:dyDescent="0.2">
      <c r="BN4497" s="192"/>
      <c r="BO4497" s="197"/>
      <c r="BP4497" s="197"/>
      <c r="BQ4497" s="197"/>
    </row>
    <row r="4498" spans="66:69" x14ac:dyDescent="0.2">
      <c r="BN4498" s="192"/>
      <c r="BO4498" s="197"/>
      <c r="BP4498" s="197"/>
      <c r="BQ4498" s="197"/>
    </row>
    <row r="4499" spans="66:69" x14ac:dyDescent="0.2">
      <c r="BN4499" s="192"/>
      <c r="BO4499" s="197"/>
      <c r="BP4499" s="197"/>
      <c r="BQ4499" s="197"/>
    </row>
    <row r="4500" spans="66:69" x14ac:dyDescent="0.2">
      <c r="BN4500" s="192"/>
      <c r="BO4500" s="197"/>
      <c r="BP4500" s="197"/>
      <c r="BQ4500" s="197"/>
    </row>
    <row r="4501" spans="66:69" x14ac:dyDescent="0.2">
      <c r="BN4501" s="192"/>
      <c r="BO4501" s="197"/>
      <c r="BP4501" s="197"/>
      <c r="BQ4501" s="197"/>
    </row>
    <row r="4502" spans="66:69" x14ac:dyDescent="0.2">
      <c r="BN4502" s="192"/>
      <c r="BO4502" s="197"/>
      <c r="BP4502" s="197"/>
      <c r="BQ4502" s="197"/>
    </row>
    <row r="4503" spans="66:69" x14ac:dyDescent="0.2">
      <c r="BN4503" s="192"/>
      <c r="BO4503" s="197"/>
      <c r="BP4503" s="197"/>
      <c r="BQ4503" s="197"/>
    </row>
    <row r="4504" spans="66:69" x14ac:dyDescent="0.2">
      <c r="BN4504" s="192"/>
      <c r="BO4504" s="197"/>
      <c r="BP4504" s="197"/>
      <c r="BQ4504" s="197"/>
    </row>
    <row r="4505" spans="66:69" x14ac:dyDescent="0.2">
      <c r="BN4505" s="192"/>
      <c r="BO4505" s="197"/>
      <c r="BP4505" s="197"/>
      <c r="BQ4505" s="197"/>
    </row>
    <row r="4506" spans="66:69" x14ac:dyDescent="0.2">
      <c r="BN4506" s="192"/>
      <c r="BO4506" s="197"/>
      <c r="BP4506" s="197"/>
      <c r="BQ4506" s="197"/>
    </row>
    <row r="4507" spans="66:69" x14ac:dyDescent="0.2">
      <c r="BN4507" s="192"/>
      <c r="BO4507" s="197"/>
      <c r="BP4507" s="197"/>
      <c r="BQ4507" s="197"/>
    </row>
    <row r="4508" spans="66:69" x14ac:dyDescent="0.2">
      <c r="BN4508" s="192"/>
      <c r="BO4508" s="197"/>
      <c r="BP4508" s="197"/>
      <c r="BQ4508" s="197"/>
    </row>
    <row r="4509" spans="66:69" x14ac:dyDescent="0.2">
      <c r="BN4509" s="192"/>
      <c r="BO4509" s="197"/>
      <c r="BP4509" s="197"/>
      <c r="BQ4509" s="197"/>
    </row>
    <row r="4510" spans="66:69" x14ac:dyDescent="0.2">
      <c r="BN4510" s="192"/>
      <c r="BO4510" s="197"/>
      <c r="BP4510" s="197"/>
      <c r="BQ4510" s="197"/>
    </row>
    <row r="4511" spans="66:69" x14ac:dyDescent="0.2">
      <c r="BN4511" s="192"/>
      <c r="BO4511" s="197"/>
      <c r="BP4511" s="197"/>
      <c r="BQ4511" s="197"/>
    </row>
    <row r="4512" spans="66:69" x14ac:dyDescent="0.2">
      <c r="BN4512" s="192"/>
      <c r="BO4512" s="197"/>
      <c r="BP4512" s="197"/>
      <c r="BQ4512" s="197"/>
    </row>
    <row r="4513" spans="66:69" x14ac:dyDescent="0.2">
      <c r="BN4513" s="192"/>
      <c r="BO4513" s="197"/>
      <c r="BP4513" s="197"/>
      <c r="BQ4513" s="197"/>
    </row>
    <row r="4514" spans="66:69" x14ac:dyDescent="0.2">
      <c r="BN4514" s="192"/>
      <c r="BO4514" s="197"/>
      <c r="BP4514" s="197"/>
      <c r="BQ4514" s="197"/>
    </row>
    <row r="4515" spans="66:69" x14ac:dyDescent="0.2">
      <c r="BN4515" s="192"/>
      <c r="BO4515" s="197"/>
      <c r="BP4515" s="197"/>
      <c r="BQ4515" s="197"/>
    </row>
    <row r="4516" spans="66:69" x14ac:dyDescent="0.2">
      <c r="BN4516" s="192"/>
      <c r="BO4516" s="197"/>
      <c r="BP4516" s="197"/>
      <c r="BQ4516" s="197"/>
    </row>
    <row r="4517" spans="66:69" x14ac:dyDescent="0.2">
      <c r="BN4517" s="192"/>
      <c r="BO4517" s="197"/>
      <c r="BP4517" s="197"/>
      <c r="BQ4517" s="197"/>
    </row>
    <row r="4518" spans="66:69" x14ac:dyDescent="0.2">
      <c r="BN4518" s="192"/>
      <c r="BO4518" s="197"/>
      <c r="BP4518" s="197"/>
      <c r="BQ4518" s="197"/>
    </row>
    <row r="4519" spans="66:69" x14ac:dyDescent="0.2">
      <c r="BN4519" s="192"/>
      <c r="BO4519" s="197"/>
      <c r="BP4519" s="197"/>
      <c r="BQ4519" s="197"/>
    </row>
    <row r="4520" spans="66:69" x14ac:dyDescent="0.2">
      <c r="BN4520" s="192"/>
      <c r="BO4520" s="197"/>
      <c r="BP4520" s="197"/>
      <c r="BQ4520" s="197"/>
    </row>
    <row r="4521" spans="66:69" x14ac:dyDescent="0.2">
      <c r="BN4521" s="192"/>
      <c r="BO4521" s="197"/>
      <c r="BP4521" s="197"/>
      <c r="BQ4521" s="197"/>
    </row>
    <row r="4522" spans="66:69" x14ac:dyDescent="0.2">
      <c r="BN4522" s="192"/>
      <c r="BO4522" s="197"/>
      <c r="BP4522" s="197"/>
      <c r="BQ4522" s="197"/>
    </row>
    <row r="4523" spans="66:69" x14ac:dyDescent="0.2">
      <c r="BN4523" s="192"/>
      <c r="BO4523" s="197"/>
      <c r="BP4523" s="197"/>
      <c r="BQ4523" s="197"/>
    </row>
    <row r="4524" spans="66:69" x14ac:dyDescent="0.2">
      <c r="BN4524" s="192"/>
      <c r="BO4524" s="197"/>
      <c r="BP4524" s="197"/>
      <c r="BQ4524" s="197"/>
    </row>
    <row r="4525" spans="66:69" x14ac:dyDescent="0.2">
      <c r="BN4525" s="192"/>
      <c r="BO4525" s="197"/>
      <c r="BP4525" s="197"/>
      <c r="BQ4525" s="197"/>
    </row>
    <row r="4526" spans="66:69" x14ac:dyDescent="0.2">
      <c r="BN4526" s="192"/>
      <c r="BO4526" s="197"/>
      <c r="BP4526" s="197"/>
      <c r="BQ4526" s="197"/>
    </row>
    <row r="4527" spans="66:69" x14ac:dyDescent="0.2">
      <c r="BN4527" s="192"/>
      <c r="BO4527" s="197"/>
      <c r="BP4527" s="197"/>
      <c r="BQ4527" s="197"/>
    </row>
    <row r="4528" spans="66:69" x14ac:dyDescent="0.2">
      <c r="BN4528" s="192"/>
      <c r="BO4528" s="197"/>
      <c r="BP4528" s="197"/>
      <c r="BQ4528" s="197"/>
    </row>
    <row r="4529" spans="66:69" x14ac:dyDescent="0.2">
      <c r="BN4529" s="192"/>
      <c r="BO4529" s="197"/>
      <c r="BP4529" s="197"/>
      <c r="BQ4529" s="197"/>
    </row>
    <row r="4530" spans="66:69" x14ac:dyDescent="0.2">
      <c r="BN4530" s="192"/>
      <c r="BO4530" s="197"/>
      <c r="BP4530" s="197"/>
      <c r="BQ4530" s="197"/>
    </row>
    <row r="4531" spans="66:69" x14ac:dyDescent="0.2">
      <c r="BN4531" s="192"/>
      <c r="BO4531" s="197"/>
      <c r="BP4531" s="197"/>
      <c r="BQ4531" s="197"/>
    </row>
    <row r="4532" spans="66:69" x14ac:dyDescent="0.2">
      <c r="BN4532" s="192"/>
      <c r="BO4532" s="197"/>
      <c r="BP4532" s="197"/>
      <c r="BQ4532" s="197"/>
    </row>
    <row r="4533" spans="66:69" x14ac:dyDescent="0.2">
      <c r="BN4533" s="192"/>
      <c r="BO4533" s="197"/>
      <c r="BP4533" s="197"/>
      <c r="BQ4533" s="197"/>
    </row>
    <row r="4534" spans="66:69" x14ac:dyDescent="0.2">
      <c r="BN4534" s="192"/>
      <c r="BO4534" s="197"/>
      <c r="BP4534" s="197"/>
      <c r="BQ4534" s="197"/>
    </row>
    <row r="4535" spans="66:69" x14ac:dyDescent="0.2">
      <c r="BN4535" s="192"/>
      <c r="BO4535" s="197"/>
      <c r="BP4535" s="197"/>
      <c r="BQ4535" s="197"/>
    </row>
    <row r="4536" spans="66:69" x14ac:dyDescent="0.2">
      <c r="BN4536" s="192"/>
      <c r="BO4536" s="197"/>
      <c r="BP4536" s="197"/>
      <c r="BQ4536" s="197"/>
    </row>
    <row r="4537" spans="66:69" x14ac:dyDescent="0.2">
      <c r="BN4537" s="192"/>
      <c r="BO4537" s="197"/>
      <c r="BP4537" s="197"/>
      <c r="BQ4537" s="197"/>
    </row>
    <row r="4538" spans="66:69" x14ac:dyDescent="0.2">
      <c r="BN4538" s="192"/>
      <c r="BO4538" s="197"/>
      <c r="BP4538" s="197"/>
      <c r="BQ4538" s="197"/>
    </row>
    <row r="4539" spans="66:69" x14ac:dyDescent="0.2">
      <c r="BN4539" s="192"/>
      <c r="BO4539" s="197"/>
      <c r="BP4539" s="197"/>
      <c r="BQ4539" s="197"/>
    </row>
    <row r="4540" spans="66:69" x14ac:dyDescent="0.2">
      <c r="BN4540" s="192"/>
      <c r="BO4540" s="197"/>
      <c r="BP4540" s="197"/>
      <c r="BQ4540" s="197"/>
    </row>
    <row r="4541" spans="66:69" x14ac:dyDescent="0.2">
      <c r="BN4541" s="192"/>
      <c r="BO4541" s="197"/>
      <c r="BP4541" s="197"/>
      <c r="BQ4541" s="197"/>
    </row>
    <row r="4542" spans="66:69" x14ac:dyDescent="0.2">
      <c r="BN4542" s="192"/>
      <c r="BO4542" s="197"/>
      <c r="BP4542" s="197"/>
      <c r="BQ4542" s="197"/>
    </row>
    <row r="4543" spans="66:69" x14ac:dyDescent="0.2">
      <c r="BN4543" s="192"/>
      <c r="BO4543" s="197"/>
      <c r="BP4543" s="197"/>
      <c r="BQ4543" s="197"/>
    </row>
    <row r="4544" spans="66:69" x14ac:dyDescent="0.2">
      <c r="BN4544" s="192"/>
      <c r="BO4544" s="197"/>
      <c r="BP4544" s="197"/>
      <c r="BQ4544" s="197"/>
    </row>
    <row r="4545" spans="66:69" x14ac:dyDescent="0.2">
      <c r="BN4545" s="192"/>
      <c r="BO4545" s="197"/>
      <c r="BP4545" s="197"/>
      <c r="BQ4545" s="197"/>
    </row>
    <row r="4546" spans="66:69" x14ac:dyDescent="0.2">
      <c r="BN4546" s="192"/>
      <c r="BO4546" s="197"/>
      <c r="BP4546" s="197"/>
      <c r="BQ4546" s="197"/>
    </row>
    <row r="4547" spans="66:69" x14ac:dyDescent="0.2">
      <c r="BN4547" s="192"/>
      <c r="BO4547" s="197"/>
      <c r="BP4547" s="197"/>
      <c r="BQ4547" s="197"/>
    </row>
    <row r="4548" spans="66:69" x14ac:dyDescent="0.2">
      <c r="BN4548" s="192"/>
      <c r="BO4548" s="197"/>
      <c r="BP4548" s="197"/>
      <c r="BQ4548" s="197"/>
    </row>
    <row r="4549" spans="66:69" x14ac:dyDescent="0.2">
      <c r="BN4549" s="192"/>
      <c r="BO4549" s="197"/>
      <c r="BP4549" s="197"/>
      <c r="BQ4549" s="197"/>
    </row>
    <row r="4550" spans="66:69" x14ac:dyDescent="0.2">
      <c r="BN4550" s="192"/>
      <c r="BO4550" s="197"/>
      <c r="BP4550" s="197"/>
      <c r="BQ4550" s="197"/>
    </row>
    <row r="4551" spans="66:69" x14ac:dyDescent="0.2">
      <c r="BN4551" s="192"/>
      <c r="BO4551" s="197"/>
      <c r="BP4551" s="197"/>
      <c r="BQ4551" s="197"/>
    </row>
    <row r="4552" spans="66:69" x14ac:dyDescent="0.2">
      <c r="BN4552" s="192"/>
      <c r="BO4552" s="197"/>
      <c r="BP4552" s="197"/>
      <c r="BQ4552" s="197"/>
    </row>
    <row r="4553" spans="66:69" x14ac:dyDescent="0.2">
      <c r="BN4553" s="192"/>
      <c r="BO4553" s="197"/>
      <c r="BP4553" s="197"/>
      <c r="BQ4553" s="197"/>
    </row>
    <row r="4554" spans="66:69" x14ac:dyDescent="0.2">
      <c r="BN4554" s="192"/>
      <c r="BO4554" s="197"/>
      <c r="BP4554" s="197"/>
      <c r="BQ4554" s="197"/>
    </row>
    <row r="4555" spans="66:69" x14ac:dyDescent="0.2">
      <c r="BN4555" s="192"/>
      <c r="BO4555" s="197"/>
      <c r="BP4555" s="197"/>
      <c r="BQ4555" s="197"/>
    </row>
    <row r="4556" spans="66:69" x14ac:dyDescent="0.2">
      <c r="BN4556" s="192"/>
      <c r="BO4556" s="197"/>
      <c r="BP4556" s="197"/>
      <c r="BQ4556" s="197"/>
    </row>
    <row r="4557" spans="66:69" x14ac:dyDescent="0.2">
      <c r="BN4557" s="192"/>
      <c r="BO4557" s="197"/>
      <c r="BP4557" s="197"/>
      <c r="BQ4557" s="197"/>
    </row>
    <row r="4558" spans="66:69" x14ac:dyDescent="0.2">
      <c r="BN4558" s="192"/>
      <c r="BO4558" s="197"/>
      <c r="BP4558" s="197"/>
      <c r="BQ4558" s="197"/>
    </row>
    <row r="4559" spans="66:69" x14ac:dyDescent="0.2">
      <c r="BN4559" s="192"/>
      <c r="BO4559" s="197"/>
      <c r="BP4559" s="197"/>
      <c r="BQ4559" s="197"/>
    </row>
    <row r="4560" spans="66:69" x14ac:dyDescent="0.2">
      <c r="BN4560" s="192"/>
      <c r="BO4560" s="197"/>
      <c r="BP4560" s="197"/>
      <c r="BQ4560" s="197"/>
    </row>
    <row r="4561" spans="66:69" x14ac:dyDescent="0.2">
      <c r="BN4561" s="192"/>
      <c r="BO4561" s="197"/>
      <c r="BP4561" s="197"/>
      <c r="BQ4561" s="197"/>
    </row>
    <row r="4562" spans="66:69" x14ac:dyDescent="0.2">
      <c r="BN4562" s="192"/>
      <c r="BO4562" s="197"/>
      <c r="BP4562" s="197"/>
      <c r="BQ4562" s="197"/>
    </row>
    <row r="4563" spans="66:69" x14ac:dyDescent="0.2">
      <c r="BN4563" s="192"/>
      <c r="BO4563" s="197"/>
      <c r="BP4563" s="197"/>
      <c r="BQ4563" s="197"/>
    </row>
    <row r="4564" spans="66:69" x14ac:dyDescent="0.2">
      <c r="BN4564" s="192"/>
      <c r="BO4564" s="197"/>
      <c r="BP4564" s="197"/>
      <c r="BQ4564" s="197"/>
    </row>
    <row r="4565" spans="66:69" x14ac:dyDescent="0.2">
      <c r="BN4565" s="192"/>
      <c r="BO4565" s="197"/>
      <c r="BP4565" s="197"/>
      <c r="BQ4565" s="197"/>
    </row>
    <row r="4566" spans="66:69" x14ac:dyDescent="0.2">
      <c r="BN4566" s="192"/>
      <c r="BO4566" s="197"/>
      <c r="BP4566" s="197"/>
      <c r="BQ4566" s="197"/>
    </row>
    <row r="4567" spans="66:69" x14ac:dyDescent="0.2">
      <c r="BN4567" s="192"/>
      <c r="BO4567" s="197"/>
      <c r="BP4567" s="197"/>
      <c r="BQ4567" s="197"/>
    </row>
    <row r="4568" spans="66:69" x14ac:dyDescent="0.2">
      <c r="BN4568" s="192"/>
      <c r="BO4568" s="197"/>
      <c r="BP4568" s="197"/>
      <c r="BQ4568" s="197"/>
    </row>
    <row r="4569" spans="66:69" x14ac:dyDescent="0.2">
      <c r="BN4569" s="192"/>
      <c r="BO4569" s="197"/>
      <c r="BP4569" s="197"/>
      <c r="BQ4569" s="197"/>
    </row>
    <row r="4570" spans="66:69" x14ac:dyDescent="0.2">
      <c r="BN4570" s="192"/>
      <c r="BO4570" s="197"/>
      <c r="BP4570" s="197"/>
      <c r="BQ4570" s="197"/>
    </row>
    <row r="4571" spans="66:69" x14ac:dyDescent="0.2">
      <c r="BN4571" s="192"/>
      <c r="BO4571" s="197"/>
      <c r="BP4571" s="197"/>
      <c r="BQ4571" s="197"/>
    </row>
    <row r="4572" spans="66:69" x14ac:dyDescent="0.2">
      <c r="BN4572" s="192"/>
      <c r="BO4572" s="197"/>
      <c r="BP4572" s="197"/>
      <c r="BQ4572" s="197"/>
    </row>
    <row r="4573" spans="66:69" x14ac:dyDescent="0.2">
      <c r="BN4573" s="192"/>
      <c r="BO4573" s="197"/>
      <c r="BP4573" s="197"/>
      <c r="BQ4573" s="197"/>
    </row>
    <row r="4574" spans="66:69" x14ac:dyDescent="0.2">
      <c r="BN4574" s="192"/>
      <c r="BO4574" s="197"/>
      <c r="BP4574" s="197"/>
      <c r="BQ4574" s="197"/>
    </row>
    <row r="4575" spans="66:69" x14ac:dyDescent="0.2">
      <c r="BN4575" s="192"/>
      <c r="BO4575" s="197"/>
      <c r="BP4575" s="197"/>
      <c r="BQ4575" s="197"/>
    </row>
    <row r="4576" spans="66:69" x14ac:dyDescent="0.2">
      <c r="BN4576" s="192"/>
      <c r="BO4576" s="197"/>
      <c r="BP4576" s="197"/>
      <c r="BQ4576" s="197"/>
    </row>
    <row r="4577" spans="66:69" x14ac:dyDescent="0.2">
      <c r="BN4577" s="192"/>
      <c r="BO4577" s="197"/>
      <c r="BP4577" s="197"/>
      <c r="BQ4577" s="197"/>
    </row>
    <row r="4578" spans="66:69" x14ac:dyDescent="0.2">
      <c r="BN4578" s="192"/>
      <c r="BO4578" s="197"/>
      <c r="BP4578" s="197"/>
      <c r="BQ4578" s="197"/>
    </row>
    <row r="4579" spans="66:69" x14ac:dyDescent="0.2">
      <c r="BN4579" s="192"/>
      <c r="BO4579" s="197"/>
      <c r="BP4579" s="197"/>
      <c r="BQ4579" s="197"/>
    </row>
    <row r="4580" spans="66:69" x14ac:dyDescent="0.2">
      <c r="BN4580" s="192"/>
      <c r="BO4580" s="197"/>
      <c r="BP4580" s="197"/>
      <c r="BQ4580" s="197"/>
    </row>
    <row r="4581" spans="66:69" x14ac:dyDescent="0.2">
      <c r="BN4581" s="192"/>
      <c r="BO4581" s="197"/>
      <c r="BP4581" s="197"/>
      <c r="BQ4581" s="197"/>
    </row>
    <row r="4582" spans="66:69" x14ac:dyDescent="0.2">
      <c r="BN4582" s="192"/>
      <c r="BO4582" s="197"/>
      <c r="BP4582" s="197"/>
      <c r="BQ4582" s="197"/>
    </row>
    <row r="4583" spans="66:69" x14ac:dyDescent="0.2">
      <c r="BN4583" s="192"/>
      <c r="BO4583" s="197"/>
      <c r="BP4583" s="197"/>
      <c r="BQ4583" s="197"/>
    </row>
    <row r="4584" spans="66:69" x14ac:dyDescent="0.2">
      <c r="BN4584" s="192"/>
      <c r="BO4584" s="197"/>
      <c r="BP4584" s="197"/>
      <c r="BQ4584" s="197"/>
    </row>
    <row r="4585" spans="66:69" x14ac:dyDescent="0.2">
      <c r="BN4585" s="192"/>
      <c r="BO4585" s="197"/>
      <c r="BP4585" s="197"/>
      <c r="BQ4585" s="197"/>
    </row>
    <row r="4586" spans="66:69" x14ac:dyDescent="0.2">
      <c r="BN4586" s="192"/>
      <c r="BO4586" s="197"/>
      <c r="BP4586" s="197"/>
      <c r="BQ4586" s="197"/>
    </row>
    <row r="4587" spans="66:69" x14ac:dyDescent="0.2">
      <c r="BN4587" s="192"/>
      <c r="BO4587" s="197"/>
      <c r="BP4587" s="197"/>
      <c r="BQ4587" s="197"/>
    </row>
    <row r="4588" spans="66:69" x14ac:dyDescent="0.2">
      <c r="BN4588" s="192"/>
      <c r="BO4588" s="197"/>
      <c r="BP4588" s="197"/>
      <c r="BQ4588" s="197"/>
    </row>
    <row r="4589" spans="66:69" x14ac:dyDescent="0.2">
      <c r="BN4589" s="192"/>
      <c r="BO4589" s="197"/>
      <c r="BP4589" s="197"/>
      <c r="BQ4589" s="197"/>
    </row>
    <row r="4590" spans="66:69" x14ac:dyDescent="0.2">
      <c r="BN4590" s="192"/>
      <c r="BO4590" s="197"/>
      <c r="BP4590" s="197"/>
      <c r="BQ4590" s="197"/>
    </row>
    <row r="4591" spans="66:69" x14ac:dyDescent="0.2">
      <c r="BN4591" s="192"/>
      <c r="BO4591" s="197"/>
      <c r="BP4591" s="197"/>
      <c r="BQ4591" s="197"/>
    </row>
    <row r="4592" spans="66:69" x14ac:dyDescent="0.2">
      <c r="BN4592" s="192"/>
      <c r="BO4592" s="197"/>
      <c r="BP4592" s="197"/>
      <c r="BQ4592" s="197"/>
    </row>
    <row r="4593" spans="66:69" x14ac:dyDescent="0.2">
      <c r="BN4593" s="192"/>
      <c r="BO4593" s="197"/>
      <c r="BP4593" s="197"/>
      <c r="BQ4593" s="197"/>
    </row>
    <row r="4594" spans="66:69" x14ac:dyDescent="0.2">
      <c r="BN4594" s="192"/>
      <c r="BO4594" s="197"/>
      <c r="BP4594" s="197"/>
      <c r="BQ4594" s="197"/>
    </row>
    <row r="4595" spans="66:69" x14ac:dyDescent="0.2">
      <c r="BN4595" s="192"/>
      <c r="BO4595" s="197"/>
      <c r="BP4595" s="197"/>
      <c r="BQ4595" s="197"/>
    </row>
    <row r="4596" spans="66:69" x14ac:dyDescent="0.2">
      <c r="BN4596" s="192"/>
      <c r="BO4596" s="197"/>
      <c r="BP4596" s="197"/>
      <c r="BQ4596" s="197"/>
    </row>
    <row r="4597" spans="66:69" x14ac:dyDescent="0.2">
      <c r="BN4597" s="192"/>
      <c r="BO4597" s="197"/>
      <c r="BP4597" s="197"/>
      <c r="BQ4597" s="197"/>
    </row>
    <row r="4598" spans="66:69" x14ac:dyDescent="0.2">
      <c r="BN4598" s="192"/>
      <c r="BO4598" s="197"/>
      <c r="BP4598" s="197"/>
      <c r="BQ4598" s="197"/>
    </row>
    <row r="4599" spans="66:69" x14ac:dyDescent="0.2">
      <c r="BN4599" s="192"/>
      <c r="BO4599" s="197"/>
      <c r="BP4599" s="197"/>
      <c r="BQ4599" s="197"/>
    </row>
    <row r="4600" spans="66:69" x14ac:dyDescent="0.2">
      <c r="BN4600" s="192"/>
      <c r="BO4600" s="197"/>
      <c r="BP4600" s="197"/>
      <c r="BQ4600" s="197"/>
    </row>
    <row r="4601" spans="66:69" x14ac:dyDescent="0.2">
      <c r="BN4601" s="192"/>
      <c r="BO4601" s="197"/>
      <c r="BP4601" s="197"/>
      <c r="BQ4601" s="197"/>
    </row>
    <row r="4602" spans="66:69" x14ac:dyDescent="0.2">
      <c r="BN4602" s="192"/>
      <c r="BO4602" s="197"/>
      <c r="BP4602" s="197"/>
      <c r="BQ4602" s="197"/>
    </row>
    <row r="4603" spans="66:69" x14ac:dyDescent="0.2">
      <c r="BN4603" s="192"/>
      <c r="BO4603" s="197"/>
      <c r="BP4603" s="197"/>
      <c r="BQ4603" s="197"/>
    </row>
    <row r="4604" spans="66:69" x14ac:dyDescent="0.2">
      <c r="BN4604" s="192"/>
      <c r="BO4604" s="197"/>
      <c r="BP4604" s="197"/>
      <c r="BQ4604" s="197"/>
    </row>
    <row r="4605" spans="66:69" x14ac:dyDescent="0.2">
      <c r="BN4605" s="192"/>
      <c r="BO4605" s="197"/>
      <c r="BP4605" s="197"/>
      <c r="BQ4605" s="197"/>
    </row>
    <row r="4606" spans="66:69" x14ac:dyDescent="0.2">
      <c r="BN4606" s="192"/>
      <c r="BO4606" s="197"/>
      <c r="BP4606" s="197"/>
      <c r="BQ4606" s="197"/>
    </row>
    <row r="4607" spans="66:69" x14ac:dyDescent="0.2">
      <c r="BN4607" s="192"/>
      <c r="BO4607" s="197"/>
      <c r="BP4607" s="197"/>
      <c r="BQ4607" s="197"/>
    </row>
    <row r="4608" spans="66:69" x14ac:dyDescent="0.2">
      <c r="BN4608" s="192"/>
      <c r="BO4608" s="197"/>
      <c r="BP4608" s="197"/>
      <c r="BQ4608" s="197"/>
    </row>
    <row r="4609" spans="66:69" x14ac:dyDescent="0.2">
      <c r="BN4609" s="192"/>
      <c r="BO4609" s="197"/>
      <c r="BP4609" s="197"/>
      <c r="BQ4609" s="197"/>
    </row>
    <row r="4610" spans="66:69" x14ac:dyDescent="0.2">
      <c r="BN4610" s="192"/>
      <c r="BO4610" s="197"/>
      <c r="BP4610" s="197"/>
      <c r="BQ4610" s="197"/>
    </row>
    <row r="4611" spans="66:69" x14ac:dyDescent="0.2">
      <c r="BN4611" s="192"/>
      <c r="BO4611" s="197"/>
      <c r="BP4611" s="197"/>
      <c r="BQ4611" s="197"/>
    </row>
    <row r="4612" spans="66:69" x14ac:dyDescent="0.2">
      <c r="BN4612" s="192"/>
      <c r="BO4612" s="197"/>
      <c r="BP4612" s="197"/>
      <c r="BQ4612" s="197"/>
    </row>
    <row r="4613" spans="66:69" x14ac:dyDescent="0.2">
      <c r="BN4613" s="192"/>
      <c r="BO4613" s="197"/>
      <c r="BP4613" s="197"/>
      <c r="BQ4613" s="197"/>
    </row>
    <row r="4614" spans="66:69" x14ac:dyDescent="0.2">
      <c r="BN4614" s="192"/>
      <c r="BO4614" s="197"/>
      <c r="BP4614" s="197"/>
      <c r="BQ4614" s="197"/>
    </row>
    <row r="4615" spans="66:69" x14ac:dyDescent="0.2">
      <c r="BN4615" s="192"/>
      <c r="BO4615" s="197"/>
      <c r="BP4615" s="197"/>
      <c r="BQ4615" s="197"/>
    </row>
    <row r="4616" spans="66:69" x14ac:dyDescent="0.2">
      <c r="BN4616" s="192"/>
      <c r="BO4616" s="197"/>
      <c r="BP4616" s="197"/>
      <c r="BQ4616" s="197"/>
    </row>
    <row r="4617" spans="66:69" x14ac:dyDescent="0.2">
      <c r="BN4617" s="192"/>
      <c r="BO4617" s="197"/>
      <c r="BP4617" s="197"/>
      <c r="BQ4617" s="197"/>
    </row>
    <row r="4618" spans="66:69" x14ac:dyDescent="0.2">
      <c r="BN4618" s="192"/>
      <c r="BO4618" s="197"/>
      <c r="BP4618" s="197"/>
      <c r="BQ4618" s="197"/>
    </row>
    <row r="4619" spans="66:69" x14ac:dyDescent="0.2">
      <c r="BN4619" s="192"/>
      <c r="BO4619" s="197"/>
      <c r="BP4619" s="197"/>
      <c r="BQ4619" s="197"/>
    </row>
    <row r="4620" spans="66:69" x14ac:dyDescent="0.2">
      <c r="BN4620" s="192"/>
      <c r="BO4620" s="197"/>
      <c r="BP4620" s="197"/>
      <c r="BQ4620" s="197"/>
    </row>
    <row r="4621" spans="66:69" x14ac:dyDescent="0.2">
      <c r="BN4621" s="192"/>
      <c r="BO4621" s="197"/>
      <c r="BP4621" s="197"/>
      <c r="BQ4621" s="197"/>
    </row>
    <row r="4622" spans="66:69" x14ac:dyDescent="0.2">
      <c r="BN4622" s="192"/>
      <c r="BO4622" s="197"/>
      <c r="BP4622" s="197"/>
      <c r="BQ4622" s="197"/>
    </row>
    <row r="4623" spans="66:69" x14ac:dyDescent="0.2">
      <c r="BN4623" s="192"/>
      <c r="BO4623" s="197"/>
      <c r="BP4623" s="197"/>
      <c r="BQ4623" s="197"/>
    </row>
    <row r="4624" spans="66:69" x14ac:dyDescent="0.2">
      <c r="BN4624" s="192"/>
      <c r="BO4624" s="197"/>
      <c r="BP4624" s="197"/>
      <c r="BQ4624" s="197"/>
    </row>
    <row r="4625" spans="66:69" x14ac:dyDescent="0.2">
      <c r="BN4625" s="192"/>
      <c r="BO4625" s="197"/>
      <c r="BP4625" s="197"/>
      <c r="BQ4625" s="197"/>
    </row>
    <row r="4626" spans="66:69" x14ac:dyDescent="0.2">
      <c r="BN4626" s="192"/>
      <c r="BO4626" s="197"/>
      <c r="BP4626" s="197"/>
      <c r="BQ4626" s="197"/>
    </row>
    <row r="4627" spans="66:69" x14ac:dyDescent="0.2">
      <c r="BN4627" s="192"/>
      <c r="BO4627" s="197"/>
      <c r="BP4627" s="197"/>
      <c r="BQ4627" s="197"/>
    </row>
    <row r="4628" spans="66:69" x14ac:dyDescent="0.2">
      <c r="BN4628" s="192"/>
      <c r="BO4628" s="197"/>
      <c r="BP4628" s="197"/>
      <c r="BQ4628" s="197"/>
    </row>
    <row r="4629" spans="66:69" x14ac:dyDescent="0.2">
      <c r="BN4629" s="192"/>
      <c r="BO4629" s="197"/>
      <c r="BP4629" s="197"/>
      <c r="BQ4629" s="197"/>
    </row>
    <row r="4630" spans="66:69" x14ac:dyDescent="0.2">
      <c r="BN4630" s="192"/>
      <c r="BO4630" s="197"/>
      <c r="BP4630" s="197"/>
      <c r="BQ4630" s="197"/>
    </row>
    <row r="4631" spans="66:69" x14ac:dyDescent="0.2">
      <c r="BN4631" s="192"/>
      <c r="BO4631" s="197"/>
      <c r="BP4631" s="197"/>
      <c r="BQ4631" s="197"/>
    </row>
    <row r="4632" spans="66:69" x14ac:dyDescent="0.2">
      <c r="BN4632" s="192"/>
      <c r="BO4632" s="197"/>
      <c r="BP4632" s="197"/>
      <c r="BQ4632" s="197"/>
    </row>
    <row r="4633" spans="66:69" x14ac:dyDescent="0.2">
      <c r="BN4633" s="192"/>
      <c r="BO4633" s="197"/>
      <c r="BP4633" s="197"/>
      <c r="BQ4633" s="197"/>
    </row>
    <row r="4634" spans="66:69" x14ac:dyDescent="0.2">
      <c r="BN4634" s="192"/>
      <c r="BO4634" s="197"/>
      <c r="BP4634" s="197"/>
      <c r="BQ4634" s="197"/>
    </row>
    <row r="4635" spans="66:69" x14ac:dyDescent="0.2">
      <c r="BN4635" s="192"/>
      <c r="BO4635" s="197"/>
      <c r="BP4635" s="197"/>
      <c r="BQ4635" s="197"/>
    </row>
    <row r="4636" spans="66:69" x14ac:dyDescent="0.2">
      <c r="BN4636" s="192"/>
      <c r="BO4636" s="197"/>
      <c r="BP4636" s="197"/>
      <c r="BQ4636" s="197"/>
    </row>
    <row r="4637" spans="66:69" x14ac:dyDescent="0.2">
      <c r="BN4637" s="192"/>
      <c r="BO4637" s="197"/>
      <c r="BP4637" s="197"/>
      <c r="BQ4637" s="197"/>
    </row>
    <row r="4638" spans="66:69" x14ac:dyDescent="0.2">
      <c r="BN4638" s="192"/>
      <c r="BO4638" s="197"/>
      <c r="BP4638" s="197"/>
      <c r="BQ4638" s="197"/>
    </row>
    <row r="4639" spans="66:69" x14ac:dyDescent="0.2">
      <c r="BN4639" s="192"/>
      <c r="BO4639" s="197"/>
      <c r="BP4639" s="197"/>
      <c r="BQ4639" s="197"/>
    </row>
    <row r="4640" spans="66:69" x14ac:dyDescent="0.2">
      <c r="BN4640" s="192"/>
      <c r="BO4640" s="197"/>
      <c r="BP4640" s="197"/>
      <c r="BQ4640" s="197"/>
    </row>
    <row r="4641" spans="66:69" x14ac:dyDescent="0.2">
      <c r="BN4641" s="192"/>
      <c r="BO4641" s="197"/>
      <c r="BP4641" s="197"/>
      <c r="BQ4641" s="197"/>
    </row>
    <row r="4642" spans="66:69" x14ac:dyDescent="0.2">
      <c r="BN4642" s="192"/>
      <c r="BO4642" s="197"/>
      <c r="BP4642" s="197"/>
      <c r="BQ4642" s="197"/>
    </row>
    <row r="4643" spans="66:69" x14ac:dyDescent="0.2">
      <c r="BN4643" s="192"/>
      <c r="BO4643" s="197"/>
      <c r="BP4643" s="197"/>
      <c r="BQ4643" s="197"/>
    </row>
    <row r="4644" spans="66:69" x14ac:dyDescent="0.2">
      <c r="BN4644" s="192"/>
      <c r="BO4644" s="197"/>
      <c r="BP4644" s="197"/>
      <c r="BQ4644" s="197"/>
    </row>
    <row r="4645" spans="66:69" x14ac:dyDescent="0.2">
      <c r="BN4645" s="192"/>
      <c r="BO4645" s="197"/>
      <c r="BP4645" s="197"/>
      <c r="BQ4645" s="197"/>
    </row>
    <row r="4646" spans="66:69" x14ac:dyDescent="0.2">
      <c r="BN4646" s="192"/>
      <c r="BO4646" s="197"/>
      <c r="BP4646" s="197"/>
      <c r="BQ4646" s="197"/>
    </row>
    <row r="4647" spans="66:69" x14ac:dyDescent="0.2">
      <c r="BN4647" s="192"/>
      <c r="BO4647" s="197"/>
      <c r="BP4647" s="197"/>
      <c r="BQ4647" s="197"/>
    </row>
    <row r="4648" spans="66:69" x14ac:dyDescent="0.2">
      <c r="BN4648" s="192"/>
      <c r="BO4648" s="197"/>
      <c r="BP4648" s="197"/>
      <c r="BQ4648" s="197"/>
    </row>
    <row r="4649" spans="66:69" x14ac:dyDescent="0.2">
      <c r="BN4649" s="192"/>
      <c r="BO4649" s="197"/>
      <c r="BP4649" s="197"/>
      <c r="BQ4649" s="197"/>
    </row>
    <row r="4650" spans="66:69" x14ac:dyDescent="0.2">
      <c r="BN4650" s="192"/>
      <c r="BO4650" s="197"/>
      <c r="BP4650" s="197"/>
      <c r="BQ4650" s="197"/>
    </row>
    <row r="4651" spans="66:69" x14ac:dyDescent="0.2">
      <c r="BN4651" s="192"/>
      <c r="BO4651" s="197"/>
      <c r="BP4651" s="197"/>
      <c r="BQ4651" s="197"/>
    </row>
    <row r="4652" spans="66:69" x14ac:dyDescent="0.2">
      <c r="BN4652" s="192"/>
      <c r="BO4652" s="197"/>
      <c r="BP4652" s="197"/>
      <c r="BQ4652" s="197"/>
    </row>
    <row r="4653" spans="66:69" x14ac:dyDescent="0.2">
      <c r="BN4653" s="192"/>
      <c r="BO4653" s="197"/>
      <c r="BP4653" s="197"/>
      <c r="BQ4653" s="197"/>
    </row>
    <row r="4654" spans="66:69" x14ac:dyDescent="0.2">
      <c r="BN4654" s="192"/>
      <c r="BO4654" s="197"/>
      <c r="BP4654" s="197"/>
      <c r="BQ4654" s="197"/>
    </row>
    <row r="4655" spans="66:69" x14ac:dyDescent="0.2">
      <c r="BN4655" s="192"/>
      <c r="BO4655" s="197"/>
      <c r="BP4655" s="197"/>
      <c r="BQ4655" s="197"/>
    </row>
    <row r="4656" spans="66:69" x14ac:dyDescent="0.2">
      <c r="BN4656" s="192"/>
      <c r="BO4656" s="197"/>
      <c r="BP4656" s="197"/>
      <c r="BQ4656" s="197"/>
    </row>
    <row r="4657" spans="66:69" x14ac:dyDescent="0.2">
      <c r="BN4657" s="192"/>
      <c r="BO4657" s="197"/>
      <c r="BP4657" s="197"/>
      <c r="BQ4657" s="197"/>
    </row>
    <row r="4658" spans="66:69" x14ac:dyDescent="0.2">
      <c r="BN4658" s="192"/>
      <c r="BO4658" s="197"/>
      <c r="BP4658" s="197"/>
      <c r="BQ4658" s="197"/>
    </row>
    <row r="4659" spans="66:69" x14ac:dyDescent="0.2">
      <c r="BN4659" s="192"/>
      <c r="BO4659" s="197"/>
      <c r="BP4659" s="197"/>
      <c r="BQ4659" s="197"/>
    </row>
    <row r="4660" spans="66:69" x14ac:dyDescent="0.2">
      <c r="BN4660" s="192"/>
      <c r="BO4660" s="197"/>
      <c r="BP4660" s="197"/>
      <c r="BQ4660" s="197"/>
    </row>
    <row r="4661" spans="66:69" x14ac:dyDescent="0.2">
      <c r="BN4661" s="192"/>
      <c r="BO4661" s="197"/>
      <c r="BP4661" s="197"/>
      <c r="BQ4661" s="197"/>
    </row>
    <row r="4662" spans="66:69" x14ac:dyDescent="0.2">
      <c r="BN4662" s="192"/>
      <c r="BO4662" s="197"/>
      <c r="BP4662" s="197"/>
      <c r="BQ4662" s="197"/>
    </row>
    <row r="4663" spans="66:69" x14ac:dyDescent="0.2">
      <c r="BN4663" s="192"/>
      <c r="BO4663" s="197"/>
      <c r="BP4663" s="197"/>
      <c r="BQ4663" s="197"/>
    </row>
    <row r="4664" spans="66:69" x14ac:dyDescent="0.2">
      <c r="BN4664" s="192"/>
      <c r="BO4664" s="197"/>
      <c r="BP4664" s="197"/>
      <c r="BQ4664" s="197"/>
    </row>
    <row r="4665" spans="66:69" x14ac:dyDescent="0.2">
      <c r="BN4665" s="192"/>
      <c r="BO4665" s="197"/>
      <c r="BP4665" s="197"/>
      <c r="BQ4665" s="197"/>
    </row>
    <row r="4666" spans="66:69" x14ac:dyDescent="0.2">
      <c r="BN4666" s="192"/>
      <c r="BO4666" s="197"/>
      <c r="BP4666" s="197"/>
      <c r="BQ4666" s="197"/>
    </row>
    <row r="4667" spans="66:69" x14ac:dyDescent="0.2">
      <c r="BN4667" s="192"/>
      <c r="BO4667" s="197"/>
      <c r="BP4667" s="197"/>
      <c r="BQ4667" s="197"/>
    </row>
    <row r="4668" spans="66:69" x14ac:dyDescent="0.2">
      <c r="BN4668" s="192"/>
      <c r="BO4668" s="197"/>
      <c r="BP4668" s="197"/>
      <c r="BQ4668" s="197"/>
    </row>
    <row r="4669" spans="66:69" x14ac:dyDescent="0.2">
      <c r="BN4669" s="192"/>
      <c r="BO4669" s="197"/>
      <c r="BP4669" s="197"/>
      <c r="BQ4669" s="197"/>
    </row>
    <row r="4670" spans="66:69" x14ac:dyDescent="0.2">
      <c r="BN4670" s="192"/>
      <c r="BO4670" s="197"/>
      <c r="BP4670" s="197"/>
      <c r="BQ4670" s="197"/>
    </row>
    <row r="4671" spans="66:69" x14ac:dyDescent="0.2">
      <c r="BN4671" s="192"/>
      <c r="BO4671" s="197"/>
      <c r="BP4671" s="197"/>
      <c r="BQ4671" s="197"/>
    </row>
    <row r="4672" spans="66:69" x14ac:dyDescent="0.2">
      <c r="BN4672" s="192"/>
      <c r="BO4672" s="197"/>
      <c r="BP4672" s="197"/>
      <c r="BQ4672" s="197"/>
    </row>
    <row r="4673" spans="66:69" x14ac:dyDescent="0.2">
      <c r="BN4673" s="192"/>
      <c r="BO4673" s="197"/>
      <c r="BP4673" s="197"/>
      <c r="BQ4673" s="197"/>
    </row>
    <row r="4674" spans="66:69" x14ac:dyDescent="0.2">
      <c r="BN4674" s="192"/>
      <c r="BO4674" s="197"/>
      <c r="BP4674" s="197"/>
      <c r="BQ4674" s="197"/>
    </row>
    <row r="4675" spans="66:69" x14ac:dyDescent="0.2">
      <c r="BN4675" s="192"/>
      <c r="BO4675" s="197"/>
      <c r="BP4675" s="197"/>
      <c r="BQ4675" s="197"/>
    </row>
    <row r="4676" spans="66:69" x14ac:dyDescent="0.2">
      <c r="BN4676" s="192"/>
      <c r="BO4676" s="197"/>
      <c r="BP4676" s="197"/>
      <c r="BQ4676" s="197"/>
    </row>
    <row r="4677" spans="66:69" x14ac:dyDescent="0.2">
      <c r="BN4677" s="192"/>
      <c r="BO4677" s="197"/>
      <c r="BP4677" s="197"/>
      <c r="BQ4677" s="197"/>
    </row>
    <row r="4678" spans="66:69" x14ac:dyDescent="0.2">
      <c r="BN4678" s="192"/>
      <c r="BO4678" s="197"/>
      <c r="BP4678" s="197"/>
      <c r="BQ4678" s="197"/>
    </row>
    <row r="4679" spans="66:69" x14ac:dyDescent="0.2">
      <c r="BN4679" s="192"/>
      <c r="BO4679" s="197"/>
      <c r="BP4679" s="197"/>
      <c r="BQ4679" s="197"/>
    </row>
    <row r="4680" spans="66:69" x14ac:dyDescent="0.2">
      <c r="BN4680" s="192"/>
      <c r="BO4680" s="197"/>
      <c r="BP4680" s="197"/>
      <c r="BQ4680" s="197"/>
    </row>
    <row r="4681" spans="66:69" x14ac:dyDescent="0.2">
      <c r="BN4681" s="192"/>
      <c r="BO4681" s="197"/>
      <c r="BP4681" s="197"/>
      <c r="BQ4681" s="197"/>
    </row>
    <row r="4682" spans="66:69" x14ac:dyDescent="0.2">
      <c r="BN4682" s="192"/>
      <c r="BO4682" s="197"/>
      <c r="BP4682" s="197"/>
      <c r="BQ4682" s="197"/>
    </row>
    <row r="4683" spans="66:69" x14ac:dyDescent="0.2">
      <c r="BN4683" s="192"/>
      <c r="BO4683" s="197"/>
      <c r="BP4683" s="197"/>
      <c r="BQ4683" s="197"/>
    </row>
    <row r="4684" spans="66:69" x14ac:dyDescent="0.2">
      <c r="BN4684" s="192"/>
      <c r="BO4684" s="197"/>
      <c r="BP4684" s="197"/>
      <c r="BQ4684" s="197"/>
    </row>
    <row r="4685" spans="66:69" x14ac:dyDescent="0.2">
      <c r="BN4685" s="192"/>
      <c r="BO4685" s="197"/>
      <c r="BP4685" s="197"/>
      <c r="BQ4685" s="197"/>
    </row>
    <row r="4686" spans="66:69" x14ac:dyDescent="0.2">
      <c r="BN4686" s="192"/>
      <c r="BO4686" s="197"/>
      <c r="BP4686" s="197"/>
      <c r="BQ4686" s="197"/>
    </row>
    <row r="4687" spans="66:69" x14ac:dyDescent="0.2">
      <c r="BN4687" s="192"/>
      <c r="BO4687" s="197"/>
      <c r="BP4687" s="197"/>
      <c r="BQ4687" s="197"/>
    </row>
    <row r="4688" spans="66:69" x14ac:dyDescent="0.2">
      <c r="BN4688" s="192"/>
      <c r="BO4688" s="197"/>
      <c r="BP4688" s="197"/>
      <c r="BQ4688" s="197"/>
    </row>
    <row r="4689" spans="66:69" x14ac:dyDescent="0.2">
      <c r="BN4689" s="192"/>
      <c r="BO4689" s="197"/>
      <c r="BP4689" s="197"/>
      <c r="BQ4689" s="197"/>
    </row>
    <row r="4690" spans="66:69" x14ac:dyDescent="0.2">
      <c r="BN4690" s="192"/>
      <c r="BO4690" s="197"/>
      <c r="BP4690" s="197"/>
      <c r="BQ4690" s="197"/>
    </row>
    <row r="4691" spans="66:69" x14ac:dyDescent="0.2">
      <c r="BN4691" s="192"/>
      <c r="BO4691" s="197"/>
      <c r="BP4691" s="197"/>
      <c r="BQ4691" s="197"/>
    </row>
    <row r="4692" spans="66:69" x14ac:dyDescent="0.2">
      <c r="BN4692" s="192"/>
      <c r="BO4692" s="197"/>
      <c r="BP4692" s="197"/>
      <c r="BQ4692" s="197"/>
    </row>
    <row r="4693" spans="66:69" x14ac:dyDescent="0.2">
      <c r="BN4693" s="192"/>
      <c r="BO4693" s="197"/>
      <c r="BP4693" s="197"/>
      <c r="BQ4693" s="197"/>
    </row>
    <row r="4694" spans="66:69" x14ac:dyDescent="0.2">
      <c r="BN4694" s="192"/>
      <c r="BO4694" s="197"/>
      <c r="BP4694" s="197"/>
      <c r="BQ4694" s="197"/>
    </row>
    <row r="4695" spans="66:69" x14ac:dyDescent="0.2">
      <c r="BN4695" s="192"/>
      <c r="BO4695" s="197"/>
      <c r="BP4695" s="197"/>
      <c r="BQ4695" s="197"/>
    </row>
    <row r="4696" spans="66:69" x14ac:dyDescent="0.2">
      <c r="BN4696" s="192"/>
      <c r="BO4696" s="197"/>
      <c r="BP4696" s="197"/>
      <c r="BQ4696" s="197"/>
    </row>
    <row r="4697" spans="66:69" x14ac:dyDescent="0.2">
      <c r="BN4697" s="192"/>
      <c r="BO4697" s="197"/>
      <c r="BP4697" s="197"/>
      <c r="BQ4697" s="197"/>
    </row>
    <row r="4698" spans="66:69" x14ac:dyDescent="0.2">
      <c r="BN4698" s="192"/>
      <c r="BO4698" s="197"/>
      <c r="BP4698" s="197"/>
      <c r="BQ4698" s="197"/>
    </row>
    <row r="4699" spans="66:69" x14ac:dyDescent="0.2">
      <c r="BN4699" s="192"/>
      <c r="BO4699" s="197"/>
      <c r="BP4699" s="197"/>
      <c r="BQ4699" s="197"/>
    </row>
    <row r="4700" spans="66:69" x14ac:dyDescent="0.2">
      <c r="BN4700" s="192"/>
      <c r="BO4700" s="197"/>
      <c r="BP4700" s="197"/>
      <c r="BQ4700" s="197"/>
    </row>
    <row r="4701" spans="66:69" x14ac:dyDescent="0.2">
      <c r="BN4701" s="192"/>
      <c r="BO4701" s="197"/>
      <c r="BP4701" s="197"/>
      <c r="BQ4701" s="197"/>
    </row>
    <row r="4702" spans="66:69" x14ac:dyDescent="0.2">
      <c r="BN4702" s="192"/>
      <c r="BO4702" s="197"/>
      <c r="BP4702" s="197"/>
      <c r="BQ4702" s="197"/>
    </row>
    <row r="4703" spans="66:69" x14ac:dyDescent="0.2">
      <c r="BN4703" s="192"/>
      <c r="BO4703" s="197"/>
      <c r="BP4703" s="197"/>
      <c r="BQ4703" s="197"/>
    </row>
    <row r="4704" spans="66:69" x14ac:dyDescent="0.2">
      <c r="BN4704" s="192"/>
      <c r="BO4704" s="197"/>
      <c r="BP4704" s="197"/>
      <c r="BQ4704" s="197"/>
    </row>
    <row r="4705" spans="66:69" x14ac:dyDescent="0.2">
      <c r="BN4705" s="192"/>
      <c r="BO4705" s="197"/>
      <c r="BP4705" s="197"/>
      <c r="BQ4705" s="197"/>
    </row>
    <row r="4706" spans="66:69" x14ac:dyDescent="0.2">
      <c r="BN4706" s="192"/>
      <c r="BO4706" s="197"/>
      <c r="BP4706" s="197"/>
      <c r="BQ4706" s="197"/>
    </row>
    <row r="4707" spans="66:69" x14ac:dyDescent="0.2">
      <c r="BN4707" s="192"/>
      <c r="BO4707" s="197"/>
      <c r="BP4707" s="197"/>
      <c r="BQ4707" s="197"/>
    </row>
    <row r="4708" spans="66:69" x14ac:dyDescent="0.2">
      <c r="BN4708" s="192"/>
      <c r="BO4708" s="197"/>
      <c r="BP4708" s="197"/>
      <c r="BQ4708" s="197"/>
    </row>
    <row r="4709" spans="66:69" x14ac:dyDescent="0.2">
      <c r="BN4709" s="192"/>
      <c r="BO4709" s="197"/>
      <c r="BP4709" s="197"/>
      <c r="BQ4709" s="197"/>
    </row>
    <row r="4710" spans="66:69" x14ac:dyDescent="0.2">
      <c r="BN4710" s="192"/>
      <c r="BO4710" s="197"/>
      <c r="BP4710" s="197"/>
      <c r="BQ4710" s="197"/>
    </row>
    <row r="4711" spans="66:69" x14ac:dyDescent="0.2">
      <c r="BN4711" s="192"/>
      <c r="BO4711" s="197"/>
      <c r="BP4711" s="197"/>
      <c r="BQ4711" s="197"/>
    </row>
    <row r="4712" spans="66:69" x14ac:dyDescent="0.2">
      <c r="BN4712" s="192"/>
      <c r="BO4712" s="197"/>
      <c r="BP4712" s="197"/>
      <c r="BQ4712" s="197"/>
    </row>
    <row r="4713" spans="66:69" x14ac:dyDescent="0.2">
      <c r="BN4713" s="192"/>
      <c r="BO4713" s="197"/>
      <c r="BP4713" s="197"/>
      <c r="BQ4713" s="197"/>
    </row>
    <row r="4714" spans="66:69" x14ac:dyDescent="0.2">
      <c r="BN4714" s="192"/>
      <c r="BO4714" s="197"/>
      <c r="BP4714" s="197"/>
      <c r="BQ4714" s="197"/>
    </row>
    <row r="4715" spans="66:69" x14ac:dyDescent="0.2">
      <c r="BN4715" s="192"/>
      <c r="BO4715" s="197"/>
      <c r="BP4715" s="197"/>
      <c r="BQ4715" s="197"/>
    </row>
    <row r="4716" spans="66:69" x14ac:dyDescent="0.2">
      <c r="BN4716" s="192"/>
      <c r="BO4716" s="197"/>
      <c r="BP4716" s="197"/>
      <c r="BQ4716" s="197"/>
    </row>
    <row r="4717" spans="66:69" x14ac:dyDescent="0.2">
      <c r="BN4717" s="192"/>
      <c r="BO4717" s="197"/>
      <c r="BP4717" s="197"/>
      <c r="BQ4717" s="197"/>
    </row>
    <row r="4718" spans="66:69" x14ac:dyDescent="0.2">
      <c r="BN4718" s="192"/>
      <c r="BO4718" s="197"/>
      <c r="BP4718" s="197"/>
      <c r="BQ4718" s="197"/>
    </row>
    <row r="4719" spans="66:69" x14ac:dyDescent="0.2">
      <c r="BN4719" s="192"/>
      <c r="BO4719" s="197"/>
      <c r="BP4719" s="197"/>
      <c r="BQ4719" s="197"/>
    </row>
    <row r="4720" spans="66:69" x14ac:dyDescent="0.2">
      <c r="BN4720" s="192"/>
      <c r="BO4720" s="197"/>
      <c r="BP4720" s="197"/>
      <c r="BQ4720" s="197"/>
    </row>
    <row r="4721" spans="66:69" x14ac:dyDescent="0.2">
      <c r="BN4721" s="192"/>
      <c r="BO4721" s="197"/>
      <c r="BP4721" s="197"/>
      <c r="BQ4721" s="197"/>
    </row>
    <row r="4722" spans="66:69" x14ac:dyDescent="0.2">
      <c r="BN4722" s="192"/>
      <c r="BO4722" s="197"/>
      <c r="BP4722" s="197"/>
      <c r="BQ4722" s="197"/>
    </row>
    <row r="4723" spans="66:69" x14ac:dyDescent="0.2">
      <c r="BN4723" s="192"/>
      <c r="BO4723" s="197"/>
      <c r="BP4723" s="197"/>
      <c r="BQ4723" s="197"/>
    </row>
    <row r="4724" spans="66:69" x14ac:dyDescent="0.2">
      <c r="BN4724" s="192"/>
      <c r="BO4724" s="197"/>
      <c r="BP4724" s="197"/>
      <c r="BQ4724" s="197"/>
    </row>
    <row r="4725" spans="66:69" x14ac:dyDescent="0.2">
      <c r="BN4725" s="192"/>
      <c r="BO4725" s="197"/>
      <c r="BP4725" s="197"/>
      <c r="BQ4725" s="197"/>
    </row>
    <row r="4726" spans="66:69" x14ac:dyDescent="0.2">
      <c r="BN4726" s="192"/>
      <c r="BO4726" s="197"/>
      <c r="BP4726" s="197"/>
      <c r="BQ4726" s="197"/>
    </row>
    <row r="4727" spans="66:69" x14ac:dyDescent="0.2">
      <c r="BN4727" s="192"/>
      <c r="BO4727" s="197"/>
      <c r="BP4727" s="197"/>
      <c r="BQ4727" s="197"/>
    </row>
    <row r="4728" spans="66:69" x14ac:dyDescent="0.2">
      <c r="BN4728" s="192"/>
      <c r="BO4728" s="197"/>
      <c r="BP4728" s="197"/>
      <c r="BQ4728" s="197"/>
    </row>
    <row r="4729" spans="66:69" x14ac:dyDescent="0.2">
      <c r="BN4729" s="192"/>
      <c r="BO4729" s="197"/>
      <c r="BP4729" s="197"/>
      <c r="BQ4729" s="197"/>
    </row>
    <row r="4730" spans="66:69" x14ac:dyDescent="0.2">
      <c r="BN4730" s="192"/>
      <c r="BO4730" s="197"/>
      <c r="BP4730" s="197"/>
      <c r="BQ4730" s="197"/>
    </row>
    <row r="4731" spans="66:69" x14ac:dyDescent="0.2">
      <c r="BN4731" s="192"/>
      <c r="BO4731" s="197"/>
      <c r="BP4731" s="197"/>
      <c r="BQ4731" s="197"/>
    </row>
    <row r="4732" spans="66:69" x14ac:dyDescent="0.2">
      <c r="BN4732" s="192"/>
      <c r="BO4732" s="197"/>
      <c r="BP4732" s="197"/>
      <c r="BQ4732" s="197"/>
    </row>
    <row r="4733" spans="66:69" x14ac:dyDescent="0.2">
      <c r="BN4733" s="192"/>
      <c r="BO4733" s="197"/>
      <c r="BP4733" s="197"/>
      <c r="BQ4733" s="197"/>
    </row>
    <row r="4734" spans="66:69" x14ac:dyDescent="0.2">
      <c r="BN4734" s="192"/>
      <c r="BO4734" s="197"/>
      <c r="BP4734" s="197"/>
      <c r="BQ4734" s="197"/>
    </row>
    <row r="4735" spans="66:69" x14ac:dyDescent="0.2">
      <c r="BN4735" s="192"/>
      <c r="BO4735" s="197"/>
      <c r="BP4735" s="197"/>
      <c r="BQ4735" s="197"/>
    </row>
    <row r="4736" spans="66:69" x14ac:dyDescent="0.2">
      <c r="BN4736" s="192"/>
      <c r="BO4736" s="197"/>
      <c r="BP4736" s="197"/>
      <c r="BQ4736" s="197"/>
    </row>
    <row r="4737" spans="66:69" x14ac:dyDescent="0.2">
      <c r="BN4737" s="192"/>
      <c r="BO4737" s="197"/>
      <c r="BP4737" s="197"/>
      <c r="BQ4737" s="197"/>
    </row>
    <row r="4738" spans="66:69" x14ac:dyDescent="0.2">
      <c r="BN4738" s="192"/>
      <c r="BO4738" s="197"/>
      <c r="BP4738" s="197"/>
      <c r="BQ4738" s="197"/>
    </row>
    <row r="4739" spans="66:69" x14ac:dyDescent="0.2">
      <c r="BN4739" s="192"/>
      <c r="BO4739" s="197"/>
      <c r="BP4739" s="197"/>
      <c r="BQ4739" s="197"/>
    </row>
    <row r="4740" spans="66:69" x14ac:dyDescent="0.2">
      <c r="BN4740" s="192"/>
      <c r="BO4740" s="197"/>
      <c r="BP4740" s="197"/>
      <c r="BQ4740" s="197"/>
    </row>
    <row r="4741" spans="66:69" x14ac:dyDescent="0.2">
      <c r="BN4741" s="192"/>
      <c r="BO4741" s="197"/>
      <c r="BP4741" s="197"/>
      <c r="BQ4741" s="197"/>
    </row>
    <row r="4742" spans="66:69" x14ac:dyDescent="0.2">
      <c r="BN4742" s="192"/>
      <c r="BO4742" s="197"/>
      <c r="BP4742" s="197"/>
      <c r="BQ4742" s="197"/>
    </row>
    <row r="4743" spans="66:69" x14ac:dyDescent="0.2">
      <c r="BN4743" s="192"/>
      <c r="BO4743" s="197"/>
      <c r="BP4743" s="197"/>
      <c r="BQ4743" s="197"/>
    </row>
    <row r="4744" spans="66:69" x14ac:dyDescent="0.2">
      <c r="BN4744" s="192"/>
      <c r="BO4744" s="197"/>
      <c r="BP4744" s="197"/>
      <c r="BQ4744" s="197"/>
    </row>
    <row r="4745" spans="66:69" x14ac:dyDescent="0.2">
      <c r="BN4745" s="192"/>
      <c r="BO4745" s="197"/>
      <c r="BP4745" s="197"/>
      <c r="BQ4745" s="197"/>
    </row>
    <row r="4746" spans="66:69" x14ac:dyDescent="0.2">
      <c r="BN4746" s="192"/>
      <c r="BO4746" s="197"/>
      <c r="BP4746" s="197"/>
      <c r="BQ4746" s="197"/>
    </row>
    <row r="4747" spans="66:69" x14ac:dyDescent="0.2">
      <c r="BN4747" s="192"/>
      <c r="BO4747" s="197"/>
      <c r="BP4747" s="197"/>
      <c r="BQ4747" s="197"/>
    </row>
    <row r="4748" spans="66:69" x14ac:dyDescent="0.2">
      <c r="BN4748" s="192"/>
      <c r="BO4748" s="197"/>
      <c r="BP4748" s="197"/>
      <c r="BQ4748" s="197"/>
    </row>
    <row r="4749" spans="66:69" x14ac:dyDescent="0.2">
      <c r="BN4749" s="192"/>
      <c r="BO4749" s="197"/>
      <c r="BP4749" s="197"/>
      <c r="BQ4749" s="197"/>
    </row>
    <row r="4750" spans="66:69" x14ac:dyDescent="0.2">
      <c r="BN4750" s="192"/>
      <c r="BO4750" s="197"/>
      <c r="BP4750" s="197"/>
      <c r="BQ4750" s="197"/>
    </row>
    <row r="4751" spans="66:69" x14ac:dyDescent="0.2">
      <c r="BN4751" s="192"/>
      <c r="BO4751" s="197"/>
      <c r="BP4751" s="197"/>
      <c r="BQ4751" s="197"/>
    </row>
    <row r="4752" spans="66:69" x14ac:dyDescent="0.2">
      <c r="BN4752" s="192"/>
      <c r="BO4752" s="197"/>
      <c r="BP4752" s="197"/>
      <c r="BQ4752" s="197"/>
    </row>
    <row r="4753" spans="66:69" x14ac:dyDescent="0.2">
      <c r="BN4753" s="192"/>
      <c r="BO4753" s="197"/>
      <c r="BP4753" s="197"/>
      <c r="BQ4753" s="197"/>
    </row>
    <row r="4754" spans="66:69" x14ac:dyDescent="0.2">
      <c r="BN4754" s="192"/>
      <c r="BO4754" s="197"/>
      <c r="BP4754" s="197"/>
      <c r="BQ4754" s="197"/>
    </row>
    <row r="4755" spans="66:69" x14ac:dyDescent="0.2">
      <c r="BN4755" s="192"/>
      <c r="BO4755" s="197"/>
      <c r="BP4755" s="197"/>
      <c r="BQ4755" s="197"/>
    </row>
    <row r="4756" spans="66:69" x14ac:dyDescent="0.2">
      <c r="BN4756" s="192"/>
      <c r="BO4756" s="197"/>
      <c r="BP4756" s="197"/>
      <c r="BQ4756" s="197"/>
    </row>
    <row r="4757" spans="66:69" x14ac:dyDescent="0.2">
      <c r="BN4757" s="192"/>
      <c r="BO4757" s="197"/>
      <c r="BP4757" s="197"/>
      <c r="BQ4757" s="197"/>
    </row>
    <row r="4758" spans="66:69" x14ac:dyDescent="0.2">
      <c r="BN4758" s="192"/>
      <c r="BO4758" s="197"/>
      <c r="BP4758" s="197"/>
      <c r="BQ4758" s="197"/>
    </row>
    <row r="4759" spans="66:69" x14ac:dyDescent="0.2">
      <c r="BN4759" s="192"/>
      <c r="BO4759" s="197"/>
      <c r="BP4759" s="197"/>
      <c r="BQ4759" s="197"/>
    </row>
    <row r="4760" spans="66:69" x14ac:dyDescent="0.2">
      <c r="BN4760" s="192"/>
      <c r="BO4760" s="197"/>
      <c r="BP4760" s="197"/>
      <c r="BQ4760" s="197"/>
    </row>
    <row r="4761" spans="66:69" x14ac:dyDescent="0.2">
      <c r="BN4761" s="192"/>
      <c r="BO4761" s="197"/>
      <c r="BP4761" s="197"/>
      <c r="BQ4761" s="197"/>
    </row>
    <row r="4762" spans="66:69" x14ac:dyDescent="0.2">
      <c r="BN4762" s="192"/>
      <c r="BO4762" s="197"/>
      <c r="BP4762" s="197"/>
      <c r="BQ4762" s="197"/>
    </row>
    <row r="4763" spans="66:69" x14ac:dyDescent="0.2">
      <c r="BN4763" s="192"/>
      <c r="BO4763" s="197"/>
      <c r="BP4763" s="197"/>
      <c r="BQ4763" s="197"/>
    </row>
    <row r="4764" spans="66:69" x14ac:dyDescent="0.2">
      <c r="BN4764" s="192"/>
      <c r="BO4764" s="197"/>
      <c r="BP4764" s="197"/>
      <c r="BQ4764" s="197"/>
    </row>
    <row r="4765" spans="66:69" x14ac:dyDescent="0.2">
      <c r="BN4765" s="192"/>
      <c r="BO4765" s="197"/>
      <c r="BP4765" s="197"/>
      <c r="BQ4765" s="197"/>
    </row>
    <row r="4766" spans="66:69" x14ac:dyDescent="0.2">
      <c r="BN4766" s="192"/>
      <c r="BO4766" s="197"/>
      <c r="BP4766" s="197"/>
      <c r="BQ4766" s="197"/>
    </row>
    <row r="4767" spans="66:69" x14ac:dyDescent="0.2">
      <c r="BN4767" s="192"/>
      <c r="BO4767" s="197"/>
      <c r="BP4767" s="197"/>
      <c r="BQ4767" s="197"/>
    </row>
    <row r="4768" spans="66:69" x14ac:dyDescent="0.2">
      <c r="BN4768" s="192"/>
      <c r="BO4768" s="197"/>
      <c r="BP4768" s="197"/>
      <c r="BQ4768" s="197"/>
    </row>
    <row r="4769" spans="66:69" x14ac:dyDescent="0.2">
      <c r="BN4769" s="192"/>
      <c r="BO4769" s="197"/>
      <c r="BP4769" s="197"/>
      <c r="BQ4769" s="197"/>
    </row>
    <row r="4770" spans="66:69" x14ac:dyDescent="0.2">
      <c r="BN4770" s="192"/>
      <c r="BO4770" s="197"/>
      <c r="BP4770" s="197"/>
      <c r="BQ4770" s="197"/>
    </row>
    <row r="4771" spans="66:69" x14ac:dyDescent="0.2">
      <c r="BN4771" s="192"/>
      <c r="BO4771" s="197"/>
      <c r="BP4771" s="197"/>
      <c r="BQ4771" s="197"/>
    </row>
    <row r="4772" spans="66:69" x14ac:dyDescent="0.2">
      <c r="BN4772" s="192"/>
      <c r="BO4772" s="197"/>
      <c r="BP4772" s="197"/>
      <c r="BQ4772" s="197"/>
    </row>
    <row r="4773" spans="66:69" x14ac:dyDescent="0.2">
      <c r="BN4773" s="192"/>
      <c r="BO4773" s="197"/>
      <c r="BP4773" s="197"/>
      <c r="BQ4773" s="197"/>
    </row>
    <row r="4774" spans="66:69" x14ac:dyDescent="0.2">
      <c r="BN4774" s="192"/>
      <c r="BO4774" s="197"/>
      <c r="BP4774" s="197"/>
      <c r="BQ4774" s="197"/>
    </row>
    <row r="4775" spans="66:69" x14ac:dyDescent="0.2">
      <c r="BN4775" s="192"/>
      <c r="BO4775" s="197"/>
      <c r="BP4775" s="197"/>
      <c r="BQ4775" s="197"/>
    </row>
    <row r="4776" spans="66:69" x14ac:dyDescent="0.2">
      <c r="BN4776" s="192"/>
      <c r="BO4776" s="197"/>
      <c r="BP4776" s="197"/>
      <c r="BQ4776" s="197"/>
    </row>
    <row r="4777" spans="66:69" x14ac:dyDescent="0.2">
      <c r="BN4777" s="192"/>
      <c r="BO4777" s="197"/>
      <c r="BP4777" s="197"/>
      <c r="BQ4777" s="197"/>
    </row>
    <row r="4778" spans="66:69" x14ac:dyDescent="0.2">
      <c r="BN4778" s="192"/>
      <c r="BO4778" s="197"/>
      <c r="BP4778" s="197"/>
      <c r="BQ4778" s="197"/>
    </row>
    <row r="4779" spans="66:69" x14ac:dyDescent="0.2">
      <c r="BN4779" s="192"/>
      <c r="BO4779" s="197"/>
      <c r="BP4779" s="197"/>
      <c r="BQ4779" s="197"/>
    </row>
    <row r="4780" spans="66:69" x14ac:dyDescent="0.2">
      <c r="BN4780" s="192"/>
      <c r="BO4780" s="197"/>
      <c r="BP4780" s="197"/>
      <c r="BQ4780" s="197"/>
    </row>
    <row r="4781" spans="66:69" x14ac:dyDescent="0.2">
      <c r="BN4781" s="192"/>
      <c r="BO4781" s="197"/>
      <c r="BP4781" s="197"/>
      <c r="BQ4781" s="197"/>
    </row>
    <row r="4782" spans="66:69" x14ac:dyDescent="0.2">
      <c r="BN4782" s="192"/>
      <c r="BO4782" s="197"/>
      <c r="BP4782" s="197"/>
      <c r="BQ4782" s="197"/>
    </row>
    <row r="4783" spans="66:69" x14ac:dyDescent="0.2">
      <c r="BN4783" s="192"/>
      <c r="BO4783" s="197"/>
      <c r="BP4783" s="197"/>
      <c r="BQ4783" s="197"/>
    </row>
    <row r="4784" spans="66:69" x14ac:dyDescent="0.2">
      <c r="BN4784" s="192"/>
      <c r="BO4784" s="197"/>
      <c r="BP4784" s="197"/>
      <c r="BQ4784" s="197"/>
    </row>
    <row r="4785" spans="66:69" x14ac:dyDescent="0.2">
      <c r="BN4785" s="192"/>
      <c r="BO4785" s="197"/>
      <c r="BP4785" s="197"/>
      <c r="BQ4785" s="197"/>
    </row>
    <row r="4786" spans="66:69" x14ac:dyDescent="0.2">
      <c r="BN4786" s="192"/>
      <c r="BO4786" s="197"/>
      <c r="BP4786" s="197"/>
      <c r="BQ4786" s="197"/>
    </row>
    <row r="4787" spans="66:69" x14ac:dyDescent="0.2">
      <c r="BN4787" s="192"/>
      <c r="BO4787" s="197"/>
      <c r="BP4787" s="197"/>
      <c r="BQ4787" s="197"/>
    </row>
    <row r="4788" spans="66:69" x14ac:dyDescent="0.2">
      <c r="BN4788" s="192"/>
      <c r="BO4788" s="197"/>
      <c r="BP4788" s="197"/>
      <c r="BQ4788" s="197"/>
    </row>
    <row r="4789" spans="66:69" x14ac:dyDescent="0.2">
      <c r="BN4789" s="192"/>
      <c r="BO4789" s="197"/>
      <c r="BP4789" s="197"/>
      <c r="BQ4789" s="197"/>
    </row>
    <row r="4790" spans="66:69" x14ac:dyDescent="0.2">
      <c r="BN4790" s="192"/>
      <c r="BO4790" s="197"/>
      <c r="BP4790" s="197"/>
      <c r="BQ4790" s="197"/>
    </row>
    <row r="4791" spans="66:69" x14ac:dyDescent="0.2">
      <c r="BN4791" s="192"/>
      <c r="BO4791" s="197"/>
      <c r="BP4791" s="197"/>
      <c r="BQ4791" s="197"/>
    </row>
    <row r="4792" spans="66:69" x14ac:dyDescent="0.2">
      <c r="BN4792" s="192"/>
      <c r="BO4792" s="197"/>
      <c r="BP4792" s="197"/>
      <c r="BQ4792" s="197"/>
    </row>
    <row r="4793" spans="66:69" x14ac:dyDescent="0.2">
      <c r="BN4793" s="192"/>
      <c r="BO4793" s="197"/>
      <c r="BP4793" s="197"/>
      <c r="BQ4793" s="197"/>
    </row>
    <row r="4794" spans="66:69" x14ac:dyDescent="0.2">
      <c r="BN4794" s="192"/>
      <c r="BO4794" s="197"/>
      <c r="BP4794" s="197"/>
      <c r="BQ4794" s="197"/>
    </row>
    <row r="4795" spans="66:69" x14ac:dyDescent="0.2">
      <c r="BN4795" s="192"/>
      <c r="BO4795" s="197"/>
      <c r="BP4795" s="197"/>
      <c r="BQ4795" s="197"/>
    </row>
    <row r="4796" spans="66:69" x14ac:dyDescent="0.2">
      <c r="BN4796" s="192"/>
      <c r="BO4796" s="197"/>
      <c r="BP4796" s="197"/>
      <c r="BQ4796" s="197"/>
    </row>
    <row r="4797" spans="66:69" x14ac:dyDescent="0.2">
      <c r="BN4797" s="192"/>
      <c r="BO4797" s="197"/>
      <c r="BP4797" s="197"/>
      <c r="BQ4797" s="197"/>
    </row>
    <row r="4798" spans="66:69" x14ac:dyDescent="0.2">
      <c r="BN4798" s="192"/>
      <c r="BO4798" s="197"/>
      <c r="BP4798" s="197"/>
      <c r="BQ4798" s="197"/>
    </row>
    <row r="4799" spans="66:69" x14ac:dyDescent="0.2">
      <c r="BN4799" s="192"/>
      <c r="BO4799" s="197"/>
      <c r="BP4799" s="197"/>
      <c r="BQ4799" s="197"/>
    </row>
    <row r="4800" spans="66:69" x14ac:dyDescent="0.2">
      <c r="BN4800" s="192"/>
      <c r="BO4800" s="197"/>
      <c r="BP4800" s="197"/>
      <c r="BQ4800" s="197"/>
    </row>
    <row r="4801" spans="66:69" x14ac:dyDescent="0.2">
      <c r="BN4801" s="192"/>
      <c r="BO4801" s="197"/>
      <c r="BP4801" s="197"/>
      <c r="BQ4801" s="197"/>
    </row>
    <row r="4802" spans="66:69" x14ac:dyDescent="0.2">
      <c r="BN4802" s="192"/>
      <c r="BO4802" s="197"/>
      <c r="BP4802" s="197"/>
      <c r="BQ4802" s="197"/>
    </row>
    <row r="4803" spans="66:69" x14ac:dyDescent="0.2">
      <c r="BN4803" s="192"/>
      <c r="BO4803" s="197"/>
      <c r="BP4803" s="197"/>
      <c r="BQ4803" s="197"/>
    </row>
    <row r="4804" spans="66:69" x14ac:dyDescent="0.2">
      <c r="BN4804" s="192"/>
      <c r="BO4804" s="197"/>
      <c r="BP4804" s="197"/>
      <c r="BQ4804" s="197"/>
    </row>
    <row r="4805" spans="66:69" x14ac:dyDescent="0.2">
      <c r="BN4805" s="192"/>
      <c r="BO4805" s="197"/>
      <c r="BP4805" s="197"/>
      <c r="BQ4805" s="197"/>
    </row>
    <row r="4806" spans="66:69" x14ac:dyDescent="0.2">
      <c r="BN4806" s="192"/>
      <c r="BO4806" s="197"/>
      <c r="BP4806" s="197"/>
      <c r="BQ4806" s="197"/>
    </row>
    <row r="4807" spans="66:69" x14ac:dyDescent="0.2">
      <c r="BN4807" s="192"/>
      <c r="BO4807" s="197"/>
      <c r="BP4807" s="197"/>
      <c r="BQ4807" s="197"/>
    </row>
    <row r="4808" spans="66:69" x14ac:dyDescent="0.2">
      <c r="BN4808" s="192"/>
      <c r="BO4808" s="197"/>
      <c r="BP4808" s="197"/>
      <c r="BQ4808" s="197"/>
    </row>
    <row r="4809" spans="66:69" x14ac:dyDescent="0.2">
      <c r="BN4809" s="192"/>
      <c r="BO4809" s="197"/>
      <c r="BP4809" s="197"/>
      <c r="BQ4809" s="197"/>
    </row>
    <row r="4810" spans="66:69" x14ac:dyDescent="0.2">
      <c r="BN4810" s="192"/>
      <c r="BO4810" s="197"/>
      <c r="BP4810" s="197"/>
      <c r="BQ4810" s="197"/>
    </row>
    <row r="4811" spans="66:69" x14ac:dyDescent="0.2">
      <c r="BN4811" s="192"/>
      <c r="BO4811" s="197"/>
      <c r="BP4811" s="197"/>
      <c r="BQ4811" s="197"/>
    </row>
    <row r="4812" spans="66:69" x14ac:dyDescent="0.2">
      <c r="BN4812" s="192"/>
      <c r="BO4812" s="197"/>
      <c r="BP4812" s="197"/>
      <c r="BQ4812" s="197"/>
    </row>
    <row r="4813" spans="66:69" x14ac:dyDescent="0.2">
      <c r="BN4813" s="192"/>
      <c r="BO4813" s="197"/>
      <c r="BP4813" s="197"/>
      <c r="BQ4813" s="197"/>
    </row>
    <row r="4814" spans="66:69" x14ac:dyDescent="0.2">
      <c r="BN4814" s="192"/>
      <c r="BO4814" s="197"/>
      <c r="BP4814" s="197"/>
      <c r="BQ4814" s="197"/>
    </row>
    <row r="4815" spans="66:69" x14ac:dyDescent="0.2">
      <c r="BN4815" s="192"/>
      <c r="BO4815" s="197"/>
      <c r="BP4815" s="197"/>
      <c r="BQ4815" s="197"/>
    </row>
    <row r="4816" spans="66:69" x14ac:dyDescent="0.2">
      <c r="BN4816" s="192"/>
      <c r="BO4816" s="197"/>
      <c r="BP4816" s="197"/>
      <c r="BQ4816" s="197"/>
    </row>
    <row r="4817" spans="66:69" x14ac:dyDescent="0.2">
      <c r="BN4817" s="192"/>
      <c r="BO4817" s="197"/>
      <c r="BP4817" s="197"/>
      <c r="BQ4817" s="197"/>
    </row>
    <row r="4818" spans="66:69" x14ac:dyDescent="0.2">
      <c r="BN4818" s="192"/>
      <c r="BO4818" s="197"/>
      <c r="BP4818" s="197"/>
      <c r="BQ4818" s="197"/>
    </row>
    <row r="4819" spans="66:69" x14ac:dyDescent="0.2">
      <c r="BN4819" s="192"/>
      <c r="BO4819" s="197"/>
      <c r="BP4819" s="197"/>
      <c r="BQ4819" s="197"/>
    </row>
    <row r="4820" spans="66:69" x14ac:dyDescent="0.2">
      <c r="BN4820" s="192"/>
      <c r="BO4820" s="197"/>
      <c r="BP4820" s="197"/>
      <c r="BQ4820" s="197"/>
    </row>
    <row r="4821" spans="66:69" x14ac:dyDescent="0.2">
      <c r="BN4821" s="192"/>
      <c r="BO4821" s="197"/>
      <c r="BP4821" s="197"/>
      <c r="BQ4821" s="197"/>
    </row>
    <row r="4822" spans="66:69" x14ac:dyDescent="0.2">
      <c r="BN4822" s="192"/>
      <c r="BO4822" s="197"/>
      <c r="BP4822" s="197"/>
      <c r="BQ4822" s="197"/>
    </row>
    <row r="4823" spans="66:69" x14ac:dyDescent="0.2">
      <c r="BN4823" s="192"/>
      <c r="BO4823" s="197"/>
      <c r="BP4823" s="197"/>
      <c r="BQ4823" s="197"/>
    </row>
    <row r="4824" spans="66:69" x14ac:dyDescent="0.2">
      <c r="BN4824" s="192"/>
      <c r="BO4824" s="197"/>
      <c r="BP4824" s="197"/>
      <c r="BQ4824" s="197"/>
    </row>
    <row r="4825" spans="66:69" x14ac:dyDescent="0.2">
      <c r="BN4825" s="192"/>
      <c r="BO4825" s="197"/>
      <c r="BP4825" s="197"/>
      <c r="BQ4825" s="197"/>
    </row>
    <row r="4826" spans="66:69" x14ac:dyDescent="0.2">
      <c r="BN4826" s="192"/>
      <c r="BO4826" s="197"/>
      <c r="BP4826" s="197"/>
      <c r="BQ4826" s="197"/>
    </row>
    <row r="4827" spans="66:69" x14ac:dyDescent="0.2">
      <c r="BN4827" s="192"/>
      <c r="BO4827" s="197"/>
      <c r="BP4827" s="197"/>
      <c r="BQ4827" s="197"/>
    </row>
    <row r="4828" spans="66:69" x14ac:dyDescent="0.2">
      <c r="BN4828" s="192"/>
      <c r="BO4828" s="197"/>
      <c r="BP4828" s="197"/>
      <c r="BQ4828" s="197"/>
    </row>
    <row r="4829" spans="66:69" x14ac:dyDescent="0.2">
      <c r="BN4829" s="192"/>
      <c r="BO4829" s="197"/>
      <c r="BP4829" s="197"/>
      <c r="BQ4829" s="197"/>
    </row>
    <row r="4830" spans="66:69" x14ac:dyDescent="0.2">
      <c r="BN4830" s="192"/>
      <c r="BO4830" s="197"/>
      <c r="BP4830" s="197"/>
      <c r="BQ4830" s="197"/>
    </row>
    <row r="4831" spans="66:69" x14ac:dyDescent="0.2">
      <c r="BN4831" s="192"/>
      <c r="BO4831" s="197"/>
      <c r="BP4831" s="197"/>
      <c r="BQ4831" s="197"/>
    </row>
    <row r="4832" spans="66:69" x14ac:dyDescent="0.2">
      <c r="BN4832" s="192"/>
      <c r="BO4832" s="197"/>
      <c r="BP4832" s="197"/>
      <c r="BQ4832" s="197"/>
    </row>
    <row r="4833" spans="66:69" x14ac:dyDescent="0.2">
      <c r="BN4833" s="192"/>
      <c r="BO4833" s="197"/>
      <c r="BP4833" s="197"/>
      <c r="BQ4833" s="197"/>
    </row>
    <row r="4834" spans="66:69" x14ac:dyDescent="0.2">
      <c r="BN4834" s="192"/>
      <c r="BO4834" s="197"/>
      <c r="BP4834" s="197"/>
      <c r="BQ4834" s="197"/>
    </row>
    <row r="4835" spans="66:69" x14ac:dyDescent="0.2">
      <c r="BN4835" s="192"/>
      <c r="BO4835" s="197"/>
      <c r="BP4835" s="197"/>
      <c r="BQ4835" s="197"/>
    </row>
    <row r="4836" spans="66:69" x14ac:dyDescent="0.2">
      <c r="BN4836" s="192"/>
      <c r="BO4836" s="197"/>
      <c r="BP4836" s="197"/>
      <c r="BQ4836" s="197"/>
    </row>
    <row r="4837" spans="66:69" x14ac:dyDescent="0.2">
      <c r="BN4837" s="192"/>
      <c r="BO4837" s="197"/>
      <c r="BP4837" s="197"/>
      <c r="BQ4837" s="197"/>
    </row>
    <row r="4838" spans="66:69" x14ac:dyDescent="0.2">
      <c r="BN4838" s="192"/>
      <c r="BO4838" s="197"/>
      <c r="BP4838" s="197"/>
      <c r="BQ4838" s="197"/>
    </row>
    <row r="4839" spans="66:69" x14ac:dyDescent="0.2">
      <c r="BN4839" s="192"/>
      <c r="BO4839" s="197"/>
      <c r="BP4839" s="197"/>
      <c r="BQ4839" s="197"/>
    </row>
    <row r="4840" spans="66:69" x14ac:dyDescent="0.2">
      <c r="BN4840" s="192"/>
      <c r="BO4840" s="197"/>
      <c r="BP4840" s="197"/>
      <c r="BQ4840" s="197"/>
    </row>
    <row r="4841" spans="66:69" x14ac:dyDescent="0.2">
      <c r="BN4841" s="192"/>
      <c r="BO4841" s="197"/>
      <c r="BP4841" s="197"/>
      <c r="BQ4841" s="197"/>
    </row>
    <row r="4842" spans="66:69" x14ac:dyDescent="0.2">
      <c r="BN4842" s="192"/>
      <c r="BO4842" s="197"/>
      <c r="BP4842" s="197"/>
      <c r="BQ4842" s="197"/>
    </row>
    <row r="4843" spans="66:69" x14ac:dyDescent="0.2">
      <c r="BN4843" s="192"/>
      <c r="BO4843" s="197"/>
      <c r="BP4843" s="197"/>
      <c r="BQ4843" s="197"/>
    </row>
    <row r="4844" spans="66:69" x14ac:dyDescent="0.2">
      <c r="BN4844" s="192"/>
      <c r="BO4844" s="197"/>
      <c r="BP4844" s="197"/>
      <c r="BQ4844" s="197"/>
    </row>
    <row r="4845" spans="66:69" x14ac:dyDescent="0.2">
      <c r="BN4845" s="192"/>
      <c r="BO4845" s="197"/>
      <c r="BP4845" s="197"/>
      <c r="BQ4845" s="197"/>
    </row>
    <row r="4846" spans="66:69" x14ac:dyDescent="0.2">
      <c r="BN4846" s="192"/>
      <c r="BO4846" s="197"/>
      <c r="BP4846" s="197"/>
      <c r="BQ4846" s="197"/>
    </row>
    <row r="4847" spans="66:69" x14ac:dyDescent="0.2">
      <c r="BN4847" s="192"/>
      <c r="BO4847" s="197"/>
      <c r="BP4847" s="197"/>
      <c r="BQ4847" s="197"/>
    </row>
    <row r="4848" spans="66:69" x14ac:dyDescent="0.2">
      <c r="BN4848" s="192"/>
      <c r="BO4848" s="197"/>
      <c r="BP4848" s="197"/>
      <c r="BQ4848" s="197"/>
    </row>
    <row r="4849" spans="66:69" x14ac:dyDescent="0.2">
      <c r="BN4849" s="192"/>
      <c r="BO4849" s="197"/>
      <c r="BP4849" s="197"/>
      <c r="BQ4849" s="197"/>
    </row>
    <row r="4850" spans="66:69" x14ac:dyDescent="0.2">
      <c r="BN4850" s="192"/>
      <c r="BO4850" s="197"/>
      <c r="BP4850" s="197"/>
      <c r="BQ4850" s="197"/>
    </row>
    <row r="4851" spans="66:69" x14ac:dyDescent="0.2">
      <c r="BN4851" s="192"/>
      <c r="BO4851" s="197"/>
      <c r="BP4851" s="197"/>
      <c r="BQ4851" s="197"/>
    </row>
    <row r="4852" spans="66:69" x14ac:dyDescent="0.2">
      <c r="BN4852" s="192"/>
      <c r="BO4852" s="197"/>
      <c r="BP4852" s="197"/>
      <c r="BQ4852" s="197"/>
    </row>
    <row r="4853" spans="66:69" x14ac:dyDescent="0.2">
      <c r="BN4853" s="192"/>
      <c r="BO4853" s="197"/>
      <c r="BP4853" s="197"/>
      <c r="BQ4853" s="197"/>
    </row>
    <row r="4854" spans="66:69" x14ac:dyDescent="0.2">
      <c r="BN4854" s="192"/>
      <c r="BO4854" s="197"/>
      <c r="BP4854" s="197"/>
      <c r="BQ4854" s="197"/>
    </row>
    <row r="4855" spans="66:69" x14ac:dyDescent="0.2">
      <c r="BN4855" s="192"/>
      <c r="BO4855" s="197"/>
      <c r="BP4855" s="197"/>
      <c r="BQ4855" s="197"/>
    </row>
    <row r="4856" spans="66:69" x14ac:dyDescent="0.2">
      <c r="BN4856" s="192"/>
      <c r="BO4856" s="197"/>
      <c r="BP4856" s="197"/>
      <c r="BQ4856" s="197"/>
    </row>
    <row r="4857" spans="66:69" x14ac:dyDescent="0.2">
      <c r="BN4857" s="192"/>
      <c r="BO4857" s="197"/>
      <c r="BP4857" s="197"/>
      <c r="BQ4857" s="197"/>
    </row>
    <row r="4858" spans="66:69" x14ac:dyDescent="0.2">
      <c r="BN4858" s="192"/>
      <c r="BO4858" s="197"/>
      <c r="BP4858" s="197"/>
      <c r="BQ4858" s="197"/>
    </row>
    <row r="4859" spans="66:69" x14ac:dyDescent="0.2">
      <c r="BN4859" s="192"/>
      <c r="BO4859" s="197"/>
      <c r="BP4859" s="197"/>
      <c r="BQ4859" s="197"/>
    </row>
    <row r="4860" spans="66:69" x14ac:dyDescent="0.2">
      <c r="BN4860" s="192"/>
      <c r="BO4860" s="197"/>
      <c r="BP4860" s="197"/>
      <c r="BQ4860" s="197"/>
    </row>
    <row r="4861" spans="66:69" x14ac:dyDescent="0.2">
      <c r="BN4861" s="192"/>
      <c r="BO4861" s="197"/>
      <c r="BP4861" s="197"/>
      <c r="BQ4861" s="197"/>
    </row>
    <row r="4862" spans="66:69" x14ac:dyDescent="0.2">
      <c r="BN4862" s="192"/>
      <c r="BO4862" s="197"/>
      <c r="BP4862" s="197"/>
      <c r="BQ4862" s="197"/>
    </row>
    <row r="4863" spans="66:69" x14ac:dyDescent="0.2">
      <c r="BN4863" s="192"/>
      <c r="BO4863" s="197"/>
      <c r="BP4863" s="197"/>
      <c r="BQ4863" s="197"/>
    </row>
    <row r="4864" spans="66:69" x14ac:dyDescent="0.2">
      <c r="BN4864" s="192"/>
      <c r="BO4864" s="197"/>
      <c r="BP4864" s="197"/>
      <c r="BQ4864" s="197"/>
    </row>
    <row r="4865" spans="66:69" x14ac:dyDescent="0.2">
      <c r="BN4865" s="192"/>
      <c r="BO4865" s="197"/>
      <c r="BP4865" s="197"/>
      <c r="BQ4865" s="197"/>
    </row>
    <row r="4866" spans="66:69" x14ac:dyDescent="0.2">
      <c r="BN4866" s="192"/>
      <c r="BO4866" s="197"/>
      <c r="BP4866" s="197"/>
      <c r="BQ4866" s="197"/>
    </row>
    <row r="4867" spans="66:69" x14ac:dyDescent="0.2">
      <c r="BN4867" s="192"/>
      <c r="BO4867" s="197"/>
      <c r="BP4867" s="197"/>
      <c r="BQ4867" s="197"/>
    </row>
    <row r="4868" spans="66:69" x14ac:dyDescent="0.2">
      <c r="BN4868" s="192"/>
      <c r="BO4868" s="197"/>
      <c r="BP4868" s="197"/>
      <c r="BQ4868" s="197"/>
    </row>
    <row r="4869" spans="66:69" x14ac:dyDescent="0.2">
      <c r="BN4869" s="192"/>
      <c r="BO4869" s="197"/>
      <c r="BP4869" s="197"/>
      <c r="BQ4869" s="197"/>
    </row>
    <row r="4870" spans="66:69" x14ac:dyDescent="0.2">
      <c r="BN4870" s="192"/>
      <c r="BO4870" s="197"/>
      <c r="BP4870" s="197"/>
      <c r="BQ4870" s="197"/>
    </row>
    <row r="4871" spans="66:69" x14ac:dyDescent="0.2">
      <c r="BN4871" s="192"/>
      <c r="BO4871" s="197"/>
      <c r="BP4871" s="197"/>
      <c r="BQ4871" s="197"/>
    </row>
    <row r="4872" spans="66:69" x14ac:dyDescent="0.2">
      <c r="BN4872" s="192"/>
      <c r="BO4872" s="197"/>
      <c r="BP4872" s="197"/>
      <c r="BQ4872" s="197"/>
    </row>
    <row r="4873" spans="66:69" x14ac:dyDescent="0.2">
      <c r="BN4873" s="192"/>
      <c r="BO4873" s="197"/>
      <c r="BP4873" s="197"/>
      <c r="BQ4873" s="197"/>
    </row>
    <row r="4874" spans="66:69" x14ac:dyDescent="0.2">
      <c r="BN4874" s="192"/>
      <c r="BO4874" s="197"/>
      <c r="BP4874" s="197"/>
      <c r="BQ4874" s="197"/>
    </row>
    <row r="4875" spans="66:69" x14ac:dyDescent="0.2">
      <c r="BN4875" s="192"/>
      <c r="BO4875" s="197"/>
      <c r="BP4875" s="197"/>
      <c r="BQ4875" s="197"/>
    </row>
    <row r="4876" spans="66:69" x14ac:dyDescent="0.2">
      <c r="BN4876" s="192"/>
      <c r="BO4876" s="197"/>
      <c r="BP4876" s="197"/>
      <c r="BQ4876" s="197"/>
    </row>
    <row r="4877" spans="66:69" x14ac:dyDescent="0.2">
      <c r="BN4877" s="192"/>
      <c r="BO4877" s="197"/>
      <c r="BP4877" s="197"/>
      <c r="BQ4877" s="197"/>
    </row>
    <row r="4878" spans="66:69" x14ac:dyDescent="0.2">
      <c r="BN4878" s="192"/>
      <c r="BO4878" s="197"/>
      <c r="BP4878" s="197"/>
      <c r="BQ4878" s="197"/>
    </row>
    <row r="4879" spans="66:69" x14ac:dyDescent="0.2">
      <c r="BN4879" s="192"/>
      <c r="BO4879" s="197"/>
      <c r="BP4879" s="197"/>
      <c r="BQ4879" s="197"/>
    </row>
    <row r="4880" spans="66:69" x14ac:dyDescent="0.2">
      <c r="BN4880" s="192"/>
      <c r="BO4880" s="197"/>
      <c r="BP4880" s="197"/>
      <c r="BQ4880" s="197"/>
    </row>
    <row r="4881" spans="66:69" x14ac:dyDescent="0.2">
      <c r="BN4881" s="192"/>
      <c r="BO4881" s="197"/>
      <c r="BP4881" s="197"/>
      <c r="BQ4881" s="197"/>
    </row>
    <row r="4882" spans="66:69" x14ac:dyDescent="0.2">
      <c r="BN4882" s="192"/>
      <c r="BO4882" s="197"/>
      <c r="BP4882" s="197"/>
      <c r="BQ4882" s="197"/>
    </row>
    <row r="4883" spans="66:69" x14ac:dyDescent="0.2">
      <c r="BN4883" s="192"/>
      <c r="BO4883" s="197"/>
      <c r="BP4883" s="197"/>
      <c r="BQ4883" s="197"/>
    </row>
    <row r="4884" spans="66:69" x14ac:dyDescent="0.2">
      <c r="BN4884" s="192"/>
      <c r="BO4884" s="197"/>
      <c r="BP4884" s="197"/>
      <c r="BQ4884" s="197"/>
    </row>
    <row r="4885" spans="66:69" x14ac:dyDescent="0.2">
      <c r="BN4885" s="192"/>
      <c r="BO4885" s="197"/>
      <c r="BP4885" s="197"/>
      <c r="BQ4885" s="197"/>
    </row>
    <row r="4886" spans="66:69" x14ac:dyDescent="0.2">
      <c r="BN4886" s="192"/>
      <c r="BO4886" s="197"/>
      <c r="BP4886" s="197"/>
      <c r="BQ4886" s="197"/>
    </row>
    <row r="4887" spans="66:69" x14ac:dyDescent="0.2">
      <c r="BN4887" s="192"/>
      <c r="BO4887" s="197"/>
      <c r="BP4887" s="197"/>
      <c r="BQ4887" s="197"/>
    </row>
    <row r="4888" spans="66:69" x14ac:dyDescent="0.2">
      <c r="BN4888" s="192"/>
      <c r="BO4888" s="197"/>
      <c r="BP4888" s="197"/>
      <c r="BQ4888" s="197"/>
    </row>
    <row r="4889" spans="66:69" x14ac:dyDescent="0.2">
      <c r="BN4889" s="192"/>
      <c r="BO4889" s="197"/>
      <c r="BP4889" s="197"/>
      <c r="BQ4889" s="197"/>
    </row>
    <row r="4890" spans="66:69" x14ac:dyDescent="0.2">
      <c r="BN4890" s="192"/>
      <c r="BO4890" s="197"/>
      <c r="BP4890" s="197"/>
      <c r="BQ4890" s="197"/>
    </row>
    <row r="4891" spans="66:69" x14ac:dyDescent="0.2">
      <c r="BN4891" s="192"/>
      <c r="BO4891" s="197"/>
      <c r="BP4891" s="197"/>
      <c r="BQ4891" s="197"/>
    </row>
    <row r="4892" spans="66:69" x14ac:dyDescent="0.2">
      <c r="BN4892" s="192"/>
      <c r="BO4892" s="197"/>
      <c r="BP4892" s="197"/>
      <c r="BQ4892" s="197"/>
    </row>
    <row r="4893" spans="66:69" x14ac:dyDescent="0.2">
      <c r="BN4893" s="192"/>
      <c r="BO4893" s="197"/>
      <c r="BP4893" s="197"/>
      <c r="BQ4893" s="197"/>
    </row>
    <row r="4894" spans="66:69" x14ac:dyDescent="0.2">
      <c r="BN4894" s="192"/>
      <c r="BO4894" s="197"/>
      <c r="BP4894" s="197"/>
      <c r="BQ4894" s="197"/>
    </row>
    <row r="4895" spans="66:69" x14ac:dyDescent="0.2">
      <c r="BN4895" s="192"/>
      <c r="BO4895" s="197"/>
      <c r="BP4895" s="197"/>
      <c r="BQ4895" s="197"/>
    </row>
    <row r="4896" spans="66:69" x14ac:dyDescent="0.2">
      <c r="BN4896" s="192"/>
      <c r="BO4896" s="197"/>
      <c r="BP4896" s="197"/>
      <c r="BQ4896" s="197"/>
    </row>
    <row r="4897" spans="66:69" x14ac:dyDescent="0.2">
      <c r="BN4897" s="192"/>
      <c r="BO4897" s="197"/>
      <c r="BP4897" s="197"/>
      <c r="BQ4897" s="197"/>
    </row>
    <row r="4898" spans="66:69" x14ac:dyDescent="0.2">
      <c r="BN4898" s="192"/>
      <c r="BO4898" s="197"/>
      <c r="BP4898" s="197"/>
      <c r="BQ4898" s="197"/>
    </row>
    <row r="4899" spans="66:69" x14ac:dyDescent="0.2">
      <c r="BN4899" s="192"/>
      <c r="BO4899" s="197"/>
      <c r="BP4899" s="197"/>
      <c r="BQ4899" s="197"/>
    </row>
    <row r="4900" spans="66:69" x14ac:dyDescent="0.2">
      <c r="BN4900" s="192"/>
      <c r="BO4900" s="197"/>
      <c r="BP4900" s="197"/>
      <c r="BQ4900" s="197"/>
    </row>
    <row r="4901" spans="66:69" x14ac:dyDescent="0.2">
      <c r="BN4901" s="192"/>
      <c r="BO4901" s="197"/>
      <c r="BP4901" s="197"/>
      <c r="BQ4901" s="197"/>
    </row>
    <row r="4902" spans="66:69" x14ac:dyDescent="0.2">
      <c r="BN4902" s="192"/>
      <c r="BO4902" s="197"/>
      <c r="BP4902" s="197"/>
      <c r="BQ4902" s="197"/>
    </row>
    <row r="4903" spans="66:69" x14ac:dyDescent="0.2">
      <c r="BN4903" s="192"/>
      <c r="BO4903" s="197"/>
      <c r="BP4903" s="197"/>
      <c r="BQ4903" s="197"/>
    </row>
    <row r="4904" spans="66:69" x14ac:dyDescent="0.2">
      <c r="BN4904" s="192"/>
      <c r="BO4904" s="197"/>
      <c r="BP4904" s="197"/>
      <c r="BQ4904" s="197"/>
    </row>
    <row r="4905" spans="66:69" x14ac:dyDescent="0.2">
      <c r="BN4905" s="192"/>
      <c r="BO4905" s="197"/>
      <c r="BP4905" s="197"/>
      <c r="BQ4905" s="197"/>
    </row>
    <row r="4906" spans="66:69" x14ac:dyDescent="0.2">
      <c r="BN4906" s="192"/>
      <c r="BO4906" s="197"/>
      <c r="BP4906" s="197"/>
      <c r="BQ4906" s="197"/>
    </row>
    <row r="4907" spans="66:69" x14ac:dyDescent="0.2">
      <c r="BN4907" s="192"/>
      <c r="BO4907" s="197"/>
      <c r="BP4907" s="197"/>
      <c r="BQ4907" s="197"/>
    </row>
    <row r="4908" spans="66:69" x14ac:dyDescent="0.2">
      <c r="BN4908" s="192"/>
      <c r="BO4908" s="197"/>
      <c r="BP4908" s="197"/>
      <c r="BQ4908" s="197"/>
    </row>
    <row r="4909" spans="66:69" x14ac:dyDescent="0.2">
      <c r="BN4909" s="192"/>
      <c r="BO4909" s="197"/>
      <c r="BP4909" s="197"/>
      <c r="BQ4909" s="197"/>
    </row>
    <row r="4910" spans="66:69" x14ac:dyDescent="0.2">
      <c r="BN4910" s="192"/>
      <c r="BO4910" s="197"/>
      <c r="BP4910" s="197"/>
      <c r="BQ4910" s="197"/>
    </row>
    <row r="4911" spans="66:69" x14ac:dyDescent="0.2">
      <c r="BN4911" s="192"/>
      <c r="BO4911" s="197"/>
      <c r="BP4911" s="197"/>
      <c r="BQ4911" s="197"/>
    </row>
    <row r="4912" spans="66:69" x14ac:dyDescent="0.2">
      <c r="BN4912" s="192"/>
      <c r="BO4912" s="197"/>
      <c r="BP4912" s="197"/>
      <c r="BQ4912" s="197"/>
    </row>
    <row r="4913" spans="66:69" x14ac:dyDescent="0.2">
      <c r="BN4913" s="192"/>
      <c r="BO4913" s="197"/>
      <c r="BP4913" s="197"/>
      <c r="BQ4913" s="197"/>
    </row>
    <row r="4914" spans="66:69" x14ac:dyDescent="0.2">
      <c r="BN4914" s="192"/>
      <c r="BO4914" s="197"/>
      <c r="BP4914" s="197"/>
      <c r="BQ4914" s="197"/>
    </row>
    <row r="4915" spans="66:69" x14ac:dyDescent="0.2">
      <c r="BN4915" s="192"/>
      <c r="BO4915" s="197"/>
      <c r="BP4915" s="197"/>
      <c r="BQ4915" s="197"/>
    </row>
    <row r="4916" spans="66:69" x14ac:dyDescent="0.2">
      <c r="BN4916" s="192"/>
      <c r="BO4916" s="197"/>
      <c r="BP4916" s="197"/>
      <c r="BQ4916" s="197"/>
    </row>
    <row r="4917" spans="66:69" x14ac:dyDescent="0.2">
      <c r="BN4917" s="192"/>
      <c r="BO4917" s="197"/>
      <c r="BP4917" s="197"/>
      <c r="BQ4917" s="197"/>
    </row>
    <row r="4918" spans="66:69" x14ac:dyDescent="0.2">
      <c r="BN4918" s="192"/>
      <c r="BO4918" s="197"/>
      <c r="BP4918" s="197"/>
      <c r="BQ4918" s="197"/>
    </row>
    <row r="4919" spans="66:69" x14ac:dyDescent="0.2">
      <c r="BN4919" s="192"/>
      <c r="BO4919" s="197"/>
      <c r="BP4919" s="197"/>
      <c r="BQ4919" s="197"/>
    </row>
    <row r="4920" spans="66:69" x14ac:dyDescent="0.2">
      <c r="BN4920" s="192"/>
      <c r="BO4920" s="197"/>
      <c r="BP4920" s="197"/>
      <c r="BQ4920" s="197"/>
    </row>
    <row r="4921" spans="66:69" x14ac:dyDescent="0.2">
      <c r="BN4921" s="192"/>
      <c r="BO4921" s="197"/>
      <c r="BP4921" s="197"/>
      <c r="BQ4921" s="197"/>
    </row>
    <row r="4922" spans="66:69" x14ac:dyDescent="0.2">
      <c r="BN4922" s="192"/>
      <c r="BO4922" s="197"/>
      <c r="BP4922" s="197"/>
      <c r="BQ4922" s="197"/>
    </row>
    <row r="4923" spans="66:69" x14ac:dyDescent="0.2">
      <c r="BN4923" s="192"/>
      <c r="BO4923" s="197"/>
      <c r="BP4923" s="197"/>
      <c r="BQ4923" s="197"/>
    </row>
    <row r="4924" spans="66:69" x14ac:dyDescent="0.2">
      <c r="BN4924" s="192"/>
      <c r="BO4924" s="197"/>
      <c r="BP4924" s="197"/>
      <c r="BQ4924" s="197"/>
    </row>
    <row r="4925" spans="66:69" x14ac:dyDescent="0.2">
      <c r="BN4925" s="192"/>
      <c r="BO4925" s="197"/>
      <c r="BP4925" s="197"/>
      <c r="BQ4925" s="197"/>
    </row>
    <row r="4926" spans="66:69" x14ac:dyDescent="0.2">
      <c r="BN4926" s="192"/>
      <c r="BO4926" s="197"/>
      <c r="BP4926" s="197"/>
      <c r="BQ4926" s="197"/>
    </row>
    <row r="4927" spans="66:69" x14ac:dyDescent="0.2">
      <c r="BN4927" s="192"/>
      <c r="BO4927" s="197"/>
      <c r="BP4927" s="197"/>
      <c r="BQ4927" s="197"/>
    </row>
    <row r="4928" spans="66:69" x14ac:dyDescent="0.2">
      <c r="BN4928" s="192"/>
      <c r="BO4928" s="197"/>
      <c r="BP4928" s="197"/>
      <c r="BQ4928" s="197"/>
    </row>
    <row r="4929" spans="66:69" x14ac:dyDescent="0.2">
      <c r="BN4929" s="192"/>
      <c r="BO4929" s="197"/>
      <c r="BP4929" s="197"/>
      <c r="BQ4929" s="197"/>
    </row>
    <row r="4930" spans="66:69" x14ac:dyDescent="0.2">
      <c r="BN4930" s="192"/>
      <c r="BO4930" s="197"/>
      <c r="BP4930" s="197"/>
      <c r="BQ4930" s="197"/>
    </row>
    <row r="4931" spans="66:69" x14ac:dyDescent="0.2">
      <c r="BN4931" s="192"/>
      <c r="BO4931" s="197"/>
      <c r="BP4931" s="197"/>
      <c r="BQ4931" s="197"/>
    </row>
    <row r="4932" spans="66:69" x14ac:dyDescent="0.2">
      <c r="BN4932" s="192"/>
      <c r="BO4932" s="197"/>
      <c r="BP4932" s="197"/>
      <c r="BQ4932" s="197"/>
    </row>
    <row r="4933" spans="66:69" x14ac:dyDescent="0.2">
      <c r="BN4933" s="192"/>
      <c r="BO4933" s="197"/>
      <c r="BP4933" s="197"/>
      <c r="BQ4933" s="197"/>
    </row>
    <row r="4934" spans="66:69" x14ac:dyDescent="0.2">
      <c r="BN4934" s="192"/>
      <c r="BO4934" s="197"/>
      <c r="BP4934" s="197"/>
      <c r="BQ4934" s="197"/>
    </row>
    <row r="4935" spans="66:69" x14ac:dyDescent="0.2">
      <c r="BN4935" s="192"/>
      <c r="BO4935" s="197"/>
      <c r="BP4935" s="197"/>
      <c r="BQ4935" s="197"/>
    </row>
    <row r="4936" spans="66:69" x14ac:dyDescent="0.2">
      <c r="BN4936" s="192"/>
      <c r="BO4936" s="197"/>
      <c r="BP4936" s="197"/>
      <c r="BQ4936" s="197"/>
    </row>
    <row r="4937" spans="66:69" x14ac:dyDescent="0.2">
      <c r="BN4937" s="192"/>
      <c r="BO4937" s="197"/>
      <c r="BP4937" s="197"/>
      <c r="BQ4937" s="197"/>
    </row>
    <row r="4938" spans="66:69" x14ac:dyDescent="0.2">
      <c r="BN4938" s="192"/>
      <c r="BO4938" s="197"/>
      <c r="BP4938" s="197"/>
      <c r="BQ4938" s="197"/>
    </row>
    <row r="4939" spans="66:69" x14ac:dyDescent="0.2">
      <c r="BN4939" s="192"/>
      <c r="BO4939" s="197"/>
      <c r="BP4939" s="197"/>
      <c r="BQ4939" s="197"/>
    </row>
    <row r="4940" spans="66:69" x14ac:dyDescent="0.2">
      <c r="BN4940" s="192"/>
      <c r="BO4940" s="197"/>
      <c r="BP4940" s="197"/>
      <c r="BQ4940" s="197"/>
    </row>
    <row r="4941" spans="66:69" x14ac:dyDescent="0.2">
      <c r="BN4941" s="192"/>
      <c r="BO4941" s="197"/>
      <c r="BP4941" s="197"/>
      <c r="BQ4941" s="197"/>
    </row>
    <row r="4942" spans="66:69" x14ac:dyDescent="0.2">
      <c r="BN4942" s="192"/>
      <c r="BO4942" s="197"/>
      <c r="BP4942" s="197"/>
      <c r="BQ4942" s="197"/>
    </row>
    <row r="4943" spans="66:69" x14ac:dyDescent="0.2">
      <c r="BN4943" s="192"/>
      <c r="BO4943" s="197"/>
      <c r="BP4943" s="197"/>
      <c r="BQ4943" s="197"/>
    </row>
    <row r="4944" spans="66:69" x14ac:dyDescent="0.2">
      <c r="BN4944" s="192"/>
      <c r="BO4944" s="197"/>
      <c r="BP4944" s="197"/>
      <c r="BQ4944" s="197"/>
    </row>
    <row r="4945" spans="66:69" x14ac:dyDescent="0.2">
      <c r="BN4945" s="192"/>
      <c r="BO4945" s="197"/>
      <c r="BP4945" s="197"/>
      <c r="BQ4945" s="197"/>
    </row>
    <row r="4946" spans="66:69" x14ac:dyDescent="0.2">
      <c r="BN4946" s="192"/>
      <c r="BO4946" s="197"/>
      <c r="BP4946" s="197"/>
      <c r="BQ4946" s="197"/>
    </row>
    <row r="4947" spans="66:69" x14ac:dyDescent="0.2">
      <c r="BN4947" s="192"/>
      <c r="BO4947" s="197"/>
      <c r="BP4947" s="197"/>
      <c r="BQ4947" s="197"/>
    </row>
    <row r="4948" spans="66:69" x14ac:dyDescent="0.2">
      <c r="BN4948" s="192"/>
      <c r="BO4948" s="197"/>
      <c r="BP4948" s="197"/>
      <c r="BQ4948" s="197"/>
    </row>
    <row r="4949" spans="66:69" x14ac:dyDescent="0.2">
      <c r="BN4949" s="192"/>
      <c r="BO4949" s="197"/>
      <c r="BP4949" s="197"/>
      <c r="BQ4949" s="197"/>
    </row>
    <row r="4950" spans="66:69" x14ac:dyDescent="0.2">
      <c r="BN4950" s="192"/>
      <c r="BO4950" s="197"/>
      <c r="BP4950" s="197"/>
      <c r="BQ4950" s="197"/>
    </row>
    <row r="4951" spans="66:69" x14ac:dyDescent="0.2">
      <c r="BN4951" s="192"/>
      <c r="BO4951" s="197"/>
      <c r="BP4951" s="197"/>
      <c r="BQ4951" s="197"/>
    </row>
    <row r="4952" spans="66:69" x14ac:dyDescent="0.2">
      <c r="BN4952" s="192"/>
      <c r="BO4952" s="197"/>
      <c r="BP4952" s="197"/>
      <c r="BQ4952" s="197"/>
    </row>
    <row r="4953" spans="66:69" x14ac:dyDescent="0.2">
      <c r="BN4953" s="192"/>
      <c r="BO4953" s="197"/>
      <c r="BP4953" s="197"/>
      <c r="BQ4953" s="197"/>
    </row>
    <row r="4954" spans="66:69" x14ac:dyDescent="0.2">
      <c r="BN4954" s="192"/>
      <c r="BO4954" s="197"/>
      <c r="BP4954" s="197"/>
      <c r="BQ4954" s="197"/>
    </row>
    <row r="4955" spans="66:69" x14ac:dyDescent="0.2">
      <c r="BN4955" s="192"/>
      <c r="BO4955" s="197"/>
      <c r="BP4955" s="197"/>
      <c r="BQ4955" s="197"/>
    </row>
    <row r="4956" spans="66:69" x14ac:dyDescent="0.2">
      <c r="BN4956" s="192"/>
      <c r="BO4956" s="197"/>
      <c r="BP4956" s="197"/>
      <c r="BQ4956" s="197"/>
    </row>
    <row r="4957" spans="66:69" x14ac:dyDescent="0.2">
      <c r="BN4957" s="192"/>
      <c r="BO4957" s="197"/>
      <c r="BP4957" s="197"/>
      <c r="BQ4957" s="197"/>
    </row>
    <row r="4958" spans="66:69" x14ac:dyDescent="0.2">
      <c r="BN4958" s="192"/>
      <c r="BO4958" s="197"/>
      <c r="BP4958" s="197"/>
      <c r="BQ4958" s="197"/>
    </row>
    <row r="4959" spans="66:69" x14ac:dyDescent="0.2">
      <c r="BN4959" s="192"/>
      <c r="BO4959" s="197"/>
      <c r="BP4959" s="197"/>
      <c r="BQ4959" s="197"/>
    </row>
    <row r="4960" spans="66:69" x14ac:dyDescent="0.2">
      <c r="BN4960" s="192"/>
      <c r="BO4960" s="197"/>
      <c r="BP4960" s="197"/>
      <c r="BQ4960" s="197"/>
    </row>
    <row r="4961" spans="66:69" x14ac:dyDescent="0.2">
      <c r="BN4961" s="192"/>
      <c r="BO4961" s="197"/>
      <c r="BP4961" s="197"/>
      <c r="BQ4961" s="197"/>
    </row>
    <row r="4962" spans="66:69" x14ac:dyDescent="0.2">
      <c r="BN4962" s="192"/>
      <c r="BO4962" s="197"/>
      <c r="BP4962" s="197"/>
      <c r="BQ4962" s="197"/>
    </row>
    <row r="4963" spans="66:69" x14ac:dyDescent="0.2">
      <c r="BN4963" s="192"/>
      <c r="BO4963" s="197"/>
      <c r="BP4963" s="197"/>
      <c r="BQ4963" s="197"/>
    </row>
    <row r="4964" spans="66:69" x14ac:dyDescent="0.2">
      <c r="BN4964" s="192"/>
      <c r="BO4964" s="197"/>
      <c r="BP4964" s="197"/>
      <c r="BQ4964" s="197"/>
    </row>
    <row r="4965" spans="66:69" x14ac:dyDescent="0.2">
      <c r="BN4965" s="192"/>
      <c r="BO4965" s="197"/>
      <c r="BP4965" s="197"/>
      <c r="BQ4965" s="197"/>
    </row>
    <row r="4966" spans="66:69" x14ac:dyDescent="0.2">
      <c r="BN4966" s="192"/>
      <c r="BO4966" s="197"/>
      <c r="BP4966" s="197"/>
      <c r="BQ4966" s="197"/>
    </row>
    <row r="4967" spans="66:69" x14ac:dyDescent="0.2">
      <c r="BN4967" s="192"/>
      <c r="BO4967" s="197"/>
      <c r="BP4967" s="197"/>
      <c r="BQ4967" s="197"/>
    </row>
    <row r="4968" spans="66:69" x14ac:dyDescent="0.2">
      <c r="BN4968" s="192"/>
      <c r="BO4968" s="197"/>
      <c r="BP4968" s="197"/>
      <c r="BQ4968" s="197"/>
    </row>
    <row r="4969" spans="66:69" x14ac:dyDescent="0.2">
      <c r="BN4969" s="192"/>
      <c r="BO4969" s="197"/>
      <c r="BP4969" s="197"/>
      <c r="BQ4969" s="197"/>
    </row>
    <row r="4970" spans="66:69" x14ac:dyDescent="0.2">
      <c r="BN4970" s="192"/>
      <c r="BO4970" s="197"/>
      <c r="BP4970" s="197"/>
      <c r="BQ4970" s="197"/>
    </row>
    <row r="4971" spans="66:69" x14ac:dyDescent="0.2">
      <c r="BN4971" s="192"/>
      <c r="BO4971" s="197"/>
      <c r="BP4971" s="197"/>
      <c r="BQ4971" s="197"/>
    </row>
    <row r="4972" spans="66:69" x14ac:dyDescent="0.2">
      <c r="BN4972" s="192"/>
      <c r="BO4972" s="197"/>
      <c r="BP4972" s="197"/>
      <c r="BQ4972" s="197"/>
    </row>
    <row r="4973" spans="66:69" x14ac:dyDescent="0.2">
      <c r="BN4973" s="192"/>
      <c r="BO4973" s="197"/>
      <c r="BP4973" s="197"/>
      <c r="BQ4973" s="197"/>
    </row>
    <row r="4974" spans="66:69" x14ac:dyDescent="0.2">
      <c r="BN4974" s="192"/>
      <c r="BO4974" s="197"/>
      <c r="BP4974" s="197"/>
      <c r="BQ4974" s="197"/>
    </row>
    <row r="4975" spans="66:69" x14ac:dyDescent="0.2">
      <c r="BN4975" s="192"/>
      <c r="BO4975" s="197"/>
      <c r="BP4975" s="197"/>
      <c r="BQ4975" s="197"/>
    </row>
    <row r="4976" spans="66:69" x14ac:dyDescent="0.2">
      <c r="BN4976" s="192"/>
      <c r="BO4976" s="197"/>
      <c r="BP4976" s="197"/>
      <c r="BQ4976" s="197"/>
    </row>
    <row r="4977" spans="66:69" x14ac:dyDescent="0.2">
      <c r="BN4977" s="192"/>
      <c r="BO4977" s="197"/>
      <c r="BP4977" s="197"/>
      <c r="BQ4977" s="197"/>
    </row>
    <row r="4978" spans="66:69" x14ac:dyDescent="0.2">
      <c r="BN4978" s="192"/>
      <c r="BO4978" s="197"/>
      <c r="BP4978" s="197"/>
      <c r="BQ4978" s="197"/>
    </row>
    <row r="4979" spans="66:69" x14ac:dyDescent="0.2">
      <c r="BN4979" s="192"/>
      <c r="BO4979" s="197"/>
      <c r="BP4979" s="197"/>
      <c r="BQ4979" s="197"/>
    </row>
    <row r="4980" spans="66:69" x14ac:dyDescent="0.2">
      <c r="BN4980" s="192"/>
      <c r="BO4980" s="197"/>
      <c r="BP4980" s="197"/>
      <c r="BQ4980" s="197"/>
    </row>
    <row r="4981" spans="66:69" x14ac:dyDescent="0.2">
      <c r="BN4981" s="192"/>
      <c r="BO4981" s="197"/>
      <c r="BP4981" s="197"/>
      <c r="BQ4981" s="197"/>
    </row>
    <row r="4982" spans="66:69" x14ac:dyDescent="0.2">
      <c r="BN4982" s="192"/>
      <c r="BO4982" s="197"/>
      <c r="BP4982" s="197"/>
      <c r="BQ4982" s="197"/>
    </row>
    <row r="4983" spans="66:69" x14ac:dyDescent="0.2">
      <c r="BN4983" s="192"/>
      <c r="BO4983" s="197"/>
      <c r="BP4983" s="197"/>
      <c r="BQ4983" s="197"/>
    </row>
    <row r="4984" spans="66:69" x14ac:dyDescent="0.2">
      <c r="BN4984" s="192"/>
      <c r="BO4984" s="197"/>
      <c r="BP4984" s="197"/>
      <c r="BQ4984" s="197"/>
    </row>
    <row r="4985" spans="66:69" x14ac:dyDescent="0.2">
      <c r="BN4985" s="192"/>
      <c r="BO4985" s="197"/>
      <c r="BP4985" s="197"/>
      <c r="BQ4985" s="197"/>
    </row>
    <row r="4986" spans="66:69" x14ac:dyDescent="0.2">
      <c r="BN4986" s="192"/>
      <c r="BO4986" s="197"/>
      <c r="BP4986" s="197"/>
      <c r="BQ4986" s="197"/>
    </row>
    <row r="4987" spans="66:69" x14ac:dyDescent="0.2">
      <c r="BN4987" s="192"/>
      <c r="BO4987" s="197"/>
      <c r="BP4987" s="197"/>
      <c r="BQ4987" s="197"/>
    </row>
    <row r="4988" spans="66:69" x14ac:dyDescent="0.2">
      <c r="BN4988" s="192"/>
      <c r="BO4988" s="197"/>
      <c r="BP4988" s="197"/>
      <c r="BQ4988" s="197"/>
    </row>
    <row r="4989" spans="66:69" x14ac:dyDescent="0.2">
      <c r="BN4989" s="192"/>
      <c r="BO4989" s="197"/>
      <c r="BP4989" s="197"/>
      <c r="BQ4989" s="197"/>
    </row>
    <row r="4990" spans="66:69" x14ac:dyDescent="0.2">
      <c r="BN4990" s="192"/>
      <c r="BO4990" s="197"/>
      <c r="BP4990" s="197"/>
      <c r="BQ4990" s="197"/>
    </row>
    <row r="4991" spans="66:69" x14ac:dyDescent="0.2">
      <c r="BN4991" s="192"/>
      <c r="BO4991" s="197"/>
      <c r="BP4991" s="197"/>
      <c r="BQ4991" s="197"/>
    </row>
    <row r="4992" spans="66:69" x14ac:dyDescent="0.2">
      <c r="BN4992" s="192"/>
      <c r="BO4992" s="197"/>
      <c r="BP4992" s="197"/>
      <c r="BQ4992" s="197"/>
    </row>
    <row r="4993" spans="66:69" x14ac:dyDescent="0.2">
      <c r="BN4993" s="192"/>
      <c r="BO4993" s="197"/>
      <c r="BP4993" s="197"/>
      <c r="BQ4993" s="197"/>
    </row>
    <row r="4994" spans="66:69" x14ac:dyDescent="0.2">
      <c r="BN4994" s="192"/>
      <c r="BO4994" s="197"/>
      <c r="BP4994" s="197"/>
      <c r="BQ4994" s="197"/>
    </row>
    <row r="4995" spans="66:69" x14ac:dyDescent="0.2">
      <c r="BN4995" s="192"/>
      <c r="BO4995" s="197"/>
      <c r="BP4995" s="197"/>
      <c r="BQ4995" s="197"/>
    </row>
    <row r="4996" spans="66:69" x14ac:dyDescent="0.2">
      <c r="BN4996" s="192"/>
      <c r="BO4996" s="197"/>
      <c r="BP4996" s="197"/>
      <c r="BQ4996" s="197"/>
    </row>
    <row r="4997" spans="66:69" x14ac:dyDescent="0.2">
      <c r="BN4997" s="192"/>
      <c r="BO4997" s="197"/>
      <c r="BP4997" s="197"/>
      <c r="BQ4997" s="197"/>
    </row>
    <row r="4998" spans="66:69" x14ac:dyDescent="0.2">
      <c r="BN4998" s="192"/>
      <c r="BO4998" s="197"/>
      <c r="BP4998" s="197"/>
      <c r="BQ4998" s="197"/>
    </row>
    <row r="4999" spans="66:69" x14ac:dyDescent="0.2">
      <c r="BN4999" s="192"/>
      <c r="BO4999" s="197"/>
      <c r="BP4999" s="197"/>
      <c r="BQ4999" s="197"/>
    </row>
    <row r="5000" spans="66:69" x14ac:dyDescent="0.2">
      <c r="BN5000" s="192"/>
      <c r="BO5000" s="197"/>
      <c r="BP5000" s="197"/>
      <c r="BQ5000" s="197"/>
    </row>
    <row r="5001" spans="66:69" x14ac:dyDescent="0.2">
      <c r="BN5001" s="192"/>
      <c r="BO5001" s="197"/>
      <c r="BP5001" s="197"/>
      <c r="BQ5001" s="197"/>
    </row>
    <row r="5002" spans="66:69" x14ac:dyDescent="0.2">
      <c r="BN5002" s="192"/>
      <c r="BO5002" s="197"/>
      <c r="BP5002" s="197"/>
      <c r="BQ5002" s="197"/>
    </row>
    <row r="5003" spans="66:69" x14ac:dyDescent="0.2">
      <c r="BN5003" s="192"/>
      <c r="BO5003" s="197"/>
      <c r="BP5003" s="197"/>
      <c r="BQ5003" s="197"/>
    </row>
    <row r="5004" spans="66:69" x14ac:dyDescent="0.2">
      <c r="BN5004" s="192"/>
      <c r="BO5004" s="197"/>
      <c r="BP5004" s="197"/>
      <c r="BQ5004" s="197"/>
    </row>
    <row r="5005" spans="66:69" x14ac:dyDescent="0.2">
      <c r="BN5005" s="192"/>
      <c r="BO5005" s="197"/>
      <c r="BP5005" s="197"/>
      <c r="BQ5005" s="197"/>
    </row>
    <row r="5006" spans="66:69" x14ac:dyDescent="0.2">
      <c r="BN5006" s="192"/>
      <c r="BO5006" s="197"/>
      <c r="BP5006" s="197"/>
      <c r="BQ5006" s="197"/>
    </row>
    <row r="5007" spans="66:69" x14ac:dyDescent="0.2">
      <c r="BN5007" s="192"/>
      <c r="BO5007" s="197"/>
      <c r="BP5007" s="197"/>
      <c r="BQ5007" s="197"/>
    </row>
    <row r="5008" spans="66:69" x14ac:dyDescent="0.2">
      <c r="BN5008" s="192"/>
      <c r="BO5008" s="197"/>
      <c r="BP5008" s="197"/>
      <c r="BQ5008" s="197"/>
    </row>
    <row r="5009" spans="66:69" x14ac:dyDescent="0.2">
      <c r="BN5009" s="192"/>
      <c r="BO5009" s="197"/>
      <c r="BP5009" s="197"/>
      <c r="BQ5009" s="197"/>
    </row>
    <row r="5010" spans="66:69" x14ac:dyDescent="0.2">
      <c r="BN5010" s="192"/>
      <c r="BO5010" s="197"/>
      <c r="BP5010" s="197"/>
      <c r="BQ5010" s="197"/>
    </row>
    <row r="5011" spans="66:69" x14ac:dyDescent="0.2">
      <c r="BN5011" s="192"/>
      <c r="BO5011" s="197"/>
      <c r="BP5011" s="197"/>
      <c r="BQ5011" s="197"/>
    </row>
    <row r="5012" spans="66:69" x14ac:dyDescent="0.2">
      <c r="BN5012" s="192"/>
      <c r="BO5012" s="197"/>
      <c r="BP5012" s="197"/>
      <c r="BQ5012" s="197"/>
    </row>
    <row r="5013" spans="66:69" x14ac:dyDescent="0.2">
      <c r="BN5013" s="192"/>
      <c r="BO5013" s="197"/>
      <c r="BP5013" s="197"/>
      <c r="BQ5013" s="197"/>
    </row>
    <row r="5014" spans="66:69" x14ac:dyDescent="0.2">
      <c r="BN5014" s="192"/>
      <c r="BO5014" s="197"/>
      <c r="BP5014" s="197"/>
      <c r="BQ5014" s="197"/>
    </row>
    <row r="5015" spans="66:69" x14ac:dyDescent="0.2">
      <c r="BN5015" s="192"/>
      <c r="BO5015" s="197"/>
      <c r="BP5015" s="197"/>
      <c r="BQ5015" s="197"/>
    </row>
    <row r="5016" spans="66:69" x14ac:dyDescent="0.2">
      <c r="BN5016" s="192"/>
      <c r="BO5016" s="197"/>
      <c r="BP5016" s="197"/>
      <c r="BQ5016" s="197"/>
    </row>
    <row r="5017" spans="66:69" x14ac:dyDescent="0.2">
      <c r="BN5017" s="192"/>
      <c r="BO5017" s="197"/>
      <c r="BP5017" s="197"/>
      <c r="BQ5017" s="197"/>
    </row>
    <row r="5018" spans="66:69" x14ac:dyDescent="0.2">
      <c r="BN5018" s="192"/>
      <c r="BO5018" s="197"/>
      <c r="BP5018" s="197"/>
      <c r="BQ5018" s="197"/>
    </row>
    <row r="5019" spans="66:69" x14ac:dyDescent="0.2">
      <c r="BN5019" s="192"/>
      <c r="BO5019" s="197"/>
      <c r="BP5019" s="197"/>
      <c r="BQ5019" s="197"/>
    </row>
    <row r="5020" spans="66:69" x14ac:dyDescent="0.2">
      <c r="BN5020" s="192"/>
      <c r="BO5020" s="197"/>
      <c r="BP5020" s="197"/>
      <c r="BQ5020" s="197"/>
    </row>
    <row r="5021" spans="66:69" x14ac:dyDescent="0.2">
      <c r="BN5021" s="192"/>
      <c r="BO5021" s="197"/>
      <c r="BP5021" s="197"/>
      <c r="BQ5021" s="197"/>
    </row>
    <row r="5022" spans="66:69" x14ac:dyDescent="0.2">
      <c r="BN5022" s="192"/>
      <c r="BO5022" s="197"/>
      <c r="BP5022" s="197"/>
      <c r="BQ5022" s="197"/>
    </row>
    <row r="5023" spans="66:69" x14ac:dyDescent="0.2">
      <c r="BN5023" s="192"/>
      <c r="BO5023" s="197"/>
      <c r="BP5023" s="197"/>
      <c r="BQ5023" s="197"/>
    </row>
    <row r="5024" spans="66:69" x14ac:dyDescent="0.2">
      <c r="BN5024" s="192"/>
      <c r="BO5024" s="197"/>
      <c r="BP5024" s="197"/>
      <c r="BQ5024" s="197"/>
    </row>
    <row r="5025" spans="66:69" x14ac:dyDescent="0.2">
      <c r="BN5025" s="192"/>
      <c r="BO5025" s="197"/>
      <c r="BP5025" s="197"/>
      <c r="BQ5025" s="197"/>
    </row>
    <row r="5026" spans="66:69" x14ac:dyDescent="0.2">
      <c r="BN5026" s="192"/>
      <c r="BO5026" s="197"/>
      <c r="BP5026" s="197"/>
      <c r="BQ5026" s="197"/>
    </row>
    <row r="5027" spans="66:69" x14ac:dyDescent="0.2">
      <c r="BN5027" s="192"/>
      <c r="BO5027" s="197"/>
      <c r="BP5027" s="197"/>
      <c r="BQ5027" s="197"/>
    </row>
    <row r="5028" spans="66:69" x14ac:dyDescent="0.2">
      <c r="BN5028" s="192"/>
      <c r="BO5028" s="197"/>
      <c r="BP5028" s="197"/>
      <c r="BQ5028" s="197"/>
    </row>
    <row r="5029" spans="66:69" x14ac:dyDescent="0.2">
      <c r="BN5029" s="192"/>
      <c r="BO5029" s="197"/>
      <c r="BP5029" s="197"/>
      <c r="BQ5029" s="197"/>
    </row>
    <row r="5030" spans="66:69" x14ac:dyDescent="0.2">
      <c r="BN5030" s="192"/>
      <c r="BO5030" s="197"/>
      <c r="BP5030" s="197"/>
      <c r="BQ5030" s="197"/>
    </row>
    <row r="5031" spans="66:69" x14ac:dyDescent="0.2">
      <c r="BN5031" s="192"/>
      <c r="BO5031" s="197"/>
      <c r="BP5031" s="197"/>
      <c r="BQ5031" s="197"/>
    </row>
    <row r="5032" spans="66:69" x14ac:dyDescent="0.2">
      <c r="BN5032" s="192"/>
      <c r="BO5032" s="197"/>
      <c r="BP5032" s="197"/>
      <c r="BQ5032" s="197"/>
    </row>
    <row r="5033" spans="66:69" x14ac:dyDescent="0.2">
      <c r="BN5033" s="192"/>
      <c r="BO5033" s="197"/>
      <c r="BP5033" s="197"/>
      <c r="BQ5033" s="197"/>
    </row>
    <row r="5034" spans="66:69" x14ac:dyDescent="0.2">
      <c r="BN5034" s="192"/>
      <c r="BO5034" s="197"/>
      <c r="BP5034" s="197"/>
      <c r="BQ5034" s="197"/>
    </row>
    <row r="5035" spans="66:69" x14ac:dyDescent="0.2">
      <c r="BN5035" s="192"/>
      <c r="BO5035" s="197"/>
      <c r="BP5035" s="197"/>
      <c r="BQ5035" s="197"/>
    </row>
    <row r="5036" spans="66:69" x14ac:dyDescent="0.2">
      <c r="BN5036" s="192"/>
      <c r="BO5036" s="197"/>
      <c r="BP5036" s="197"/>
      <c r="BQ5036" s="197"/>
    </row>
    <row r="5037" spans="66:69" x14ac:dyDescent="0.2">
      <c r="BN5037" s="192"/>
      <c r="BO5037" s="197"/>
      <c r="BP5037" s="197"/>
      <c r="BQ5037" s="197"/>
    </row>
    <row r="5038" spans="66:69" x14ac:dyDescent="0.2">
      <c r="BN5038" s="192"/>
      <c r="BO5038" s="197"/>
      <c r="BP5038" s="197"/>
      <c r="BQ5038" s="197"/>
    </row>
    <row r="5039" spans="66:69" x14ac:dyDescent="0.2">
      <c r="BN5039" s="192"/>
      <c r="BO5039" s="197"/>
      <c r="BP5039" s="197"/>
      <c r="BQ5039" s="197"/>
    </row>
    <row r="5040" spans="66:69" x14ac:dyDescent="0.2">
      <c r="BN5040" s="192"/>
      <c r="BO5040" s="197"/>
      <c r="BP5040" s="197"/>
      <c r="BQ5040" s="197"/>
    </row>
    <row r="5041" spans="66:69" x14ac:dyDescent="0.2">
      <c r="BN5041" s="192"/>
      <c r="BO5041" s="197"/>
      <c r="BP5041" s="197"/>
      <c r="BQ5041" s="197"/>
    </row>
    <row r="5042" spans="66:69" x14ac:dyDescent="0.2">
      <c r="BN5042" s="192"/>
      <c r="BO5042" s="197"/>
      <c r="BP5042" s="197"/>
      <c r="BQ5042" s="197"/>
    </row>
    <row r="5043" spans="66:69" x14ac:dyDescent="0.2">
      <c r="BN5043" s="192"/>
      <c r="BO5043" s="197"/>
      <c r="BP5043" s="197"/>
      <c r="BQ5043" s="197"/>
    </row>
    <row r="5044" spans="66:69" x14ac:dyDescent="0.2">
      <c r="BN5044" s="192"/>
      <c r="BO5044" s="197"/>
      <c r="BP5044" s="197"/>
      <c r="BQ5044" s="197"/>
    </row>
    <row r="5045" spans="66:69" x14ac:dyDescent="0.2">
      <c r="BN5045" s="192"/>
      <c r="BO5045" s="197"/>
      <c r="BP5045" s="197"/>
      <c r="BQ5045" s="197"/>
    </row>
    <row r="5046" spans="66:69" x14ac:dyDescent="0.2">
      <c r="BN5046" s="192"/>
      <c r="BO5046" s="197"/>
      <c r="BP5046" s="197"/>
      <c r="BQ5046" s="197"/>
    </row>
    <row r="5047" spans="66:69" x14ac:dyDescent="0.2">
      <c r="BN5047" s="192"/>
      <c r="BO5047" s="197"/>
      <c r="BP5047" s="197"/>
      <c r="BQ5047" s="197"/>
    </row>
    <row r="5048" spans="66:69" x14ac:dyDescent="0.2">
      <c r="BN5048" s="192"/>
      <c r="BO5048" s="197"/>
      <c r="BP5048" s="197"/>
      <c r="BQ5048" s="197"/>
    </row>
    <row r="5049" spans="66:69" x14ac:dyDescent="0.2">
      <c r="BN5049" s="192"/>
      <c r="BO5049" s="197"/>
      <c r="BP5049" s="197"/>
      <c r="BQ5049" s="197"/>
    </row>
    <row r="5050" spans="66:69" x14ac:dyDescent="0.2">
      <c r="BN5050" s="192"/>
      <c r="BO5050" s="197"/>
      <c r="BP5050" s="197"/>
      <c r="BQ5050" s="197"/>
    </row>
    <row r="5051" spans="66:69" x14ac:dyDescent="0.2">
      <c r="BN5051" s="192"/>
      <c r="BO5051" s="197"/>
      <c r="BP5051" s="197"/>
      <c r="BQ5051" s="197"/>
    </row>
    <row r="5052" spans="66:69" x14ac:dyDescent="0.2">
      <c r="BN5052" s="192"/>
      <c r="BO5052" s="197"/>
      <c r="BP5052" s="197"/>
      <c r="BQ5052" s="197"/>
    </row>
    <row r="5053" spans="66:69" x14ac:dyDescent="0.2">
      <c r="BN5053" s="192"/>
      <c r="BO5053" s="197"/>
      <c r="BP5053" s="197"/>
      <c r="BQ5053" s="197"/>
    </row>
    <row r="5054" spans="66:69" x14ac:dyDescent="0.2">
      <c r="BN5054" s="192"/>
      <c r="BO5054" s="197"/>
      <c r="BP5054" s="197"/>
      <c r="BQ5054" s="197"/>
    </row>
    <row r="5055" spans="66:69" x14ac:dyDescent="0.2">
      <c r="BN5055" s="192"/>
      <c r="BO5055" s="197"/>
      <c r="BP5055" s="197"/>
      <c r="BQ5055" s="197"/>
    </row>
    <row r="5056" spans="66:69" x14ac:dyDescent="0.2">
      <c r="BN5056" s="192"/>
      <c r="BO5056" s="197"/>
      <c r="BP5056" s="197"/>
      <c r="BQ5056" s="197"/>
    </row>
    <row r="5057" spans="66:69" x14ac:dyDescent="0.2">
      <c r="BN5057" s="192"/>
      <c r="BO5057" s="197"/>
      <c r="BP5057" s="197"/>
      <c r="BQ5057" s="197"/>
    </row>
    <row r="5058" spans="66:69" x14ac:dyDescent="0.2">
      <c r="BN5058" s="192"/>
      <c r="BO5058" s="197"/>
      <c r="BP5058" s="197"/>
      <c r="BQ5058" s="197"/>
    </row>
    <row r="5059" spans="66:69" x14ac:dyDescent="0.2">
      <c r="BN5059" s="192"/>
      <c r="BO5059" s="197"/>
      <c r="BP5059" s="197"/>
      <c r="BQ5059" s="197"/>
    </row>
    <row r="5060" spans="66:69" x14ac:dyDescent="0.2">
      <c r="BN5060" s="192"/>
      <c r="BO5060" s="197"/>
      <c r="BP5060" s="197"/>
      <c r="BQ5060" s="197"/>
    </row>
    <row r="5061" spans="66:69" x14ac:dyDescent="0.2">
      <c r="BN5061" s="192"/>
      <c r="BO5061" s="197"/>
      <c r="BP5061" s="197"/>
      <c r="BQ5061" s="197"/>
    </row>
    <row r="5062" spans="66:69" x14ac:dyDescent="0.2">
      <c r="BN5062" s="192"/>
      <c r="BO5062" s="197"/>
      <c r="BP5062" s="197"/>
      <c r="BQ5062" s="197"/>
    </row>
    <row r="5063" spans="66:69" x14ac:dyDescent="0.2">
      <c r="BN5063" s="192"/>
      <c r="BO5063" s="197"/>
      <c r="BP5063" s="197"/>
      <c r="BQ5063" s="197"/>
    </row>
    <row r="5064" spans="66:69" x14ac:dyDescent="0.2">
      <c r="BN5064" s="192"/>
      <c r="BO5064" s="197"/>
      <c r="BP5064" s="197"/>
      <c r="BQ5064" s="197"/>
    </row>
    <row r="5065" spans="66:69" x14ac:dyDescent="0.2">
      <c r="BN5065" s="192"/>
      <c r="BO5065" s="197"/>
      <c r="BP5065" s="197"/>
      <c r="BQ5065" s="197"/>
    </row>
    <row r="5066" spans="66:69" x14ac:dyDescent="0.2">
      <c r="BN5066" s="192"/>
      <c r="BO5066" s="197"/>
      <c r="BP5066" s="197"/>
      <c r="BQ5066" s="197"/>
    </row>
    <row r="5067" spans="66:69" x14ac:dyDescent="0.2">
      <c r="BN5067" s="192"/>
      <c r="BO5067" s="197"/>
      <c r="BP5067" s="197"/>
      <c r="BQ5067" s="197"/>
    </row>
    <row r="5068" spans="66:69" x14ac:dyDescent="0.2">
      <c r="BN5068" s="192"/>
      <c r="BO5068" s="197"/>
      <c r="BP5068" s="197"/>
      <c r="BQ5068" s="197"/>
    </row>
    <row r="5069" spans="66:69" x14ac:dyDescent="0.2">
      <c r="BN5069" s="192"/>
      <c r="BO5069" s="197"/>
      <c r="BP5069" s="197"/>
      <c r="BQ5069" s="197"/>
    </row>
    <row r="5070" spans="66:69" x14ac:dyDescent="0.2">
      <c r="BN5070" s="192"/>
      <c r="BO5070" s="197"/>
      <c r="BP5070" s="197"/>
      <c r="BQ5070" s="197"/>
    </row>
    <row r="5071" spans="66:69" x14ac:dyDescent="0.2">
      <c r="BN5071" s="192"/>
      <c r="BO5071" s="197"/>
      <c r="BP5071" s="197"/>
      <c r="BQ5071" s="197"/>
    </row>
    <row r="5072" spans="66:69" x14ac:dyDescent="0.2">
      <c r="BN5072" s="192"/>
      <c r="BO5072" s="197"/>
      <c r="BP5072" s="197"/>
      <c r="BQ5072" s="197"/>
    </row>
    <row r="5073" spans="66:69" x14ac:dyDescent="0.2">
      <c r="BN5073" s="192"/>
      <c r="BO5073" s="197"/>
      <c r="BP5073" s="197"/>
      <c r="BQ5073" s="197"/>
    </row>
    <row r="5074" spans="66:69" x14ac:dyDescent="0.2">
      <c r="BN5074" s="192"/>
      <c r="BO5074" s="197"/>
      <c r="BP5074" s="197"/>
      <c r="BQ5074" s="197"/>
    </row>
    <row r="5075" spans="66:69" x14ac:dyDescent="0.2">
      <c r="BN5075" s="192"/>
      <c r="BO5075" s="197"/>
      <c r="BP5075" s="197"/>
      <c r="BQ5075" s="197"/>
    </row>
    <row r="5076" spans="66:69" x14ac:dyDescent="0.2">
      <c r="BN5076" s="192"/>
      <c r="BO5076" s="197"/>
      <c r="BP5076" s="197"/>
      <c r="BQ5076" s="197"/>
    </row>
    <row r="5077" spans="66:69" x14ac:dyDescent="0.2">
      <c r="BN5077" s="192"/>
      <c r="BO5077" s="197"/>
      <c r="BP5077" s="197"/>
      <c r="BQ5077" s="197"/>
    </row>
    <row r="5078" spans="66:69" x14ac:dyDescent="0.2">
      <c r="BN5078" s="192"/>
      <c r="BO5078" s="197"/>
      <c r="BP5078" s="197"/>
      <c r="BQ5078" s="197"/>
    </row>
    <row r="5079" spans="66:69" x14ac:dyDescent="0.2">
      <c r="BN5079" s="192"/>
      <c r="BO5079" s="197"/>
      <c r="BP5079" s="197"/>
      <c r="BQ5079" s="197"/>
    </row>
    <row r="5080" spans="66:69" x14ac:dyDescent="0.2">
      <c r="BN5080" s="192"/>
      <c r="BO5080" s="197"/>
      <c r="BP5080" s="197"/>
      <c r="BQ5080" s="197"/>
    </row>
    <row r="5081" spans="66:69" x14ac:dyDescent="0.2">
      <c r="BN5081" s="192"/>
      <c r="BO5081" s="197"/>
      <c r="BP5081" s="197"/>
      <c r="BQ5081" s="197"/>
    </row>
    <row r="5082" spans="66:69" x14ac:dyDescent="0.2">
      <c r="BN5082" s="192"/>
      <c r="BO5082" s="197"/>
      <c r="BP5082" s="197"/>
      <c r="BQ5082" s="197"/>
    </row>
    <row r="5083" spans="66:69" x14ac:dyDescent="0.2">
      <c r="BN5083" s="192"/>
      <c r="BO5083" s="197"/>
      <c r="BP5083" s="197"/>
      <c r="BQ5083" s="197"/>
    </row>
    <row r="5084" spans="66:69" x14ac:dyDescent="0.2">
      <c r="BN5084" s="192"/>
      <c r="BO5084" s="197"/>
      <c r="BP5084" s="197"/>
      <c r="BQ5084" s="197"/>
    </row>
    <row r="5085" spans="66:69" x14ac:dyDescent="0.2">
      <c r="BN5085" s="192"/>
      <c r="BO5085" s="197"/>
      <c r="BP5085" s="197"/>
      <c r="BQ5085" s="197"/>
    </row>
    <row r="5086" spans="66:69" x14ac:dyDescent="0.2">
      <c r="BN5086" s="192"/>
      <c r="BO5086" s="197"/>
      <c r="BP5086" s="197"/>
      <c r="BQ5086" s="197"/>
    </row>
    <row r="5087" spans="66:69" x14ac:dyDescent="0.2">
      <c r="BN5087" s="192"/>
      <c r="BO5087" s="197"/>
      <c r="BP5087" s="197"/>
      <c r="BQ5087" s="197"/>
    </row>
    <row r="5088" spans="66:69" x14ac:dyDescent="0.2">
      <c r="BN5088" s="192"/>
      <c r="BO5088" s="197"/>
      <c r="BP5088" s="197"/>
      <c r="BQ5088" s="197"/>
    </row>
    <row r="5089" spans="66:69" x14ac:dyDescent="0.2">
      <c r="BN5089" s="192"/>
      <c r="BO5089" s="197"/>
      <c r="BP5089" s="197"/>
      <c r="BQ5089" s="197"/>
    </row>
    <row r="5090" spans="66:69" x14ac:dyDescent="0.2">
      <c r="BN5090" s="192"/>
      <c r="BO5090" s="197"/>
      <c r="BP5090" s="197"/>
      <c r="BQ5090" s="197"/>
    </row>
    <row r="5091" spans="66:69" x14ac:dyDescent="0.2">
      <c r="BN5091" s="192"/>
      <c r="BO5091" s="197"/>
      <c r="BP5091" s="197"/>
      <c r="BQ5091" s="197"/>
    </row>
    <row r="5092" spans="66:69" x14ac:dyDescent="0.2">
      <c r="BN5092" s="192"/>
      <c r="BO5092" s="197"/>
      <c r="BP5092" s="197"/>
      <c r="BQ5092" s="197"/>
    </row>
    <row r="5093" spans="66:69" x14ac:dyDescent="0.2">
      <c r="BN5093" s="192"/>
      <c r="BO5093" s="197"/>
      <c r="BP5093" s="197"/>
      <c r="BQ5093" s="197"/>
    </row>
    <row r="5094" spans="66:69" x14ac:dyDescent="0.2">
      <c r="BN5094" s="192"/>
      <c r="BO5094" s="197"/>
      <c r="BP5094" s="197"/>
      <c r="BQ5094" s="197"/>
    </row>
    <row r="5095" spans="66:69" x14ac:dyDescent="0.2">
      <c r="BN5095" s="192"/>
      <c r="BO5095" s="197"/>
      <c r="BP5095" s="197"/>
      <c r="BQ5095" s="197"/>
    </row>
    <row r="5096" spans="66:69" x14ac:dyDescent="0.2">
      <c r="BN5096" s="192"/>
      <c r="BO5096" s="197"/>
      <c r="BP5096" s="197"/>
      <c r="BQ5096" s="197"/>
    </row>
    <row r="5097" spans="66:69" x14ac:dyDescent="0.2">
      <c r="BN5097" s="192"/>
      <c r="BO5097" s="197"/>
      <c r="BP5097" s="197"/>
      <c r="BQ5097" s="197"/>
    </row>
    <row r="5098" spans="66:69" x14ac:dyDescent="0.2">
      <c r="BN5098" s="192"/>
      <c r="BO5098" s="197"/>
      <c r="BP5098" s="197"/>
      <c r="BQ5098" s="197"/>
    </row>
    <row r="5099" spans="66:69" x14ac:dyDescent="0.2">
      <c r="BN5099" s="192"/>
      <c r="BO5099" s="197"/>
      <c r="BP5099" s="197"/>
      <c r="BQ5099" s="197"/>
    </row>
    <row r="5100" spans="66:69" x14ac:dyDescent="0.2">
      <c r="BN5100" s="192"/>
      <c r="BO5100" s="197"/>
      <c r="BP5100" s="197"/>
      <c r="BQ5100" s="197"/>
    </row>
    <row r="5101" spans="66:69" x14ac:dyDescent="0.2">
      <c r="BN5101" s="192"/>
      <c r="BO5101" s="197"/>
      <c r="BP5101" s="197"/>
      <c r="BQ5101" s="197"/>
    </row>
    <row r="5102" spans="66:69" x14ac:dyDescent="0.2">
      <c r="BN5102" s="192"/>
      <c r="BO5102" s="197"/>
      <c r="BP5102" s="197"/>
      <c r="BQ5102" s="197"/>
    </row>
    <row r="5103" spans="66:69" x14ac:dyDescent="0.2">
      <c r="BN5103" s="192"/>
      <c r="BO5103" s="197"/>
      <c r="BP5103" s="197"/>
      <c r="BQ5103" s="197"/>
    </row>
    <row r="5104" spans="66:69" x14ac:dyDescent="0.2">
      <c r="BN5104" s="192"/>
      <c r="BO5104" s="197"/>
      <c r="BP5104" s="197"/>
      <c r="BQ5104" s="197"/>
    </row>
    <row r="5105" spans="66:69" x14ac:dyDescent="0.2">
      <c r="BN5105" s="192"/>
      <c r="BO5105" s="197"/>
      <c r="BP5105" s="197"/>
      <c r="BQ5105" s="197"/>
    </row>
    <row r="5106" spans="66:69" x14ac:dyDescent="0.2">
      <c r="BN5106" s="192"/>
      <c r="BO5106" s="197"/>
      <c r="BP5106" s="197"/>
      <c r="BQ5106" s="197"/>
    </row>
    <row r="5107" spans="66:69" x14ac:dyDescent="0.2">
      <c r="BN5107" s="192"/>
      <c r="BO5107" s="197"/>
      <c r="BP5107" s="197"/>
      <c r="BQ5107" s="197"/>
    </row>
    <row r="5108" spans="66:69" x14ac:dyDescent="0.2">
      <c r="BN5108" s="192"/>
      <c r="BO5108" s="197"/>
      <c r="BP5108" s="197"/>
      <c r="BQ5108" s="197"/>
    </row>
    <row r="5109" spans="66:69" x14ac:dyDescent="0.2">
      <c r="BN5109" s="192"/>
      <c r="BO5109" s="197"/>
      <c r="BP5109" s="197"/>
      <c r="BQ5109" s="197"/>
    </row>
    <row r="5110" spans="66:69" x14ac:dyDescent="0.2">
      <c r="BN5110" s="192"/>
      <c r="BO5110" s="197"/>
      <c r="BP5110" s="197"/>
      <c r="BQ5110" s="197"/>
    </row>
    <row r="5111" spans="66:69" x14ac:dyDescent="0.2">
      <c r="BN5111" s="192"/>
      <c r="BO5111" s="197"/>
      <c r="BP5111" s="197"/>
      <c r="BQ5111" s="197"/>
    </row>
    <row r="5112" spans="66:69" x14ac:dyDescent="0.2">
      <c r="BN5112" s="192"/>
      <c r="BO5112" s="197"/>
      <c r="BP5112" s="197"/>
      <c r="BQ5112" s="197"/>
    </row>
    <row r="5113" spans="66:69" x14ac:dyDescent="0.2">
      <c r="BN5113" s="192"/>
      <c r="BO5113" s="197"/>
      <c r="BP5113" s="197"/>
      <c r="BQ5113" s="197"/>
    </row>
    <row r="5114" spans="66:69" x14ac:dyDescent="0.2">
      <c r="BN5114" s="192"/>
      <c r="BO5114" s="197"/>
      <c r="BP5114" s="197"/>
      <c r="BQ5114" s="197"/>
    </row>
    <row r="5115" spans="66:69" x14ac:dyDescent="0.2">
      <c r="BN5115" s="192"/>
      <c r="BO5115" s="197"/>
      <c r="BP5115" s="197"/>
      <c r="BQ5115" s="197"/>
    </row>
    <row r="5116" spans="66:69" x14ac:dyDescent="0.2">
      <c r="BN5116" s="192"/>
      <c r="BO5116" s="197"/>
      <c r="BP5116" s="197"/>
      <c r="BQ5116" s="197"/>
    </row>
    <row r="5117" spans="66:69" x14ac:dyDescent="0.2">
      <c r="BN5117" s="192"/>
      <c r="BO5117" s="197"/>
      <c r="BP5117" s="197"/>
      <c r="BQ5117" s="197"/>
    </row>
    <row r="5118" spans="66:69" x14ac:dyDescent="0.2">
      <c r="BN5118" s="192"/>
      <c r="BO5118" s="197"/>
      <c r="BP5118" s="197"/>
      <c r="BQ5118" s="197"/>
    </row>
    <row r="5119" spans="66:69" x14ac:dyDescent="0.2">
      <c r="BN5119" s="192"/>
      <c r="BO5119" s="197"/>
      <c r="BP5119" s="197"/>
      <c r="BQ5119" s="197"/>
    </row>
    <row r="5120" spans="66:69" x14ac:dyDescent="0.2">
      <c r="BN5120" s="192"/>
      <c r="BO5120" s="197"/>
      <c r="BP5120" s="197"/>
      <c r="BQ5120" s="197"/>
    </row>
    <row r="5121" spans="66:69" x14ac:dyDescent="0.2">
      <c r="BN5121" s="192"/>
      <c r="BO5121" s="197"/>
      <c r="BP5121" s="197"/>
      <c r="BQ5121" s="197"/>
    </row>
    <row r="5122" spans="66:69" x14ac:dyDescent="0.2">
      <c r="BN5122" s="192"/>
      <c r="BO5122" s="197"/>
      <c r="BP5122" s="197"/>
      <c r="BQ5122" s="197"/>
    </row>
    <row r="5123" spans="66:69" x14ac:dyDescent="0.2">
      <c r="BN5123" s="192"/>
      <c r="BO5123" s="197"/>
      <c r="BP5123" s="197"/>
      <c r="BQ5123" s="197"/>
    </row>
    <row r="5124" spans="66:69" x14ac:dyDescent="0.2">
      <c r="BN5124" s="192"/>
      <c r="BO5124" s="197"/>
      <c r="BP5124" s="197"/>
      <c r="BQ5124" s="197"/>
    </row>
    <row r="5125" spans="66:69" x14ac:dyDescent="0.2">
      <c r="BN5125" s="192"/>
      <c r="BO5125" s="197"/>
      <c r="BP5125" s="197"/>
      <c r="BQ5125" s="197"/>
    </row>
    <row r="5126" spans="66:69" x14ac:dyDescent="0.2">
      <c r="BN5126" s="192"/>
      <c r="BO5126" s="197"/>
      <c r="BP5126" s="197"/>
      <c r="BQ5126" s="197"/>
    </row>
    <row r="5127" spans="66:69" x14ac:dyDescent="0.2">
      <c r="BN5127" s="192"/>
      <c r="BO5127" s="197"/>
      <c r="BP5127" s="197"/>
      <c r="BQ5127" s="197"/>
    </row>
    <row r="5128" spans="66:69" x14ac:dyDescent="0.2">
      <c r="BN5128" s="192"/>
      <c r="BO5128" s="197"/>
      <c r="BP5128" s="197"/>
      <c r="BQ5128" s="197"/>
    </row>
    <row r="5129" spans="66:69" x14ac:dyDescent="0.2">
      <c r="BN5129" s="192"/>
      <c r="BO5129" s="197"/>
      <c r="BP5129" s="197"/>
      <c r="BQ5129" s="197"/>
    </row>
    <row r="5130" spans="66:69" x14ac:dyDescent="0.2">
      <c r="BN5130" s="192"/>
      <c r="BO5130" s="197"/>
      <c r="BP5130" s="197"/>
      <c r="BQ5130" s="197"/>
    </row>
    <row r="5131" spans="66:69" x14ac:dyDescent="0.2">
      <c r="BN5131" s="192"/>
      <c r="BO5131" s="197"/>
      <c r="BP5131" s="197"/>
      <c r="BQ5131" s="197"/>
    </row>
    <row r="5132" spans="66:69" x14ac:dyDescent="0.2">
      <c r="BN5132" s="192"/>
      <c r="BO5132" s="197"/>
      <c r="BP5132" s="197"/>
      <c r="BQ5132" s="197"/>
    </row>
    <row r="5133" spans="66:69" x14ac:dyDescent="0.2">
      <c r="BN5133" s="192"/>
      <c r="BO5133" s="197"/>
      <c r="BP5133" s="197"/>
      <c r="BQ5133" s="197"/>
    </row>
    <row r="5134" spans="66:69" x14ac:dyDescent="0.2">
      <c r="BN5134" s="192"/>
      <c r="BO5134" s="197"/>
      <c r="BP5134" s="197"/>
      <c r="BQ5134" s="197"/>
    </row>
    <row r="5135" spans="66:69" x14ac:dyDescent="0.2">
      <c r="BN5135" s="192"/>
      <c r="BO5135" s="197"/>
      <c r="BP5135" s="197"/>
      <c r="BQ5135" s="197"/>
    </row>
    <row r="5136" spans="66:69" x14ac:dyDescent="0.2">
      <c r="BN5136" s="192"/>
      <c r="BO5136" s="197"/>
      <c r="BP5136" s="197"/>
      <c r="BQ5136" s="197"/>
    </row>
    <row r="5137" spans="66:69" x14ac:dyDescent="0.2">
      <c r="BN5137" s="192"/>
      <c r="BO5137" s="197"/>
      <c r="BP5137" s="197"/>
      <c r="BQ5137" s="197"/>
    </row>
    <row r="5138" spans="66:69" x14ac:dyDescent="0.2">
      <c r="BN5138" s="192"/>
      <c r="BO5138" s="197"/>
      <c r="BP5138" s="197"/>
      <c r="BQ5138" s="197"/>
    </row>
    <row r="5139" spans="66:69" x14ac:dyDescent="0.2">
      <c r="BN5139" s="192"/>
      <c r="BO5139" s="197"/>
      <c r="BP5139" s="197"/>
      <c r="BQ5139" s="197"/>
    </row>
    <row r="5140" spans="66:69" x14ac:dyDescent="0.2">
      <c r="BN5140" s="192"/>
      <c r="BO5140" s="197"/>
      <c r="BP5140" s="197"/>
      <c r="BQ5140" s="197"/>
    </row>
    <row r="5141" spans="66:69" x14ac:dyDescent="0.2">
      <c r="BN5141" s="192"/>
      <c r="BO5141" s="197"/>
      <c r="BP5141" s="197"/>
      <c r="BQ5141" s="197"/>
    </row>
    <row r="5142" spans="66:69" x14ac:dyDescent="0.2">
      <c r="BN5142" s="192"/>
      <c r="BO5142" s="197"/>
      <c r="BP5142" s="197"/>
      <c r="BQ5142" s="197"/>
    </row>
    <row r="5143" spans="66:69" x14ac:dyDescent="0.2">
      <c r="BN5143" s="192"/>
      <c r="BO5143" s="197"/>
      <c r="BP5143" s="197"/>
      <c r="BQ5143" s="197"/>
    </row>
    <row r="5144" spans="66:69" x14ac:dyDescent="0.2">
      <c r="BN5144" s="192"/>
      <c r="BO5144" s="197"/>
      <c r="BP5144" s="197"/>
      <c r="BQ5144" s="197"/>
    </row>
    <row r="5145" spans="66:69" x14ac:dyDescent="0.2">
      <c r="BN5145" s="192"/>
      <c r="BO5145" s="197"/>
      <c r="BP5145" s="197"/>
      <c r="BQ5145" s="197"/>
    </row>
    <row r="5146" spans="66:69" x14ac:dyDescent="0.2">
      <c r="BN5146" s="192"/>
      <c r="BO5146" s="197"/>
      <c r="BP5146" s="197"/>
      <c r="BQ5146" s="197"/>
    </row>
    <row r="5147" spans="66:69" x14ac:dyDescent="0.2">
      <c r="BN5147" s="192"/>
      <c r="BO5147" s="197"/>
      <c r="BP5147" s="197"/>
      <c r="BQ5147" s="197"/>
    </row>
    <row r="5148" spans="66:69" x14ac:dyDescent="0.2">
      <c r="BN5148" s="192"/>
      <c r="BO5148" s="197"/>
      <c r="BP5148" s="197"/>
      <c r="BQ5148" s="197"/>
    </row>
    <row r="5149" spans="66:69" x14ac:dyDescent="0.2">
      <c r="BN5149" s="192"/>
      <c r="BO5149" s="197"/>
      <c r="BP5149" s="197"/>
      <c r="BQ5149" s="197"/>
    </row>
    <row r="5150" spans="66:69" x14ac:dyDescent="0.2">
      <c r="BN5150" s="192"/>
      <c r="BO5150" s="197"/>
      <c r="BP5150" s="197"/>
      <c r="BQ5150" s="197"/>
    </row>
    <row r="5151" spans="66:69" x14ac:dyDescent="0.2">
      <c r="BN5151" s="192"/>
      <c r="BO5151" s="197"/>
      <c r="BP5151" s="197"/>
      <c r="BQ5151" s="197"/>
    </row>
    <row r="5152" spans="66:69" x14ac:dyDescent="0.2">
      <c r="BN5152" s="192"/>
      <c r="BO5152" s="197"/>
      <c r="BP5152" s="197"/>
      <c r="BQ5152" s="197"/>
    </row>
    <row r="5153" spans="66:69" x14ac:dyDescent="0.2">
      <c r="BN5153" s="192"/>
      <c r="BO5153" s="197"/>
      <c r="BP5153" s="197"/>
      <c r="BQ5153" s="197"/>
    </row>
    <row r="5154" spans="66:69" x14ac:dyDescent="0.2">
      <c r="BN5154" s="192"/>
      <c r="BO5154" s="197"/>
      <c r="BP5154" s="197"/>
      <c r="BQ5154" s="197"/>
    </row>
    <row r="5155" spans="66:69" x14ac:dyDescent="0.2">
      <c r="BN5155" s="192"/>
      <c r="BO5155" s="197"/>
      <c r="BP5155" s="197"/>
      <c r="BQ5155" s="197"/>
    </row>
    <row r="5156" spans="66:69" x14ac:dyDescent="0.2">
      <c r="BN5156" s="192"/>
      <c r="BO5156" s="197"/>
      <c r="BP5156" s="197"/>
      <c r="BQ5156" s="197"/>
    </row>
    <row r="5157" spans="66:69" x14ac:dyDescent="0.2">
      <c r="BN5157" s="192"/>
      <c r="BO5157" s="197"/>
      <c r="BP5157" s="197"/>
      <c r="BQ5157" s="197"/>
    </row>
    <row r="5158" spans="66:69" x14ac:dyDescent="0.2">
      <c r="BN5158" s="192"/>
      <c r="BO5158" s="197"/>
      <c r="BP5158" s="197"/>
      <c r="BQ5158" s="197"/>
    </row>
    <row r="5159" spans="66:69" x14ac:dyDescent="0.2">
      <c r="BN5159" s="192"/>
      <c r="BO5159" s="197"/>
      <c r="BP5159" s="197"/>
      <c r="BQ5159" s="197"/>
    </row>
    <row r="5160" spans="66:69" x14ac:dyDescent="0.2">
      <c r="BN5160" s="192"/>
      <c r="BO5160" s="197"/>
      <c r="BP5160" s="197"/>
      <c r="BQ5160" s="197"/>
    </row>
    <row r="5161" spans="66:69" x14ac:dyDescent="0.2">
      <c r="BN5161" s="192"/>
      <c r="BO5161" s="197"/>
      <c r="BP5161" s="197"/>
      <c r="BQ5161" s="197"/>
    </row>
    <row r="5162" spans="66:69" x14ac:dyDescent="0.2">
      <c r="BN5162" s="192"/>
      <c r="BO5162" s="197"/>
      <c r="BP5162" s="197"/>
      <c r="BQ5162" s="197"/>
    </row>
    <row r="5163" spans="66:69" x14ac:dyDescent="0.2">
      <c r="BN5163" s="192"/>
      <c r="BO5163" s="197"/>
      <c r="BP5163" s="197"/>
      <c r="BQ5163" s="197"/>
    </row>
    <row r="5164" spans="66:69" x14ac:dyDescent="0.2">
      <c r="BN5164" s="192"/>
      <c r="BO5164" s="197"/>
      <c r="BP5164" s="197"/>
      <c r="BQ5164" s="197"/>
    </row>
    <row r="5165" spans="66:69" x14ac:dyDescent="0.2">
      <c r="BN5165" s="192"/>
      <c r="BO5165" s="197"/>
      <c r="BP5165" s="197"/>
      <c r="BQ5165" s="197"/>
    </row>
    <row r="5166" spans="66:69" x14ac:dyDescent="0.2">
      <c r="BN5166" s="192"/>
      <c r="BO5166" s="197"/>
      <c r="BP5166" s="197"/>
      <c r="BQ5166" s="197"/>
    </row>
    <row r="5167" spans="66:69" x14ac:dyDescent="0.2">
      <c r="BN5167" s="192"/>
      <c r="BO5167" s="197"/>
      <c r="BP5167" s="197"/>
      <c r="BQ5167" s="197"/>
    </row>
    <row r="5168" spans="66:69" x14ac:dyDescent="0.2">
      <c r="BN5168" s="192"/>
      <c r="BO5168" s="197"/>
      <c r="BP5168" s="197"/>
      <c r="BQ5168" s="197"/>
    </row>
    <row r="5169" spans="66:69" x14ac:dyDescent="0.2">
      <c r="BN5169" s="192"/>
      <c r="BO5169" s="197"/>
      <c r="BP5169" s="197"/>
      <c r="BQ5169" s="197"/>
    </row>
    <row r="5170" spans="66:69" x14ac:dyDescent="0.2">
      <c r="BN5170" s="192"/>
      <c r="BO5170" s="197"/>
      <c r="BP5170" s="197"/>
      <c r="BQ5170" s="197"/>
    </row>
    <row r="5171" spans="66:69" x14ac:dyDescent="0.2">
      <c r="BN5171" s="192"/>
      <c r="BO5171" s="197"/>
      <c r="BP5171" s="197"/>
      <c r="BQ5171" s="197"/>
    </row>
    <row r="5172" spans="66:69" x14ac:dyDescent="0.2">
      <c r="BN5172" s="192"/>
      <c r="BO5172" s="197"/>
      <c r="BP5172" s="197"/>
      <c r="BQ5172" s="197"/>
    </row>
    <row r="5173" spans="66:69" x14ac:dyDescent="0.2">
      <c r="BN5173" s="192"/>
      <c r="BO5173" s="197"/>
      <c r="BP5173" s="197"/>
      <c r="BQ5173" s="197"/>
    </row>
    <row r="5174" spans="66:69" x14ac:dyDescent="0.2">
      <c r="BN5174" s="192"/>
      <c r="BO5174" s="197"/>
      <c r="BP5174" s="197"/>
      <c r="BQ5174" s="197"/>
    </row>
    <row r="5175" spans="66:69" x14ac:dyDescent="0.2">
      <c r="BN5175" s="192"/>
      <c r="BO5175" s="197"/>
      <c r="BP5175" s="197"/>
      <c r="BQ5175" s="197"/>
    </row>
    <row r="5176" spans="66:69" x14ac:dyDescent="0.2">
      <c r="BN5176" s="192"/>
      <c r="BO5176" s="197"/>
      <c r="BP5176" s="197"/>
      <c r="BQ5176" s="197"/>
    </row>
    <row r="5177" spans="66:69" x14ac:dyDescent="0.2">
      <c r="BN5177" s="192"/>
      <c r="BO5177" s="197"/>
      <c r="BP5177" s="197"/>
      <c r="BQ5177" s="197"/>
    </row>
    <row r="5178" spans="66:69" x14ac:dyDescent="0.2">
      <c r="BN5178" s="192"/>
      <c r="BO5178" s="197"/>
      <c r="BP5178" s="197"/>
      <c r="BQ5178" s="197"/>
    </row>
    <row r="5179" spans="66:69" x14ac:dyDescent="0.2">
      <c r="BN5179" s="192"/>
      <c r="BO5179" s="197"/>
      <c r="BP5179" s="197"/>
      <c r="BQ5179" s="197"/>
    </row>
    <row r="5180" spans="66:69" x14ac:dyDescent="0.2">
      <c r="BN5180" s="192"/>
      <c r="BO5180" s="197"/>
      <c r="BP5180" s="197"/>
      <c r="BQ5180" s="197"/>
    </row>
    <row r="5181" spans="66:69" x14ac:dyDescent="0.2">
      <c r="BN5181" s="192"/>
      <c r="BO5181" s="197"/>
      <c r="BP5181" s="197"/>
      <c r="BQ5181" s="197"/>
    </row>
    <row r="5182" spans="66:69" x14ac:dyDescent="0.2">
      <c r="BN5182" s="192"/>
      <c r="BO5182" s="197"/>
      <c r="BP5182" s="197"/>
      <c r="BQ5182" s="197"/>
    </row>
    <row r="5183" spans="66:69" x14ac:dyDescent="0.2">
      <c r="BN5183" s="192"/>
      <c r="BO5183" s="197"/>
      <c r="BP5183" s="197"/>
      <c r="BQ5183" s="197"/>
    </row>
    <row r="5184" spans="66:69" x14ac:dyDescent="0.2">
      <c r="BN5184" s="192"/>
      <c r="BO5184" s="197"/>
      <c r="BP5184" s="197"/>
      <c r="BQ5184" s="197"/>
    </row>
    <row r="5185" spans="66:69" x14ac:dyDescent="0.2">
      <c r="BN5185" s="192"/>
      <c r="BO5185" s="197"/>
      <c r="BP5185" s="197"/>
      <c r="BQ5185" s="197"/>
    </row>
    <row r="5186" spans="66:69" x14ac:dyDescent="0.2">
      <c r="BN5186" s="192"/>
      <c r="BO5186" s="197"/>
      <c r="BP5186" s="197"/>
      <c r="BQ5186" s="197"/>
    </row>
    <row r="5187" spans="66:69" x14ac:dyDescent="0.2">
      <c r="BN5187" s="192"/>
      <c r="BO5187" s="197"/>
      <c r="BP5187" s="197"/>
      <c r="BQ5187" s="197"/>
    </row>
    <row r="5188" spans="66:69" x14ac:dyDescent="0.2">
      <c r="BN5188" s="192"/>
      <c r="BO5188" s="197"/>
      <c r="BP5188" s="197"/>
      <c r="BQ5188" s="197"/>
    </row>
    <row r="5189" spans="66:69" x14ac:dyDescent="0.2">
      <c r="BN5189" s="192"/>
      <c r="BO5189" s="197"/>
      <c r="BP5189" s="197"/>
      <c r="BQ5189" s="197"/>
    </row>
    <row r="5190" spans="66:69" x14ac:dyDescent="0.2">
      <c r="BN5190" s="192"/>
      <c r="BO5190" s="197"/>
      <c r="BP5190" s="197"/>
      <c r="BQ5190" s="197"/>
    </row>
    <row r="5191" spans="66:69" x14ac:dyDescent="0.2">
      <c r="BN5191" s="192"/>
      <c r="BO5191" s="197"/>
      <c r="BP5191" s="197"/>
      <c r="BQ5191" s="197"/>
    </row>
    <row r="5192" spans="66:69" x14ac:dyDescent="0.2">
      <c r="BN5192" s="192"/>
      <c r="BO5192" s="197"/>
      <c r="BP5192" s="197"/>
      <c r="BQ5192" s="197"/>
    </row>
    <row r="5193" spans="66:69" x14ac:dyDescent="0.2">
      <c r="BN5193" s="192"/>
      <c r="BO5193" s="197"/>
      <c r="BP5193" s="197"/>
      <c r="BQ5193" s="197"/>
    </row>
    <row r="5194" spans="66:69" x14ac:dyDescent="0.2">
      <c r="BN5194" s="192"/>
      <c r="BO5194" s="197"/>
      <c r="BP5194" s="197"/>
      <c r="BQ5194" s="197"/>
    </row>
    <row r="5195" spans="66:69" x14ac:dyDescent="0.2">
      <c r="BN5195" s="192"/>
      <c r="BO5195" s="197"/>
      <c r="BP5195" s="197"/>
      <c r="BQ5195" s="197"/>
    </row>
    <row r="5196" spans="66:69" x14ac:dyDescent="0.2">
      <c r="BN5196" s="192"/>
      <c r="BO5196" s="197"/>
      <c r="BP5196" s="197"/>
      <c r="BQ5196" s="197"/>
    </row>
    <row r="5197" spans="66:69" x14ac:dyDescent="0.2">
      <c r="BN5197" s="192"/>
      <c r="BO5197" s="197"/>
      <c r="BP5197" s="197"/>
      <c r="BQ5197" s="197"/>
    </row>
    <row r="5198" spans="66:69" x14ac:dyDescent="0.2">
      <c r="BN5198" s="192"/>
      <c r="BO5198" s="197"/>
      <c r="BP5198" s="197"/>
      <c r="BQ5198" s="197"/>
    </row>
    <row r="5199" spans="66:69" x14ac:dyDescent="0.2">
      <c r="BN5199" s="192"/>
      <c r="BO5199" s="197"/>
      <c r="BP5199" s="197"/>
      <c r="BQ5199" s="197"/>
    </row>
    <row r="5200" spans="66:69" x14ac:dyDescent="0.2">
      <c r="BN5200" s="192"/>
      <c r="BO5200" s="197"/>
      <c r="BP5200" s="197"/>
      <c r="BQ5200" s="197"/>
    </row>
    <row r="5201" spans="66:69" x14ac:dyDescent="0.2">
      <c r="BN5201" s="192"/>
      <c r="BO5201" s="197"/>
      <c r="BP5201" s="197"/>
      <c r="BQ5201" s="197"/>
    </row>
    <row r="5202" spans="66:69" x14ac:dyDescent="0.2">
      <c r="BN5202" s="192"/>
      <c r="BO5202" s="197"/>
      <c r="BP5202" s="197"/>
      <c r="BQ5202" s="197"/>
    </row>
    <row r="5203" spans="66:69" x14ac:dyDescent="0.2">
      <c r="BN5203" s="192"/>
      <c r="BO5203" s="197"/>
      <c r="BP5203" s="197"/>
      <c r="BQ5203" s="197"/>
    </row>
    <row r="5204" spans="66:69" x14ac:dyDescent="0.2">
      <c r="BN5204" s="192"/>
      <c r="BO5204" s="197"/>
      <c r="BP5204" s="197"/>
      <c r="BQ5204" s="197"/>
    </row>
    <row r="5205" spans="66:69" x14ac:dyDescent="0.2">
      <c r="BN5205" s="192"/>
      <c r="BO5205" s="197"/>
      <c r="BP5205" s="197"/>
      <c r="BQ5205" s="197"/>
    </row>
    <row r="5206" spans="66:69" x14ac:dyDescent="0.2">
      <c r="BN5206" s="192"/>
      <c r="BO5206" s="197"/>
      <c r="BP5206" s="197"/>
      <c r="BQ5206" s="197"/>
    </row>
    <row r="5207" spans="66:69" x14ac:dyDescent="0.2">
      <c r="BN5207" s="192"/>
      <c r="BO5207" s="197"/>
      <c r="BP5207" s="197"/>
      <c r="BQ5207" s="197"/>
    </row>
    <row r="5208" spans="66:69" x14ac:dyDescent="0.2">
      <c r="BN5208" s="192"/>
      <c r="BO5208" s="197"/>
      <c r="BP5208" s="197"/>
      <c r="BQ5208" s="197"/>
    </row>
    <row r="5209" spans="66:69" x14ac:dyDescent="0.2">
      <c r="BN5209" s="192"/>
      <c r="BO5209" s="197"/>
      <c r="BP5209" s="197"/>
      <c r="BQ5209" s="197"/>
    </row>
    <row r="5210" spans="66:69" x14ac:dyDescent="0.2">
      <c r="BN5210" s="192"/>
      <c r="BO5210" s="197"/>
      <c r="BP5210" s="197"/>
      <c r="BQ5210" s="197"/>
    </row>
    <row r="5211" spans="66:69" x14ac:dyDescent="0.2">
      <c r="BN5211" s="192"/>
      <c r="BO5211" s="197"/>
      <c r="BP5211" s="197"/>
      <c r="BQ5211" s="197"/>
    </row>
    <row r="5212" spans="66:69" x14ac:dyDescent="0.2">
      <c r="BN5212" s="192"/>
      <c r="BO5212" s="197"/>
      <c r="BP5212" s="197"/>
      <c r="BQ5212" s="197"/>
    </row>
    <row r="5213" spans="66:69" x14ac:dyDescent="0.2">
      <c r="BN5213" s="192"/>
      <c r="BO5213" s="197"/>
      <c r="BP5213" s="197"/>
      <c r="BQ5213" s="197"/>
    </row>
    <row r="5214" spans="66:69" x14ac:dyDescent="0.2">
      <c r="BN5214" s="192"/>
      <c r="BO5214" s="197"/>
      <c r="BP5214" s="197"/>
      <c r="BQ5214" s="197"/>
    </row>
    <row r="5215" spans="66:69" x14ac:dyDescent="0.2">
      <c r="BN5215" s="192"/>
      <c r="BO5215" s="197"/>
      <c r="BP5215" s="197"/>
      <c r="BQ5215" s="197"/>
    </row>
    <row r="5216" spans="66:69" x14ac:dyDescent="0.2">
      <c r="BN5216" s="192"/>
      <c r="BO5216" s="197"/>
      <c r="BP5216" s="197"/>
      <c r="BQ5216" s="197"/>
    </row>
    <row r="5217" spans="66:69" x14ac:dyDescent="0.2">
      <c r="BN5217" s="192"/>
      <c r="BO5217" s="197"/>
      <c r="BP5217" s="197"/>
      <c r="BQ5217" s="197"/>
    </row>
    <row r="5218" spans="66:69" x14ac:dyDescent="0.2">
      <c r="BN5218" s="192"/>
      <c r="BO5218" s="197"/>
      <c r="BP5218" s="197"/>
      <c r="BQ5218" s="197"/>
    </row>
    <row r="5219" spans="66:69" x14ac:dyDescent="0.2">
      <c r="BN5219" s="192"/>
      <c r="BO5219" s="197"/>
      <c r="BP5219" s="197"/>
      <c r="BQ5219" s="197"/>
    </row>
    <row r="5220" spans="66:69" x14ac:dyDescent="0.2">
      <c r="BN5220" s="192"/>
      <c r="BO5220" s="197"/>
      <c r="BP5220" s="197"/>
      <c r="BQ5220" s="197"/>
    </row>
    <row r="5221" spans="66:69" x14ac:dyDescent="0.2">
      <c r="BN5221" s="192"/>
      <c r="BO5221" s="197"/>
      <c r="BP5221" s="197"/>
      <c r="BQ5221" s="197"/>
    </row>
    <row r="5222" spans="66:69" x14ac:dyDescent="0.2">
      <c r="BN5222" s="192"/>
      <c r="BO5222" s="197"/>
      <c r="BP5222" s="197"/>
      <c r="BQ5222" s="197"/>
    </row>
    <row r="5223" spans="66:69" x14ac:dyDescent="0.2">
      <c r="BN5223" s="192"/>
      <c r="BO5223" s="197"/>
      <c r="BP5223" s="197"/>
      <c r="BQ5223" s="197"/>
    </row>
    <row r="5224" spans="66:69" x14ac:dyDescent="0.2">
      <c r="BN5224" s="192"/>
      <c r="BO5224" s="197"/>
      <c r="BP5224" s="197"/>
      <c r="BQ5224" s="197"/>
    </row>
    <row r="5225" spans="66:69" x14ac:dyDescent="0.2">
      <c r="BN5225" s="192"/>
      <c r="BO5225" s="197"/>
      <c r="BP5225" s="197"/>
      <c r="BQ5225" s="197"/>
    </row>
    <row r="5226" spans="66:69" x14ac:dyDescent="0.2">
      <c r="BN5226" s="192"/>
      <c r="BO5226" s="197"/>
      <c r="BP5226" s="197"/>
      <c r="BQ5226" s="197"/>
    </row>
    <row r="5227" spans="66:69" x14ac:dyDescent="0.2">
      <c r="BN5227" s="192"/>
      <c r="BO5227" s="197"/>
      <c r="BP5227" s="197"/>
      <c r="BQ5227" s="197"/>
    </row>
    <row r="5228" spans="66:69" x14ac:dyDescent="0.2">
      <c r="BN5228" s="192"/>
      <c r="BO5228" s="197"/>
      <c r="BP5228" s="197"/>
      <c r="BQ5228" s="197"/>
    </row>
    <row r="5229" spans="66:69" x14ac:dyDescent="0.2">
      <c r="BN5229" s="192"/>
      <c r="BO5229" s="197"/>
      <c r="BP5229" s="197"/>
      <c r="BQ5229" s="197"/>
    </row>
    <row r="5230" spans="66:69" x14ac:dyDescent="0.2">
      <c r="BN5230" s="192"/>
      <c r="BO5230" s="197"/>
      <c r="BP5230" s="197"/>
      <c r="BQ5230" s="197"/>
    </row>
    <row r="5231" spans="66:69" x14ac:dyDescent="0.2">
      <c r="BN5231" s="192"/>
      <c r="BO5231" s="197"/>
      <c r="BP5231" s="197"/>
      <c r="BQ5231" s="197"/>
    </row>
    <row r="5232" spans="66:69" x14ac:dyDescent="0.2">
      <c r="BN5232" s="192"/>
      <c r="BO5232" s="197"/>
      <c r="BP5232" s="197"/>
      <c r="BQ5232" s="197"/>
    </row>
    <row r="5233" spans="66:69" x14ac:dyDescent="0.2">
      <c r="BN5233" s="192"/>
      <c r="BO5233" s="197"/>
      <c r="BP5233" s="197"/>
      <c r="BQ5233" s="197"/>
    </row>
    <row r="5234" spans="66:69" x14ac:dyDescent="0.2">
      <c r="BN5234" s="192"/>
      <c r="BO5234" s="197"/>
      <c r="BP5234" s="197"/>
      <c r="BQ5234" s="197"/>
    </row>
    <row r="5235" spans="66:69" x14ac:dyDescent="0.2">
      <c r="BN5235" s="192"/>
      <c r="BO5235" s="197"/>
      <c r="BP5235" s="197"/>
      <c r="BQ5235" s="197"/>
    </row>
    <row r="5236" spans="66:69" x14ac:dyDescent="0.2">
      <c r="BN5236" s="192"/>
      <c r="BO5236" s="197"/>
      <c r="BP5236" s="197"/>
      <c r="BQ5236" s="197"/>
    </row>
    <row r="5237" spans="66:69" x14ac:dyDescent="0.2">
      <c r="BN5237" s="192"/>
      <c r="BO5237" s="197"/>
      <c r="BP5237" s="197"/>
      <c r="BQ5237" s="197"/>
    </row>
    <row r="5238" spans="66:69" x14ac:dyDescent="0.2">
      <c r="BN5238" s="192"/>
      <c r="BO5238" s="197"/>
      <c r="BP5238" s="197"/>
      <c r="BQ5238" s="197"/>
    </row>
    <row r="5239" spans="66:69" x14ac:dyDescent="0.2">
      <c r="BN5239" s="192"/>
      <c r="BO5239" s="197"/>
      <c r="BP5239" s="197"/>
      <c r="BQ5239" s="197"/>
    </row>
    <row r="5240" spans="66:69" x14ac:dyDescent="0.2">
      <c r="BN5240" s="192"/>
      <c r="BO5240" s="197"/>
      <c r="BP5240" s="197"/>
      <c r="BQ5240" s="197"/>
    </row>
    <row r="5241" spans="66:69" x14ac:dyDescent="0.2">
      <c r="BN5241" s="192"/>
      <c r="BO5241" s="197"/>
      <c r="BP5241" s="197"/>
      <c r="BQ5241" s="197"/>
    </row>
    <row r="5242" spans="66:69" x14ac:dyDescent="0.2">
      <c r="BN5242" s="192"/>
      <c r="BO5242" s="197"/>
      <c r="BP5242" s="197"/>
      <c r="BQ5242" s="197"/>
    </row>
    <row r="5243" spans="66:69" x14ac:dyDescent="0.2">
      <c r="BN5243" s="192"/>
      <c r="BO5243" s="197"/>
      <c r="BP5243" s="197"/>
      <c r="BQ5243" s="197"/>
    </row>
    <row r="5244" spans="66:69" x14ac:dyDescent="0.2">
      <c r="BN5244" s="192"/>
      <c r="BO5244" s="197"/>
      <c r="BP5244" s="197"/>
      <c r="BQ5244" s="197"/>
    </row>
    <row r="5245" spans="66:69" x14ac:dyDescent="0.2">
      <c r="BN5245" s="192"/>
      <c r="BO5245" s="197"/>
      <c r="BP5245" s="197"/>
      <c r="BQ5245" s="197"/>
    </row>
    <row r="5246" spans="66:69" x14ac:dyDescent="0.2">
      <c r="BN5246" s="192"/>
      <c r="BO5246" s="197"/>
      <c r="BP5246" s="197"/>
      <c r="BQ5246" s="197"/>
    </row>
    <row r="5247" spans="66:69" x14ac:dyDescent="0.2">
      <c r="BN5247" s="192"/>
      <c r="BO5247" s="197"/>
      <c r="BP5247" s="197"/>
      <c r="BQ5247" s="197"/>
    </row>
    <row r="5248" spans="66:69" x14ac:dyDescent="0.2">
      <c r="BN5248" s="192"/>
      <c r="BO5248" s="197"/>
      <c r="BP5248" s="197"/>
      <c r="BQ5248" s="197"/>
    </row>
    <row r="5249" spans="66:69" x14ac:dyDescent="0.2">
      <c r="BN5249" s="192"/>
      <c r="BO5249" s="197"/>
      <c r="BP5249" s="197"/>
      <c r="BQ5249" s="197"/>
    </row>
    <row r="5250" spans="66:69" x14ac:dyDescent="0.2">
      <c r="BN5250" s="192"/>
      <c r="BO5250" s="197"/>
      <c r="BP5250" s="197"/>
      <c r="BQ5250" s="197"/>
    </row>
    <row r="5251" spans="66:69" x14ac:dyDescent="0.2">
      <c r="BN5251" s="192"/>
      <c r="BO5251" s="197"/>
      <c r="BP5251" s="197"/>
      <c r="BQ5251" s="197"/>
    </row>
    <row r="5252" spans="66:69" x14ac:dyDescent="0.2">
      <c r="BN5252" s="192"/>
      <c r="BO5252" s="197"/>
      <c r="BP5252" s="197"/>
      <c r="BQ5252" s="197"/>
    </row>
    <row r="5253" spans="66:69" x14ac:dyDescent="0.2">
      <c r="BN5253" s="192"/>
      <c r="BO5253" s="197"/>
      <c r="BP5253" s="197"/>
      <c r="BQ5253" s="197"/>
    </row>
    <row r="5254" spans="66:69" x14ac:dyDescent="0.2">
      <c r="BN5254" s="192"/>
      <c r="BO5254" s="197"/>
      <c r="BP5254" s="197"/>
      <c r="BQ5254" s="197"/>
    </row>
    <row r="5255" spans="66:69" x14ac:dyDescent="0.2">
      <c r="BN5255" s="192"/>
      <c r="BO5255" s="197"/>
      <c r="BP5255" s="197"/>
      <c r="BQ5255" s="197"/>
    </row>
    <row r="5256" spans="66:69" x14ac:dyDescent="0.2">
      <c r="BN5256" s="192"/>
      <c r="BO5256" s="197"/>
      <c r="BP5256" s="197"/>
      <c r="BQ5256" s="197"/>
    </row>
    <row r="5257" spans="66:69" x14ac:dyDescent="0.2">
      <c r="BN5257" s="192"/>
      <c r="BO5257" s="197"/>
      <c r="BP5257" s="197"/>
      <c r="BQ5257" s="197"/>
    </row>
    <row r="5258" spans="66:69" x14ac:dyDescent="0.2">
      <c r="BN5258" s="192"/>
      <c r="BO5258" s="197"/>
      <c r="BP5258" s="197"/>
      <c r="BQ5258" s="197"/>
    </row>
    <row r="5259" spans="66:69" x14ac:dyDescent="0.2">
      <c r="BN5259" s="192"/>
      <c r="BO5259" s="197"/>
      <c r="BP5259" s="197"/>
      <c r="BQ5259" s="197"/>
    </row>
    <row r="5260" spans="66:69" x14ac:dyDescent="0.2">
      <c r="BN5260" s="192"/>
      <c r="BO5260" s="197"/>
      <c r="BP5260" s="197"/>
      <c r="BQ5260" s="197"/>
    </row>
    <row r="5261" spans="66:69" x14ac:dyDescent="0.2">
      <c r="BN5261" s="192"/>
      <c r="BO5261" s="197"/>
      <c r="BP5261" s="197"/>
      <c r="BQ5261" s="197"/>
    </row>
    <row r="5262" spans="66:69" x14ac:dyDescent="0.2">
      <c r="BN5262" s="192"/>
      <c r="BO5262" s="197"/>
      <c r="BP5262" s="197"/>
      <c r="BQ5262" s="197"/>
    </row>
    <row r="5263" spans="66:69" x14ac:dyDescent="0.2">
      <c r="BN5263" s="192"/>
      <c r="BO5263" s="197"/>
      <c r="BP5263" s="197"/>
      <c r="BQ5263" s="197"/>
    </row>
    <row r="5264" spans="66:69" x14ac:dyDescent="0.2">
      <c r="BN5264" s="192"/>
      <c r="BO5264" s="197"/>
      <c r="BP5264" s="197"/>
      <c r="BQ5264" s="197"/>
    </row>
    <row r="5265" spans="66:69" x14ac:dyDescent="0.2">
      <c r="BN5265" s="192"/>
      <c r="BO5265" s="197"/>
      <c r="BP5265" s="197"/>
      <c r="BQ5265" s="197"/>
    </row>
    <row r="5266" spans="66:69" x14ac:dyDescent="0.2">
      <c r="BN5266" s="192"/>
      <c r="BO5266" s="197"/>
      <c r="BP5266" s="197"/>
      <c r="BQ5266" s="197"/>
    </row>
    <row r="5267" spans="66:69" x14ac:dyDescent="0.2">
      <c r="BN5267" s="192"/>
      <c r="BO5267" s="197"/>
      <c r="BP5267" s="197"/>
      <c r="BQ5267" s="197"/>
    </row>
    <row r="5268" spans="66:69" x14ac:dyDescent="0.2">
      <c r="BN5268" s="192"/>
      <c r="BO5268" s="197"/>
      <c r="BP5268" s="197"/>
      <c r="BQ5268" s="197"/>
    </row>
    <row r="5269" spans="66:69" x14ac:dyDescent="0.2">
      <c r="BN5269" s="192"/>
      <c r="BO5269" s="197"/>
      <c r="BP5269" s="197"/>
      <c r="BQ5269" s="197"/>
    </row>
    <row r="5270" spans="66:69" x14ac:dyDescent="0.2">
      <c r="BN5270" s="192"/>
      <c r="BO5270" s="197"/>
      <c r="BP5270" s="197"/>
      <c r="BQ5270" s="197"/>
    </row>
    <row r="5271" spans="66:69" x14ac:dyDescent="0.2">
      <c r="BN5271" s="192"/>
      <c r="BO5271" s="197"/>
      <c r="BP5271" s="197"/>
      <c r="BQ5271" s="197"/>
    </row>
    <row r="5272" spans="66:69" x14ac:dyDescent="0.2">
      <c r="BN5272" s="192"/>
      <c r="BO5272" s="197"/>
      <c r="BP5272" s="197"/>
      <c r="BQ5272" s="197"/>
    </row>
    <row r="5273" spans="66:69" x14ac:dyDescent="0.2">
      <c r="BN5273" s="192"/>
      <c r="BO5273" s="197"/>
      <c r="BP5273" s="197"/>
      <c r="BQ5273" s="197"/>
    </row>
    <row r="5274" spans="66:69" x14ac:dyDescent="0.2">
      <c r="BN5274" s="192"/>
      <c r="BO5274" s="197"/>
      <c r="BP5274" s="197"/>
      <c r="BQ5274" s="197"/>
    </row>
    <row r="5275" spans="66:69" x14ac:dyDescent="0.2">
      <c r="BN5275" s="192"/>
      <c r="BO5275" s="197"/>
      <c r="BP5275" s="197"/>
      <c r="BQ5275" s="197"/>
    </row>
    <row r="5276" spans="66:69" x14ac:dyDescent="0.2">
      <c r="BN5276" s="192"/>
      <c r="BO5276" s="197"/>
      <c r="BP5276" s="197"/>
      <c r="BQ5276" s="197"/>
    </row>
    <row r="5277" spans="66:69" x14ac:dyDescent="0.2">
      <c r="BN5277" s="192"/>
      <c r="BO5277" s="197"/>
      <c r="BP5277" s="197"/>
      <c r="BQ5277" s="197"/>
    </row>
    <row r="5278" spans="66:69" x14ac:dyDescent="0.2">
      <c r="BN5278" s="192"/>
      <c r="BO5278" s="197"/>
      <c r="BP5278" s="197"/>
      <c r="BQ5278" s="197"/>
    </row>
    <row r="5279" spans="66:69" x14ac:dyDescent="0.2">
      <c r="BN5279" s="192"/>
      <c r="BO5279" s="197"/>
      <c r="BP5279" s="197"/>
      <c r="BQ5279" s="197"/>
    </row>
    <row r="5280" spans="66:69" x14ac:dyDescent="0.2">
      <c r="BN5280" s="192"/>
      <c r="BO5280" s="197"/>
      <c r="BP5280" s="197"/>
      <c r="BQ5280" s="197"/>
    </row>
    <row r="5281" spans="66:69" x14ac:dyDescent="0.2">
      <c r="BN5281" s="192"/>
      <c r="BO5281" s="197"/>
      <c r="BP5281" s="197"/>
      <c r="BQ5281" s="197"/>
    </row>
    <row r="5282" spans="66:69" x14ac:dyDescent="0.2">
      <c r="BN5282" s="192"/>
      <c r="BO5282" s="197"/>
      <c r="BP5282" s="197"/>
      <c r="BQ5282" s="197"/>
    </row>
    <row r="5283" spans="66:69" x14ac:dyDescent="0.2">
      <c r="BN5283" s="192"/>
      <c r="BO5283" s="197"/>
      <c r="BP5283" s="197"/>
      <c r="BQ5283" s="197"/>
    </row>
    <row r="5284" spans="66:69" x14ac:dyDescent="0.2">
      <c r="BN5284" s="192"/>
      <c r="BO5284" s="197"/>
      <c r="BP5284" s="197"/>
      <c r="BQ5284" s="197"/>
    </row>
    <row r="5285" spans="66:69" x14ac:dyDescent="0.2">
      <c r="BN5285" s="192"/>
      <c r="BO5285" s="197"/>
      <c r="BP5285" s="197"/>
      <c r="BQ5285" s="197"/>
    </row>
    <row r="5286" spans="66:69" x14ac:dyDescent="0.2">
      <c r="BN5286" s="192"/>
      <c r="BO5286" s="197"/>
      <c r="BP5286" s="197"/>
      <c r="BQ5286" s="197"/>
    </row>
    <row r="5287" spans="66:69" x14ac:dyDescent="0.2">
      <c r="BN5287" s="192"/>
      <c r="BO5287" s="197"/>
      <c r="BP5287" s="197"/>
      <c r="BQ5287" s="197"/>
    </row>
    <row r="5288" spans="66:69" x14ac:dyDescent="0.2">
      <c r="BN5288" s="192"/>
      <c r="BO5288" s="197"/>
      <c r="BP5288" s="197"/>
      <c r="BQ5288" s="197"/>
    </row>
    <row r="5289" spans="66:69" x14ac:dyDescent="0.2">
      <c r="BN5289" s="192"/>
      <c r="BO5289" s="197"/>
      <c r="BP5289" s="197"/>
      <c r="BQ5289" s="197"/>
    </row>
    <row r="5290" spans="66:69" x14ac:dyDescent="0.2">
      <c r="BN5290" s="192"/>
      <c r="BO5290" s="197"/>
      <c r="BP5290" s="197"/>
      <c r="BQ5290" s="197"/>
    </row>
    <row r="5291" spans="66:69" x14ac:dyDescent="0.2">
      <c r="BN5291" s="192"/>
      <c r="BO5291" s="197"/>
      <c r="BP5291" s="197"/>
      <c r="BQ5291" s="197"/>
    </row>
    <row r="5292" spans="66:69" x14ac:dyDescent="0.2">
      <c r="BN5292" s="192"/>
      <c r="BO5292" s="197"/>
      <c r="BP5292" s="197"/>
      <c r="BQ5292" s="197"/>
    </row>
    <row r="5293" spans="66:69" x14ac:dyDescent="0.2">
      <c r="BN5293" s="192"/>
      <c r="BO5293" s="197"/>
      <c r="BP5293" s="197"/>
      <c r="BQ5293" s="197"/>
    </row>
    <row r="5294" spans="66:69" x14ac:dyDescent="0.2">
      <c r="BN5294" s="192"/>
      <c r="BO5294" s="197"/>
      <c r="BP5294" s="197"/>
      <c r="BQ5294" s="197"/>
    </row>
    <row r="5295" spans="66:69" x14ac:dyDescent="0.2">
      <c r="BN5295" s="192"/>
      <c r="BO5295" s="197"/>
      <c r="BP5295" s="197"/>
      <c r="BQ5295" s="197"/>
    </row>
    <row r="5296" spans="66:69" x14ac:dyDescent="0.2">
      <c r="BN5296" s="192"/>
      <c r="BO5296" s="197"/>
      <c r="BP5296" s="197"/>
      <c r="BQ5296" s="197"/>
    </row>
    <row r="5297" spans="66:69" x14ac:dyDescent="0.2">
      <c r="BN5297" s="192"/>
      <c r="BO5297" s="197"/>
      <c r="BP5297" s="197"/>
      <c r="BQ5297" s="197"/>
    </row>
    <row r="5298" spans="66:69" x14ac:dyDescent="0.2">
      <c r="BN5298" s="192"/>
      <c r="BO5298" s="197"/>
      <c r="BP5298" s="197"/>
      <c r="BQ5298" s="197"/>
    </row>
    <row r="5299" spans="66:69" x14ac:dyDescent="0.2">
      <c r="BN5299" s="192"/>
      <c r="BO5299" s="197"/>
      <c r="BP5299" s="197"/>
      <c r="BQ5299" s="197"/>
    </row>
    <row r="5300" spans="66:69" x14ac:dyDescent="0.2">
      <c r="BN5300" s="192"/>
      <c r="BO5300" s="197"/>
      <c r="BP5300" s="197"/>
      <c r="BQ5300" s="197"/>
    </row>
    <row r="5301" spans="66:69" x14ac:dyDescent="0.2">
      <c r="BN5301" s="192"/>
      <c r="BO5301" s="197"/>
      <c r="BP5301" s="197"/>
      <c r="BQ5301" s="197"/>
    </row>
    <row r="5302" spans="66:69" x14ac:dyDescent="0.2">
      <c r="BN5302" s="192"/>
      <c r="BO5302" s="197"/>
      <c r="BP5302" s="197"/>
      <c r="BQ5302" s="197"/>
    </row>
    <row r="5303" spans="66:69" x14ac:dyDescent="0.2">
      <c r="BN5303" s="192"/>
      <c r="BO5303" s="197"/>
      <c r="BP5303" s="197"/>
      <c r="BQ5303" s="197"/>
    </row>
    <row r="5304" spans="66:69" x14ac:dyDescent="0.2">
      <c r="BN5304" s="192"/>
      <c r="BO5304" s="197"/>
      <c r="BP5304" s="197"/>
      <c r="BQ5304" s="197"/>
    </row>
    <row r="5305" spans="66:69" x14ac:dyDescent="0.2">
      <c r="BN5305" s="192"/>
      <c r="BO5305" s="197"/>
      <c r="BP5305" s="197"/>
      <c r="BQ5305" s="197"/>
    </row>
    <row r="5306" spans="66:69" x14ac:dyDescent="0.2">
      <c r="BN5306" s="192"/>
      <c r="BO5306" s="197"/>
      <c r="BP5306" s="197"/>
      <c r="BQ5306" s="197"/>
    </row>
    <row r="5307" spans="66:69" x14ac:dyDescent="0.2">
      <c r="BN5307" s="192"/>
      <c r="BO5307" s="197"/>
      <c r="BP5307" s="197"/>
      <c r="BQ5307" s="197"/>
    </row>
    <row r="5308" spans="66:69" x14ac:dyDescent="0.2">
      <c r="BN5308" s="192"/>
      <c r="BO5308" s="197"/>
      <c r="BP5308" s="197"/>
      <c r="BQ5308" s="197"/>
    </row>
    <row r="5309" spans="66:69" x14ac:dyDescent="0.2">
      <c r="BN5309" s="192"/>
      <c r="BO5309" s="197"/>
      <c r="BP5309" s="197"/>
      <c r="BQ5309" s="197"/>
    </row>
    <row r="5310" spans="66:69" x14ac:dyDescent="0.2">
      <c r="BN5310" s="192"/>
      <c r="BO5310" s="197"/>
      <c r="BP5310" s="197"/>
      <c r="BQ5310" s="197"/>
    </row>
    <row r="5311" spans="66:69" x14ac:dyDescent="0.2">
      <c r="BN5311" s="192"/>
      <c r="BO5311" s="197"/>
      <c r="BP5311" s="197"/>
      <c r="BQ5311" s="197"/>
    </row>
    <row r="5312" spans="66:69" x14ac:dyDescent="0.2">
      <c r="BN5312" s="192"/>
      <c r="BO5312" s="197"/>
      <c r="BP5312" s="197"/>
      <c r="BQ5312" s="197"/>
    </row>
    <row r="5313" spans="66:69" x14ac:dyDescent="0.2">
      <c r="BN5313" s="192"/>
      <c r="BO5313" s="197"/>
      <c r="BP5313" s="197"/>
      <c r="BQ5313" s="197"/>
    </row>
    <row r="5314" spans="66:69" x14ac:dyDescent="0.2">
      <c r="BN5314" s="192"/>
      <c r="BO5314" s="197"/>
      <c r="BP5314" s="197"/>
      <c r="BQ5314" s="197"/>
    </row>
    <row r="5315" spans="66:69" x14ac:dyDescent="0.2">
      <c r="BN5315" s="192"/>
      <c r="BO5315" s="197"/>
      <c r="BP5315" s="197"/>
      <c r="BQ5315" s="197"/>
    </row>
    <row r="5316" spans="66:69" x14ac:dyDescent="0.2">
      <c r="BN5316" s="192"/>
      <c r="BO5316" s="197"/>
      <c r="BP5316" s="197"/>
      <c r="BQ5316" s="197"/>
    </row>
    <row r="5317" spans="66:69" x14ac:dyDescent="0.2">
      <c r="BN5317" s="192"/>
      <c r="BO5317" s="197"/>
      <c r="BP5317" s="197"/>
      <c r="BQ5317" s="197"/>
    </row>
    <row r="5318" spans="66:69" x14ac:dyDescent="0.2">
      <c r="BN5318" s="192"/>
      <c r="BO5318" s="197"/>
      <c r="BP5318" s="197"/>
      <c r="BQ5318" s="197"/>
    </row>
    <row r="5319" spans="66:69" x14ac:dyDescent="0.2">
      <c r="BN5319" s="192"/>
      <c r="BO5319" s="197"/>
      <c r="BP5319" s="197"/>
      <c r="BQ5319" s="197"/>
    </row>
    <row r="5320" spans="66:69" x14ac:dyDescent="0.2">
      <c r="BN5320" s="192"/>
      <c r="BO5320" s="197"/>
      <c r="BP5320" s="197"/>
      <c r="BQ5320" s="197"/>
    </row>
    <row r="5321" spans="66:69" x14ac:dyDescent="0.2">
      <c r="BN5321" s="192"/>
      <c r="BO5321" s="197"/>
      <c r="BP5321" s="197"/>
      <c r="BQ5321" s="197"/>
    </row>
    <row r="5322" spans="66:69" x14ac:dyDescent="0.2">
      <c r="BN5322" s="192"/>
      <c r="BO5322" s="197"/>
      <c r="BP5322" s="197"/>
      <c r="BQ5322" s="197"/>
    </row>
    <row r="5323" spans="66:69" x14ac:dyDescent="0.2">
      <c r="BN5323" s="192"/>
      <c r="BO5323" s="197"/>
      <c r="BP5323" s="197"/>
      <c r="BQ5323" s="197"/>
    </row>
    <row r="5324" spans="66:69" x14ac:dyDescent="0.2">
      <c r="BN5324" s="192"/>
      <c r="BO5324" s="197"/>
      <c r="BP5324" s="197"/>
      <c r="BQ5324" s="197"/>
    </row>
    <row r="5325" spans="66:69" x14ac:dyDescent="0.2">
      <c r="BN5325" s="192"/>
      <c r="BO5325" s="197"/>
      <c r="BP5325" s="197"/>
      <c r="BQ5325" s="197"/>
    </row>
    <row r="5326" spans="66:69" x14ac:dyDescent="0.2">
      <c r="BN5326" s="192"/>
      <c r="BO5326" s="197"/>
      <c r="BP5326" s="197"/>
      <c r="BQ5326" s="197"/>
    </row>
    <row r="5327" spans="66:69" x14ac:dyDescent="0.2">
      <c r="BN5327" s="192"/>
      <c r="BO5327" s="197"/>
      <c r="BP5327" s="197"/>
      <c r="BQ5327" s="197"/>
    </row>
    <row r="5328" spans="66:69" x14ac:dyDescent="0.2">
      <c r="BN5328" s="192"/>
      <c r="BO5328" s="197"/>
      <c r="BP5328" s="197"/>
      <c r="BQ5328" s="197"/>
    </row>
    <row r="5329" spans="66:69" x14ac:dyDescent="0.2">
      <c r="BN5329" s="192"/>
      <c r="BO5329" s="197"/>
      <c r="BP5329" s="197"/>
      <c r="BQ5329" s="197"/>
    </row>
    <row r="5330" spans="66:69" x14ac:dyDescent="0.2">
      <c r="BN5330" s="192"/>
      <c r="BO5330" s="197"/>
      <c r="BP5330" s="197"/>
      <c r="BQ5330" s="197"/>
    </row>
    <row r="5331" spans="66:69" x14ac:dyDescent="0.2">
      <c r="BN5331" s="192"/>
      <c r="BO5331" s="197"/>
      <c r="BP5331" s="197"/>
      <c r="BQ5331" s="197"/>
    </row>
    <row r="5332" spans="66:69" x14ac:dyDescent="0.2">
      <c r="BN5332" s="192"/>
      <c r="BO5332" s="197"/>
      <c r="BP5332" s="197"/>
      <c r="BQ5332" s="197"/>
    </row>
    <row r="5333" spans="66:69" x14ac:dyDescent="0.2">
      <c r="BN5333" s="192"/>
      <c r="BO5333" s="197"/>
      <c r="BP5333" s="197"/>
      <c r="BQ5333" s="197"/>
    </row>
    <row r="5334" spans="66:69" x14ac:dyDescent="0.2">
      <c r="BN5334" s="192"/>
      <c r="BO5334" s="197"/>
      <c r="BP5334" s="197"/>
      <c r="BQ5334" s="197"/>
    </row>
    <row r="5335" spans="66:69" x14ac:dyDescent="0.2">
      <c r="BN5335" s="192"/>
      <c r="BO5335" s="197"/>
      <c r="BP5335" s="197"/>
      <c r="BQ5335" s="197"/>
    </row>
    <row r="5336" spans="66:69" x14ac:dyDescent="0.2">
      <c r="BN5336" s="192"/>
      <c r="BO5336" s="197"/>
      <c r="BP5336" s="197"/>
      <c r="BQ5336" s="197"/>
    </row>
    <row r="5337" spans="66:69" x14ac:dyDescent="0.2">
      <c r="BN5337" s="192"/>
      <c r="BO5337" s="197"/>
      <c r="BP5337" s="197"/>
      <c r="BQ5337" s="197"/>
    </row>
    <row r="5338" spans="66:69" x14ac:dyDescent="0.2">
      <c r="BN5338" s="192"/>
      <c r="BO5338" s="197"/>
      <c r="BP5338" s="197"/>
      <c r="BQ5338" s="197"/>
    </row>
    <row r="5339" spans="66:69" x14ac:dyDescent="0.2">
      <c r="BN5339" s="192"/>
      <c r="BO5339" s="197"/>
      <c r="BP5339" s="197"/>
      <c r="BQ5339" s="197"/>
    </row>
    <row r="5340" spans="66:69" x14ac:dyDescent="0.2">
      <c r="BN5340" s="192"/>
      <c r="BO5340" s="197"/>
      <c r="BP5340" s="197"/>
      <c r="BQ5340" s="197"/>
    </row>
    <row r="5341" spans="66:69" x14ac:dyDescent="0.2">
      <c r="BN5341" s="192"/>
      <c r="BO5341" s="197"/>
      <c r="BP5341" s="197"/>
      <c r="BQ5341" s="197"/>
    </row>
    <row r="5342" spans="66:69" x14ac:dyDescent="0.2">
      <c r="BN5342" s="192"/>
      <c r="BO5342" s="197"/>
      <c r="BP5342" s="197"/>
      <c r="BQ5342" s="197"/>
    </row>
    <row r="5343" spans="66:69" x14ac:dyDescent="0.2">
      <c r="BN5343" s="192"/>
      <c r="BO5343" s="197"/>
      <c r="BP5343" s="197"/>
      <c r="BQ5343" s="197"/>
    </row>
    <row r="5344" spans="66:69" x14ac:dyDescent="0.2">
      <c r="BN5344" s="192"/>
      <c r="BO5344" s="197"/>
      <c r="BP5344" s="197"/>
      <c r="BQ5344" s="197"/>
    </row>
    <row r="5345" spans="66:69" x14ac:dyDescent="0.2">
      <c r="BN5345" s="192"/>
      <c r="BO5345" s="197"/>
      <c r="BP5345" s="197"/>
      <c r="BQ5345" s="197"/>
    </row>
    <row r="5346" spans="66:69" x14ac:dyDescent="0.2">
      <c r="BN5346" s="192"/>
      <c r="BO5346" s="197"/>
      <c r="BP5346" s="197"/>
      <c r="BQ5346" s="197"/>
    </row>
    <row r="5347" spans="66:69" x14ac:dyDescent="0.2">
      <c r="BN5347" s="192"/>
      <c r="BO5347" s="197"/>
      <c r="BP5347" s="197"/>
      <c r="BQ5347" s="197"/>
    </row>
    <row r="5348" spans="66:69" x14ac:dyDescent="0.2">
      <c r="BN5348" s="192"/>
      <c r="BO5348" s="197"/>
      <c r="BP5348" s="197"/>
      <c r="BQ5348" s="197"/>
    </row>
    <row r="5349" spans="66:69" x14ac:dyDescent="0.2">
      <c r="BN5349" s="192"/>
      <c r="BO5349" s="197"/>
      <c r="BP5349" s="197"/>
      <c r="BQ5349" s="197"/>
    </row>
    <row r="5350" spans="66:69" x14ac:dyDescent="0.2">
      <c r="BN5350" s="192"/>
      <c r="BO5350" s="197"/>
      <c r="BP5350" s="197"/>
      <c r="BQ5350" s="197"/>
    </row>
    <row r="5351" spans="66:69" x14ac:dyDescent="0.2">
      <c r="BN5351" s="192"/>
      <c r="BO5351" s="197"/>
      <c r="BP5351" s="197"/>
      <c r="BQ5351" s="197"/>
    </row>
    <row r="5352" spans="66:69" x14ac:dyDescent="0.2">
      <c r="BN5352" s="192"/>
      <c r="BO5352" s="197"/>
      <c r="BP5352" s="197"/>
      <c r="BQ5352" s="197"/>
    </row>
    <row r="5353" spans="66:69" x14ac:dyDescent="0.2">
      <c r="BN5353" s="192"/>
      <c r="BO5353" s="197"/>
      <c r="BP5353" s="197"/>
      <c r="BQ5353" s="197"/>
    </row>
    <row r="5354" spans="66:69" x14ac:dyDescent="0.2">
      <c r="BN5354" s="192"/>
      <c r="BO5354" s="197"/>
      <c r="BP5354" s="197"/>
      <c r="BQ5354" s="197"/>
    </row>
    <row r="5355" spans="66:69" x14ac:dyDescent="0.2">
      <c r="BN5355" s="192"/>
      <c r="BO5355" s="197"/>
      <c r="BP5355" s="197"/>
      <c r="BQ5355" s="197"/>
    </row>
    <row r="5356" spans="66:69" x14ac:dyDescent="0.2">
      <c r="BN5356" s="192"/>
      <c r="BO5356" s="197"/>
      <c r="BP5356" s="197"/>
      <c r="BQ5356" s="197"/>
    </row>
    <row r="5357" spans="66:69" x14ac:dyDescent="0.2">
      <c r="BN5357" s="192"/>
      <c r="BO5357" s="197"/>
      <c r="BP5357" s="197"/>
      <c r="BQ5357" s="197"/>
    </row>
    <row r="5358" spans="66:69" x14ac:dyDescent="0.2">
      <c r="BN5358" s="192"/>
      <c r="BO5358" s="197"/>
      <c r="BP5358" s="197"/>
      <c r="BQ5358" s="197"/>
    </row>
    <row r="5359" spans="66:69" x14ac:dyDescent="0.2">
      <c r="BN5359" s="192"/>
      <c r="BO5359" s="197"/>
      <c r="BP5359" s="197"/>
      <c r="BQ5359" s="197"/>
    </row>
    <row r="5360" spans="66:69" x14ac:dyDescent="0.2">
      <c r="BN5360" s="192"/>
      <c r="BO5360" s="197"/>
      <c r="BP5360" s="197"/>
      <c r="BQ5360" s="197"/>
    </row>
    <row r="5361" spans="66:69" x14ac:dyDescent="0.2">
      <c r="BN5361" s="192"/>
      <c r="BO5361" s="197"/>
      <c r="BP5361" s="197"/>
      <c r="BQ5361" s="197"/>
    </row>
    <row r="5362" spans="66:69" x14ac:dyDescent="0.2">
      <c r="BN5362" s="192"/>
      <c r="BO5362" s="197"/>
      <c r="BP5362" s="197"/>
      <c r="BQ5362" s="197"/>
    </row>
    <row r="5363" spans="66:69" x14ac:dyDescent="0.2">
      <c r="BN5363" s="192"/>
      <c r="BO5363" s="197"/>
      <c r="BP5363" s="197"/>
      <c r="BQ5363" s="197"/>
    </row>
    <row r="5364" spans="66:69" x14ac:dyDescent="0.2">
      <c r="BN5364" s="192"/>
      <c r="BO5364" s="197"/>
      <c r="BP5364" s="197"/>
      <c r="BQ5364" s="197"/>
    </row>
    <row r="5365" spans="66:69" x14ac:dyDescent="0.2">
      <c r="BN5365" s="192"/>
      <c r="BO5365" s="197"/>
      <c r="BP5365" s="197"/>
      <c r="BQ5365" s="197"/>
    </row>
    <row r="5366" spans="66:69" x14ac:dyDescent="0.2">
      <c r="BN5366" s="192"/>
      <c r="BO5366" s="197"/>
      <c r="BP5366" s="197"/>
      <c r="BQ5366" s="197"/>
    </row>
    <row r="5367" spans="66:69" x14ac:dyDescent="0.2">
      <c r="BN5367" s="192"/>
      <c r="BO5367" s="197"/>
      <c r="BP5367" s="197"/>
      <c r="BQ5367" s="197"/>
    </row>
    <row r="5368" spans="66:69" x14ac:dyDescent="0.2">
      <c r="BN5368" s="192"/>
      <c r="BO5368" s="197"/>
      <c r="BP5368" s="197"/>
      <c r="BQ5368" s="197"/>
    </row>
    <row r="5369" spans="66:69" x14ac:dyDescent="0.2">
      <c r="BN5369" s="192"/>
      <c r="BO5369" s="197"/>
      <c r="BP5369" s="197"/>
      <c r="BQ5369" s="197"/>
    </row>
    <row r="5370" spans="66:69" x14ac:dyDescent="0.2">
      <c r="BN5370" s="192"/>
      <c r="BO5370" s="197"/>
      <c r="BP5370" s="197"/>
      <c r="BQ5370" s="197"/>
    </row>
    <row r="5371" spans="66:69" x14ac:dyDescent="0.2">
      <c r="BN5371" s="192"/>
      <c r="BO5371" s="197"/>
      <c r="BP5371" s="197"/>
      <c r="BQ5371" s="197"/>
    </row>
    <row r="5372" spans="66:69" x14ac:dyDescent="0.2">
      <c r="BN5372" s="192"/>
      <c r="BO5372" s="197"/>
      <c r="BP5372" s="197"/>
      <c r="BQ5372" s="197"/>
    </row>
    <row r="5373" spans="66:69" x14ac:dyDescent="0.2">
      <c r="BN5373" s="192"/>
      <c r="BO5373" s="197"/>
      <c r="BP5373" s="197"/>
      <c r="BQ5373" s="197"/>
    </row>
    <row r="5374" spans="66:69" x14ac:dyDescent="0.2">
      <c r="BN5374" s="192"/>
      <c r="BO5374" s="197"/>
      <c r="BP5374" s="197"/>
      <c r="BQ5374" s="197"/>
    </row>
    <row r="5375" spans="66:69" x14ac:dyDescent="0.2">
      <c r="BN5375" s="192"/>
      <c r="BO5375" s="197"/>
      <c r="BP5375" s="197"/>
      <c r="BQ5375" s="197"/>
    </row>
    <row r="5376" spans="66:69" x14ac:dyDescent="0.2">
      <c r="BN5376" s="192"/>
      <c r="BO5376" s="197"/>
      <c r="BP5376" s="197"/>
      <c r="BQ5376" s="197"/>
    </row>
    <row r="5377" spans="66:69" x14ac:dyDescent="0.2">
      <c r="BN5377" s="192"/>
      <c r="BO5377" s="197"/>
      <c r="BP5377" s="197"/>
      <c r="BQ5377" s="197"/>
    </row>
    <row r="5378" spans="66:69" x14ac:dyDescent="0.2">
      <c r="BN5378" s="192"/>
      <c r="BO5378" s="197"/>
      <c r="BP5378" s="197"/>
      <c r="BQ5378" s="197"/>
    </row>
    <row r="5379" spans="66:69" x14ac:dyDescent="0.2">
      <c r="BN5379" s="192"/>
      <c r="BO5379" s="197"/>
      <c r="BP5379" s="197"/>
      <c r="BQ5379" s="197"/>
    </row>
    <row r="5380" spans="66:69" x14ac:dyDescent="0.2">
      <c r="BN5380" s="192"/>
      <c r="BO5380" s="197"/>
      <c r="BP5380" s="197"/>
      <c r="BQ5380" s="197"/>
    </row>
    <row r="5381" spans="66:69" x14ac:dyDescent="0.2">
      <c r="BN5381" s="192"/>
      <c r="BO5381" s="197"/>
      <c r="BP5381" s="197"/>
      <c r="BQ5381" s="197"/>
    </row>
    <row r="5382" spans="66:69" x14ac:dyDescent="0.2">
      <c r="BN5382" s="192"/>
      <c r="BO5382" s="197"/>
      <c r="BP5382" s="197"/>
      <c r="BQ5382" s="197"/>
    </row>
    <row r="5383" spans="66:69" x14ac:dyDescent="0.2">
      <c r="BN5383" s="192"/>
      <c r="BO5383" s="197"/>
      <c r="BP5383" s="197"/>
      <c r="BQ5383" s="197"/>
    </row>
    <row r="5384" spans="66:69" x14ac:dyDescent="0.2">
      <c r="BN5384" s="192"/>
      <c r="BO5384" s="197"/>
      <c r="BP5384" s="197"/>
      <c r="BQ5384" s="197"/>
    </row>
    <row r="5385" spans="66:69" x14ac:dyDescent="0.2">
      <c r="BN5385" s="192"/>
      <c r="BO5385" s="197"/>
      <c r="BP5385" s="197"/>
      <c r="BQ5385" s="197"/>
    </row>
    <row r="5386" spans="66:69" x14ac:dyDescent="0.2">
      <c r="BN5386" s="192"/>
      <c r="BO5386" s="197"/>
      <c r="BP5386" s="197"/>
      <c r="BQ5386" s="197"/>
    </row>
    <row r="5387" spans="66:69" x14ac:dyDescent="0.2">
      <c r="BN5387" s="192"/>
      <c r="BO5387" s="197"/>
      <c r="BP5387" s="197"/>
      <c r="BQ5387" s="197"/>
    </row>
    <row r="5388" spans="66:69" x14ac:dyDescent="0.2">
      <c r="BN5388" s="192"/>
      <c r="BO5388" s="197"/>
      <c r="BP5388" s="197"/>
      <c r="BQ5388" s="197"/>
    </row>
    <row r="5389" spans="66:69" x14ac:dyDescent="0.2">
      <c r="BN5389" s="192"/>
      <c r="BO5389" s="197"/>
      <c r="BP5389" s="197"/>
      <c r="BQ5389" s="197"/>
    </row>
    <row r="5390" spans="66:69" x14ac:dyDescent="0.2">
      <c r="BN5390" s="192"/>
      <c r="BO5390" s="197"/>
      <c r="BP5390" s="197"/>
      <c r="BQ5390" s="197"/>
    </row>
    <row r="5391" spans="66:69" x14ac:dyDescent="0.2">
      <c r="BN5391" s="192"/>
      <c r="BO5391" s="197"/>
      <c r="BP5391" s="197"/>
      <c r="BQ5391" s="197"/>
    </row>
    <row r="5392" spans="66:69" x14ac:dyDescent="0.2">
      <c r="BN5392" s="192"/>
      <c r="BO5392" s="197"/>
      <c r="BP5392" s="197"/>
      <c r="BQ5392" s="197"/>
    </row>
    <row r="5393" spans="66:69" x14ac:dyDescent="0.2">
      <c r="BN5393" s="192"/>
      <c r="BO5393" s="197"/>
      <c r="BP5393" s="197"/>
      <c r="BQ5393" s="197"/>
    </row>
    <row r="5394" spans="66:69" x14ac:dyDescent="0.2">
      <c r="BN5394" s="192"/>
      <c r="BO5394" s="197"/>
      <c r="BP5394" s="197"/>
      <c r="BQ5394" s="197"/>
    </row>
    <row r="5395" spans="66:69" x14ac:dyDescent="0.2">
      <c r="BN5395" s="192"/>
      <c r="BO5395" s="197"/>
      <c r="BP5395" s="197"/>
      <c r="BQ5395" s="197"/>
    </row>
    <row r="5396" spans="66:69" x14ac:dyDescent="0.2">
      <c r="BN5396" s="192"/>
      <c r="BO5396" s="197"/>
      <c r="BP5396" s="197"/>
      <c r="BQ5396" s="197"/>
    </row>
    <row r="5397" spans="66:69" x14ac:dyDescent="0.2">
      <c r="BN5397" s="192"/>
      <c r="BO5397" s="197"/>
      <c r="BP5397" s="197"/>
      <c r="BQ5397" s="197"/>
    </row>
    <row r="5398" spans="66:69" x14ac:dyDescent="0.2">
      <c r="BN5398" s="192"/>
      <c r="BO5398" s="197"/>
      <c r="BP5398" s="197"/>
      <c r="BQ5398" s="197"/>
    </row>
    <row r="5399" spans="66:69" x14ac:dyDescent="0.2">
      <c r="BN5399" s="192"/>
      <c r="BO5399" s="197"/>
      <c r="BP5399" s="197"/>
      <c r="BQ5399" s="197"/>
    </row>
    <row r="5400" spans="66:69" x14ac:dyDescent="0.2">
      <c r="BN5400" s="192"/>
      <c r="BO5400" s="197"/>
      <c r="BP5400" s="197"/>
      <c r="BQ5400" s="197"/>
    </row>
    <row r="5401" spans="66:69" x14ac:dyDescent="0.2">
      <c r="BN5401" s="192"/>
      <c r="BO5401" s="197"/>
      <c r="BP5401" s="197"/>
      <c r="BQ5401" s="197"/>
    </row>
    <row r="5402" spans="66:69" x14ac:dyDescent="0.2">
      <c r="BN5402" s="192"/>
      <c r="BO5402" s="197"/>
      <c r="BP5402" s="197"/>
      <c r="BQ5402" s="197"/>
    </row>
    <row r="5403" spans="66:69" x14ac:dyDescent="0.2">
      <c r="BN5403" s="192"/>
      <c r="BO5403" s="197"/>
      <c r="BP5403" s="197"/>
      <c r="BQ5403" s="197"/>
    </row>
    <row r="5404" spans="66:69" x14ac:dyDescent="0.2">
      <c r="BN5404" s="192"/>
      <c r="BO5404" s="197"/>
      <c r="BP5404" s="197"/>
      <c r="BQ5404" s="197"/>
    </row>
    <row r="5405" spans="66:69" x14ac:dyDescent="0.2">
      <c r="BN5405" s="192"/>
      <c r="BO5405" s="197"/>
      <c r="BP5405" s="197"/>
      <c r="BQ5405" s="197"/>
    </row>
    <row r="5406" spans="66:69" x14ac:dyDescent="0.2">
      <c r="BN5406" s="192"/>
      <c r="BO5406" s="197"/>
      <c r="BP5406" s="197"/>
      <c r="BQ5406" s="197"/>
    </row>
    <row r="5407" spans="66:69" x14ac:dyDescent="0.2">
      <c r="BN5407" s="192"/>
      <c r="BO5407" s="197"/>
      <c r="BP5407" s="197"/>
      <c r="BQ5407" s="197"/>
    </row>
    <row r="5408" spans="66:69" x14ac:dyDescent="0.2">
      <c r="BN5408" s="192"/>
      <c r="BO5408" s="197"/>
      <c r="BP5408" s="197"/>
      <c r="BQ5408" s="197"/>
    </row>
    <row r="5409" spans="66:69" x14ac:dyDescent="0.2">
      <c r="BN5409" s="192"/>
      <c r="BO5409" s="197"/>
      <c r="BP5409" s="197"/>
      <c r="BQ5409" s="197"/>
    </row>
    <row r="5410" spans="66:69" x14ac:dyDescent="0.2">
      <c r="BN5410" s="192"/>
      <c r="BO5410" s="197"/>
      <c r="BP5410" s="197"/>
      <c r="BQ5410" s="197"/>
    </row>
    <row r="5411" spans="66:69" x14ac:dyDescent="0.2">
      <c r="BN5411" s="192"/>
      <c r="BO5411" s="197"/>
      <c r="BP5411" s="197"/>
      <c r="BQ5411" s="197"/>
    </row>
    <row r="5412" spans="66:69" x14ac:dyDescent="0.2">
      <c r="BN5412" s="192"/>
      <c r="BO5412" s="197"/>
      <c r="BP5412" s="197"/>
      <c r="BQ5412" s="197"/>
    </row>
    <row r="5413" spans="66:69" x14ac:dyDescent="0.2">
      <c r="BN5413" s="192"/>
      <c r="BO5413" s="197"/>
      <c r="BP5413" s="197"/>
      <c r="BQ5413" s="197"/>
    </row>
    <row r="5414" spans="66:69" x14ac:dyDescent="0.2">
      <c r="BN5414" s="192"/>
      <c r="BO5414" s="197"/>
      <c r="BP5414" s="197"/>
      <c r="BQ5414" s="197"/>
    </row>
    <row r="5415" spans="66:69" x14ac:dyDescent="0.2">
      <c r="BN5415" s="192"/>
      <c r="BO5415" s="197"/>
      <c r="BP5415" s="197"/>
      <c r="BQ5415" s="197"/>
    </row>
    <row r="5416" spans="66:69" x14ac:dyDescent="0.2">
      <c r="BN5416" s="192"/>
      <c r="BO5416" s="197"/>
      <c r="BP5416" s="197"/>
      <c r="BQ5416" s="197"/>
    </row>
    <row r="5417" spans="66:69" x14ac:dyDescent="0.2">
      <c r="BN5417" s="192"/>
      <c r="BO5417" s="197"/>
      <c r="BP5417" s="197"/>
      <c r="BQ5417" s="197"/>
    </row>
    <row r="5418" spans="66:69" x14ac:dyDescent="0.2">
      <c r="BN5418" s="192"/>
      <c r="BO5418" s="197"/>
      <c r="BP5418" s="197"/>
      <c r="BQ5418" s="197"/>
    </row>
    <row r="5419" spans="66:69" x14ac:dyDescent="0.2">
      <c r="BN5419" s="192"/>
      <c r="BO5419" s="197"/>
      <c r="BP5419" s="197"/>
      <c r="BQ5419" s="197"/>
    </row>
    <row r="5420" spans="66:69" x14ac:dyDescent="0.2">
      <c r="BN5420" s="192"/>
      <c r="BO5420" s="197"/>
      <c r="BP5420" s="197"/>
      <c r="BQ5420" s="197"/>
    </row>
    <row r="5421" spans="66:69" x14ac:dyDescent="0.2">
      <c r="BN5421" s="192"/>
      <c r="BO5421" s="197"/>
      <c r="BP5421" s="197"/>
      <c r="BQ5421" s="197"/>
    </row>
    <row r="5422" spans="66:69" x14ac:dyDescent="0.2">
      <c r="BN5422" s="192"/>
      <c r="BO5422" s="197"/>
      <c r="BP5422" s="197"/>
      <c r="BQ5422" s="197"/>
    </row>
    <row r="5423" spans="66:69" x14ac:dyDescent="0.2">
      <c r="BN5423" s="192"/>
      <c r="BO5423" s="197"/>
      <c r="BP5423" s="197"/>
      <c r="BQ5423" s="197"/>
    </row>
    <row r="5424" spans="66:69" x14ac:dyDescent="0.2">
      <c r="BN5424" s="192"/>
      <c r="BO5424" s="197"/>
      <c r="BP5424" s="197"/>
      <c r="BQ5424" s="197"/>
    </row>
    <row r="5425" spans="66:69" x14ac:dyDescent="0.2">
      <c r="BN5425" s="192"/>
      <c r="BO5425" s="197"/>
      <c r="BP5425" s="197"/>
      <c r="BQ5425" s="197"/>
    </row>
    <row r="5426" spans="66:69" x14ac:dyDescent="0.2">
      <c r="BN5426" s="192"/>
      <c r="BO5426" s="197"/>
      <c r="BP5426" s="197"/>
      <c r="BQ5426" s="197"/>
    </row>
    <row r="5427" spans="66:69" x14ac:dyDescent="0.2">
      <c r="BN5427" s="192"/>
      <c r="BO5427" s="197"/>
      <c r="BP5427" s="197"/>
      <c r="BQ5427" s="197"/>
    </row>
    <row r="5428" spans="66:69" x14ac:dyDescent="0.2">
      <c r="BN5428" s="192"/>
      <c r="BO5428" s="197"/>
      <c r="BP5428" s="197"/>
      <c r="BQ5428" s="197"/>
    </row>
    <row r="5429" spans="66:69" x14ac:dyDescent="0.2">
      <c r="BN5429" s="192"/>
      <c r="BO5429" s="197"/>
      <c r="BP5429" s="197"/>
      <c r="BQ5429" s="197"/>
    </row>
    <row r="5430" spans="66:69" x14ac:dyDescent="0.2">
      <c r="BN5430" s="192"/>
      <c r="BO5430" s="197"/>
      <c r="BP5430" s="197"/>
      <c r="BQ5430" s="197"/>
    </row>
    <row r="5431" spans="66:69" x14ac:dyDescent="0.2">
      <c r="BN5431" s="192"/>
      <c r="BO5431" s="197"/>
      <c r="BP5431" s="197"/>
      <c r="BQ5431" s="197"/>
    </row>
    <row r="5432" spans="66:69" x14ac:dyDescent="0.2">
      <c r="BN5432" s="192"/>
      <c r="BO5432" s="197"/>
      <c r="BP5432" s="197"/>
      <c r="BQ5432" s="197"/>
    </row>
    <row r="5433" spans="66:69" x14ac:dyDescent="0.2">
      <c r="BN5433" s="192"/>
      <c r="BO5433" s="197"/>
      <c r="BP5433" s="197"/>
      <c r="BQ5433" s="197"/>
    </row>
    <row r="5434" spans="66:69" x14ac:dyDescent="0.2">
      <c r="BN5434" s="192"/>
      <c r="BO5434" s="197"/>
      <c r="BP5434" s="197"/>
      <c r="BQ5434" s="197"/>
    </row>
    <row r="5435" spans="66:69" x14ac:dyDescent="0.2">
      <c r="BN5435" s="192"/>
      <c r="BO5435" s="197"/>
      <c r="BP5435" s="197"/>
      <c r="BQ5435" s="197"/>
    </row>
    <row r="5436" spans="66:69" x14ac:dyDescent="0.2">
      <c r="BN5436" s="192"/>
      <c r="BO5436" s="197"/>
      <c r="BP5436" s="197"/>
      <c r="BQ5436" s="197"/>
    </row>
    <row r="5437" spans="66:69" x14ac:dyDescent="0.2">
      <c r="BN5437" s="192"/>
      <c r="BO5437" s="197"/>
      <c r="BP5437" s="197"/>
      <c r="BQ5437" s="197"/>
    </row>
    <row r="5438" spans="66:69" x14ac:dyDescent="0.2">
      <c r="BN5438" s="192"/>
      <c r="BO5438" s="197"/>
      <c r="BP5438" s="197"/>
      <c r="BQ5438" s="197"/>
    </row>
    <row r="5439" spans="66:69" x14ac:dyDescent="0.2">
      <c r="BN5439" s="192"/>
      <c r="BO5439" s="197"/>
      <c r="BP5439" s="197"/>
      <c r="BQ5439" s="197"/>
    </row>
    <row r="5440" spans="66:69" x14ac:dyDescent="0.2">
      <c r="BN5440" s="192"/>
      <c r="BO5440" s="197"/>
      <c r="BP5440" s="197"/>
      <c r="BQ5440" s="197"/>
    </row>
    <row r="5441" spans="66:69" x14ac:dyDescent="0.2">
      <c r="BN5441" s="192"/>
      <c r="BO5441" s="197"/>
      <c r="BP5441" s="197"/>
      <c r="BQ5441" s="197"/>
    </row>
    <row r="5442" spans="66:69" x14ac:dyDescent="0.2">
      <c r="BN5442" s="192"/>
      <c r="BO5442" s="197"/>
      <c r="BP5442" s="197"/>
      <c r="BQ5442" s="197"/>
    </row>
    <row r="5443" spans="66:69" x14ac:dyDescent="0.2">
      <c r="BN5443" s="192"/>
      <c r="BO5443" s="197"/>
      <c r="BP5443" s="197"/>
      <c r="BQ5443" s="197"/>
    </row>
    <row r="5444" spans="66:69" x14ac:dyDescent="0.2">
      <c r="BN5444" s="192"/>
      <c r="BO5444" s="197"/>
      <c r="BP5444" s="197"/>
      <c r="BQ5444" s="197"/>
    </row>
    <row r="5445" spans="66:69" x14ac:dyDescent="0.2">
      <c r="BN5445" s="192"/>
      <c r="BO5445" s="197"/>
      <c r="BP5445" s="197"/>
      <c r="BQ5445" s="197"/>
    </row>
    <row r="5446" spans="66:69" x14ac:dyDescent="0.2">
      <c r="BN5446" s="192"/>
      <c r="BO5446" s="197"/>
      <c r="BP5446" s="197"/>
      <c r="BQ5446" s="197"/>
    </row>
    <row r="5447" spans="66:69" x14ac:dyDescent="0.2">
      <c r="BN5447" s="192"/>
      <c r="BO5447" s="197"/>
      <c r="BP5447" s="197"/>
      <c r="BQ5447" s="197"/>
    </row>
    <row r="5448" spans="66:69" x14ac:dyDescent="0.2">
      <c r="BN5448" s="192"/>
      <c r="BO5448" s="197"/>
      <c r="BP5448" s="197"/>
      <c r="BQ5448" s="197"/>
    </row>
    <row r="5449" spans="66:69" x14ac:dyDescent="0.2">
      <c r="BN5449" s="192"/>
      <c r="BO5449" s="197"/>
      <c r="BP5449" s="197"/>
      <c r="BQ5449" s="197"/>
    </row>
    <row r="5450" spans="66:69" x14ac:dyDescent="0.2">
      <c r="BN5450" s="192"/>
      <c r="BO5450" s="197"/>
      <c r="BP5450" s="197"/>
      <c r="BQ5450" s="197"/>
    </row>
    <row r="5451" spans="66:69" x14ac:dyDescent="0.2">
      <c r="BN5451" s="192"/>
      <c r="BO5451" s="197"/>
      <c r="BP5451" s="197"/>
      <c r="BQ5451" s="197"/>
    </row>
    <row r="5452" spans="66:69" x14ac:dyDescent="0.2">
      <c r="BN5452" s="192"/>
      <c r="BO5452" s="197"/>
      <c r="BP5452" s="197"/>
      <c r="BQ5452" s="197"/>
    </row>
    <row r="5453" spans="66:69" x14ac:dyDescent="0.2">
      <c r="BN5453" s="192"/>
      <c r="BO5453" s="197"/>
      <c r="BP5453" s="197"/>
      <c r="BQ5453" s="197"/>
    </row>
    <row r="5454" spans="66:69" x14ac:dyDescent="0.2">
      <c r="BN5454" s="192"/>
      <c r="BO5454" s="197"/>
      <c r="BP5454" s="197"/>
      <c r="BQ5454" s="197"/>
    </row>
    <row r="5455" spans="66:69" x14ac:dyDescent="0.2">
      <c r="BN5455" s="192"/>
      <c r="BO5455" s="197"/>
      <c r="BP5455" s="197"/>
      <c r="BQ5455" s="197"/>
    </row>
    <row r="5456" spans="66:69" x14ac:dyDescent="0.2">
      <c r="BN5456" s="192"/>
      <c r="BO5456" s="197"/>
      <c r="BP5456" s="197"/>
      <c r="BQ5456" s="197"/>
    </row>
    <row r="5457" spans="66:69" x14ac:dyDescent="0.2">
      <c r="BN5457" s="192"/>
      <c r="BO5457" s="197"/>
      <c r="BP5457" s="197"/>
      <c r="BQ5457" s="197"/>
    </row>
    <row r="5458" spans="66:69" x14ac:dyDescent="0.2">
      <c r="BN5458" s="192"/>
      <c r="BO5458" s="197"/>
      <c r="BP5458" s="197"/>
      <c r="BQ5458" s="197"/>
    </row>
    <row r="5459" spans="66:69" x14ac:dyDescent="0.2">
      <c r="BN5459" s="192"/>
      <c r="BO5459" s="197"/>
      <c r="BP5459" s="197"/>
      <c r="BQ5459" s="197"/>
    </row>
    <row r="5460" spans="66:69" x14ac:dyDescent="0.2">
      <c r="BN5460" s="192"/>
      <c r="BO5460" s="197"/>
      <c r="BP5460" s="197"/>
      <c r="BQ5460" s="197"/>
    </row>
    <row r="5461" spans="66:69" x14ac:dyDescent="0.2">
      <c r="BN5461" s="192"/>
      <c r="BO5461" s="197"/>
      <c r="BP5461" s="197"/>
      <c r="BQ5461" s="197"/>
    </row>
    <row r="5462" spans="66:69" x14ac:dyDescent="0.2">
      <c r="BN5462" s="192"/>
      <c r="BO5462" s="197"/>
      <c r="BP5462" s="197"/>
      <c r="BQ5462" s="197"/>
    </row>
    <row r="5463" spans="66:69" x14ac:dyDescent="0.2">
      <c r="BN5463" s="192"/>
      <c r="BO5463" s="197"/>
      <c r="BP5463" s="197"/>
      <c r="BQ5463" s="197"/>
    </row>
    <row r="5464" spans="66:69" x14ac:dyDescent="0.2">
      <c r="BN5464" s="192"/>
      <c r="BO5464" s="197"/>
      <c r="BP5464" s="197"/>
      <c r="BQ5464" s="197"/>
    </row>
    <row r="5465" spans="66:69" x14ac:dyDescent="0.2">
      <c r="BN5465" s="192"/>
      <c r="BO5465" s="197"/>
      <c r="BP5465" s="197"/>
      <c r="BQ5465" s="197"/>
    </row>
    <row r="5466" spans="66:69" x14ac:dyDescent="0.2">
      <c r="BN5466" s="192"/>
      <c r="BO5466" s="197"/>
      <c r="BP5466" s="197"/>
      <c r="BQ5466" s="197"/>
    </row>
    <row r="5467" spans="66:69" x14ac:dyDescent="0.2">
      <c r="BN5467" s="192"/>
      <c r="BO5467" s="197"/>
      <c r="BP5467" s="197"/>
      <c r="BQ5467" s="197"/>
    </row>
    <row r="5468" spans="66:69" x14ac:dyDescent="0.2">
      <c r="BN5468" s="192"/>
      <c r="BO5468" s="197"/>
      <c r="BP5468" s="197"/>
      <c r="BQ5468" s="197"/>
    </row>
    <row r="5469" spans="66:69" x14ac:dyDescent="0.2">
      <c r="BN5469" s="192"/>
      <c r="BO5469" s="197"/>
      <c r="BP5469" s="197"/>
      <c r="BQ5469" s="197"/>
    </row>
    <row r="5470" spans="66:69" x14ac:dyDescent="0.2">
      <c r="BN5470" s="192"/>
      <c r="BO5470" s="197"/>
      <c r="BP5470" s="197"/>
      <c r="BQ5470" s="197"/>
    </row>
    <row r="5471" spans="66:69" x14ac:dyDescent="0.2">
      <c r="BN5471" s="192"/>
      <c r="BO5471" s="197"/>
      <c r="BP5471" s="197"/>
      <c r="BQ5471" s="197"/>
    </row>
    <row r="5472" spans="66:69" x14ac:dyDescent="0.2">
      <c r="BN5472" s="192"/>
      <c r="BO5472" s="197"/>
      <c r="BP5472" s="197"/>
      <c r="BQ5472" s="197"/>
    </row>
    <row r="5473" spans="66:69" x14ac:dyDescent="0.2">
      <c r="BN5473" s="192"/>
      <c r="BO5473" s="197"/>
      <c r="BP5473" s="197"/>
      <c r="BQ5473" s="197"/>
    </row>
    <row r="5474" spans="66:69" x14ac:dyDescent="0.2">
      <c r="BN5474" s="192"/>
      <c r="BO5474" s="197"/>
      <c r="BP5474" s="197"/>
      <c r="BQ5474" s="197"/>
    </row>
    <row r="5475" spans="66:69" x14ac:dyDescent="0.2">
      <c r="BN5475" s="192"/>
      <c r="BO5475" s="197"/>
      <c r="BP5475" s="197"/>
      <c r="BQ5475" s="197"/>
    </row>
    <row r="5476" spans="66:69" x14ac:dyDescent="0.2">
      <c r="BN5476" s="192"/>
      <c r="BO5476" s="197"/>
      <c r="BP5476" s="197"/>
      <c r="BQ5476" s="197"/>
    </row>
    <row r="5477" spans="66:69" x14ac:dyDescent="0.2">
      <c r="BN5477" s="192"/>
      <c r="BO5477" s="197"/>
      <c r="BP5477" s="197"/>
      <c r="BQ5477" s="197"/>
    </row>
    <row r="5478" spans="66:69" x14ac:dyDescent="0.2">
      <c r="BN5478" s="192"/>
      <c r="BO5478" s="197"/>
      <c r="BP5478" s="197"/>
      <c r="BQ5478" s="197"/>
    </row>
    <row r="5479" spans="66:69" x14ac:dyDescent="0.2">
      <c r="BN5479" s="192"/>
      <c r="BO5479" s="197"/>
      <c r="BP5479" s="197"/>
      <c r="BQ5479" s="197"/>
    </row>
    <row r="5480" spans="66:69" x14ac:dyDescent="0.2">
      <c r="BN5480" s="192"/>
      <c r="BO5480" s="197"/>
      <c r="BP5480" s="197"/>
      <c r="BQ5480" s="197"/>
    </row>
    <row r="5481" spans="66:69" x14ac:dyDescent="0.2">
      <c r="BN5481" s="192"/>
      <c r="BO5481" s="197"/>
      <c r="BP5481" s="197"/>
      <c r="BQ5481" s="197"/>
    </row>
    <row r="5482" spans="66:69" x14ac:dyDescent="0.2">
      <c r="BN5482" s="192"/>
      <c r="BO5482" s="197"/>
      <c r="BP5482" s="197"/>
      <c r="BQ5482" s="197"/>
    </row>
    <row r="5483" spans="66:69" x14ac:dyDescent="0.2">
      <c r="BN5483" s="192"/>
      <c r="BO5483" s="197"/>
      <c r="BP5483" s="197"/>
      <c r="BQ5483" s="197"/>
    </row>
    <row r="5484" spans="66:69" x14ac:dyDescent="0.2">
      <c r="BN5484" s="192"/>
      <c r="BO5484" s="197"/>
      <c r="BP5484" s="197"/>
      <c r="BQ5484" s="197"/>
    </row>
    <row r="5485" spans="66:69" x14ac:dyDescent="0.2">
      <c r="BN5485" s="192"/>
      <c r="BO5485" s="197"/>
      <c r="BP5485" s="197"/>
      <c r="BQ5485" s="197"/>
    </row>
    <row r="5486" spans="66:69" x14ac:dyDescent="0.2">
      <c r="BN5486" s="192"/>
      <c r="BO5486" s="197"/>
      <c r="BP5486" s="197"/>
      <c r="BQ5486" s="197"/>
    </row>
    <row r="5487" spans="66:69" x14ac:dyDescent="0.2">
      <c r="BN5487" s="192"/>
      <c r="BO5487" s="197"/>
      <c r="BP5487" s="197"/>
      <c r="BQ5487" s="197"/>
    </row>
    <row r="5488" spans="66:69" x14ac:dyDescent="0.2">
      <c r="BN5488" s="192"/>
      <c r="BO5488" s="197"/>
      <c r="BP5488" s="197"/>
      <c r="BQ5488" s="197"/>
    </row>
    <row r="5489" spans="66:69" x14ac:dyDescent="0.2">
      <c r="BN5489" s="192"/>
      <c r="BO5489" s="197"/>
      <c r="BP5489" s="197"/>
      <c r="BQ5489" s="197"/>
    </row>
    <row r="5490" spans="66:69" x14ac:dyDescent="0.2">
      <c r="BN5490" s="192"/>
      <c r="BO5490" s="197"/>
      <c r="BP5490" s="197"/>
      <c r="BQ5490" s="197"/>
    </row>
    <row r="5491" spans="66:69" x14ac:dyDescent="0.2">
      <c r="BN5491" s="192"/>
      <c r="BO5491" s="197"/>
      <c r="BP5491" s="197"/>
      <c r="BQ5491" s="197"/>
    </row>
    <row r="5492" spans="66:69" x14ac:dyDescent="0.2">
      <c r="BN5492" s="192"/>
      <c r="BO5492" s="197"/>
      <c r="BP5492" s="197"/>
      <c r="BQ5492" s="197"/>
    </row>
    <row r="5493" spans="66:69" x14ac:dyDescent="0.2">
      <c r="BN5493" s="192"/>
      <c r="BO5493" s="197"/>
      <c r="BP5493" s="197"/>
      <c r="BQ5493" s="197"/>
    </row>
    <row r="5494" spans="66:69" x14ac:dyDescent="0.2">
      <c r="BN5494" s="192"/>
      <c r="BO5494" s="197"/>
      <c r="BP5494" s="197"/>
      <c r="BQ5494" s="197"/>
    </row>
    <row r="5495" spans="66:69" x14ac:dyDescent="0.2">
      <c r="BN5495" s="192"/>
      <c r="BO5495" s="197"/>
      <c r="BP5495" s="197"/>
      <c r="BQ5495" s="197"/>
    </row>
    <row r="5496" spans="66:69" x14ac:dyDescent="0.2">
      <c r="BN5496" s="192"/>
      <c r="BO5496" s="197"/>
      <c r="BP5496" s="197"/>
      <c r="BQ5496" s="197"/>
    </row>
    <row r="5497" spans="66:69" x14ac:dyDescent="0.2">
      <c r="BN5497" s="192"/>
      <c r="BO5497" s="197"/>
      <c r="BP5497" s="197"/>
      <c r="BQ5497" s="197"/>
    </row>
    <row r="5498" spans="66:69" x14ac:dyDescent="0.2">
      <c r="BN5498" s="192"/>
      <c r="BO5498" s="197"/>
      <c r="BP5498" s="197"/>
      <c r="BQ5498" s="197"/>
    </row>
    <row r="5499" spans="66:69" x14ac:dyDescent="0.2">
      <c r="BN5499" s="192"/>
      <c r="BO5499" s="197"/>
      <c r="BP5499" s="197"/>
      <c r="BQ5499" s="197"/>
    </row>
    <row r="5500" spans="66:69" x14ac:dyDescent="0.2">
      <c r="BN5500" s="192"/>
      <c r="BO5500" s="197"/>
      <c r="BP5500" s="197"/>
      <c r="BQ5500" s="197"/>
    </row>
    <row r="5501" spans="66:69" x14ac:dyDescent="0.2">
      <c r="BN5501" s="192"/>
      <c r="BO5501" s="197"/>
      <c r="BP5501" s="197"/>
      <c r="BQ5501" s="197"/>
    </row>
    <row r="5502" spans="66:69" x14ac:dyDescent="0.2">
      <c r="BN5502" s="192"/>
      <c r="BO5502" s="197"/>
      <c r="BP5502" s="197"/>
      <c r="BQ5502" s="197"/>
    </row>
    <row r="5503" spans="66:69" x14ac:dyDescent="0.2">
      <c r="BN5503" s="192"/>
      <c r="BO5503" s="197"/>
      <c r="BP5503" s="197"/>
      <c r="BQ5503" s="197"/>
    </row>
    <row r="5504" spans="66:69" x14ac:dyDescent="0.2">
      <c r="BN5504" s="192"/>
      <c r="BO5504" s="197"/>
      <c r="BP5504" s="197"/>
      <c r="BQ5504" s="197"/>
    </row>
    <row r="5505" spans="66:69" x14ac:dyDescent="0.2">
      <c r="BN5505" s="192"/>
      <c r="BO5505" s="197"/>
      <c r="BP5505" s="197"/>
      <c r="BQ5505" s="197"/>
    </row>
    <row r="5506" spans="66:69" x14ac:dyDescent="0.2">
      <c r="BN5506" s="192"/>
      <c r="BO5506" s="197"/>
      <c r="BP5506" s="197"/>
      <c r="BQ5506" s="197"/>
    </row>
    <row r="5507" spans="66:69" x14ac:dyDescent="0.2">
      <c r="BN5507" s="192"/>
      <c r="BO5507" s="197"/>
      <c r="BP5507" s="197"/>
      <c r="BQ5507" s="197"/>
    </row>
    <row r="5508" spans="66:69" x14ac:dyDescent="0.2">
      <c r="BN5508" s="192"/>
      <c r="BO5508" s="197"/>
      <c r="BP5508" s="197"/>
      <c r="BQ5508" s="197"/>
    </row>
    <row r="5509" spans="66:69" x14ac:dyDescent="0.2">
      <c r="BN5509" s="192"/>
      <c r="BO5509" s="197"/>
      <c r="BP5509" s="197"/>
      <c r="BQ5509" s="197"/>
    </row>
    <row r="5510" spans="66:69" x14ac:dyDescent="0.2">
      <c r="BN5510" s="192"/>
      <c r="BO5510" s="197"/>
      <c r="BP5510" s="197"/>
      <c r="BQ5510" s="197"/>
    </row>
    <row r="5511" spans="66:69" x14ac:dyDescent="0.2">
      <c r="BN5511" s="192"/>
      <c r="BO5511" s="197"/>
      <c r="BP5511" s="197"/>
      <c r="BQ5511" s="197"/>
    </row>
    <row r="5512" spans="66:69" x14ac:dyDescent="0.2">
      <c r="BN5512" s="192"/>
      <c r="BO5512" s="197"/>
      <c r="BP5512" s="197"/>
      <c r="BQ5512" s="197"/>
    </row>
    <row r="5513" spans="66:69" x14ac:dyDescent="0.2">
      <c r="BN5513" s="192"/>
      <c r="BO5513" s="197"/>
      <c r="BP5513" s="197"/>
      <c r="BQ5513" s="197"/>
    </row>
    <row r="5514" spans="66:69" x14ac:dyDescent="0.2">
      <c r="BN5514" s="192"/>
      <c r="BO5514" s="197"/>
      <c r="BP5514" s="197"/>
      <c r="BQ5514" s="197"/>
    </row>
    <row r="5515" spans="66:69" x14ac:dyDescent="0.2">
      <c r="BN5515" s="192"/>
      <c r="BO5515" s="197"/>
      <c r="BP5515" s="197"/>
      <c r="BQ5515" s="197"/>
    </row>
    <row r="5516" spans="66:69" x14ac:dyDescent="0.2">
      <c r="BN5516" s="192"/>
      <c r="BO5516" s="197"/>
      <c r="BP5516" s="197"/>
      <c r="BQ5516" s="197"/>
    </row>
    <row r="5517" spans="66:69" x14ac:dyDescent="0.2">
      <c r="BN5517" s="192"/>
      <c r="BO5517" s="197"/>
      <c r="BP5517" s="197"/>
      <c r="BQ5517" s="197"/>
    </row>
    <row r="5518" spans="66:69" x14ac:dyDescent="0.2">
      <c r="BN5518" s="192"/>
      <c r="BO5518" s="197"/>
      <c r="BP5518" s="197"/>
      <c r="BQ5518" s="197"/>
    </row>
    <row r="5519" spans="66:69" x14ac:dyDescent="0.2">
      <c r="BN5519" s="192"/>
      <c r="BO5519" s="197"/>
      <c r="BP5519" s="197"/>
      <c r="BQ5519" s="197"/>
    </row>
    <row r="5520" spans="66:69" x14ac:dyDescent="0.2">
      <c r="BN5520" s="192"/>
      <c r="BO5520" s="197"/>
      <c r="BP5520" s="197"/>
      <c r="BQ5520" s="197"/>
    </row>
    <row r="5521" spans="66:69" x14ac:dyDescent="0.2">
      <c r="BN5521" s="192"/>
      <c r="BO5521" s="197"/>
      <c r="BP5521" s="197"/>
      <c r="BQ5521" s="197"/>
    </row>
    <row r="5522" spans="66:69" x14ac:dyDescent="0.2">
      <c r="BN5522" s="192"/>
      <c r="BO5522" s="197"/>
      <c r="BP5522" s="197"/>
      <c r="BQ5522" s="197"/>
    </row>
    <row r="5523" spans="66:69" x14ac:dyDescent="0.2">
      <c r="BN5523" s="192"/>
      <c r="BO5523" s="197"/>
      <c r="BP5523" s="197"/>
      <c r="BQ5523" s="197"/>
    </row>
    <row r="5524" spans="66:69" x14ac:dyDescent="0.2">
      <c r="BN5524" s="192"/>
      <c r="BO5524" s="197"/>
      <c r="BP5524" s="197"/>
      <c r="BQ5524" s="197"/>
    </row>
    <row r="5525" spans="66:69" x14ac:dyDescent="0.2">
      <c r="BN5525" s="192"/>
      <c r="BO5525" s="197"/>
      <c r="BP5525" s="197"/>
      <c r="BQ5525" s="197"/>
    </row>
    <row r="5526" spans="66:69" x14ac:dyDescent="0.2">
      <c r="BN5526" s="192"/>
      <c r="BO5526" s="197"/>
      <c r="BP5526" s="197"/>
      <c r="BQ5526" s="197"/>
    </row>
    <row r="5527" spans="66:69" x14ac:dyDescent="0.2">
      <c r="BN5527" s="192"/>
      <c r="BO5527" s="197"/>
      <c r="BP5527" s="197"/>
      <c r="BQ5527" s="197"/>
    </row>
    <row r="5528" spans="66:69" x14ac:dyDescent="0.2">
      <c r="BN5528" s="192"/>
      <c r="BO5528" s="197"/>
      <c r="BP5528" s="197"/>
      <c r="BQ5528" s="197"/>
    </row>
    <row r="5529" spans="66:69" x14ac:dyDescent="0.2">
      <c r="BN5529" s="192"/>
      <c r="BO5529" s="197"/>
      <c r="BP5529" s="197"/>
      <c r="BQ5529" s="197"/>
    </row>
    <row r="5530" spans="66:69" x14ac:dyDescent="0.2">
      <c r="BN5530" s="192"/>
      <c r="BO5530" s="197"/>
      <c r="BP5530" s="197"/>
      <c r="BQ5530" s="197"/>
    </row>
    <row r="5531" spans="66:69" x14ac:dyDescent="0.2">
      <c r="BN5531" s="192"/>
      <c r="BO5531" s="197"/>
      <c r="BP5531" s="197"/>
      <c r="BQ5531" s="197"/>
    </row>
    <row r="5532" spans="66:69" x14ac:dyDescent="0.2">
      <c r="BN5532" s="192"/>
      <c r="BO5532" s="197"/>
      <c r="BP5532" s="197"/>
      <c r="BQ5532" s="197"/>
    </row>
    <row r="5533" spans="66:69" x14ac:dyDescent="0.2">
      <c r="BN5533" s="192"/>
      <c r="BO5533" s="197"/>
      <c r="BP5533" s="197"/>
      <c r="BQ5533" s="197"/>
    </row>
    <row r="5534" spans="66:69" x14ac:dyDescent="0.2">
      <c r="BN5534" s="192"/>
      <c r="BO5534" s="197"/>
      <c r="BP5534" s="197"/>
      <c r="BQ5534" s="197"/>
    </row>
    <row r="5535" spans="66:69" x14ac:dyDescent="0.2">
      <c r="BN5535" s="192"/>
      <c r="BO5535" s="197"/>
      <c r="BP5535" s="197"/>
      <c r="BQ5535" s="197"/>
    </row>
    <row r="5536" spans="66:69" x14ac:dyDescent="0.2">
      <c r="BN5536" s="192"/>
      <c r="BO5536" s="197"/>
      <c r="BP5536" s="197"/>
      <c r="BQ5536" s="197"/>
    </row>
    <row r="5537" spans="66:69" x14ac:dyDescent="0.2">
      <c r="BN5537" s="192"/>
      <c r="BO5537" s="197"/>
      <c r="BP5537" s="197"/>
      <c r="BQ5537" s="197"/>
    </row>
    <row r="5538" spans="66:69" x14ac:dyDescent="0.2">
      <c r="BN5538" s="192"/>
      <c r="BO5538" s="197"/>
      <c r="BP5538" s="197"/>
      <c r="BQ5538" s="197"/>
    </row>
    <row r="5539" spans="66:69" x14ac:dyDescent="0.2">
      <c r="BN5539" s="192"/>
      <c r="BO5539" s="197"/>
      <c r="BP5539" s="197"/>
      <c r="BQ5539" s="197"/>
    </row>
    <row r="5540" spans="66:69" x14ac:dyDescent="0.2">
      <c r="BN5540" s="192"/>
      <c r="BO5540" s="197"/>
      <c r="BP5540" s="197"/>
      <c r="BQ5540" s="197"/>
    </row>
    <row r="5541" spans="66:69" x14ac:dyDescent="0.2">
      <c r="BN5541" s="192"/>
      <c r="BO5541" s="197"/>
      <c r="BP5541" s="197"/>
      <c r="BQ5541" s="197"/>
    </row>
    <row r="5542" spans="66:69" x14ac:dyDescent="0.2">
      <c r="BN5542" s="192"/>
      <c r="BO5542" s="197"/>
      <c r="BP5542" s="197"/>
      <c r="BQ5542" s="197"/>
    </row>
    <row r="5543" spans="66:69" x14ac:dyDescent="0.2">
      <c r="BN5543" s="192"/>
      <c r="BO5543" s="197"/>
      <c r="BP5543" s="197"/>
      <c r="BQ5543" s="197"/>
    </row>
    <row r="5544" spans="66:69" x14ac:dyDescent="0.2">
      <c r="BN5544" s="192"/>
      <c r="BO5544" s="197"/>
      <c r="BP5544" s="197"/>
      <c r="BQ5544" s="197"/>
    </row>
    <row r="5545" spans="66:69" x14ac:dyDescent="0.2">
      <c r="BN5545" s="192"/>
      <c r="BO5545" s="197"/>
      <c r="BP5545" s="197"/>
      <c r="BQ5545" s="197"/>
    </row>
    <row r="5546" spans="66:69" x14ac:dyDescent="0.2">
      <c r="BN5546" s="192"/>
      <c r="BO5546" s="197"/>
      <c r="BP5546" s="197"/>
      <c r="BQ5546" s="197"/>
    </row>
    <row r="5547" spans="66:69" x14ac:dyDescent="0.2">
      <c r="BN5547" s="192"/>
      <c r="BO5547" s="197"/>
      <c r="BP5547" s="197"/>
      <c r="BQ5547" s="197"/>
    </row>
    <row r="5548" spans="66:69" x14ac:dyDescent="0.2">
      <c r="BN5548" s="192"/>
      <c r="BO5548" s="197"/>
      <c r="BP5548" s="197"/>
      <c r="BQ5548" s="197"/>
    </row>
    <row r="5549" spans="66:69" x14ac:dyDescent="0.2">
      <c r="BN5549" s="192"/>
      <c r="BO5549" s="197"/>
      <c r="BP5549" s="197"/>
      <c r="BQ5549" s="197"/>
    </row>
    <row r="5550" spans="66:69" x14ac:dyDescent="0.2">
      <c r="BN5550" s="192"/>
      <c r="BO5550" s="197"/>
      <c r="BP5550" s="197"/>
      <c r="BQ5550" s="197"/>
    </row>
    <row r="5551" spans="66:69" x14ac:dyDescent="0.2">
      <c r="BN5551" s="192"/>
      <c r="BO5551" s="197"/>
      <c r="BP5551" s="197"/>
      <c r="BQ5551" s="197"/>
    </row>
    <row r="5552" spans="66:69" x14ac:dyDescent="0.2">
      <c r="BN5552" s="192"/>
      <c r="BO5552" s="197"/>
      <c r="BP5552" s="197"/>
      <c r="BQ5552" s="197"/>
    </row>
    <row r="5553" spans="66:69" x14ac:dyDescent="0.2">
      <c r="BN5553" s="192"/>
      <c r="BO5553" s="197"/>
      <c r="BP5553" s="197"/>
      <c r="BQ5553" s="197"/>
    </row>
    <row r="5554" spans="66:69" x14ac:dyDescent="0.2">
      <c r="BN5554" s="192"/>
      <c r="BO5554" s="197"/>
      <c r="BP5554" s="197"/>
      <c r="BQ5554" s="197"/>
    </row>
    <row r="5555" spans="66:69" x14ac:dyDescent="0.2">
      <c r="BN5555" s="192"/>
      <c r="BO5555" s="197"/>
      <c r="BP5555" s="197"/>
      <c r="BQ5555" s="197"/>
    </row>
    <row r="5556" spans="66:69" x14ac:dyDescent="0.2">
      <c r="BN5556" s="192"/>
      <c r="BO5556" s="197"/>
      <c r="BP5556" s="197"/>
      <c r="BQ5556" s="197"/>
    </row>
    <row r="5557" spans="66:69" x14ac:dyDescent="0.2">
      <c r="BN5557" s="192"/>
      <c r="BO5557" s="197"/>
      <c r="BP5557" s="197"/>
      <c r="BQ5557" s="197"/>
    </row>
    <row r="5558" spans="66:69" x14ac:dyDescent="0.2">
      <c r="BN5558" s="192"/>
      <c r="BO5558" s="197"/>
      <c r="BP5558" s="197"/>
      <c r="BQ5558" s="197"/>
    </row>
    <row r="5559" spans="66:69" x14ac:dyDescent="0.2">
      <c r="BN5559" s="192"/>
      <c r="BO5559" s="197"/>
      <c r="BP5559" s="197"/>
      <c r="BQ5559" s="197"/>
    </row>
    <row r="5560" spans="66:69" x14ac:dyDescent="0.2">
      <c r="BN5560" s="192"/>
      <c r="BO5560" s="197"/>
      <c r="BP5560" s="197"/>
      <c r="BQ5560" s="197"/>
    </row>
    <row r="5561" spans="66:69" x14ac:dyDescent="0.2">
      <c r="BN5561" s="192"/>
      <c r="BO5561" s="197"/>
      <c r="BP5561" s="197"/>
      <c r="BQ5561" s="197"/>
    </row>
    <row r="5562" spans="66:69" x14ac:dyDescent="0.2">
      <c r="BN5562" s="192"/>
      <c r="BO5562" s="197"/>
      <c r="BP5562" s="197"/>
      <c r="BQ5562" s="197"/>
    </row>
    <row r="5563" spans="66:69" x14ac:dyDescent="0.2">
      <c r="BN5563" s="192"/>
      <c r="BO5563" s="197"/>
      <c r="BP5563" s="197"/>
      <c r="BQ5563" s="197"/>
    </row>
    <row r="5564" spans="66:69" x14ac:dyDescent="0.2">
      <c r="BN5564" s="192"/>
      <c r="BO5564" s="197"/>
      <c r="BP5564" s="197"/>
      <c r="BQ5564" s="197"/>
    </row>
    <row r="5565" spans="66:69" x14ac:dyDescent="0.2">
      <c r="BN5565" s="192"/>
      <c r="BO5565" s="197"/>
      <c r="BP5565" s="197"/>
      <c r="BQ5565" s="197"/>
    </row>
    <row r="5566" spans="66:69" x14ac:dyDescent="0.2">
      <c r="BN5566" s="192"/>
      <c r="BO5566" s="197"/>
      <c r="BP5566" s="197"/>
      <c r="BQ5566" s="197"/>
    </row>
    <row r="5567" spans="66:69" x14ac:dyDescent="0.2">
      <c r="BN5567" s="192"/>
      <c r="BO5567" s="197"/>
      <c r="BP5567" s="197"/>
      <c r="BQ5567" s="197"/>
    </row>
    <row r="5568" spans="66:69" x14ac:dyDescent="0.2">
      <c r="BN5568" s="192"/>
      <c r="BO5568" s="197"/>
      <c r="BP5568" s="197"/>
      <c r="BQ5568" s="197"/>
    </row>
    <row r="5569" spans="66:69" x14ac:dyDescent="0.2">
      <c r="BN5569" s="192"/>
      <c r="BO5569" s="197"/>
      <c r="BP5569" s="197"/>
      <c r="BQ5569" s="197"/>
    </row>
    <row r="5570" spans="66:69" x14ac:dyDescent="0.2">
      <c r="BN5570" s="192"/>
      <c r="BO5570" s="197"/>
      <c r="BP5570" s="197"/>
      <c r="BQ5570" s="197"/>
    </row>
    <row r="5571" spans="66:69" x14ac:dyDescent="0.2">
      <c r="BN5571" s="192"/>
      <c r="BO5571" s="197"/>
      <c r="BP5571" s="197"/>
      <c r="BQ5571" s="197"/>
    </row>
    <row r="5572" spans="66:69" x14ac:dyDescent="0.2">
      <c r="BN5572" s="192"/>
      <c r="BO5572" s="197"/>
      <c r="BP5572" s="197"/>
      <c r="BQ5572" s="197"/>
    </row>
    <row r="5573" spans="66:69" x14ac:dyDescent="0.2">
      <c r="BN5573" s="192"/>
      <c r="BO5573" s="197"/>
      <c r="BP5573" s="197"/>
      <c r="BQ5573" s="197"/>
    </row>
    <row r="5574" spans="66:69" x14ac:dyDescent="0.2">
      <c r="BN5574" s="192"/>
      <c r="BO5574" s="197"/>
      <c r="BP5574" s="197"/>
      <c r="BQ5574" s="197"/>
    </row>
    <row r="5575" spans="66:69" x14ac:dyDescent="0.2">
      <c r="BN5575" s="192"/>
      <c r="BO5575" s="197"/>
      <c r="BP5575" s="197"/>
      <c r="BQ5575" s="197"/>
    </row>
    <row r="5576" spans="66:69" x14ac:dyDescent="0.2">
      <c r="BN5576" s="192"/>
      <c r="BO5576" s="197"/>
      <c r="BP5576" s="197"/>
      <c r="BQ5576" s="197"/>
    </row>
    <row r="5577" spans="66:69" x14ac:dyDescent="0.2">
      <c r="BN5577" s="192"/>
      <c r="BO5577" s="197"/>
      <c r="BP5577" s="197"/>
      <c r="BQ5577" s="197"/>
    </row>
    <row r="5578" spans="66:69" x14ac:dyDescent="0.2">
      <c r="BN5578" s="192"/>
      <c r="BO5578" s="197"/>
      <c r="BP5578" s="197"/>
      <c r="BQ5578" s="197"/>
    </row>
    <row r="5579" spans="66:69" x14ac:dyDescent="0.2">
      <c r="BN5579" s="192"/>
      <c r="BO5579" s="197"/>
      <c r="BP5579" s="197"/>
      <c r="BQ5579" s="197"/>
    </row>
    <row r="5580" spans="66:69" x14ac:dyDescent="0.2">
      <c r="BN5580" s="192"/>
      <c r="BO5580" s="197"/>
      <c r="BP5580" s="197"/>
      <c r="BQ5580" s="197"/>
    </row>
    <row r="5581" spans="66:69" x14ac:dyDescent="0.2">
      <c r="BN5581" s="192"/>
      <c r="BO5581" s="197"/>
      <c r="BP5581" s="197"/>
      <c r="BQ5581" s="197"/>
    </row>
    <row r="5582" spans="66:69" x14ac:dyDescent="0.2">
      <c r="BN5582" s="192"/>
      <c r="BO5582" s="197"/>
      <c r="BP5582" s="197"/>
      <c r="BQ5582" s="197"/>
    </row>
    <row r="5583" spans="66:69" x14ac:dyDescent="0.2">
      <c r="BN5583" s="192"/>
      <c r="BO5583" s="197"/>
      <c r="BP5583" s="197"/>
      <c r="BQ5583" s="197"/>
    </row>
    <row r="5584" spans="66:69" x14ac:dyDescent="0.2">
      <c r="BN5584" s="192"/>
      <c r="BO5584" s="197"/>
      <c r="BP5584" s="197"/>
      <c r="BQ5584" s="197"/>
    </row>
    <row r="5585" spans="66:69" x14ac:dyDescent="0.2">
      <c r="BN5585" s="192"/>
      <c r="BO5585" s="197"/>
      <c r="BP5585" s="197"/>
      <c r="BQ5585" s="197"/>
    </row>
    <row r="5586" spans="66:69" x14ac:dyDescent="0.2">
      <c r="BN5586" s="192"/>
      <c r="BO5586" s="197"/>
      <c r="BP5586" s="197"/>
      <c r="BQ5586" s="197"/>
    </row>
    <row r="5587" spans="66:69" x14ac:dyDescent="0.2">
      <c r="BN5587" s="192"/>
      <c r="BO5587" s="197"/>
      <c r="BP5587" s="197"/>
      <c r="BQ5587" s="197"/>
    </row>
    <row r="5588" spans="66:69" x14ac:dyDescent="0.2">
      <c r="BN5588" s="192"/>
      <c r="BO5588" s="197"/>
      <c r="BP5588" s="197"/>
      <c r="BQ5588" s="197"/>
    </row>
    <row r="5589" spans="66:69" x14ac:dyDescent="0.2">
      <c r="BN5589" s="192"/>
      <c r="BO5589" s="197"/>
      <c r="BP5589" s="197"/>
      <c r="BQ5589" s="197"/>
    </row>
    <row r="5590" spans="66:69" x14ac:dyDescent="0.2">
      <c r="BN5590" s="192"/>
      <c r="BO5590" s="197"/>
      <c r="BP5590" s="197"/>
      <c r="BQ5590" s="197"/>
    </row>
    <row r="5591" spans="66:69" x14ac:dyDescent="0.2">
      <c r="BN5591" s="192"/>
      <c r="BO5591" s="197"/>
      <c r="BP5591" s="197"/>
      <c r="BQ5591" s="197"/>
    </row>
    <row r="5592" spans="66:69" x14ac:dyDescent="0.2">
      <c r="BN5592" s="192"/>
      <c r="BO5592" s="197"/>
      <c r="BP5592" s="197"/>
      <c r="BQ5592" s="197"/>
    </row>
    <row r="5593" spans="66:69" x14ac:dyDescent="0.2">
      <c r="BN5593" s="192"/>
      <c r="BO5593" s="197"/>
      <c r="BP5593" s="197"/>
      <c r="BQ5593" s="197"/>
    </row>
    <row r="5594" spans="66:69" x14ac:dyDescent="0.2">
      <c r="BN5594" s="192"/>
      <c r="BO5594" s="197"/>
      <c r="BP5594" s="197"/>
      <c r="BQ5594" s="197"/>
    </row>
    <row r="5595" spans="66:69" x14ac:dyDescent="0.2">
      <c r="BN5595" s="192"/>
      <c r="BO5595" s="197"/>
      <c r="BP5595" s="197"/>
      <c r="BQ5595" s="197"/>
    </row>
    <row r="5596" spans="66:69" x14ac:dyDescent="0.2">
      <c r="BN5596" s="192"/>
      <c r="BO5596" s="197"/>
      <c r="BP5596" s="197"/>
      <c r="BQ5596" s="197"/>
    </row>
    <row r="5597" spans="66:69" x14ac:dyDescent="0.2">
      <c r="BN5597" s="192"/>
      <c r="BO5597" s="197"/>
      <c r="BP5597" s="197"/>
      <c r="BQ5597" s="197"/>
    </row>
    <row r="5598" spans="66:69" x14ac:dyDescent="0.2">
      <c r="BN5598" s="192"/>
      <c r="BO5598" s="197"/>
      <c r="BP5598" s="197"/>
      <c r="BQ5598" s="197"/>
    </row>
    <row r="5599" spans="66:69" x14ac:dyDescent="0.2">
      <c r="BN5599" s="192"/>
      <c r="BO5599" s="197"/>
      <c r="BP5599" s="197"/>
      <c r="BQ5599" s="197"/>
    </row>
    <row r="5600" spans="66:69" x14ac:dyDescent="0.2">
      <c r="BN5600" s="192"/>
      <c r="BO5600" s="197"/>
      <c r="BP5600" s="197"/>
      <c r="BQ5600" s="197"/>
    </row>
    <row r="5601" spans="66:69" x14ac:dyDescent="0.2">
      <c r="BN5601" s="192"/>
      <c r="BO5601" s="197"/>
      <c r="BP5601" s="197"/>
      <c r="BQ5601" s="197"/>
    </row>
    <row r="5602" spans="66:69" x14ac:dyDescent="0.2">
      <c r="BN5602" s="192"/>
      <c r="BO5602" s="197"/>
      <c r="BP5602" s="197"/>
      <c r="BQ5602" s="197"/>
    </row>
    <row r="5603" spans="66:69" x14ac:dyDescent="0.2">
      <c r="BN5603" s="192"/>
      <c r="BO5603" s="197"/>
      <c r="BP5603" s="197"/>
      <c r="BQ5603" s="197"/>
    </row>
    <row r="5604" spans="66:69" x14ac:dyDescent="0.2">
      <c r="BN5604" s="192"/>
      <c r="BO5604" s="197"/>
      <c r="BP5604" s="197"/>
      <c r="BQ5604" s="197"/>
    </row>
    <row r="5605" spans="66:69" x14ac:dyDescent="0.2">
      <c r="BN5605" s="192"/>
      <c r="BO5605" s="197"/>
      <c r="BP5605" s="197"/>
      <c r="BQ5605" s="197"/>
    </row>
    <row r="5606" spans="66:69" x14ac:dyDescent="0.2">
      <c r="BN5606" s="192"/>
      <c r="BO5606" s="197"/>
      <c r="BP5606" s="197"/>
      <c r="BQ5606" s="197"/>
    </row>
    <row r="5607" spans="66:69" x14ac:dyDescent="0.2">
      <c r="BN5607" s="192"/>
      <c r="BO5607" s="197"/>
      <c r="BP5607" s="197"/>
      <c r="BQ5607" s="197"/>
    </row>
    <row r="5608" spans="66:69" x14ac:dyDescent="0.2">
      <c r="BN5608" s="192"/>
      <c r="BO5608" s="197"/>
      <c r="BP5608" s="197"/>
      <c r="BQ5608" s="197"/>
    </row>
    <row r="5609" spans="66:69" x14ac:dyDescent="0.2">
      <c r="BN5609" s="192"/>
      <c r="BO5609" s="197"/>
      <c r="BP5609" s="197"/>
      <c r="BQ5609" s="197"/>
    </row>
    <row r="5610" spans="66:69" x14ac:dyDescent="0.2">
      <c r="BN5610" s="192"/>
      <c r="BO5610" s="197"/>
      <c r="BP5610" s="197"/>
      <c r="BQ5610" s="197"/>
    </row>
    <row r="5611" spans="66:69" x14ac:dyDescent="0.2">
      <c r="BN5611" s="192"/>
      <c r="BO5611" s="197"/>
      <c r="BP5611" s="197"/>
      <c r="BQ5611" s="197"/>
    </row>
    <row r="5612" spans="66:69" x14ac:dyDescent="0.2">
      <c r="BN5612" s="192"/>
      <c r="BO5612" s="197"/>
      <c r="BP5612" s="197"/>
      <c r="BQ5612" s="197"/>
    </row>
    <row r="5613" spans="66:69" x14ac:dyDescent="0.2">
      <c r="BN5613" s="192"/>
      <c r="BO5613" s="197"/>
      <c r="BP5613" s="197"/>
      <c r="BQ5613" s="197"/>
    </row>
    <row r="5614" spans="66:69" x14ac:dyDescent="0.2">
      <c r="BN5614" s="192"/>
      <c r="BO5614" s="197"/>
      <c r="BP5614" s="197"/>
      <c r="BQ5614" s="197"/>
    </row>
    <row r="5615" spans="66:69" x14ac:dyDescent="0.2">
      <c r="BN5615" s="192"/>
      <c r="BO5615" s="197"/>
      <c r="BP5615" s="197"/>
      <c r="BQ5615" s="197"/>
    </row>
    <row r="5616" spans="66:69" x14ac:dyDescent="0.2">
      <c r="BN5616" s="192"/>
      <c r="BO5616" s="197"/>
      <c r="BP5616" s="197"/>
      <c r="BQ5616" s="197"/>
    </row>
    <row r="5617" spans="66:69" x14ac:dyDescent="0.2">
      <c r="BN5617" s="192"/>
      <c r="BO5617" s="197"/>
      <c r="BP5617" s="197"/>
      <c r="BQ5617" s="197"/>
    </row>
    <row r="5618" spans="66:69" x14ac:dyDescent="0.2">
      <c r="BN5618" s="192"/>
      <c r="BO5618" s="197"/>
      <c r="BP5618" s="197"/>
      <c r="BQ5618" s="197"/>
    </row>
    <row r="5619" spans="66:69" x14ac:dyDescent="0.2">
      <c r="BN5619" s="192"/>
      <c r="BO5619" s="197"/>
      <c r="BP5619" s="197"/>
      <c r="BQ5619" s="197"/>
    </row>
    <row r="5620" spans="66:69" x14ac:dyDescent="0.2">
      <c r="BN5620" s="192"/>
      <c r="BO5620" s="197"/>
      <c r="BP5620" s="197"/>
      <c r="BQ5620" s="197"/>
    </row>
    <row r="5621" spans="66:69" x14ac:dyDescent="0.2">
      <c r="BN5621" s="192"/>
      <c r="BO5621" s="197"/>
      <c r="BP5621" s="197"/>
      <c r="BQ5621" s="197"/>
    </row>
    <row r="5622" spans="66:69" x14ac:dyDescent="0.2">
      <c r="BN5622" s="192"/>
      <c r="BO5622" s="197"/>
      <c r="BP5622" s="197"/>
      <c r="BQ5622" s="197"/>
    </row>
    <row r="5623" spans="66:69" x14ac:dyDescent="0.2">
      <c r="BN5623" s="192"/>
      <c r="BO5623" s="197"/>
      <c r="BP5623" s="197"/>
      <c r="BQ5623" s="197"/>
    </row>
    <row r="5624" spans="66:69" x14ac:dyDescent="0.2">
      <c r="BN5624" s="192"/>
      <c r="BO5624" s="197"/>
      <c r="BP5624" s="197"/>
      <c r="BQ5624" s="197"/>
    </row>
    <row r="5625" spans="66:69" x14ac:dyDescent="0.2">
      <c r="BN5625" s="192"/>
      <c r="BO5625" s="197"/>
      <c r="BP5625" s="197"/>
      <c r="BQ5625" s="197"/>
    </row>
    <row r="5626" spans="66:69" x14ac:dyDescent="0.2">
      <c r="BN5626" s="192"/>
      <c r="BO5626" s="197"/>
      <c r="BP5626" s="197"/>
      <c r="BQ5626" s="197"/>
    </row>
    <row r="5627" spans="66:69" x14ac:dyDescent="0.2">
      <c r="BN5627" s="192"/>
      <c r="BO5627" s="197"/>
      <c r="BP5627" s="197"/>
      <c r="BQ5627" s="197"/>
    </row>
    <row r="5628" spans="66:69" x14ac:dyDescent="0.2">
      <c r="BN5628" s="192"/>
      <c r="BO5628" s="197"/>
      <c r="BP5628" s="197"/>
      <c r="BQ5628" s="197"/>
    </row>
    <row r="5629" spans="66:69" x14ac:dyDescent="0.2">
      <c r="BN5629" s="192"/>
      <c r="BO5629" s="197"/>
      <c r="BP5629" s="197"/>
      <c r="BQ5629" s="197"/>
    </row>
    <row r="5630" spans="66:69" x14ac:dyDescent="0.2">
      <c r="BN5630" s="192"/>
      <c r="BO5630" s="197"/>
      <c r="BP5630" s="197"/>
      <c r="BQ5630" s="197"/>
    </row>
    <row r="5631" spans="66:69" x14ac:dyDescent="0.2">
      <c r="BN5631" s="192"/>
      <c r="BO5631" s="197"/>
      <c r="BP5631" s="197"/>
      <c r="BQ5631" s="197"/>
    </row>
    <row r="5632" spans="66:69" x14ac:dyDescent="0.2">
      <c r="BN5632" s="192"/>
      <c r="BO5632" s="197"/>
      <c r="BP5632" s="197"/>
      <c r="BQ5632" s="197"/>
    </row>
    <row r="5633" spans="66:69" x14ac:dyDescent="0.2">
      <c r="BN5633" s="192"/>
      <c r="BO5633" s="197"/>
      <c r="BP5633" s="197"/>
      <c r="BQ5633" s="197"/>
    </row>
    <row r="5634" spans="66:69" x14ac:dyDescent="0.2">
      <c r="BN5634" s="192"/>
      <c r="BO5634" s="197"/>
      <c r="BP5634" s="197"/>
      <c r="BQ5634" s="197"/>
    </row>
    <row r="5635" spans="66:69" x14ac:dyDescent="0.2">
      <c r="BN5635" s="192"/>
      <c r="BO5635" s="197"/>
      <c r="BP5635" s="197"/>
      <c r="BQ5635" s="197"/>
    </row>
    <row r="5636" spans="66:69" x14ac:dyDescent="0.2">
      <c r="BN5636" s="192"/>
      <c r="BO5636" s="197"/>
      <c r="BP5636" s="197"/>
      <c r="BQ5636" s="197"/>
    </row>
    <row r="5637" spans="66:69" x14ac:dyDescent="0.2">
      <c r="BN5637" s="192"/>
      <c r="BO5637" s="197"/>
      <c r="BP5637" s="197"/>
      <c r="BQ5637" s="197"/>
    </row>
    <row r="5638" spans="66:69" x14ac:dyDescent="0.2">
      <c r="BN5638" s="192"/>
      <c r="BO5638" s="197"/>
      <c r="BP5638" s="197"/>
      <c r="BQ5638" s="197"/>
    </row>
    <row r="5639" spans="66:69" x14ac:dyDescent="0.2">
      <c r="BN5639" s="192"/>
      <c r="BO5639" s="197"/>
      <c r="BP5639" s="197"/>
      <c r="BQ5639" s="197"/>
    </row>
    <row r="5640" spans="66:69" x14ac:dyDescent="0.2">
      <c r="BN5640" s="192"/>
      <c r="BO5640" s="197"/>
      <c r="BP5640" s="197"/>
      <c r="BQ5640" s="197"/>
    </row>
    <row r="5641" spans="66:69" x14ac:dyDescent="0.2">
      <c r="BN5641" s="192"/>
      <c r="BO5641" s="197"/>
      <c r="BP5641" s="197"/>
      <c r="BQ5641" s="197"/>
    </row>
    <row r="5642" spans="66:69" x14ac:dyDescent="0.2">
      <c r="BN5642" s="192"/>
      <c r="BO5642" s="197"/>
      <c r="BP5642" s="197"/>
      <c r="BQ5642" s="197"/>
    </row>
    <row r="5643" spans="66:69" x14ac:dyDescent="0.2">
      <c r="BN5643" s="192"/>
      <c r="BO5643" s="197"/>
      <c r="BP5643" s="197"/>
      <c r="BQ5643" s="197"/>
    </row>
    <row r="5644" spans="66:69" x14ac:dyDescent="0.2">
      <c r="BN5644" s="192"/>
      <c r="BO5644" s="197"/>
      <c r="BP5644" s="197"/>
      <c r="BQ5644" s="197"/>
    </row>
    <row r="5645" spans="66:69" x14ac:dyDescent="0.2">
      <c r="BN5645" s="192"/>
      <c r="BO5645" s="197"/>
      <c r="BP5645" s="197"/>
      <c r="BQ5645" s="197"/>
    </row>
    <row r="5646" spans="66:69" x14ac:dyDescent="0.2">
      <c r="BN5646" s="192"/>
      <c r="BO5646" s="197"/>
      <c r="BP5646" s="197"/>
      <c r="BQ5646" s="197"/>
    </row>
    <row r="5647" spans="66:69" x14ac:dyDescent="0.2">
      <c r="BN5647" s="192"/>
      <c r="BO5647" s="197"/>
      <c r="BP5647" s="197"/>
      <c r="BQ5647" s="197"/>
    </row>
    <row r="5648" spans="66:69" x14ac:dyDescent="0.2">
      <c r="BN5648" s="192"/>
      <c r="BO5648" s="197"/>
      <c r="BP5648" s="197"/>
      <c r="BQ5648" s="197"/>
    </row>
    <row r="5649" spans="66:69" x14ac:dyDescent="0.2">
      <c r="BN5649" s="192"/>
      <c r="BO5649" s="197"/>
      <c r="BP5649" s="197"/>
      <c r="BQ5649" s="197"/>
    </row>
    <row r="5650" spans="66:69" x14ac:dyDescent="0.2">
      <c r="BN5650" s="192"/>
      <c r="BO5650" s="197"/>
      <c r="BP5650" s="197"/>
      <c r="BQ5650" s="197"/>
    </row>
    <row r="5651" spans="66:69" x14ac:dyDescent="0.2">
      <c r="BN5651" s="192"/>
      <c r="BO5651" s="197"/>
      <c r="BP5651" s="197"/>
      <c r="BQ5651" s="197"/>
    </row>
    <row r="5652" spans="66:69" x14ac:dyDescent="0.2">
      <c r="BN5652" s="192"/>
      <c r="BO5652" s="197"/>
      <c r="BP5652" s="197"/>
      <c r="BQ5652" s="197"/>
    </row>
    <row r="5653" spans="66:69" x14ac:dyDescent="0.2">
      <c r="BN5653" s="192"/>
      <c r="BO5653" s="197"/>
      <c r="BP5653" s="197"/>
      <c r="BQ5653" s="197"/>
    </row>
    <row r="5654" spans="66:69" x14ac:dyDescent="0.2">
      <c r="BN5654" s="192"/>
      <c r="BO5654" s="197"/>
      <c r="BP5654" s="197"/>
      <c r="BQ5654" s="197"/>
    </row>
    <row r="5655" spans="66:69" x14ac:dyDescent="0.2">
      <c r="BN5655" s="192"/>
      <c r="BO5655" s="197"/>
      <c r="BP5655" s="197"/>
      <c r="BQ5655" s="197"/>
    </row>
    <row r="5656" spans="66:69" x14ac:dyDescent="0.2">
      <c r="BN5656" s="192"/>
      <c r="BO5656" s="197"/>
      <c r="BP5656" s="197"/>
      <c r="BQ5656" s="197"/>
    </row>
    <row r="5657" spans="66:69" x14ac:dyDescent="0.2">
      <c r="BN5657" s="192"/>
      <c r="BO5657" s="197"/>
      <c r="BP5657" s="197"/>
      <c r="BQ5657" s="197"/>
    </row>
    <row r="5658" spans="66:69" x14ac:dyDescent="0.2">
      <c r="BN5658" s="192"/>
      <c r="BO5658" s="197"/>
      <c r="BP5658" s="197"/>
      <c r="BQ5658" s="197"/>
    </row>
    <row r="5659" spans="66:69" x14ac:dyDescent="0.2">
      <c r="BN5659" s="192"/>
      <c r="BO5659" s="197"/>
      <c r="BP5659" s="197"/>
      <c r="BQ5659" s="197"/>
    </row>
    <row r="5660" spans="66:69" x14ac:dyDescent="0.2">
      <c r="BN5660" s="192"/>
      <c r="BO5660" s="197"/>
      <c r="BP5660" s="197"/>
      <c r="BQ5660" s="197"/>
    </row>
    <row r="5661" spans="66:69" x14ac:dyDescent="0.2">
      <c r="BN5661" s="192"/>
      <c r="BO5661" s="197"/>
      <c r="BP5661" s="197"/>
      <c r="BQ5661" s="197"/>
    </row>
    <row r="5662" spans="66:69" x14ac:dyDescent="0.2">
      <c r="BN5662" s="192"/>
      <c r="BO5662" s="197"/>
      <c r="BP5662" s="197"/>
      <c r="BQ5662" s="197"/>
    </row>
    <row r="5663" spans="66:69" x14ac:dyDescent="0.2">
      <c r="BN5663" s="192"/>
      <c r="BO5663" s="197"/>
      <c r="BP5663" s="197"/>
      <c r="BQ5663" s="197"/>
    </row>
    <row r="5664" spans="66:69" x14ac:dyDescent="0.2">
      <c r="BN5664" s="192"/>
      <c r="BO5664" s="197"/>
      <c r="BP5664" s="197"/>
      <c r="BQ5664" s="197"/>
    </row>
    <row r="5665" spans="66:69" x14ac:dyDescent="0.2">
      <c r="BN5665" s="192"/>
      <c r="BO5665" s="197"/>
      <c r="BP5665" s="197"/>
      <c r="BQ5665" s="197"/>
    </row>
    <row r="5666" spans="66:69" x14ac:dyDescent="0.2">
      <c r="BN5666" s="192"/>
      <c r="BO5666" s="197"/>
      <c r="BP5666" s="197"/>
      <c r="BQ5666" s="197"/>
    </row>
    <row r="5667" spans="66:69" x14ac:dyDescent="0.2">
      <c r="BN5667" s="192"/>
      <c r="BO5667" s="197"/>
      <c r="BP5667" s="197"/>
      <c r="BQ5667" s="197"/>
    </row>
    <row r="5668" spans="66:69" x14ac:dyDescent="0.2">
      <c r="BN5668" s="192"/>
      <c r="BO5668" s="197"/>
      <c r="BP5668" s="197"/>
      <c r="BQ5668" s="197"/>
    </row>
    <row r="5669" spans="66:69" x14ac:dyDescent="0.2">
      <c r="BN5669" s="192"/>
      <c r="BO5669" s="197"/>
      <c r="BP5669" s="197"/>
      <c r="BQ5669" s="197"/>
    </row>
    <row r="5670" spans="66:69" x14ac:dyDescent="0.2">
      <c r="BN5670" s="192"/>
      <c r="BO5670" s="197"/>
      <c r="BP5670" s="197"/>
      <c r="BQ5670" s="197"/>
    </row>
    <row r="5671" spans="66:69" x14ac:dyDescent="0.2">
      <c r="BN5671" s="192"/>
      <c r="BO5671" s="197"/>
      <c r="BP5671" s="197"/>
      <c r="BQ5671" s="197"/>
    </row>
    <row r="5672" spans="66:69" x14ac:dyDescent="0.2">
      <c r="BN5672" s="192"/>
      <c r="BO5672" s="197"/>
      <c r="BP5672" s="197"/>
      <c r="BQ5672" s="197"/>
    </row>
    <row r="5673" spans="66:69" x14ac:dyDescent="0.2">
      <c r="BN5673" s="192"/>
      <c r="BO5673" s="197"/>
      <c r="BP5673" s="197"/>
      <c r="BQ5673" s="197"/>
    </row>
    <row r="5674" spans="66:69" x14ac:dyDescent="0.2">
      <c r="BN5674" s="192"/>
      <c r="BO5674" s="197"/>
      <c r="BP5674" s="197"/>
      <c r="BQ5674" s="197"/>
    </row>
    <row r="5675" spans="66:69" x14ac:dyDescent="0.2">
      <c r="BN5675" s="192"/>
      <c r="BO5675" s="197"/>
      <c r="BP5675" s="197"/>
      <c r="BQ5675" s="197"/>
    </row>
    <row r="5676" spans="66:69" x14ac:dyDescent="0.2">
      <c r="BN5676" s="192"/>
      <c r="BO5676" s="197"/>
      <c r="BP5676" s="197"/>
      <c r="BQ5676" s="197"/>
    </row>
    <row r="5677" spans="66:69" x14ac:dyDescent="0.2">
      <c r="BN5677" s="192"/>
      <c r="BO5677" s="197"/>
      <c r="BP5677" s="197"/>
      <c r="BQ5677" s="197"/>
    </row>
    <row r="5678" spans="66:69" x14ac:dyDescent="0.2">
      <c r="BN5678" s="192"/>
      <c r="BO5678" s="197"/>
      <c r="BP5678" s="197"/>
      <c r="BQ5678" s="197"/>
    </row>
    <row r="5679" spans="66:69" x14ac:dyDescent="0.2">
      <c r="BN5679" s="192"/>
      <c r="BO5679" s="197"/>
      <c r="BP5679" s="197"/>
      <c r="BQ5679" s="197"/>
    </row>
    <row r="5680" spans="66:69" x14ac:dyDescent="0.2">
      <c r="BN5680" s="192"/>
      <c r="BO5680" s="197"/>
      <c r="BP5680" s="197"/>
      <c r="BQ5680" s="197"/>
    </row>
    <row r="5681" spans="66:69" x14ac:dyDescent="0.2">
      <c r="BN5681" s="192"/>
      <c r="BO5681" s="197"/>
      <c r="BP5681" s="197"/>
      <c r="BQ5681" s="197"/>
    </row>
    <row r="5682" spans="66:69" x14ac:dyDescent="0.2">
      <c r="BN5682" s="192"/>
      <c r="BO5682" s="197"/>
      <c r="BP5682" s="197"/>
      <c r="BQ5682" s="197"/>
    </row>
    <row r="5683" spans="66:69" x14ac:dyDescent="0.2">
      <c r="BN5683" s="192"/>
      <c r="BO5683" s="197"/>
      <c r="BP5683" s="197"/>
      <c r="BQ5683" s="197"/>
    </row>
    <row r="5684" spans="66:69" x14ac:dyDescent="0.2">
      <c r="BN5684" s="192"/>
      <c r="BO5684" s="197"/>
      <c r="BP5684" s="197"/>
      <c r="BQ5684" s="197"/>
    </row>
    <row r="5685" spans="66:69" x14ac:dyDescent="0.2">
      <c r="BN5685" s="192"/>
      <c r="BO5685" s="197"/>
      <c r="BP5685" s="197"/>
      <c r="BQ5685" s="197"/>
    </row>
    <row r="5686" spans="66:69" x14ac:dyDescent="0.2">
      <c r="BN5686" s="192"/>
      <c r="BO5686" s="197"/>
      <c r="BP5686" s="197"/>
      <c r="BQ5686" s="197"/>
    </row>
    <row r="5687" spans="66:69" x14ac:dyDescent="0.2">
      <c r="BN5687" s="192"/>
      <c r="BO5687" s="197"/>
      <c r="BP5687" s="197"/>
      <c r="BQ5687" s="197"/>
    </row>
    <row r="5688" spans="66:69" x14ac:dyDescent="0.2">
      <c r="BN5688" s="192"/>
      <c r="BO5688" s="197"/>
      <c r="BP5688" s="197"/>
      <c r="BQ5688" s="197"/>
    </row>
    <row r="5689" spans="66:69" x14ac:dyDescent="0.2">
      <c r="BN5689" s="192"/>
      <c r="BO5689" s="197"/>
      <c r="BP5689" s="197"/>
      <c r="BQ5689" s="197"/>
    </row>
    <row r="5690" spans="66:69" x14ac:dyDescent="0.2">
      <c r="BN5690" s="192"/>
      <c r="BO5690" s="197"/>
      <c r="BP5690" s="197"/>
      <c r="BQ5690" s="197"/>
    </row>
    <row r="5691" spans="66:69" x14ac:dyDescent="0.2">
      <c r="BN5691" s="192"/>
      <c r="BO5691" s="197"/>
      <c r="BP5691" s="197"/>
      <c r="BQ5691" s="197"/>
    </row>
    <row r="5692" spans="66:69" x14ac:dyDescent="0.2">
      <c r="BN5692" s="192"/>
      <c r="BO5692" s="197"/>
      <c r="BP5692" s="197"/>
      <c r="BQ5692" s="197"/>
    </row>
    <row r="5693" spans="66:69" x14ac:dyDescent="0.2">
      <c r="BN5693" s="192"/>
      <c r="BO5693" s="197"/>
      <c r="BP5693" s="197"/>
      <c r="BQ5693" s="197"/>
    </row>
    <row r="5694" spans="66:69" x14ac:dyDescent="0.2">
      <c r="BN5694" s="192"/>
      <c r="BO5694" s="197"/>
      <c r="BP5694" s="197"/>
      <c r="BQ5694" s="197"/>
    </row>
    <row r="5695" spans="66:69" x14ac:dyDescent="0.2">
      <c r="BN5695" s="192"/>
      <c r="BO5695" s="197"/>
      <c r="BP5695" s="197"/>
      <c r="BQ5695" s="197"/>
    </row>
    <row r="5696" spans="66:69" x14ac:dyDescent="0.2">
      <c r="BN5696" s="192"/>
      <c r="BO5696" s="197"/>
      <c r="BP5696" s="197"/>
      <c r="BQ5696" s="197"/>
    </row>
    <row r="5697" spans="66:69" x14ac:dyDescent="0.2">
      <c r="BN5697" s="192"/>
      <c r="BO5697" s="197"/>
      <c r="BP5697" s="197"/>
      <c r="BQ5697" s="197"/>
    </row>
    <row r="5698" spans="66:69" x14ac:dyDescent="0.2">
      <c r="BN5698" s="192"/>
      <c r="BO5698" s="197"/>
      <c r="BP5698" s="197"/>
      <c r="BQ5698" s="197"/>
    </row>
    <row r="5699" spans="66:69" x14ac:dyDescent="0.2">
      <c r="BN5699" s="192"/>
      <c r="BO5699" s="197"/>
      <c r="BP5699" s="197"/>
      <c r="BQ5699" s="197"/>
    </row>
    <row r="5700" spans="66:69" x14ac:dyDescent="0.2">
      <c r="BN5700" s="192"/>
      <c r="BO5700" s="197"/>
      <c r="BP5700" s="197"/>
      <c r="BQ5700" s="197"/>
    </row>
    <row r="5701" spans="66:69" x14ac:dyDescent="0.2">
      <c r="BN5701" s="192"/>
      <c r="BO5701" s="197"/>
      <c r="BP5701" s="197"/>
      <c r="BQ5701" s="197"/>
    </row>
    <row r="5702" spans="66:69" x14ac:dyDescent="0.2">
      <c r="BN5702" s="192"/>
      <c r="BO5702" s="197"/>
      <c r="BP5702" s="197"/>
      <c r="BQ5702" s="197"/>
    </row>
    <row r="5703" spans="66:69" x14ac:dyDescent="0.2">
      <c r="BN5703" s="192"/>
      <c r="BO5703" s="197"/>
      <c r="BP5703" s="197"/>
      <c r="BQ5703" s="197"/>
    </row>
    <row r="5704" spans="66:69" x14ac:dyDescent="0.2">
      <c r="BN5704" s="192"/>
      <c r="BO5704" s="197"/>
      <c r="BP5704" s="197"/>
      <c r="BQ5704" s="197"/>
    </row>
    <row r="5705" spans="66:69" x14ac:dyDescent="0.2">
      <c r="BN5705" s="192"/>
      <c r="BO5705" s="197"/>
      <c r="BP5705" s="197"/>
      <c r="BQ5705" s="197"/>
    </row>
    <row r="5706" spans="66:69" x14ac:dyDescent="0.2">
      <c r="BN5706" s="192"/>
      <c r="BO5706" s="197"/>
      <c r="BP5706" s="197"/>
      <c r="BQ5706" s="197"/>
    </row>
    <row r="5707" spans="66:69" x14ac:dyDescent="0.2">
      <c r="BN5707" s="192"/>
      <c r="BO5707" s="197"/>
      <c r="BP5707" s="197"/>
      <c r="BQ5707" s="197"/>
    </row>
    <row r="5708" spans="66:69" x14ac:dyDescent="0.2">
      <c r="BN5708" s="192"/>
      <c r="BO5708" s="197"/>
      <c r="BP5708" s="197"/>
      <c r="BQ5708" s="197"/>
    </row>
    <row r="5709" spans="66:69" x14ac:dyDescent="0.2">
      <c r="BN5709" s="192"/>
      <c r="BO5709" s="197"/>
      <c r="BP5709" s="197"/>
      <c r="BQ5709" s="197"/>
    </row>
    <row r="5710" spans="66:69" x14ac:dyDescent="0.2">
      <c r="BN5710" s="192"/>
      <c r="BO5710" s="197"/>
      <c r="BP5710" s="197"/>
      <c r="BQ5710" s="197"/>
    </row>
    <row r="5711" spans="66:69" x14ac:dyDescent="0.2">
      <c r="BN5711" s="192"/>
      <c r="BO5711" s="197"/>
      <c r="BP5711" s="197"/>
      <c r="BQ5711" s="197"/>
    </row>
    <row r="5712" spans="66:69" x14ac:dyDescent="0.2">
      <c r="BN5712" s="192"/>
      <c r="BO5712" s="197"/>
      <c r="BP5712" s="197"/>
      <c r="BQ5712" s="197"/>
    </row>
    <row r="5713" spans="66:69" x14ac:dyDescent="0.2">
      <c r="BN5713" s="192"/>
      <c r="BO5713" s="197"/>
      <c r="BP5713" s="197"/>
      <c r="BQ5713" s="197"/>
    </row>
    <row r="5714" spans="66:69" x14ac:dyDescent="0.2">
      <c r="BN5714" s="192"/>
      <c r="BO5714" s="197"/>
      <c r="BP5714" s="197"/>
      <c r="BQ5714" s="197"/>
    </row>
    <row r="5715" spans="66:69" x14ac:dyDescent="0.2">
      <c r="BN5715" s="192"/>
      <c r="BO5715" s="197"/>
      <c r="BP5715" s="197"/>
      <c r="BQ5715" s="197"/>
    </row>
    <row r="5716" spans="66:69" x14ac:dyDescent="0.2">
      <c r="BN5716" s="192"/>
      <c r="BO5716" s="197"/>
      <c r="BP5716" s="197"/>
      <c r="BQ5716" s="197"/>
    </row>
    <row r="5717" spans="66:69" x14ac:dyDescent="0.2">
      <c r="BN5717" s="192"/>
      <c r="BO5717" s="197"/>
      <c r="BP5717" s="197"/>
      <c r="BQ5717" s="197"/>
    </row>
    <row r="5718" spans="66:69" x14ac:dyDescent="0.2">
      <c r="BN5718" s="192"/>
      <c r="BO5718" s="197"/>
      <c r="BP5718" s="197"/>
      <c r="BQ5718" s="197"/>
    </row>
    <row r="5719" spans="66:69" x14ac:dyDescent="0.2">
      <c r="BN5719" s="192"/>
      <c r="BO5719" s="197"/>
      <c r="BP5719" s="197"/>
      <c r="BQ5719" s="197"/>
    </row>
    <row r="5720" spans="66:69" x14ac:dyDescent="0.2">
      <c r="BN5720" s="192"/>
      <c r="BO5720" s="197"/>
      <c r="BP5720" s="197"/>
      <c r="BQ5720" s="197"/>
    </row>
    <row r="5721" spans="66:69" x14ac:dyDescent="0.2">
      <c r="BN5721" s="192"/>
      <c r="BO5721" s="197"/>
      <c r="BP5721" s="197"/>
      <c r="BQ5721" s="197"/>
    </row>
    <row r="5722" spans="66:69" x14ac:dyDescent="0.2">
      <c r="BN5722" s="192"/>
      <c r="BO5722" s="197"/>
      <c r="BP5722" s="197"/>
      <c r="BQ5722" s="197"/>
    </row>
    <row r="5723" spans="66:69" x14ac:dyDescent="0.2">
      <c r="BN5723" s="192"/>
      <c r="BO5723" s="197"/>
      <c r="BP5723" s="197"/>
      <c r="BQ5723" s="197"/>
    </row>
    <row r="5724" spans="66:69" x14ac:dyDescent="0.2">
      <c r="BN5724" s="192"/>
      <c r="BO5724" s="197"/>
      <c r="BP5724" s="197"/>
      <c r="BQ5724" s="197"/>
    </row>
    <row r="5725" spans="66:69" x14ac:dyDescent="0.2">
      <c r="BN5725" s="192"/>
      <c r="BO5725" s="197"/>
      <c r="BP5725" s="197"/>
      <c r="BQ5725" s="197"/>
    </row>
    <row r="5726" spans="66:69" x14ac:dyDescent="0.2">
      <c r="BN5726" s="192"/>
      <c r="BO5726" s="197"/>
      <c r="BP5726" s="197"/>
      <c r="BQ5726" s="197"/>
    </row>
    <row r="5727" spans="66:69" x14ac:dyDescent="0.2">
      <c r="BN5727" s="192"/>
      <c r="BO5727" s="197"/>
      <c r="BP5727" s="197"/>
      <c r="BQ5727" s="197"/>
    </row>
    <row r="5728" spans="66:69" x14ac:dyDescent="0.2">
      <c r="BN5728" s="192"/>
      <c r="BO5728" s="197"/>
      <c r="BP5728" s="197"/>
      <c r="BQ5728" s="197"/>
    </row>
    <row r="5729" spans="66:69" x14ac:dyDescent="0.2">
      <c r="BN5729" s="192"/>
      <c r="BO5729" s="197"/>
      <c r="BP5729" s="197"/>
      <c r="BQ5729" s="197"/>
    </row>
    <row r="5730" spans="66:69" x14ac:dyDescent="0.2">
      <c r="BN5730" s="192"/>
      <c r="BO5730" s="197"/>
      <c r="BP5730" s="197"/>
      <c r="BQ5730" s="197"/>
    </row>
    <row r="5731" spans="66:69" x14ac:dyDescent="0.2">
      <c r="BN5731" s="192"/>
      <c r="BO5731" s="197"/>
      <c r="BP5731" s="197"/>
      <c r="BQ5731" s="197"/>
    </row>
    <row r="5732" spans="66:69" x14ac:dyDescent="0.2">
      <c r="BN5732" s="192"/>
      <c r="BO5732" s="197"/>
      <c r="BP5732" s="197"/>
      <c r="BQ5732" s="197"/>
    </row>
    <row r="5733" spans="66:69" x14ac:dyDescent="0.2">
      <c r="BN5733" s="192"/>
      <c r="BO5733" s="197"/>
      <c r="BP5733" s="197"/>
      <c r="BQ5733" s="197"/>
    </row>
    <row r="5734" spans="66:69" x14ac:dyDescent="0.2">
      <c r="BN5734" s="192"/>
      <c r="BO5734" s="197"/>
      <c r="BP5734" s="197"/>
      <c r="BQ5734" s="197"/>
    </row>
    <row r="5735" spans="66:69" x14ac:dyDescent="0.2">
      <c r="BN5735" s="192"/>
      <c r="BO5735" s="197"/>
      <c r="BP5735" s="197"/>
      <c r="BQ5735" s="197"/>
    </row>
    <row r="5736" spans="66:69" x14ac:dyDescent="0.2">
      <c r="BN5736" s="192"/>
      <c r="BO5736" s="197"/>
      <c r="BP5736" s="197"/>
      <c r="BQ5736" s="197"/>
    </row>
    <row r="5737" spans="66:69" x14ac:dyDescent="0.2">
      <c r="BN5737" s="192"/>
      <c r="BO5737" s="197"/>
      <c r="BP5737" s="197"/>
      <c r="BQ5737" s="197"/>
    </row>
    <row r="5738" spans="66:69" x14ac:dyDescent="0.2">
      <c r="BN5738" s="192"/>
      <c r="BO5738" s="197"/>
      <c r="BP5738" s="197"/>
      <c r="BQ5738" s="197"/>
    </row>
    <row r="5739" spans="66:69" x14ac:dyDescent="0.2">
      <c r="BN5739" s="192"/>
      <c r="BO5739" s="197"/>
      <c r="BP5739" s="197"/>
      <c r="BQ5739" s="197"/>
    </row>
    <row r="5740" spans="66:69" x14ac:dyDescent="0.2">
      <c r="BN5740" s="192"/>
      <c r="BO5740" s="197"/>
      <c r="BP5740" s="197"/>
      <c r="BQ5740" s="197"/>
    </row>
    <row r="5741" spans="66:69" x14ac:dyDescent="0.2">
      <c r="BN5741" s="192"/>
      <c r="BO5741" s="197"/>
      <c r="BP5741" s="197"/>
      <c r="BQ5741" s="197"/>
    </row>
    <row r="5742" spans="66:69" x14ac:dyDescent="0.2">
      <c r="BN5742" s="192"/>
      <c r="BO5742" s="197"/>
      <c r="BP5742" s="197"/>
      <c r="BQ5742" s="197"/>
    </row>
    <row r="5743" spans="66:69" x14ac:dyDescent="0.2">
      <c r="BN5743" s="192"/>
      <c r="BO5743" s="197"/>
      <c r="BP5743" s="197"/>
      <c r="BQ5743" s="197"/>
    </row>
    <row r="5744" spans="66:69" x14ac:dyDescent="0.2">
      <c r="BN5744" s="192"/>
      <c r="BO5744" s="197"/>
      <c r="BP5744" s="197"/>
      <c r="BQ5744" s="197"/>
    </row>
    <row r="5745" spans="66:69" x14ac:dyDescent="0.2">
      <c r="BN5745" s="192"/>
      <c r="BO5745" s="197"/>
      <c r="BP5745" s="197"/>
      <c r="BQ5745" s="197"/>
    </row>
    <row r="5746" spans="66:69" x14ac:dyDescent="0.2">
      <c r="BN5746" s="192"/>
      <c r="BO5746" s="197"/>
      <c r="BP5746" s="197"/>
      <c r="BQ5746" s="197"/>
    </row>
    <row r="5747" spans="66:69" x14ac:dyDescent="0.2">
      <c r="BN5747" s="192"/>
      <c r="BO5747" s="197"/>
      <c r="BP5747" s="197"/>
      <c r="BQ5747" s="197"/>
    </row>
    <row r="5748" spans="66:69" x14ac:dyDescent="0.2">
      <c r="BN5748" s="192"/>
      <c r="BO5748" s="197"/>
      <c r="BP5748" s="197"/>
      <c r="BQ5748" s="197"/>
    </row>
    <row r="5749" spans="66:69" x14ac:dyDescent="0.2">
      <c r="BN5749" s="192"/>
      <c r="BO5749" s="197"/>
      <c r="BP5749" s="197"/>
      <c r="BQ5749" s="197"/>
    </row>
    <row r="5750" spans="66:69" x14ac:dyDescent="0.2">
      <c r="BN5750" s="192"/>
      <c r="BO5750" s="197"/>
      <c r="BP5750" s="197"/>
      <c r="BQ5750" s="197"/>
    </row>
    <row r="5751" spans="66:69" x14ac:dyDescent="0.2">
      <c r="BN5751" s="192"/>
      <c r="BO5751" s="197"/>
      <c r="BP5751" s="197"/>
      <c r="BQ5751" s="197"/>
    </row>
    <row r="5752" spans="66:69" x14ac:dyDescent="0.2">
      <c r="BN5752" s="192"/>
      <c r="BO5752" s="197"/>
      <c r="BP5752" s="197"/>
      <c r="BQ5752" s="197"/>
    </row>
    <row r="5753" spans="66:69" x14ac:dyDescent="0.2">
      <c r="BN5753" s="192"/>
      <c r="BO5753" s="197"/>
      <c r="BP5753" s="197"/>
      <c r="BQ5753" s="197"/>
    </row>
    <row r="5754" spans="66:69" x14ac:dyDescent="0.2">
      <c r="BN5754" s="192"/>
      <c r="BO5754" s="197"/>
      <c r="BP5754" s="197"/>
      <c r="BQ5754" s="197"/>
    </row>
    <row r="5755" spans="66:69" x14ac:dyDescent="0.2">
      <c r="BN5755" s="192"/>
      <c r="BO5755" s="197"/>
      <c r="BP5755" s="197"/>
      <c r="BQ5755" s="197"/>
    </row>
    <row r="5756" spans="66:69" x14ac:dyDescent="0.2">
      <c r="BN5756" s="192"/>
      <c r="BO5756" s="197"/>
      <c r="BP5756" s="197"/>
      <c r="BQ5756" s="197"/>
    </row>
    <row r="5757" spans="66:69" x14ac:dyDescent="0.2">
      <c r="BN5757" s="192"/>
      <c r="BO5757" s="197"/>
      <c r="BP5757" s="197"/>
      <c r="BQ5757" s="197"/>
    </row>
    <row r="5758" spans="66:69" x14ac:dyDescent="0.2">
      <c r="BN5758" s="192"/>
      <c r="BO5758" s="197"/>
      <c r="BP5758" s="197"/>
      <c r="BQ5758" s="197"/>
    </row>
    <row r="5759" spans="66:69" x14ac:dyDescent="0.2">
      <c r="BN5759" s="192"/>
      <c r="BO5759" s="197"/>
      <c r="BP5759" s="197"/>
      <c r="BQ5759" s="197"/>
    </row>
    <row r="5760" spans="66:69" x14ac:dyDescent="0.2">
      <c r="BN5760" s="192"/>
      <c r="BO5760" s="197"/>
      <c r="BP5760" s="197"/>
      <c r="BQ5760" s="197"/>
    </row>
    <row r="5761" spans="66:69" x14ac:dyDescent="0.2">
      <c r="BN5761" s="192"/>
      <c r="BO5761" s="197"/>
      <c r="BP5761" s="197"/>
      <c r="BQ5761" s="197"/>
    </row>
    <row r="5762" spans="66:69" x14ac:dyDescent="0.2">
      <c r="BN5762" s="192"/>
      <c r="BO5762" s="197"/>
      <c r="BP5762" s="197"/>
      <c r="BQ5762" s="197"/>
    </row>
    <row r="5763" spans="66:69" x14ac:dyDescent="0.2">
      <c r="BN5763" s="192"/>
      <c r="BO5763" s="197"/>
      <c r="BP5763" s="197"/>
      <c r="BQ5763" s="197"/>
    </row>
    <row r="5764" spans="66:69" x14ac:dyDescent="0.2">
      <c r="BN5764" s="192"/>
      <c r="BO5764" s="197"/>
      <c r="BP5764" s="197"/>
      <c r="BQ5764" s="197"/>
    </row>
    <row r="5765" spans="66:69" x14ac:dyDescent="0.2">
      <c r="BN5765" s="192"/>
      <c r="BO5765" s="197"/>
      <c r="BP5765" s="197"/>
      <c r="BQ5765" s="197"/>
    </row>
    <row r="5766" spans="66:69" x14ac:dyDescent="0.2">
      <c r="BN5766" s="192"/>
      <c r="BO5766" s="197"/>
      <c r="BP5766" s="197"/>
      <c r="BQ5766" s="197"/>
    </row>
    <row r="5767" spans="66:69" x14ac:dyDescent="0.2">
      <c r="BN5767" s="192"/>
      <c r="BO5767" s="197"/>
      <c r="BP5767" s="197"/>
      <c r="BQ5767" s="197"/>
    </row>
    <row r="5768" spans="66:69" x14ac:dyDescent="0.2">
      <c r="BN5768" s="192"/>
      <c r="BO5768" s="197"/>
      <c r="BP5768" s="197"/>
      <c r="BQ5768" s="197"/>
    </row>
    <row r="5769" spans="66:69" x14ac:dyDescent="0.2">
      <c r="BN5769" s="192"/>
      <c r="BO5769" s="197"/>
      <c r="BP5769" s="197"/>
      <c r="BQ5769" s="197"/>
    </row>
    <row r="5770" spans="66:69" x14ac:dyDescent="0.2">
      <c r="BN5770" s="192"/>
      <c r="BO5770" s="197"/>
      <c r="BP5770" s="197"/>
      <c r="BQ5770" s="197"/>
    </row>
    <row r="5771" spans="66:69" x14ac:dyDescent="0.2">
      <c r="BN5771" s="192"/>
      <c r="BO5771" s="197"/>
      <c r="BP5771" s="197"/>
      <c r="BQ5771" s="197"/>
    </row>
    <row r="5772" spans="66:69" x14ac:dyDescent="0.2">
      <c r="BN5772" s="192"/>
      <c r="BO5772" s="197"/>
      <c r="BP5772" s="197"/>
      <c r="BQ5772" s="197"/>
    </row>
    <row r="5773" spans="66:69" x14ac:dyDescent="0.2">
      <c r="BN5773" s="192"/>
      <c r="BO5773" s="197"/>
      <c r="BP5773" s="197"/>
      <c r="BQ5773" s="197"/>
    </row>
    <row r="5774" spans="66:69" x14ac:dyDescent="0.2">
      <c r="BN5774" s="192"/>
      <c r="BO5774" s="197"/>
      <c r="BP5774" s="197"/>
      <c r="BQ5774" s="197"/>
    </row>
    <row r="5775" spans="66:69" x14ac:dyDescent="0.2">
      <c r="BN5775" s="192"/>
      <c r="BO5775" s="197"/>
      <c r="BP5775" s="197"/>
      <c r="BQ5775" s="197"/>
    </row>
    <row r="5776" spans="66:69" x14ac:dyDescent="0.2">
      <c r="BN5776" s="192"/>
      <c r="BO5776" s="197"/>
      <c r="BP5776" s="197"/>
      <c r="BQ5776" s="197"/>
    </row>
    <row r="5777" spans="66:69" x14ac:dyDescent="0.2">
      <c r="BN5777" s="192"/>
      <c r="BO5777" s="197"/>
      <c r="BP5777" s="197"/>
      <c r="BQ5777" s="197"/>
    </row>
    <row r="5778" spans="66:69" x14ac:dyDescent="0.2">
      <c r="BN5778" s="192"/>
      <c r="BO5778" s="197"/>
      <c r="BP5778" s="197"/>
      <c r="BQ5778" s="197"/>
    </row>
    <row r="5779" spans="66:69" x14ac:dyDescent="0.2">
      <c r="BN5779" s="192"/>
      <c r="BO5779" s="197"/>
      <c r="BP5779" s="197"/>
      <c r="BQ5779" s="197"/>
    </row>
    <row r="5780" spans="66:69" x14ac:dyDescent="0.2">
      <c r="BN5780" s="192"/>
      <c r="BO5780" s="197"/>
      <c r="BP5780" s="197"/>
      <c r="BQ5780" s="197"/>
    </row>
    <row r="5781" spans="66:69" x14ac:dyDescent="0.2">
      <c r="BN5781" s="192"/>
      <c r="BO5781" s="197"/>
      <c r="BP5781" s="197"/>
      <c r="BQ5781" s="197"/>
    </row>
    <row r="5782" spans="66:69" x14ac:dyDescent="0.2">
      <c r="BN5782" s="192"/>
      <c r="BO5782" s="197"/>
      <c r="BP5782" s="197"/>
      <c r="BQ5782" s="197"/>
    </row>
    <row r="5783" spans="66:69" x14ac:dyDescent="0.2">
      <c r="BN5783" s="192"/>
      <c r="BO5783" s="197"/>
      <c r="BP5783" s="197"/>
      <c r="BQ5783" s="197"/>
    </row>
    <row r="5784" spans="66:69" x14ac:dyDescent="0.2">
      <c r="BN5784" s="192"/>
      <c r="BO5784" s="197"/>
      <c r="BP5784" s="197"/>
      <c r="BQ5784" s="197"/>
    </row>
    <row r="5785" spans="66:69" x14ac:dyDescent="0.2">
      <c r="BN5785" s="192"/>
      <c r="BO5785" s="197"/>
      <c r="BP5785" s="197"/>
      <c r="BQ5785" s="197"/>
    </row>
    <row r="5786" spans="66:69" x14ac:dyDescent="0.2">
      <c r="BN5786" s="192"/>
      <c r="BO5786" s="197"/>
      <c r="BP5786" s="197"/>
      <c r="BQ5786" s="197"/>
    </row>
    <row r="5787" spans="66:69" x14ac:dyDescent="0.2">
      <c r="BN5787" s="192"/>
      <c r="BO5787" s="197"/>
      <c r="BP5787" s="197"/>
      <c r="BQ5787" s="197"/>
    </row>
    <row r="5788" spans="66:69" x14ac:dyDescent="0.2">
      <c r="BN5788" s="192"/>
      <c r="BO5788" s="197"/>
      <c r="BP5788" s="197"/>
      <c r="BQ5788" s="197"/>
    </row>
    <row r="5789" spans="66:69" x14ac:dyDescent="0.2">
      <c r="BN5789" s="192"/>
      <c r="BO5789" s="197"/>
      <c r="BP5789" s="197"/>
      <c r="BQ5789" s="197"/>
    </row>
    <row r="5790" spans="66:69" x14ac:dyDescent="0.2">
      <c r="BN5790" s="192"/>
      <c r="BO5790" s="197"/>
      <c r="BP5790" s="197"/>
      <c r="BQ5790" s="197"/>
    </row>
    <row r="5791" spans="66:69" x14ac:dyDescent="0.2">
      <c r="BN5791" s="192"/>
      <c r="BO5791" s="197"/>
      <c r="BP5791" s="197"/>
      <c r="BQ5791" s="197"/>
    </row>
    <row r="5792" spans="66:69" x14ac:dyDescent="0.2">
      <c r="BN5792" s="192"/>
      <c r="BO5792" s="197"/>
      <c r="BP5792" s="197"/>
      <c r="BQ5792" s="197"/>
    </row>
    <row r="5793" spans="66:69" x14ac:dyDescent="0.2">
      <c r="BN5793" s="192"/>
      <c r="BO5793" s="197"/>
      <c r="BP5793" s="197"/>
      <c r="BQ5793" s="197"/>
    </row>
    <row r="5794" spans="66:69" x14ac:dyDescent="0.2">
      <c r="BN5794" s="192"/>
      <c r="BO5794" s="197"/>
      <c r="BP5794" s="197"/>
      <c r="BQ5794" s="197"/>
    </row>
    <row r="5795" spans="66:69" x14ac:dyDescent="0.2">
      <c r="BN5795" s="192"/>
      <c r="BO5795" s="197"/>
      <c r="BP5795" s="197"/>
      <c r="BQ5795" s="197"/>
    </row>
    <row r="5796" spans="66:69" x14ac:dyDescent="0.2">
      <c r="BN5796" s="192"/>
      <c r="BO5796" s="197"/>
      <c r="BP5796" s="197"/>
      <c r="BQ5796" s="197"/>
    </row>
    <row r="5797" spans="66:69" x14ac:dyDescent="0.2">
      <c r="BN5797" s="192"/>
      <c r="BO5797" s="197"/>
      <c r="BP5797" s="197"/>
      <c r="BQ5797" s="197"/>
    </row>
    <row r="5798" spans="66:69" x14ac:dyDescent="0.2">
      <c r="BN5798" s="192"/>
      <c r="BO5798" s="197"/>
      <c r="BP5798" s="197"/>
      <c r="BQ5798" s="197"/>
    </row>
    <row r="5799" spans="66:69" x14ac:dyDescent="0.2">
      <c r="BN5799" s="192"/>
      <c r="BO5799" s="197"/>
      <c r="BP5799" s="197"/>
      <c r="BQ5799" s="197"/>
    </row>
    <row r="5800" spans="66:69" x14ac:dyDescent="0.2">
      <c r="BN5800" s="192"/>
      <c r="BO5800" s="197"/>
      <c r="BP5800" s="197"/>
      <c r="BQ5800" s="197"/>
    </row>
    <row r="5801" spans="66:69" x14ac:dyDescent="0.2">
      <c r="BN5801" s="192"/>
      <c r="BO5801" s="197"/>
      <c r="BP5801" s="197"/>
      <c r="BQ5801" s="197"/>
    </row>
    <row r="5802" spans="66:69" x14ac:dyDescent="0.2">
      <c r="BN5802" s="192"/>
      <c r="BO5802" s="197"/>
      <c r="BP5802" s="197"/>
      <c r="BQ5802" s="197"/>
    </row>
    <row r="5803" spans="66:69" x14ac:dyDescent="0.2">
      <c r="BN5803" s="192"/>
      <c r="BO5803" s="197"/>
      <c r="BP5803" s="197"/>
      <c r="BQ5803" s="197"/>
    </row>
    <row r="5804" spans="66:69" x14ac:dyDescent="0.2">
      <c r="BN5804" s="192"/>
      <c r="BO5804" s="197"/>
      <c r="BP5804" s="197"/>
      <c r="BQ5804" s="197"/>
    </row>
    <row r="5805" spans="66:69" x14ac:dyDescent="0.2">
      <c r="BN5805" s="192"/>
      <c r="BO5805" s="197"/>
      <c r="BP5805" s="197"/>
      <c r="BQ5805" s="197"/>
    </row>
    <row r="5806" spans="66:69" x14ac:dyDescent="0.2">
      <c r="BN5806" s="192"/>
      <c r="BO5806" s="197"/>
      <c r="BP5806" s="197"/>
      <c r="BQ5806" s="197"/>
    </row>
    <row r="5807" spans="66:69" x14ac:dyDescent="0.2">
      <c r="BN5807" s="192"/>
      <c r="BO5807" s="197"/>
      <c r="BP5807" s="197"/>
      <c r="BQ5807" s="197"/>
    </row>
    <row r="5808" spans="66:69" x14ac:dyDescent="0.2">
      <c r="BN5808" s="192"/>
      <c r="BO5808" s="197"/>
      <c r="BP5808" s="197"/>
      <c r="BQ5808" s="197"/>
    </row>
    <row r="5809" spans="66:69" x14ac:dyDescent="0.2">
      <c r="BN5809" s="192"/>
      <c r="BO5809" s="197"/>
      <c r="BP5809" s="197"/>
      <c r="BQ5809" s="197"/>
    </row>
    <row r="5810" spans="66:69" x14ac:dyDescent="0.2">
      <c r="BN5810" s="192"/>
      <c r="BO5810" s="197"/>
      <c r="BP5810" s="197"/>
      <c r="BQ5810" s="197"/>
    </row>
    <row r="5811" spans="66:69" x14ac:dyDescent="0.2">
      <c r="BN5811" s="192"/>
      <c r="BO5811" s="197"/>
      <c r="BP5811" s="197"/>
      <c r="BQ5811" s="197"/>
    </row>
    <row r="5812" spans="66:69" x14ac:dyDescent="0.2">
      <c r="BN5812" s="192"/>
      <c r="BO5812" s="197"/>
      <c r="BP5812" s="197"/>
      <c r="BQ5812" s="197"/>
    </row>
    <row r="5813" spans="66:69" x14ac:dyDescent="0.2">
      <c r="BN5813" s="192"/>
      <c r="BO5813" s="197"/>
      <c r="BP5813" s="197"/>
      <c r="BQ5813" s="197"/>
    </row>
    <row r="5814" spans="66:69" x14ac:dyDescent="0.2">
      <c r="BN5814" s="192"/>
      <c r="BO5814" s="197"/>
      <c r="BP5814" s="197"/>
      <c r="BQ5814" s="197"/>
    </row>
    <row r="5815" spans="66:69" x14ac:dyDescent="0.2">
      <c r="BN5815" s="192"/>
      <c r="BO5815" s="197"/>
      <c r="BP5815" s="197"/>
      <c r="BQ5815" s="197"/>
    </row>
    <row r="5816" spans="66:69" x14ac:dyDescent="0.2">
      <c r="BN5816" s="192"/>
      <c r="BO5816" s="197"/>
      <c r="BP5816" s="197"/>
      <c r="BQ5816" s="197"/>
    </row>
    <row r="5817" spans="66:69" x14ac:dyDescent="0.2">
      <c r="BN5817" s="192"/>
      <c r="BO5817" s="197"/>
      <c r="BP5817" s="197"/>
      <c r="BQ5817" s="197"/>
    </row>
    <row r="5818" spans="66:69" x14ac:dyDescent="0.2">
      <c r="BN5818" s="192"/>
      <c r="BO5818" s="197"/>
      <c r="BP5818" s="197"/>
      <c r="BQ5818" s="197"/>
    </row>
    <row r="5819" spans="66:69" x14ac:dyDescent="0.2">
      <c r="BN5819" s="192"/>
      <c r="BO5819" s="197"/>
      <c r="BP5819" s="197"/>
      <c r="BQ5819" s="197"/>
    </row>
    <row r="5820" spans="66:69" x14ac:dyDescent="0.2">
      <c r="BN5820" s="192"/>
      <c r="BO5820" s="197"/>
      <c r="BP5820" s="197"/>
      <c r="BQ5820" s="197"/>
    </row>
    <row r="5821" spans="66:69" x14ac:dyDescent="0.2">
      <c r="BN5821" s="192"/>
      <c r="BO5821" s="197"/>
      <c r="BP5821" s="197"/>
      <c r="BQ5821" s="197"/>
    </row>
    <row r="5822" spans="66:69" x14ac:dyDescent="0.2">
      <c r="BN5822" s="192"/>
      <c r="BO5822" s="197"/>
      <c r="BP5822" s="197"/>
      <c r="BQ5822" s="197"/>
    </row>
    <row r="5823" spans="66:69" x14ac:dyDescent="0.2">
      <c r="BN5823" s="192"/>
      <c r="BO5823" s="197"/>
      <c r="BP5823" s="197"/>
      <c r="BQ5823" s="197"/>
    </row>
    <row r="5824" spans="66:69" x14ac:dyDescent="0.2">
      <c r="BN5824" s="192"/>
      <c r="BO5824" s="197"/>
      <c r="BP5824" s="197"/>
      <c r="BQ5824" s="197"/>
    </row>
    <row r="5825" spans="66:69" x14ac:dyDescent="0.2">
      <c r="BN5825" s="192"/>
      <c r="BO5825" s="197"/>
      <c r="BP5825" s="197"/>
      <c r="BQ5825" s="197"/>
    </row>
    <row r="5826" spans="66:69" x14ac:dyDescent="0.2">
      <c r="BN5826" s="192"/>
      <c r="BO5826" s="197"/>
      <c r="BP5826" s="197"/>
      <c r="BQ5826" s="197"/>
    </row>
    <row r="5827" spans="66:69" x14ac:dyDescent="0.2">
      <c r="BN5827" s="192"/>
      <c r="BO5827" s="197"/>
      <c r="BP5827" s="197"/>
      <c r="BQ5827" s="197"/>
    </row>
    <row r="5828" spans="66:69" x14ac:dyDescent="0.2">
      <c r="BN5828" s="192"/>
      <c r="BO5828" s="197"/>
      <c r="BP5828" s="197"/>
      <c r="BQ5828" s="197"/>
    </row>
    <row r="5829" spans="66:69" x14ac:dyDescent="0.2">
      <c r="BN5829" s="192"/>
      <c r="BO5829" s="197"/>
      <c r="BP5829" s="197"/>
      <c r="BQ5829" s="197"/>
    </row>
    <row r="5830" spans="66:69" x14ac:dyDescent="0.2">
      <c r="BN5830" s="192"/>
      <c r="BO5830" s="197"/>
      <c r="BP5830" s="197"/>
      <c r="BQ5830" s="197"/>
    </row>
    <row r="5831" spans="66:69" x14ac:dyDescent="0.2">
      <c r="BN5831" s="192"/>
      <c r="BO5831" s="197"/>
      <c r="BP5831" s="197"/>
      <c r="BQ5831" s="197"/>
    </row>
    <row r="5832" spans="66:69" x14ac:dyDescent="0.2">
      <c r="BN5832" s="192"/>
      <c r="BO5832" s="197"/>
      <c r="BP5832" s="197"/>
      <c r="BQ5832" s="197"/>
    </row>
    <row r="5833" spans="66:69" x14ac:dyDescent="0.2">
      <c r="BN5833" s="192"/>
      <c r="BO5833" s="197"/>
      <c r="BP5833" s="197"/>
      <c r="BQ5833" s="197"/>
    </row>
    <row r="5834" spans="66:69" x14ac:dyDescent="0.2">
      <c r="BN5834" s="192"/>
      <c r="BO5834" s="197"/>
      <c r="BP5834" s="197"/>
      <c r="BQ5834" s="197"/>
    </row>
    <row r="5835" spans="66:69" x14ac:dyDescent="0.2">
      <c r="BN5835" s="192"/>
      <c r="BO5835" s="197"/>
      <c r="BP5835" s="197"/>
      <c r="BQ5835" s="197"/>
    </row>
    <row r="5836" spans="66:69" x14ac:dyDescent="0.2">
      <c r="BN5836" s="192"/>
      <c r="BO5836" s="197"/>
      <c r="BP5836" s="197"/>
      <c r="BQ5836" s="197"/>
    </row>
    <row r="5837" spans="66:69" x14ac:dyDescent="0.2">
      <c r="BN5837" s="192"/>
      <c r="BO5837" s="197"/>
      <c r="BP5837" s="197"/>
      <c r="BQ5837" s="197"/>
    </row>
    <row r="5838" spans="66:69" x14ac:dyDescent="0.2">
      <c r="BN5838" s="192"/>
      <c r="BO5838" s="197"/>
      <c r="BP5838" s="197"/>
      <c r="BQ5838" s="197"/>
    </row>
    <row r="5839" spans="66:69" x14ac:dyDescent="0.2">
      <c r="BN5839" s="192"/>
      <c r="BO5839" s="197"/>
      <c r="BP5839" s="197"/>
      <c r="BQ5839" s="197"/>
    </row>
    <row r="5840" spans="66:69" x14ac:dyDescent="0.2">
      <c r="BN5840" s="192"/>
      <c r="BO5840" s="197"/>
      <c r="BP5840" s="197"/>
      <c r="BQ5840" s="197"/>
    </row>
    <row r="5841" spans="66:69" x14ac:dyDescent="0.2">
      <c r="BN5841" s="192"/>
      <c r="BO5841" s="197"/>
      <c r="BP5841" s="197"/>
      <c r="BQ5841" s="197"/>
    </row>
    <row r="5842" spans="66:69" x14ac:dyDescent="0.2">
      <c r="BN5842" s="192"/>
      <c r="BO5842" s="197"/>
      <c r="BP5842" s="197"/>
      <c r="BQ5842" s="197"/>
    </row>
    <row r="5843" spans="66:69" x14ac:dyDescent="0.2">
      <c r="BN5843" s="192"/>
      <c r="BO5843" s="197"/>
      <c r="BP5843" s="197"/>
      <c r="BQ5843" s="197"/>
    </row>
    <row r="5844" spans="66:69" x14ac:dyDescent="0.2">
      <c r="BN5844" s="192"/>
      <c r="BO5844" s="197"/>
      <c r="BP5844" s="197"/>
      <c r="BQ5844" s="197"/>
    </row>
    <row r="5845" spans="66:69" x14ac:dyDescent="0.2">
      <c r="BN5845" s="192"/>
      <c r="BO5845" s="197"/>
      <c r="BP5845" s="197"/>
      <c r="BQ5845" s="197"/>
    </row>
    <row r="5846" spans="66:69" x14ac:dyDescent="0.2">
      <c r="BN5846" s="192"/>
      <c r="BO5846" s="197"/>
      <c r="BP5846" s="197"/>
      <c r="BQ5846" s="197"/>
    </row>
    <row r="5847" spans="66:69" x14ac:dyDescent="0.2">
      <c r="BN5847" s="192"/>
      <c r="BO5847" s="197"/>
      <c r="BP5847" s="197"/>
      <c r="BQ5847" s="197"/>
    </row>
    <row r="5848" spans="66:69" x14ac:dyDescent="0.2">
      <c r="BN5848" s="192"/>
      <c r="BO5848" s="197"/>
      <c r="BP5848" s="197"/>
      <c r="BQ5848" s="197"/>
    </row>
    <row r="5849" spans="66:69" x14ac:dyDescent="0.2">
      <c r="BN5849" s="192"/>
      <c r="BO5849" s="197"/>
      <c r="BP5849" s="197"/>
      <c r="BQ5849" s="197"/>
    </row>
    <row r="5850" spans="66:69" x14ac:dyDescent="0.2">
      <c r="BN5850" s="192"/>
      <c r="BO5850" s="197"/>
      <c r="BP5850" s="197"/>
      <c r="BQ5850" s="197"/>
    </row>
    <row r="5851" spans="66:69" x14ac:dyDescent="0.2">
      <c r="BN5851" s="192"/>
      <c r="BO5851" s="197"/>
      <c r="BP5851" s="197"/>
      <c r="BQ5851" s="197"/>
    </row>
    <row r="5852" spans="66:69" x14ac:dyDescent="0.2">
      <c r="BN5852" s="192"/>
      <c r="BO5852" s="197"/>
      <c r="BP5852" s="197"/>
      <c r="BQ5852" s="197"/>
    </row>
    <row r="5853" spans="66:69" x14ac:dyDescent="0.2">
      <c r="BN5853" s="192"/>
      <c r="BO5853" s="197"/>
      <c r="BP5853" s="197"/>
      <c r="BQ5853" s="197"/>
    </row>
    <row r="5854" spans="66:69" x14ac:dyDescent="0.2">
      <c r="BN5854" s="192"/>
      <c r="BO5854" s="197"/>
      <c r="BP5854" s="197"/>
      <c r="BQ5854" s="197"/>
    </row>
    <row r="5855" spans="66:69" x14ac:dyDescent="0.2">
      <c r="BN5855" s="192"/>
      <c r="BO5855" s="197"/>
      <c r="BP5855" s="197"/>
      <c r="BQ5855" s="197"/>
    </row>
    <row r="5856" spans="66:69" x14ac:dyDescent="0.2">
      <c r="BN5856" s="192"/>
      <c r="BO5856" s="197"/>
      <c r="BP5856" s="197"/>
      <c r="BQ5856" s="197"/>
    </row>
    <row r="5857" spans="66:69" x14ac:dyDescent="0.2">
      <c r="BN5857" s="192"/>
      <c r="BO5857" s="197"/>
      <c r="BP5857" s="197"/>
      <c r="BQ5857" s="197"/>
    </row>
    <row r="5858" spans="66:69" x14ac:dyDescent="0.2">
      <c r="BN5858" s="192"/>
      <c r="BO5858" s="197"/>
      <c r="BP5858" s="197"/>
      <c r="BQ5858" s="197"/>
    </row>
    <row r="5859" spans="66:69" x14ac:dyDescent="0.2">
      <c r="BN5859" s="192"/>
      <c r="BO5859" s="197"/>
      <c r="BP5859" s="197"/>
      <c r="BQ5859" s="197"/>
    </row>
    <row r="5860" spans="66:69" x14ac:dyDescent="0.2">
      <c r="BN5860" s="192"/>
      <c r="BO5860" s="197"/>
      <c r="BP5860" s="197"/>
      <c r="BQ5860" s="197"/>
    </row>
    <row r="5861" spans="66:69" x14ac:dyDescent="0.2">
      <c r="BN5861" s="192"/>
      <c r="BO5861" s="197"/>
      <c r="BP5861" s="197"/>
      <c r="BQ5861" s="197"/>
    </row>
    <row r="5862" spans="66:69" x14ac:dyDescent="0.2">
      <c r="BN5862" s="192"/>
      <c r="BO5862" s="197"/>
      <c r="BP5862" s="197"/>
      <c r="BQ5862" s="197"/>
    </row>
    <row r="5863" spans="66:69" x14ac:dyDescent="0.2">
      <c r="BN5863" s="192"/>
      <c r="BO5863" s="197"/>
      <c r="BP5863" s="197"/>
      <c r="BQ5863" s="197"/>
    </row>
    <row r="5864" spans="66:69" x14ac:dyDescent="0.2">
      <c r="BN5864" s="192"/>
      <c r="BO5864" s="197"/>
      <c r="BP5864" s="197"/>
      <c r="BQ5864" s="197"/>
    </row>
    <row r="5865" spans="66:69" x14ac:dyDescent="0.2">
      <c r="BN5865" s="192"/>
      <c r="BO5865" s="197"/>
      <c r="BP5865" s="197"/>
      <c r="BQ5865" s="197"/>
    </row>
    <row r="5866" spans="66:69" x14ac:dyDescent="0.2">
      <c r="BN5866" s="192"/>
      <c r="BO5866" s="197"/>
      <c r="BP5866" s="197"/>
      <c r="BQ5866" s="197"/>
    </row>
    <row r="5867" spans="66:69" x14ac:dyDescent="0.2">
      <c r="BN5867" s="192"/>
      <c r="BO5867" s="197"/>
      <c r="BP5867" s="197"/>
      <c r="BQ5867" s="197"/>
    </row>
    <row r="5868" spans="66:69" x14ac:dyDescent="0.2">
      <c r="BN5868" s="192"/>
      <c r="BO5868" s="197"/>
      <c r="BP5868" s="197"/>
      <c r="BQ5868" s="197"/>
    </row>
    <row r="5869" spans="66:69" x14ac:dyDescent="0.2">
      <c r="BN5869" s="192"/>
      <c r="BO5869" s="197"/>
      <c r="BP5869" s="197"/>
      <c r="BQ5869" s="197"/>
    </row>
    <row r="5870" spans="66:69" x14ac:dyDescent="0.2">
      <c r="BN5870" s="192"/>
      <c r="BO5870" s="197"/>
      <c r="BP5870" s="197"/>
      <c r="BQ5870" s="197"/>
    </row>
    <row r="5871" spans="66:69" x14ac:dyDescent="0.2">
      <c r="BN5871" s="192"/>
      <c r="BO5871" s="197"/>
      <c r="BP5871" s="197"/>
      <c r="BQ5871" s="197"/>
    </row>
    <row r="5872" spans="66:69" x14ac:dyDescent="0.2">
      <c r="BN5872" s="192"/>
      <c r="BO5872" s="197"/>
      <c r="BP5872" s="197"/>
      <c r="BQ5872" s="197"/>
    </row>
    <row r="5873" spans="66:69" x14ac:dyDescent="0.2">
      <c r="BN5873" s="192"/>
      <c r="BO5873" s="197"/>
      <c r="BP5873" s="197"/>
      <c r="BQ5873" s="197"/>
    </row>
    <row r="5874" spans="66:69" x14ac:dyDescent="0.2">
      <c r="BN5874" s="192"/>
      <c r="BO5874" s="197"/>
      <c r="BP5874" s="197"/>
      <c r="BQ5874" s="197"/>
    </row>
    <row r="5875" spans="66:69" x14ac:dyDescent="0.2">
      <c r="BN5875" s="192"/>
      <c r="BO5875" s="197"/>
      <c r="BP5875" s="197"/>
      <c r="BQ5875" s="197"/>
    </row>
    <row r="5876" spans="66:69" x14ac:dyDescent="0.2">
      <c r="BN5876" s="192"/>
      <c r="BO5876" s="197"/>
      <c r="BP5876" s="197"/>
      <c r="BQ5876" s="197"/>
    </row>
    <row r="5877" spans="66:69" x14ac:dyDescent="0.2">
      <c r="BN5877" s="192"/>
      <c r="BO5877" s="197"/>
      <c r="BP5877" s="197"/>
      <c r="BQ5877" s="197"/>
    </row>
    <row r="5878" spans="66:69" x14ac:dyDescent="0.2">
      <c r="BN5878" s="192"/>
      <c r="BO5878" s="197"/>
      <c r="BP5878" s="197"/>
      <c r="BQ5878" s="197"/>
    </row>
    <row r="5879" spans="66:69" x14ac:dyDescent="0.2">
      <c r="BN5879" s="192"/>
      <c r="BO5879" s="197"/>
      <c r="BP5879" s="197"/>
      <c r="BQ5879" s="197"/>
    </row>
    <row r="5880" spans="66:69" x14ac:dyDescent="0.2">
      <c r="BN5880" s="192"/>
      <c r="BO5880" s="197"/>
      <c r="BP5880" s="197"/>
      <c r="BQ5880" s="197"/>
    </row>
    <row r="5881" spans="66:69" x14ac:dyDescent="0.2">
      <c r="BN5881" s="192"/>
      <c r="BO5881" s="197"/>
      <c r="BP5881" s="197"/>
      <c r="BQ5881" s="197"/>
    </row>
    <row r="5882" spans="66:69" x14ac:dyDescent="0.2">
      <c r="BN5882" s="192"/>
      <c r="BO5882" s="197"/>
      <c r="BP5882" s="197"/>
      <c r="BQ5882" s="197"/>
    </row>
    <row r="5883" spans="66:69" x14ac:dyDescent="0.2">
      <c r="BN5883" s="192"/>
      <c r="BO5883" s="197"/>
      <c r="BP5883" s="197"/>
      <c r="BQ5883" s="197"/>
    </row>
    <row r="5884" spans="66:69" x14ac:dyDescent="0.2">
      <c r="BN5884" s="192"/>
      <c r="BO5884" s="197"/>
      <c r="BP5884" s="197"/>
      <c r="BQ5884" s="197"/>
    </row>
    <row r="5885" spans="66:69" x14ac:dyDescent="0.2">
      <c r="BN5885" s="192"/>
      <c r="BO5885" s="197"/>
      <c r="BP5885" s="197"/>
      <c r="BQ5885" s="197"/>
    </row>
    <row r="5886" spans="66:69" x14ac:dyDescent="0.2">
      <c r="BN5886" s="192"/>
      <c r="BO5886" s="197"/>
      <c r="BP5886" s="197"/>
      <c r="BQ5886" s="197"/>
    </row>
    <row r="5887" spans="66:69" x14ac:dyDescent="0.2">
      <c r="BN5887" s="192"/>
      <c r="BO5887" s="197"/>
      <c r="BP5887" s="197"/>
      <c r="BQ5887" s="197"/>
    </row>
    <row r="5888" spans="66:69" x14ac:dyDescent="0.2">
      <c r="BN5888" s="192"/>
      <c r="BO5888" s="197"/>
      <c r="BP5888" s="197"/>
      <c r="BQ5888" s="197"/>
    </row>
    <row r="5889" spans="66:69" x14ac:dyDescent="0.2">
      <c r="BN5889" s="192"/>
      <c r="BO5889" s="197"/>
      <c r="BP5889" s="197"/>
      <c r="BQ5889" s="197"/>
    </row>
    <row r="5890" spans="66:69" x14ac:dyDescent="0.2">
      <c r="BN5890" s="192"/>
      <c r="BO5890" s="197"/>
      <c r="BP5890" s="197"/>
      <c r="BQ5890" s="197"/>
    </row>
    <row r="5891" spans="66:69" x14ac:dyDescent="0.2">
      <c r="BN5891" s="192"/>
      <c r="BO5891" s="197"/>
      <c r="BP5891" s="197"/>
      <c r="BQ5891" s="197"/>
    </row>
    <row r="5892" spans="66:69" x14ac:dyDescent="0.2">
      <c r="BN5892" s="192"/>
      <c r="BO5892" s="197"/>
      <c r="BP5892" s="197"/>
      <c r="BQ5892" s="197"/>
    </row>
    <row r="5893" spans="66:69" x14ac:dyDescent="0.2">
      <c r="BN5893" s="192"/>
      <c r="BO5893" s="197"/>
      <c r="BP5893" s="197"/>
      <c r="BQ5893" s="197"/>
    </row>
    <row r="5894" spans="66:69" x14ac:dyDescent="0.2">
      <c r="BN5894" s="192"/>
      <c r="BO5894" s="197"/>
      <c r="BP5894" s="197"/>
      <c r="BQ5894" s="197"/>
    </row>
    <row r="5895" spans="66:69" x14ac:dyDescent="0.2">
      <c r="BN5895" s="192"/>
      <c r="BO5895" s="197"/>
      <c r="BP5895" s="197"/>
      <c r="BQ5895" s="197"/>
    </row>
    <row r="5896" spans="66:69" x14ac:dyDescent="0.2">
      <c r="BN5896" s="192"/>
      <c r="BO5896" s="197"/>
      <c r="BP5896" s="197"/>
      <c r="BQ5896" s="197"/>
    </row>
    <row r="5897" spans="66:69" x14ac:dyDescent="0.2">
      <c r="BN5897" s="192"/>
      <c r="BO5897" s="197"/>
      <c r="BP5897" s="197"/>
      <c r="BQ5897" s="197"/>
    </row>
    <row r="5898" spans="66:69" x14ac:dyDescent="0.2">
      <c r="BN5898" s="192"/>
      <c r="BO5898" s="197"/>
      <c r="BP5898" s="197"/>
      <c r="BQ5898" s="197"/>
    </row>
    <row r="5899" spans="66:69" x14ac:dyDescent="0.2">
      <c r="BN5899" s="192"/>
      <c r="BO5899" s="197"/>
      <c r="BP5899" s="197"/>
      <c r="BQ5899" s="197"/>
    </row>
    <row r="5900" spans="66:69" x14ac:dyDescent="0.2">
      <c r="BN5900" s="192"/>
      <c r="BO5900" s="197"/>
      <c r="BP5900" s="197"/>
      <c r="BQ5900" s="197"/>
    </row>
    <row r="5901" spans="66:69" x14ac:dyDescent="0.2">
      <c r="BN5901" s="192"/>
      <c r="BO5901" s="197"/>
      <c r="BP5901" s="197"/>
      <c r="BQ5901" s="197"/>
    </row>
    <row r="5902" spans="66:69" x14ac:dyDescent="0.2">
      <c r="BN5902" s="192"/>
      <c r="BO5902" s="197"/>
      <c r="BP5902" s="197"/>
      <c r="BQ5902" s="197"/>
    </row>
    <row r="5903" spans="66:69" x14ac:dyDescent="0.2">
      <c r="BN5903" s="192"/>
      <c r="BO5903" s="197"/>
      <c r="BP5903" s="197"/>
      <c r="BQ5903" s="197"/>
    </row>
    <row r="5904" spans="66:69" x14ac:dyDescent="0.2">
      <c r="BN5904" s="192"/>
      <c r="BO5904" s="197"/>
      <c r="BP5904" s="197"/>
      <c r="BQ5904" s="197"/>
    </row>
    <row r="5905" spans="66:69" x14ac:dyDescent="0.2">
      <c r="BN5905" s="192"/>
      <c r="BO5905" s="197"/>
      <c r="BP5905" s="197"/>
      <c r="BQ5905" s="197"/>
    </row>
    <row r="5906" spans="66:69" x14ac:dyDescent="0.2">
      <c r="BN5906" s="192"/>
      <c r="BO5906" s="197"/>
      <c r="BP5906" s="197"/>
      <c r="BQ5906" s="197"/>
    </row>
    <row r="5907" spans="66:69" x14ac:dyDescent="0.2">
      <c r="BN5907" s="192"/>
      <c r="BO5907" s="197"/>
      <c r="BP5907" s="197"/>
      <c r="BQ5907" s="197"/>
    </row>
    <row r="5908" spans="66:69" x14ac:dyDescent="0.2">
      <c r="BN5908" s="192"/>
      <c r="BO5908" s="197"/>
      <c r="BP5908" s="197"/>
      <c r="BQ5908" s="197"/>
    </row>
    <row r="5909" spans="66:69" x14ac:dyDescent="0.2">
      <c r="BN5909" s="192"/>
      <c r="BO5909" s="197"/>
      <c r="BP5909" s="197"/>
      <c r="BQ5909" s="197"/>
    </row>
    <row r="5910" spans="66:69" x14ac:dyDescent="0.2">
      <c r="BN5910" s="192"/>
      <c r="BO5910" s="197"/>
      <c r="BP5910" s="197"/>
      <c r="BQ5910" s="197"/>
    </row>
    <row r="5911" spans="66:69" x14ac:dyDescent="0.2">
      <c r="BN5911" s="192"/>
      <c r="BO5911" s="197"/>
      <c r="BP5911" s="197"/>
      <c r="BQ5911" s="197"/>
    </row>
    <row r="5912" spans="66:69" x14ac:dyDescent="0.2">
      <c r="BN5912" s="192"/>
      <c r="BO5912" s="197"/>
      <c r="BP5912" s="197"/>
      <c r="BQ5912" s="197"/>
    </row>
    <row r="5913" spans="66:69" x14ac:dyDescent="0.2">
      <c r="BN5913" s="192"/>
      <c r="BO5913" s="197"/>
      <c r="BP5913" s="197"/>
      <c r="BQ5913" s="197"/>
    </row>
    <row r="5914" spans="66:69" x14ac:dyDescent="0.2">
      <c r="BN5914" s="192"/>
      <c r="BO5914" s="197"/>
      <c r="BP5914" s="197"/>
      <c r="BQ5914" s="197"/>
    </row>
    <row r="5915" spans="66:69" x14ac:dyDescent="0.2">
      <c r="BN5915" s="192"/>
      <c r="BO5915" s="197"/>
      <c r="BP5915" s="197"/>
      <c r="BQ5915" s="197"/>
    </row>
    <row r="5916" spans="66:69" x14ac:dyDescent="0.2">
      <c r="BN5916" s="192"/>
      <c r="BO5916" s="197"/>
      <c r="BP5916" s="197"/>
      <c r="BQ5916" s="197"/>
    </row>
    <row r="5917" spans="66:69" x14ac:dyDescent="0.2">
      <c r="BN5917" s="192"/>
      <c r="BO5917" s="197"/>
      <c r="BP5917" s="197"/>
      <c r="BQ5917" s="197"/>
    </row>
    <row r="5918" spans="66:69" x14ac:dyDescent="0.2">
      <c r="BN5918" s="192"/>
      <c r="BO5918" s="197"/>
      <c r="BP5918" s="197"/>
      <c r="BQ5918" s="197"/>
    </row>
    <row r="5919" spans="66:69" x14ac:dyDescent="0.2">
      <c r="BN5919" s="192"/>
      <c r="BO5919" s="197"/>
      <c r="BP5919" s="197"/>
      <c r="BQ5919" s="197"/>
    </row>
    <row r="5920" spans="66:69" x14ac:dyDescent="0.2">
      <c r="BN5920" s="192"/>
      <c r="BO5920" s="197"/>
      <c r="BP5920" s="197"/>
      <c r="BQ5920" s="197"/>
    </row>
    <row r="5921" spans="66:69" x14ac:dyDescent="0.2">
      <c r="BN5921" s="192"/>
      <c r="BO5921" s="197"/>
      <c r="BP5921" s="197"/>
      <c r="BQ5921" s="197"/>
    </row>
    <row r="5922" spans="66:69" x14ac:dyDescent="0.2">
      <c r="BN5922" s="192"/>
      <c r="BO5922" s="197"/>
      <c r="BP5922" s="197"/>
      <c r="BQ5922" s="197"/>
    </row>
    <row r="5923" spans="66:69" x14ac:dyDescent="0.2">
      <c r="BN5923" s="192"/>
      <c r="BO5923" s="197"/>
      <c r="BP5923" s="197"/>
      <c r="BQ5923" s="197"/>
    </row>
    <row r="5924" spans="66:69" x14ac:dyDescent="0.2">
      <c r="BN5924" s="192"/>
      <c r="BO5924" s="197"/>
      <c r="BP5924" s="197"/>
      <c r="BQ5924" s="197"/>
    </row>
    <row r="5925" spans="66:69" x14ac:dyDescent="0.2">
      <c r="BN5925" s="192"/>
      <c r="BO5925" s="197"/>
      <c r="BP5925" s="197"/>
      <c r="BQ5925" s="197"/>
    </row>
    <row r="5926" spans="66:69" x14ac:dyDescent="0.2">
      <c r="BN5926" s="192"/>
      <c r="BO5926" s="197"/>
      <c r="BP5926" s="197"/>
      <c r="BQ5926" s="197"/>
    </row>
    <row r="5927" spans="66:69" x14ac:dyDescent="0.2">
      <c r="BN5927" s="192"/>
      <c r="BO5927" s="197"/>
      <c r="BP5927" s="197"/>
      <c r="BQ5927" s="197"/>
    </row>
    <row r="5928" spans="66:69" x14ac:dyDescent="0.2">
      <c r="BN5928" s="192"/>
      <c r="BO5928" s="197"/>
      <c r="BP5928" s="197"/>
      <c r="BQ5928" s="197"/>
    </row>
    <row r="5929" spans="66:69" x14ac:dyDescent="0.2">
      <c r="BN5929" s="192"/>
      <c r="BO5929" s="197"/>
      <c r="BP5929" s="197"/>
      <c r="BQ5929" s="197"/>
    </row>
    <row r="5930" spans="66:69" x14ac:dyDescent="0.2">
      <c r="BN5930" s="192"/>
      <c r="BO5930" s="197"/>
      <c r="BP5930" s="197"/>
      <c r="BQ5930" s="197"/>
    </row>
    <row r="5931" spans="66:69" x14ac:dyDescent="0.2">
      <c r="BN5931" s="192"/>
      <c r="BO5931" s="197"/>
      <c r="BP5931" s="197"/>
      <c r="BQ5931" s="197"/>
    </row>
    <row r="5932" spans="66:69" x14ac:dyDescent="0.2">
      <c r="BN5932" s="192"/>
      <c r="BO5932" s="197"/>
      <c r="BP5932" s="197"/>
      <c r="BQ5932" s="197"/>
    </row>
    <row r="5933" spans="66:69" x14ac:dyDescent="0.2">
      <c r="BN5933" s="192"/>
      <c r="BO5933" s="197"/>
      <c r="BP5933" s="197"/>
      <c r="BQ5933" s="197"/>
    </row>
    <row r="5934" spans="66:69" x14ac:dyDescent="0.2">
      <c r="BN5934" s="192"/>
      <c r="BO5934" s="197"/>
      <c r="BP5934" s="197"/>
      <c r="BQ5934" s="197"/>
    </row>
    <row r="5935" spans="66:69" x14ac:dyDescent="0.2">
      <c r="BN5935" s="192"/>
      <c r="BO5935" s="197"/>
      <c r="BP5935" s="197"/>
      <c r="BQ5935" s="197"/>
    </row>
    <row r="5936" spans="66:69" x14ac:dyDescent="0.2">
      <c r="BN5936" s="192"/>
      <c r="BO5936" s="197"/>
      <c r="BP5936" s="197"/>
      <c r="BQ5936" s="197"/>
    </row>
    <row r="5937" spans="66:69" x14ac:dyDescent="0.2">
      <c r="BN5937" s="192"/>
      <c r="BO5937" s="197"/>
      <c r="BP5937" s="197"/>
      <c r="BQ5937" s="197"/>
    </row>
    <row r="5938" spans="66:69" x14ac:dyDescent="0.2">
      <c r="BN5938" s="192"/>
      <c r="BO5938" s="197"/>
      <c r="BP5938" s="197"/>
      <c r="BQ5938" s="197"/>
    </row>
    <row r="5939" spans="66:69" x14ac:dyDescent="0.2">
      <c r="BN5939" s="192"/>
      <c r="BO5939" s="197"/>
      <c r="BP5939" s="197"/>
      <c r="BQ5939" s="197"/>
    </row>
    <row r="5940" spans="66:69" x14ac:dyDescent="0.2">
      <c r="BN5940" s="192"/>
      <c r="BO5940" s="197"/>
      <c r="BP5940" s="197"/>
      <c r="BQ5940" s="197"/>
    </row>
    <row r="5941" spans="66:69" x14ac:dyDescent="0.2">
      <c r="BN5941" s="192"/>
      <c r="BO5941" s="197"/>
      <c r="BP5941" s="197"/>
      <c r="BQ5941" s="197"/>
    </row>
    <row r="5942" spans="66:69" x14ac:dyDescent="0.2">
      <c r="BN5942" s="192"/>
      <c r="BO5942" s="197"/>
      <c r="BP5942" s="197"/>
      <c r="BQ5942" s="197"/>
    </row>
    <row r="5943" spans="66:69" x14ac:dyDescent="0.2">
      <c r="BN5943" s="192"/>
      <c r="BO5943" s="197"/>
      <c r="BP5943" s="197"/>
      <c r="BQ5943" s="197"/>
    </row>
    <row r="5944" spans="66:69" x14ac:dyDescent="0.2">
      <c r="BN5944" s="192"/>
      <c r="BO5944" s="197"/>
      <c r="BP5944" s="197"/>
      <c r="BQ5944" s="197"/>
    </row>
    <row r="5945" spans="66:69" x14ac:dyDescent="0.2">
      <c r="BN5945" s="192"/>
      <c r="BO5945" s="197"/>
      <c r="BP5945" s="197"/>
      <c r="BQ5945" s="197"/>
    </row>
    <row r="5946" spans="66:69" x14ac:dyDescent="0.2">
      <c r="BN5946" s="192"/>
      <c r="BO5946" s="197"/>
      <c r="BP5946" s="197"/>
      <c r="BQ5946" s="197"/>
    </row>
    <row r="5947" spans="66:69" x14ac:dyDescent="0.2">
      <c r="BN5947" s="192"/>
      <c r="BO5947" s="197"/>
      <c r="BP5947" s="197"/>
      <c r="BQ5947" s="197"/>
    </row>
    <row r="5948" spans="66:69" x14ac:dyDescent="0.2">
      <c r="BN5948" s="192"/>
      <c r="BO5948" s="197"/>
      <c r="BP5948" s="197"/>
      <c r="BQ5948" s="197"/>
    </row>
    <row r="5949" spans="66:69" x14ac:dyDescent="0.2">
      <c r="BN5949" s="192"/>
      <c r="BO5949" s="197"/>
      <c r="BP5949" s="197"/>
      <c r="BQ5949" s="197"/>
    </row>
    <row r="5950" spans="66:69" x14ac:dyDescent="0.2">
      <c r="BN5950" s="192"/>
      <c r="BO5950" s="197"/>
      <c r="BP5950" s="197"/>
      <c r="BQ5950" s="197"/>
    </row>
    <row r="5951" spans="66:69" x14ac:dyDescent="0.2">
      <c r="BN5951" s="192"/>
      <c r="BO5951" s="197"/>
      <c r="BP5951" s="197"/>
      <c r="BQ5951" s="197"/>
    </row>
    <row r="5952" spans="66:69" x14ac:dyDescent="0.2">
      <c r="BN5952" s="192"/>
      <c r="BO5952" s="197"/>
      <c r="BP5952" s="197"/>
      <c r="BQ5952" s="197"/>
    </row>
    <row r="5953" spans="66:69" x14ac:dyDescent="0.2">
      <c r="BN5953" s="192"/>
      <c r="BO5953" s="197"/>
      <c r="BP5953" s="197"/>
      <c r="BQ5953" s="197"/>
    </row>
    <row r="5954" spans="66:69" x14ac:dyDescent="0.2">
      <c r="BN5954" s="192"/>
      <c r="BO5954" s="197"/>
      <c r="BP5954" s="197"/>
      <c r="BQ5954" s="197"/>
    </row>
    <row r="5955" spans="66:69" x14ac:dyDescent="0.2">
      <c r="BN5955" s="192"/>
      <c r="BO5955" s="197"/>
      <c r="BP5955" s="197"/>
      <c r="BQ5955" s="197"/>
    </row>
    <row r="5956" spans="66:69" x14ac:dyDescent="0.2">
      <c r="BN5956" s="192"/>
      <c r="BO5956" s="197"/>
      <c r="BP5956" s="197"/>
      <c r="BQ5956" s="197"/>
    </row>
    <row r="5957" spans="66:69" x14ac:dyDescent="0.2">
      <c r="BN5957" s="192"/>
      <c r="BO5957" s="197"/>
      <c r="BP5957" s="197"/>
      <c r="BQ5957" s="197"/>
    </row>
    <row r="5958" spans="66:69" x14ac:dyDescent="0.2">
      <c r="BN5958" s="192"/>
      <c r="BO5958" s="197"/>
      <c r="BP5958" s="197"/>
      <c r="BQ5958" s="197"/>
    </row>
    <row r="5959" spans="66:69" x14ac:dyDescent="0.2">
      <c r="BN5959" s="192"/>
      <c r="BO5959" s="197"/>
      <c r="BP5959" s="197"/>
      <c r="BQ5959" s="197"/>
    </row>
    <row r="5960" spans="66:69" x14ac:dyDescent="0.2">
      <c r="BN5960" s="192"/>
      <c r="BO5960" s="197"/>
      <c r="BP5960" s="197"/>
      <c r="BQ5960" s="197"/>
    </row>
    <row r="5961" spans="66:69" x14ac:dyDescent="0.2">
      <c r="BN5961" s="192"/>
      <c r="BO5961" s="197"/>
      <c r="BP5961" s="197"/>
      <c r="BQ5961" s="197"/>
    </row>
    <row r="5962" spans="66:69" x14ac:dyDescent="0.2">
      <c r="BN5962" s="192"/>
      <c r="BO5962" s="197"/>
      <c r="BP5962" s="197"/>
      <c r="BQ5962" s="197"/>
    </row>
    <row r="5963" spans="66:69" x14ac:dyDescent="0.2">
      <c r="BN5963" s="192"/>
      <c r="BO5963" s="197"/>
      <c r="BP5963" s="197"/>
      <c r="BQ5963" s="197"/>
    </row>
    <row r="5964" spans="66:69" x14ac:dyDescent="0.2">
      <c r="BN5964" s="192"/>
      <c r="BO5964" s="197"/>
      <c r="BP5964" s="197"/>
      <c r="BQ5964" s="197"/>
    </row>
    <row r="5965" spans="66:69" x14ac:dyDescent="0.2">
      <c r="BN5965" s="192"/>
      <c r="BO5965" s="197"/>
      <c r="BP5965" s="197"/>
      <c r="BQ5965" s="197"/>
    </row>
    <row r="5966" spans="66:69" x14ac:dyDescent="0.2">
      <c r="BN5966" s="192"/>
      <c r="BO5966" s="197"/>
      <c r="BP5966" s="197"/>
      <c r="BQ5966" s="197"/>
    </row>
    <row r="5967" spans="66:69" x14ac:dyDescent="0.2">
      <c r="BN5967" s="192"/>
      <c r="BO5967" s="197"/>
      <c r="BP5967" s="197"/>
      <c r="BQ5967" s="197"/>
    </row>
    <row r="5968" spans="66:69" x14ac:dyDescent="0.2">
      <c r="BN5968" s="192"/>
      <c r="BO5968" s="197"/>
      <c r="BP5968" s="197"/>
      <c r="BQ5968" s="197"/>
    </row>
    <row r="5969" spans="66:69" x14ac:dyDescent="0.2">
      <c r="BN5969" s="192"/>
      <c r="BO5969" s="197"/>
      <c r="BP5969" s="197"/>
      <c r="BQ5969" s="197"/>
    </row>
    <row r="5970" spans="66:69" x14ac:dyDescent="0.2">
      <c r="BN5970" s="192"/>
      <c r="BO5970" s="197"/>
      <c r="BP5970" s="197"/>
      <c r="BQ5970" s="197"/>
    </row>
    <row r="5971" spans="66:69" x14ac:dyDescent="0.2">
      <c r="BN5971" s="192"/>
      <c r="BO5971" s="197"/>
      <c r="BP5971" s="197"/>
      <c r="BQ5971" s="197"/>
    </row>
    <row r="5972" spans="66:69" x14ac:dyDescent="0.2">
      <c r="BN5972" s="192"/>
      <c r="BO5972" s="197"/>
      <c r="BP5972" s="197"/>
      <c r="BQ5972" s="197"/>
    </row>
    <row r="5973" spans="66:69" x14ac:dyDescent="0.2">
      <c r="BN5973" s="192"/>
      <c r="BO5973" s="197"/>
      <c r="BP5973" s="197"/>
      <c r="BQ5973" s="197"/>
    </row>
    <row r="5974" spans="66:69" x14ac:dyDescent="0.2">
      <c r="BN5974" s="192"/>
      <c r="BO5974" s="197"/>
      <c r="BP5974" s="197"/>
      <c r="BQ5974" s="197"/>
    </row>
    <row r="5975" spans="66:69" x14ac:dyDescent="0.2">
      <c r="BN5975" s="192"/>
      <c r="BO5975" s="197"/>
      <c r="BP5975" s="197"/>
      <c r="BQ5975" s="197"/>
    </row>
    <row r="5976" spans="66:69" x14ac:dyDescent="0.2">
      <c r="BN5976" s="192"/>
      <c r="BO5976" s="197"/>
      <c r="BP5976" s="197"/>
      <c r="BQ5976" s="197"/>
    </row>
    <row r="5977" spans="66:69" x14ac:dyDescent="0.2">
      <c r="BN5977" s="192"/>
      <c r="BO5977" s="197"/>
      <c r="BP5977" s="197"/>
      <c r="BQ5977" s="197"/>
    </row>
    <row r="5978" spans="66:69" x14ac:dyDescent="0.2">
      <c r="BN5978" s="192"/>
      <c r="BO5978" s="197"/>
      <c r="BP5978" s="197"/>
      <c r="BQ5978" s="197"/>
    </row>
    <row r="5979" spans="66:69" x14ac:dyDescent="0.2">
      <c r="BN5979" s="192"/>
      <c r="BO5979" s="197"/>
      <c r="BP5979" s="197"/>
      <c r="BQ5979" s="197"/>
    </row>
    <row r="5980" spans="66:69" x14ac:dyDescent="0.2">
      <c r="BN5980" s="192"/>
      <c r="BO5980" s="197"/>
      <c r="BP5980" s="197"/>
      <c r="BQ5980" s="197"/>
    </row>
    <row r="5981" spans="66:69" x14ac:dyDescent="0.2">
      <c r="BN5981" s="192"/>
      <c r="BO5981" s="197"/>
      <c r="BP5981" s="197"/>
      <c r="BQ5981" s="197"/>
    </row>
    <row r="5982" spans="66:69" x14ac:dyDescent="0.2">
      <c r="BN5982" s="192"/>
      <c r="BO5982" s="197"/>
      <c r="BP5982" s="197"/>
      <c r="BQ5982" s="197"/>
    </row>
    <row r="5983" spans="66:69" x14ac:dyDescent="0.2">
      <c r="BN5983" s="192"/>
      <c r="BO5983" s="197"/>
      <c r="BP5983" s="197"/>
      <c r="BQ5983" s="197"/>
    </row>
    <row r="5984" spans="66:69" x14ac:dyDescent="0.2">
      <c r="BN5984" s="192"/>
      <c r="BO5984" s="197"/>
      <c r="BP5984" s="197"/>
      <c r="BQ5984" s="197"/>
    </row>
    <row r="5985" spans="66:69" x14ac:dyDescent="0.2">
      <c r="BN5985" s="192"/>
      <c r="BO5985" s="197"/>
      <c r="BP5985" s="197"/>
      <c r="BQ5985" s="197"/>
    </row>
    <row r="5986" spans="66:69" x14ac:dyDescent="0.2">
      <c r="BN5986" s="192"/>
      <c r="BO5986" s="197"/>
      <c r="BP5986" s="197"/>
      <c r="BQ5986" s="197"/>
    </row>
    <row r="5987" spans="66:69" x14ac:dyDescent="0.2">
      <c r="BN5987" s="192"/>
      <c r="BO5987" s="197"/>
      <c r="BP5987" s="197"/>
      <c r="BQ5987" s="197"/>
    </row>
    <row r="5988" spans="66:69" x14ac:dyDescent="0.2">
      <c r="BN5988" s="192"/>
      <c r="BO5988" s="197"/>
      <c r="BP5988" s="197"/>
      <c r="BQ5988" s="197"/>
    </row>
    <row r="5989" spans="66:69" x14ac:dyDescent="0.2">
      <c r="BN5989" s="192"/>
      <c r="BO5989" s="197"/>
      <c r="BP5989" s="197"/>
      <c r="BQ5989" s="197"/>
    </row>
    <row r="5990" spans="66:69" x14ac:dyDescent="0.2">
      <c r="BN5990" s="192"/>
      <c r="BO5990" s="197"/>
      <c r="BP5990" s="197"/>
      <c r="BQ5990" s="197"/>
    </row>
    <row r="5991" spans="66:69" x14ac:dyDescent="0.2">
      <c r="BN5991" s="192"/>
      <c r="BO5991" s="197"/>
      <c r="BP5991" s="197"/>
      <c r="BQ5991" s="197"/>
    </row>
    <row r="5992" spans="66:69" x14ac:dyDescent="0.2">
      <c r="BN5992" s="192"/>
      <c r="BO5992" s="197"/>
      <c r="BP5992" s="197"/>
      <c r="BQ5992" s="197"/>
    </row>
    <row r="5993" spans="66:69" x14ac:dyDescent="0.2">
      <c r="BN5993" s="192"/>
      <c r="BO5993" s="197"/>
      <c r="BP5993" s="197"/>
      <c r="BQ5993" s="197"/>
    </row>
    <row r="5994" spans="66:69" x14ac:dyDescent="0.2">
      <c r="BN5994" s="192"/>
      <c r="BO5994" s="197"/>
      <c r="BP5994" s="197"/>
      <c r="BQ5994" s="197"/>
    </row>
    <row r="5995" spans="66:69" x14ac:dyDescent="0.2">
      <c r="BN5995" s="192"/>
      <c r="BO5995" s="197"/>
      <c r="BP5995" s="197"/>
      <c r="BQ5995" s="197"/>
    </row>
    <row r="5996" spans="66:69" x14ac:dyDescent="0.2">
      <c r="BN5996" s="192"/>
      <c r="BO5996" s="197"/>
      <c r="BP5996" s="197"/>
      <c r="BQ5996" s="197"/>
    </row>
    <row r="5997" spans="66:69" x14ac:dyDescent="0.2">
      <c r="BN5997" s="192"/>
      <c r="BO5997" s="197"/>
      <c r="BP5997" s="197"/>
      <c r="BQ5997" s="197"/>
    </row>
    <row r="5998" spans="66:69" x14ac:dyDescent="0.2">
      <c r="BN5998" s="192"/>
      <c r="BO5998" s="197"/>
      <c r="BP5998" s="197"/>
      <c r="BQ5998" s="197"/>
    </row>
    <row r="5999" spans="66:69" x14ac:dyDescent="0.2">
      <c r="BN5999" s="192"/>
      <c r="BO5999" s="197"/>
      <c r="BP5999" s="197"/>
      <c r="BQ5999" s="197"/>
    </row>
    <row r="6000" spans="66:69" x14ac:dyDescent="0.2">
      <c r="BN6000" s="192"/>
      <c r="BO6000" s="197"/>
      <c r="BP6000" s="197"/>
      <c r="BQ6000" s="197"/>
    </row>
    <row r="6001" spans="66:69" x14ac:dyDescent="0.2">
      <c r="BN6001" s="192"/>
      <c r="BO6001" s="197"/>
      <c r="BP6001" s="197"/>
      <c r="BQ6001" s="197"/>
    </row>
    <row r="6002" spans="66:69" x14ac:dyDescent="0.2">
      <c r="BN6002" s="192"/>
      <c r="BO6002" s="197"/>
      <c r="BP6002" s="197"/>
      <c r="BQ6002" s="197"/>
    </row>
    <row r="6003" spans="66:69" x14ac:dyDescent="0.2">
      <c r="BN6003" s="192"/>
      <c r="BO6003" s="197"/>
      <c r="BP6003" s="197"/>
      <c r="BQ6003" s="197"/>
    </row>
    <row r="6004" spans="66:69" x14ac:dyDescent="0.2">
      <c r="BN6004" s="192"/>
      <c r="BO6004" s="197"/>
      <c r="BP6004" s="197"/>
      <c r="BQ6004" s="197"/>
    </row>
    <row r="6005" spans="66:69" x14ac:dyDescent="0.2">
      <c r="BN6005" s="192"/>
      <c r="BO6005" s="197"/>
      <c r="BP6005" s="197"/>
      <c r="BQ6005" s="197"/>
    </row>
    <row r="6006" spans="66:69" x14ac:dyDescent="0.2">
      <c r="BN6006" s="192"/>
      <c r="BO6006" s="197"/>
      <c r="BP6006" s="197"/>
      <c r="BQ6006" s="197"/>
    </row>
    <row r="6007" spans="66:69" x14ac:dyDescent="0.2">
      <c r="BN6007" s="192"/>
      <c r="BO6007" s="197"/>
      <c r="BP6007" s="197"/>
      <c r="BQ6007" s="197"/>
    </row>
    <row r="6008" spans="66:69" x14ac:dyDescent="0.2">
      <c r="BN6008" s="192"/>
      <c r="BO6008" s="197"/>
      <c r="BP6008" s="197"/>
      <c r="BQ6008" s="197"/>
    </row>
    <row r="6009" spans="66:69" x14ac:dyDescent="0.2">
      <c r="BN6009" s="192"/>
      <c r="BO6009" s="197"/>
      <c r="BP6009" s="197"/>
      <c r="BQ6009" s="197"/>
    </row>
    <row r="6010" spans="66:69" x14ac:dyDescent="0.2">
      <c r="BN6010" s="192"/>
      <c r="BO6010" s="197"/>
      <c r="BP6010" s="197"/>
      <c r="BQ6010" s="197"/>
    </row>
    <row r="6011" spans="66:69" x14ac:dyDescent="0.2">
      <c r="BN6011" s="192"/>
      <c r="BO6011" s="197"/>
      <c r="BP6011" s="197"/>
      <c r="BQ6011" s="197"/>
    </row>
    <row r="6012" spans="66:69" x14ac:dyDescent="0.2">
      <c r="BN6012" s="192"/>
      <c r="BO6012" s="197"/>
      <c r="BP6012" s="197"/>
      <c r="BQ6012" s="197"/>
    </row>
    <row r="6013" spans="66:69" x14ac:dyDescent="0.2">
      <c r="BN6013" s="192"/>
      <c r="BO6013" s="197"/>
      <c r="BP6013" s="197"/>
      <c r="BQ6013" s="197"/>
    </row>
    <row r="6014" spans="66:69" x14ac:dyDescent="0.2">
      <c r="BN6014" s="192"/>
      <c r="BO6014" s="197"/>
      <c r="BP6014" s="197"/>
      <c r="BQ6014" s="197"/>
    </row>
    <row r="6015" spans="66:69" x14ac:dyDescent="0.2">
      <c r="BN6015" s="192"/>
      <c r="BO6015" s="197"/>
      <c r="BP6015" s="197"/>
      <c r="BQ6015" s="197"/>
    </row>
    <row r="6016" spans="66:69" x14ac:dyDescent="0.2">
      <c r="BN6016" s="192"/>
      <c r="BO6016" s="197"/>
      <c r="BP6016" s="197"/>
      <c r="BQ6016" s="197"/>
    </row>
    <row r="6017" spans="66:69" x14ac:dyDescent="0.2">
      <c r="BN6017" s="192"/>
      <c r="BO6017" s="197"/>
      <c r="BP6017" s="197"/>
      <c r="BQ6017" s="197"/>
    </row>
    <row r="6018" spans="66:69" x14ac:dyDescent="0.2">
      <c r="BN6018" s="192"/>
      <c r="BO6018" s="197"/>
      <c r="BP6018" s="197"/>
      <c r="BQ6018" s="197"/>
    </row>
    <row r="6019" spans="66:69" x14ac:dyDescent="0.2">
      <c r="BN6019" s="192"/>
      <c r="BO6019" s="197"/>
      <c r="BP6019" s="197"/>
      <c r="BQ6019" s="197"/>
    </row>
    <row r="6020" spans="66:69" x14ac:dyDescent="0.2">
      <c r="BN6020" s="192"/>
      <c r="BO6020" s="197"/>
      <c r="BP6020" s="197"/>
      <c r="BQ6020" s="197"/>
    </row>
    <row r="6021" spans="66:69" x14ac:dyDescent="0.2">
      <c r="BN6021" s="192"/>
      <c r="BO6021" s="197"/>
      <c r="BP6021" s="197"/>
      <c r="BQ6021" s="197"/>
    </row>
    <row r="6022" spans="66:69" x14ac:dyDescent="0.2">
      <c r="BN6022" s="192"/>
      <c r="BO6022" s="197"/>
      <c r="BP6022" s="197"/>
      <c r="BQ6022" s="197"/>
    </row>
    <row r="6023" spans="66:69" x14ac:dyDescent="0.2">
      <c r="BN6023" s="192"/>
      <c r="BO6023" s="197"/>
      <c r="BP6023" s="197"/>
      <c r="BQ6023" s="197"/>
    </row>
    <row r="6024" spans="66:69" x14ac:dyDescent="0.2">
      <c r="BN6024" s="192"/>
      <c r="BO6024" s="197"/>
      <c r="BP6024" s="197"/>
      <c r="BQ6024" s="197"/>
    </row>
    <row r="6025" spans="66:69" x14ac:dyDescent="0.2">
      <c r="BN6025" s="192"/>
      <c r="BO6025" s="197"/>
      <c r="BP6025" s="197"/>
      <c r="BQ6025" s="197"/>
    </row>
    <row r="6026" spans="66:69" x14ac:dyDescent="0.2">
      <c r="BN6026" s="192"/>
      <c r="BO6026" s="197"/>
      <c r="BP6026" s="197"/>
      <c r="BQ6026" s="197"/>
    </row>
    <row r="6027" spans="66:69" x14ac:dyDescent="0.2">
      <c r="BN6027" s="192"/>
      <c r="BO6027" s="197"/>
      <c r="BP6027" s="197"/>
      <c r="BQ6027" s="197"/>
    </row>
    <row r="6028" spans="66:69" x14ac:dyDescent="0.2">
      <c r="BN6028" s="192"/>
      <c r="BO6028" s="197"/>
      <c r="BP6028" s="197"/>
      <c r="BQ6028" s="197"/>
    </row>
    <row r="6029" spans="66:69" x14ac:dyDescent="0.2">
      <c r="BN6029" s="192"/>
      <c r="BO6029" s="197"/>
      <c r="BP6029" s="197"/>
      <c r="BQ6029" s="197"/>
    </row>
    <row r="6030" spans="66:69" x14ac:dyDescent="0.2">
      <c r="BN6030" s="192"/>
      <c r="BO6030" s="197"/>
      <c r="BP6030" s="197"/>
      <c r="BQ6030" s="197"/>
    </row>
    <row r="6031" spans="66:69" x14ac:dyDescent="0.2">
      <c r="BN6031" s="192"/>
      <c r="BO6031" s="197"/>
      <c r="BP6031" s="197"/>
      <c r="BQ6031" s="197"/>
    </row>
    <row r="6032" spans="66:69" x14ac:dyDescent="0.2">
      <c r="BN6032" s="192"/>
      <c r="BO6032" s="197"/>
      <c r="BP6032" s="197"/>
      <c r="BQ6032" s="197"/>
    </row>
    <row r="6033" spans="66:69" x14ac:dyDescent="0.2">
      <c r="BN6033" s="192"/>
      <c r="BO6033" s="197"/>
      <c r="BP6033" s="197"/>
      <c r="BQ6033" s="197"/>
    </row>
    <row r="6034" spans="66:69" x14ac:dyDescent="0.2">
      <c r="BN6034" s="192"/>
      <c r="BO6034" s="197"/>
      <c r="BP6034" s="197"/>
      <c r="BQ6034" s="197"/>
    </row>
    <row r="6035" spans="66:69" x14ac:dyDescent="0.2">
      <c r="BN6035" s="192"/>
      <c r="BO6035" s="197"/>
      <c r="BP6035" s="197"/>
      <c r="BQ6035" s="197"/>
    </row>
    <row r="6036" spans="66:69" x14ac:dyDescent="0.2">
      <c r="BN6036" s="192"/>
      <c r="BO6036" s="197"/>
      <c r="BP6036" s="197"/>
      <c r="BQ6036" s="197"/>
    </row>
    <row r="6037" spans="66:69" x14ac:dyDescent="0.2">
      <c r="BN6037" s="192"/>
      <c r="BO6037" s="197"/>
      <c r="BP6037" s="197"/>
      <c r="BQ6037" s="197"/>
    </row>
    <row r="6038" spans="66:69" x14ac:dyDescent="0.2">
      <c r="BN6038" s="192"/>
      <c r="BO6038" s="197"/>
      <c r="BP6038" s="197"/>
      <c r="BQ6038" s="197"/>
    </row>
    <row r="6039" spans="66:69" x14ac:dyDescent="0.2">
      <c r="BN6039" s="192"/>
      <c r="BO6039" s="197"/>
      <c r="BP6039" s="197"/>
      <c r="BQ6039" s="197"/>
    </row>
    <row r="6040" spans="66:69" x14ac:dyDescent="0.2">
      <c r="BN6040" s="192"/>
      <c r="BO6040" s="197"/>
      <c r="BP6040" s="197"/>
      <c r="BQ6040" s="197"/>
    </row>
    <row r="6041" spans="66:69" x14ac:dyDescent="0.2">
      <c r="BN6041" s="192"/>
      <c r="BO6041" s="197"/>
      <c r="BP6041" s="197"/>
      <c r="BQ6041" s="197"/>
    </row>
    <row r="6042" spans="66:69" x14ac:dyDescent="0.2">
      <c r="BN6042" s="192"/>
      <c r="BO6042" s="197"/>
      <c r="BP6042" s="197"/>
      <c r="BQ6042" s="197"/>
    </row>
    <row r="6043" spans="66:69" x14ac:dyDescent="0.2">
      <c r="BN6043" s="192"/>
      <c r="BO6043" s="197"/>
      <c r="BP6043" s="197"/>
      <c r="BQ6043" s="197"/>
    </row>
    <row r="6044" spans="66:69" x14ac:dyDescent="0.2">
      <c r="BN6044" s="192"/>
      <c r="BO6044" s="197"/>
      <c r="BP6044" s="197"/>
      <c r="BQ6044" s="197"/>
    </row>
    <row r="6045" spans="66:69" x14ac:dyDescent="0.2">
      <c r="BN6045" s="192"/>
      <c r="BO6045" s="197"/>
      <c r="BP6045" s="197"/>
      <c r="BQ6045" s="197"/>
    </row>
    <row r="6046" spans="66:69" x14ac:dyDescent="0.2">
      <c r="BN6046" s="192"/>
      <c r="BO6046" s="197"/>
      <c r="BP6046" s="197"/>
      <c r="BQ6046" s="197"/>
    </row>
    <row r="6047" spans="66:69" x14ac:dyDescent="0.2">
      <c r="BN6047" s="192"/>
      <c r="BO6047" s="197"/>
      <c r="BP6047" s="197"/>
      <c r="BQ6047" s="197"/>
    </row>
    <row r="6048" spans="66:69" x14ac:dyDescent="0.2">
      <c r="BN6048" s="192"/>
      <c r="BO6048" s="197"/>
      <c r="BP6048" s="197"/>
      <c r="BQ6048" s="197"/>
    </row>
    <row r="6049" spans="66:69" x14ac:dyDescent="0.2">
      <c r="BN6049" s="192"/>
      <c r="BO6049" s="197"/>
      <c r="BP6049" s="197"/>
      <c r="BQ6049" s="197"/>
    </row>
    <row r="6050" spans="66:69" x14ac:dyDescent="0.2">
      <c r="BN6050" s="192"/>
      <c r="BO6050" s="197"/>
      <c r="BP6050" s="197"/>
      <c r="BQ6050" s="197"/>
    </row>
    <row r="6051" spans="66:69" x14ac:dyDescent="0.2">
      <c r="BN6051" s="192"/>
      <c r="BO6051" s="197"/>
      <c r="BP6051" s="197"/>
      <c r="BQ6051" s="197"/>
    </row>
    <row r="6052" spans="66:69" x14ac:dyDescent="0.2">
      <c r="BN6052" s="192"/>
      <c r="BO6052" s="197"/>
      <c r="BP6052" s="197"/>
      <c r="BQ6052" s="197"/>
    </row>
    <row r="6053" spans="66:69" x14ac:dyDescent="0.2">
      <c r="BN6053" s="192"/>
      <c r="BO6053" s="197"/>
      <c r="BP6053" s="197"/>
      <c r="BQ6053" s="197"/>
    </row>
    <row r="6054" spans="66:69" x14ac:dyDescent="0.2">
      <c r="BN6054" s="192"/>
      <c r="BO6054" s="197"/>
      <c r="BP6054" s="197"/>
      <c r="BQ6054" s="197"/>
    </row>
    <row r="6055" spans="66:69" x14ac:dyDescent="0.2">
      <c r="BN6055" s="192"/>
      <c r="BO6055" s="197"/>
      <c r="BP6055" s="197"/>
      <c r="BQ6055" s="197"/>
    </row>
    <row r="6056" spans="66:69" x14ac:dyDescent="0.2">
      <c r="BN6056" s="192"/>
      <c r="BO6056" s="197"/>
      <c r="BP6056" s="197"/>
      <c r="BQ6056" s="197"/>
    </row>
    <row r="6057" spans="66:69" x14ac:dyDescent="0.2">
      <c r="BN6057" s="192"/>
      <c r="BO6057" s="197"/>
      <c r="BP6057" s="197"/>
      <c r="BQ6057" s="197"/>
    </row>
    <row r="6058" spans="66:69" x14ac:dyDescent="0.2">
      <c r="BN6058" s="192"/>
      <c r="BO6058" s="197"/>
      <c r="BP6058" s="197"/>
      <c r="BQ6058" s="197"/>
    </row>
    <row r="6059" spans="66:69" x14ac:dyDescent="0.2">
      <c r="BN6059" s="192"/>
      <c r="BO6059" s="197"/>
      <c r="BP6059" s="197"/>
      <c r="BQ6059" s="197"/>
    </row>
    <row r="6060" spans="66:69" x14ac:dyDescent="0.2">
      <c r="BN6060" s="192"/>
      <c r="BO6060" s="197"/>
      <c r="BP6060" s="197"/>
      <c r="BQ6060" s="197"/>
    </row>
    <row r="6061" spans="66:69" x14ac:dyDescent="0.2">
      <c r="BN6061" s="192"/>
      <c r="BO6061" s="197"/>
      <c r="BP6061" s="197"/>
      <c r="BQ6061" s="197"/>
    </row>
    <row r="6062" spans="66:69" x14ac:dyDescent="0.2">
      <c r="BN6062" s="192"/>
      <c r="BO6062" s="197"/>
      <c r="BP6062" s="197"/>
      <c r="BQ6062" s="197"/>
    </row>
    <row r="6063" spans="66:69" x14ac:dyDescent="0.2">
      <c r="BN6063" s="192"/>
      <c r="BO6063" s="197"/>
      <c r="BP6063" s="197"/>
      <c r="BQ6063" s="197"/>
    </row>
    <row r="6064" spans="66:69" x14ac:dyDescent="0.2">
      <c r="BN6064" s="192"/>
      <c r="BO6064" s="197"/>
      <c r="BP6064" s="197"/>
      <c r="BQ6064" s="197"/>
    </row>
    <row r="6065" spans="66:69" x14ac:dyDescent="0.2">
      <c r="BN6065" s="192"/>
      <c r="BO6065" s="197"/>
      <c r="BP6065" s="197"/>
      <c r="BQ6065" s="197"/>
    </row>
    <row r="6066" spans="66:69" x14ac:dyDescent="0.2">
      <c r="BN6066" s="192"/>
      <c r="BO6066" s="197"/>
      <c r="BP6066" s="197"/>
      <c r="BQ6066" s="197"/>
    </row>
    <row r="6067" spans="66:69" x14ac:dyDescent="0.2">
      <c r="BN6067" s="192"/>
      <c r="BO6067" s="197"/>
      <c r="BP6067" s="197"/>
      <c r="BQ6067" s="197"/>
    </row>
    <row r="6068" spans="66:69" x14ac:dyDescent="0.2">
      <c r="BN6068" s="192"/>
      <c r="BO6068" s="197"/>
      <c r="BP6068" s="197"/>
      <c r="BQ6068" s="197"/>
    </row>
    <row r="6069" spans="66:69" x14ac:dyDescent="0.2">
      <c r="BN6069" s="192"/>
      <c r="BO6069" s="197"/>
      <c r="BP6069" s="197"/>
      <c r="BQ6069" s="197"/>
    </row>
    <row r="6070" spans="66:69" x14ac:dyDescent="0.2">
      <c r="BN6070" s="192"/>
      <c r="BO6070" s="197"/>
      <c r="BP6070" s="197"/>
      <c r="BQ6070" s="197"/>
    </row>
    <row r="6071" spans="66:69" x14ac:dyDescent="0.2">
      <c r="BN6071" s="192"/>
      <c r="BO6071" s="197"/>
      <c r="BP6071" s="197"/>
      <c r="BQ6071" s="197"/>
    </row>
    <row r="6072" spans="66:69" x14ac:dyDescent="0.2">
      <c r="BN6072" s="192"/>
      <c r="BO6072" s="197"/>
      <c r="BP6072" s="197"/>
      <c r="BQ6072" s="197"/>
    </row>
    <row r="6073" spans="66:69" x14ac:dyDescent="0.2">
      <c r="BN6073" s="192"/>
      <c r="BO6073" s="197"/>
      <c r="BP6073" s="197"/>
      <c r="BQ6073" s="197"/>
    </row>
    <row r="6074" spans="66:69" x14ac:dyDescent="0.2">
      <c r="BN6074" s="192"/>
      <c r="BO6074" s="197"/>
      <c r="BP6074" s="197"/>
      <c r="BQ6074" s="197"/>
    </row>
    <row r="6075" spans="66:69" x14ac:dyDescent="0.2">
      <c r="BN6075" s="192"/>
      <c r="BO6075" s="197"/>
      <c r="BP6075" s="197"/>
      <c r="BQ6075" s="197"/>
    </row>
    <row r="6076" spans="66:69" x14ac:dyDescent="0.2">
      <c r="BN6076" s="192"/>
      <c r="BO6076" s="197"/>
      <c r="BP6076" s="197"/>
      <c r="BQ6076" s="197"/>
    </row>
    <row r="6077" spans="66:69" x14ac:dyDescent="0.2">
      <c r="BN6077" s="192"/>
      <c r="BO6077" s="197"/>
      <c r="BP6077" s="197"/>
      <c r="BQ6077" s="197"/>
    </row>
    <row r="6078" spans="66:69" x14ac:dyDescent="0.2">
      <c r="BN6078" s="192"/>
      <c r="BO6078" s="197"/>
      <c r="BP6078" s="197"/>
      <c r="BQ6078" s="197"/>
    </row>
    <row r="6079" spans="66:69" x14ac:dyDescent="0.2">
      <c r="BN6079" s="192"/>
      <c r="BO6079" s="197"/>
      <c r="BP6079" s="197"/>
      <c r="BQ6079" s="197"/>
    </row>
    <row r="6080" spans="66:69" x14ac:dyDescent="0.2">
      <c r="BN6080" s="192"/>
      <c r="BO6080" s="197"/>
      <c r="BP6080" s="197"/>
      <c r="BQ6080" s="197"/>
    </row>
    <row r="6081" spans="66:69" x14ac:dyDescent="0.2">
      <c r="BN6081" s="192"/>
      <c r="BO6081" s="197"/>
      <c r="BP6081" s="197"/>
      <c r="BQ6081" s="197"/>
    </row>
    <row r="6082" spans="66:69" x14ac:dyDescent="0.2">
      <c r="BN6082" s="192"/>
      <c r="BO6082" s="197"/>
      <c r="BP6082" s="197"/>
      <c r="BQ6082" s="197"/>
    </row>
    <row r="6083" spans="66:69" x14ac:dyDescent="0.2">
      <c r="BN6083" s="192"/>
      <c r="BO6083" s="197"/>
      <c r="BP6083" s="197"/>
      <c r="BQ6083" s="197"/>
    </row>
    <row r="6084" spans="66:69" x14ac:dyDescent="0.2">
      <c r="BN6084" s="192"/>
      <c r="BO6084" s="197"/>
      <c r="BP6084" s="197"/>
      <c r="BQ6084" s="197"/>
    </row>
    <row r="6085" spans="66:69" x14ac:dyDescent="0.2">
      <c r="BN6085" s="192"/>
      <c r="BO6085" s="197"/>
      <c r="BP6085" s="197"/>
      <c r="BQ6085" s="197"/>
    </row>
    <row r="6086" spans="66:69" x14ac:dyDescent="0.2">
      <c r="BN6086" s="192"/>
      <c r="BO6086" s="197"/>
      <c r="BP6086" s="197"/>
      <c r="BQ6086" s="197"/>
    </row>
    <row r="6087" spans="66:69" x14ac:dyDescent="0.2">
      <c r="BN6087" s="192"/>
      <c r="BO6087" s="197"/>
      <c r="BP6087" s="197"/>
      <c r="BQ6087" s="197"/>
    </row>
    <row r="6088" spans="66:69" x14ac:dyDescent="0.2">
      <c r="BN6088" s="192"/>
      <c r="BO6088" s="197"/>
      <c r="BP6088" s="197"/>
      <c r="BQ6088" s="197"/>
    </row>
    <row r="6089" spans="66:69" x14ac:dyDescent="0.2">
      <c r="BN6089" s="192"/>
      <c r="BO6089" s="197"/>
      <c r="BP6089" s="197"/>
      <c r="BQ6089" s="197"/>
    </row>
    <row r="6090" spans="66:69" x14ac:dyDescent="0.2">
      <c r="BN6090" s="192"/>
      <c r="BO6090" s="197"/>
      <c r="BP6090" s="197"/>
      <c r="BQ6090" s="197"/>
    </row>
    <row r="6091" spans="66:69" x14ac:dyDescent="0.2">
      <c r="BN6091" s="192"/>
      <c r="BO6091" s="197"/>
      <c r="BP6091" s="197"/>
      <c r="BQ6091" s="197"/>
    </row>
    <row r="6092" spans="66:69" x14ac:dyDescent="0.2">
      <c r="BN6092" s="192"/>
      <c r="BO6092" s="197"/>
      <c r="BP6092" s="197"/>
      <c r="BQ6092" s="197"/>
    </row>
    <row r="6093" spans="66:69" x14ac:dyDescent="0.2">
      <c r="BN6093" s="192"/>
      <c r="BO6093" s="197"/>
      <c r="BP6093" s="197"/>
      <c r="BQ6093" s="197"/>
    </row>
    <row r="6094" spans="66:69" x14ac:dyDescent="0.2">
      <c r="BN6094" s="192"/>
      <c r="BO6094" s="197"/>
      <c r="BP6094" s="197"/>
      <c r="BQ6094" s="197"/>
    </row>
    <row r="6095" spans="66:69" x14ac:dyDescent="0.2">
      <c r="BN6095" s="192"/>
      <c r="BO6095" s="197"/>
      <c r="BP6095" s="197"/>
      <c r="BQ6095" s="197"/>
    </row>
    <row r="6096" spans="66:69" x14ac:dyDescent="0.2">
      <c r="BN6096" s="192"/>
      <c r="BO6096" s="197"/>
      <c r="BP6096" s="197"/>
      <c r="BQ6096" s="197"/>
    </row>
    <row r="6097" spans="66:69" x14ac:dyDescent="0.2">
      <c r="BN6097" s="192"/>
      <c r="BO6097" s="197"/>
      <c r="BP6097" s="197"/>
      <c r="BQ6097" s="197"/>
    </row>
    <row r="6098" spans="66:69" x14ac:dyDescent="0.2">
      <c r="BN6098" s="192"/>
      <c r="BO6098" s="197"/>
      <c r="BP6098" s="197"/>
      <c r="BQ6098" s="197"/>
    </row>
    <row r="6099" spans="66:69" x14ac:dyDescent="0.2">
      <c r="BN6099" s="192"/>
      <c r="BO6099" s="197"/>
      <c r="BP6099" s="197"/>
      <c r="BQ6099" s="197"/>
    </row>
    <row r="6100" spans="66:69" x14ac:dyDescent="0.2">
      <c r="BN6100" s="192"/>
      <c r="BO6100" s="197"/>
      <c r="BP6100" s="197"/>
      <c r="BQ6100" s="197"/>
    </row>
    <row r="6101" spans="66:69" x14ac:dyDescent="0.2">
      <c r="BN6101" s="192"/>
      <c r="BO6101" s="197"/>
      <c r="BP6101" s="197"/>
      <c r="BQ6101" s="197"/>
    </row>
    <row r="6102" spans="66:69" x14ac:dyDescent="0.2">
      <c r="BN6102" s="192"/>
      <c r="BO6102" s="197"/>
      <c r="BP6102" s="197"/>
      <c r="BQ6102" s="197"/>
    </row>
    <row r="6103" spans="66:69" x14ac:dyDescent="0.2">
      <c r="BN6103" s="192"/>
      <c r="BO6103" s="197"/>
      <c r="BP6103" s="197"/>
      <c r="BQ6103" s="197"/>
    </row>
    <row r="6104" spans="66:69" x14ac:dyDescent="0.2">
      <c r="BN6104" s="192"/>
      <c r="BO6104" s="197"/>
      <c r="BP6104" s="197"/>
      <c r="BQ6104" s="197"/>
    </row>
    <row r="6105" spans="66:69" x14ac:dyDescent="0.2">
      <c r="BN6105" s="192"/>
      <c r="BO6105" s="197"/>
      <c r="BP6105" s="197"/>
      <c r="BQ6105" s="197"/>
    </row>
    <row r="6106" spans="66:69" x14ac:dyDescent="0.2">
      <c r="BN6106" s="192"/>
      <c r="BO6106" s="197"/>
      <c r="BP6106" s="197"/>
      <c r="BQ6106" s="197"/>
    </row>
    <row r="6107" spans="66:69" x14ac:dyDescent="0.2">
      <c r="BN6107" s="192"/>
      <c r="BO6107" s="197"/>
      <c r="BP6107" s="197"/>
      <c r="BQ6107" s="197"/>
    </row>
    <row r="6108" spans="66:69" x14ac:dyDescent="0.2">
      <c r="BN6108" s="192"/>
      <c r="BO6108" s="197"/>
      <c r="BP6108" s="197"/>
      <c r="BQ6108" s="197"/>
    </row>
    <row r="6109" spans="66:69" x14ac:dyDescent="0.2">
      <c r="BN6109" s="192"/>
      <c r="BO6109" s="197"/>
      <c r="BP6109" s="197"/>
      <c r="BQ6109" s="197"/>
    </row>
    <row r="6110" spans="66:69" x14ac:dyDescent="0.2">
      <c r="BN6110" s="192"/>
      <c r="BO6110" s="197"/>
      <c r="BP6110" s="197"/>
      <c r="BQ6110" s="197"/>
    </row>
    <row r="6111" spans="66:69" x14ac:dyDescent="0.2">
      <c r="BN6111" s="192"/>
      <c r="BO6111" s="197"/>
      <c r="BP6111" s="197"/>
      <c r="BQ6111" s="197"/>
    </row>
    <row r="6112" spans="66:69" x14ac:dyDescent="0.2">
      <c r="BN6112" s="192"/>
      <c r="BO6112" s="197"/>
      <c r="BP6112" s="197"/>
      <c r="BQ6112" s="197"/>
    </row>
    <row r="6113" spans="66:69" x14ac:dyDescent="0.2">
      <c r="BN6113" s="192"/>
      <c r="BO6113" s="197"/>
      <c r="BP6113" s="197"/>
      <c r="BQ6113" s="197"/>
    </row>
    <row r="6114" spans="66:69" x14ac:dyDescent="0.2">
      <c r="BN6114" s="192"/>
      <c r="BO6114" s="197"/>
      <c r="BP6114" s="197"/>
      <c r="BQ6114" s="197"/>
    </row>
    <row r="6115" spans="66:69" x14ac:dyDescent="0.2">
      <c r="BN6115" s="192"/>
      <c r="BO6115" s="197"/>
      <c r="BP6115" s="197"/>
      <c r="BQ6115" s="197"/>
    </row>
    <row r="6116" spans="66:69" x14ac:dyDescent="0.2">
      <c r="BN6116" s="192"/>
      <c r="BO6116" s="197"/>
      <c r="BP6116" s="197"/>
      <c r="BQ6116" s="197"/>
    </row>
    <row r="6117" spans="66:69" x14ac:dyDescent="0.2">
      <c r="BN6117" s="192"/>
      <c r="BO6117" s="197"/>
      <c r="BP6117" s="197"/>
      <c r="BQ6117" s="197"/>
    </row>
    <row r="6118" spans="66:69" x14ac:dyDescent="0.2">
      <c r="BN6118" s="192"/>
      <c r="BO6118" s="197"/>
      <c r="BP6118" s="197"/>
      <c r="BQ6118" s="197"/>
    </row>
    <row r="6119" spans="66:69" x14ac:dyDescent="0.2">
      <c r="BN6119" s="192"/>
      <c r="BO6119" s="197"/>
      <c r="BP6119" s="197"/>
      <c r="BQ6119" s="197"/>
    </row>
    <row r="6120" spans="66:69" x14ac:dyDescent="0.2">
      <c r="BN6120" s="192"/>
      <c r="BO6120" s="197"/>
      <c r="BP6120" s="197"/>
      <c r="BQ6120" s="197"/>
    </row>
    <row r="6121" spans="66:69" x14ac:dyDescent="0.2">
      <c r="BN6121" s="192"/>
      <c r="BO6121" s="197"/>
      <c r="BP6121" s="197"/>
      <c r="BQ6121" s="197"/>
    </row>
    <row r="6122" spans="66:69" x14ac:dyDescent="0.2">
      <c r="BN6122" s="192"/>
      <c r="BO6122" s="197"/>
      <c r="BP6122" s="197"/>
      <c r="BQ6122" s="197"/>
    </row>
    <row r="6123" spans="66:69" x14ac:dyDescent="0.2">
      <c r="BN6123" s="192"/>
      <c r="BO6123" s="197"/>
      <c r="BP6123" s="197"/>
      <c r="BQ6123" s="197"/>
    </row>
    <row r="6124" spans="66:69" x14ac:dyDescent="0.2">
      <c r="BN6124" s="192"/>
      <c r="BO6124" s="197"/>
      <c r="BP6124" s="197"/>
      <c r="BQ6124" s="197"/>
    </row>
    <row r="6125" spans="66:69" x14ac:dyDescent="0.2">
      <c r="BN6125" s="192"/>
      <c r="BO6125" s="197"/>
      <c r="BP6125" s="197"/>
      <c r="BQ6125" s="197"/>
    </row>
    <row r="6126" spans="66:69" x14ac:dyDescent="0.2">
      <c r="BN6126" s="192"/>
      <c r="BO6126" s="197"/>
      <c r="BP6126" s="197"/>
      <c r="BQ6126" s="197"/>
    </row>
    <row r="6127" spans="66:69" x14ac:dyDescent="0.2">
      <c r="BN6127" s="192"/>
      <c r="BO6127" s="197"/>
      <c r="BP6127" s="197"/>
      <c r="BQ6127" s="197"/>
    </row>
    <row r="6128" spans="66:69" x14ac:dyDescent="0.2">
      <c r="BN6128" s="192"/>
      <c r="BO6128" s="197"/>
      <c r="BP6128" s="197"/>
      <c r="BQ6128" s="197"/>
    </row>
    <row r="6129" spans="66:69" x14ac:dyDescent="0.2">
      <c r="BN6129" s="192"/>
      <c r="BO6129" s="197"/>
      <c r="BP6129" s="197"/>
      <c r="BQ6129" s="197"/>
    </row>
    <row r="6130" spans="66:69" x14ac:dyDescent="0.2">
      <c r="BN6130" s="192"/>
      <c r="BO6130" s="197"/>
      <c r="BP6130" s="197"/>
      <c r="BQ6130" s="197"/>
    </row>
    <row r="6131" spans="66:69" x14ac:dyDescent="0.2">
      <c r="BN6131" s="192"/>
      <c r="BO6131" s="197"/>
      <c r="BP6131" s="197"/>
      <c r="BQ6131" s="197"/>
    </row>
    <row r="6132" spans="66:69" x14ac:dyDescent="0.2">
      <c r="BN6132" s="192"/>
      <c r="BO6132" s="197"/>
      <c r="BP6132" s="197"/>
      <c r="BQ6132" s="197"/>
    </row>
    <row r="6133" spans="66:69" x14ac:dyDescent="0.2">
      <c r="BN6133" s="192"/>
      <c r="BO6133" s="197"/>
      <c r="BP6133" s="197"/>
      <c r="BQ6133" s="197"/>
    </row>
    <row r="6134" spans="66:69" x14ac:dyDescent="0.2">
      <c r="BN6134" s="192"/>
      <c r="BO6134" s="197"/>
      <c r="BP6134" s="197"/>
      <c r="BQ6134" s="197"/>
    </row>
    <row r="6135" spans="66:69" x14ac:dyDescent="0.2">
      <c r="BN6135" s="192"/>
      <c r="BO6135" s="197"/>
      <c r="BP6135" s="197"/>
      <c r="BQ6135" s="197"/>
    </row>
    <row r="6136" spans="66:69" x14ac:dyDescent="0.2">
      <c r="BN6136" s="192"/>
      <c r="BO6136" s="197"/>
      <c r="BP6136" s="197"/>
      <c r="BQ6136" s="197"/>
    </row>
    <row r="6137" spans="66:69" x14ac:dyDescent="0.2">
      <c r="BN6137" s="192"/>
      <c r="BO6137" s="197"/>
      <c r="BP6137" s="197"/>
      <c r="BQ6137" s="197"/>
    </row>
    <row r="6138" spans="66:69" x14ac:dyDescent="0.2">
      <c r="BN6138" s="192"/>
      <c r="BO6138" s="197"/>
      <c r="BP6138" s="197"/>
      <c r="BQ6138" s="197"/>
    </row>
    <row r="6139" spans="66:69" x14ac:dyDescent="0.2">
      <c r="BN6139" s="192"/>
      <c r="BO6139" s="197"/>
      <c r="BP6139" s="197"/>
      <c r="BQ6139" s="197"/>
    </row>
    <row r="6140" spans="66:69" x14ac:dyDescent="0.2">
      <c r="BN6140" s="192"/>
      <c r="BO6140" s="197"/>
      <c r="BP6140" s="197"/>
      <c r="BQ6140" s="197"/>
    </row>
    <row r="6141" spans="66:69" x14ac:dyDescent="0.2">
      <c r="BN6141" s="192"/>
      <c r="BO6141" s="197"/>
      <c r="BP6141" s="197"/>
      <c r="BQ6141" s="197"/>
    </row>
    <row r="6142" spans="66:69" x14ac:dyDescent="0.2">
      <c r="BN6142" s="192"/>
      <c r="BO6142" s="197"/>
      <c r="BP6142" s="197"/>
      <c r="BQ6142" s="197"/>
    </row>
    <row r="6143" spans="66:69" x14ac:dyDescent="0.2">
      <c r="BN6143" s="192"/>
      <c r="BO6143" s="197"/>
      <c r="BP6143" s="197"/>
      <c r="BQ6143" s="197"/>
    </row>
    <row r="6144" spans="66:69" x14ac:dyDescent="0.2">
      <c r="BN6144" s="192"/>
      <c r="BO6144" s="197"/>
      <c r="BP6144" s="197"/>
      <c r="BQ6144" s="197"/>
    </row>
    <row r="6145" spans="66:69" x14ac:dyDescent="0.2">
      <c r="BN6145" s="192"/>
      <c r="BO6145" s="197"/>
      <c r="BP6145" s="197"/>
      <c r="BQ6145" s="197"/>
    </row>
    <row r="6146" spans="66:69" x14ac:dyDescent="0.2">
      <c r="BN6146" s="192"/>
      <c r="BO6146" s="197"/>
      <c r="BP6146" s="197"/>
      <c r="BQ6146" s="197"/>
    </row>
    <row r="6147" spans="66:69" x14ac:dyDescent="0.2">
      <c r="BN6147" s="192"/>
      <c r="BO6147" s="197"/>
      <c r="BP6147" s="197"/>
      <c r="BQ6147" s="197"/>
    </row>
    <row r="6148" spans="66:69" x14ac:dyDescent="0.2">
      <c r="BN6148" s="192"/>
      <c r="BO6148" s="197"/>
      <c r="BP6148" s="197"/>
      <c r="BQ6148" s="197"/>
    </row>
    <row r="6149" spans="66:69" x14ac:dyDescent="0.2">
      <c r="BN6149" s="192"/>
      <c r="BO6149" s="197"/>
      <c r="BP6149" s="197"/>
      <c r="BQ6149" s="197"/>
    </row>
    <row r="6150" spans="66:69" x14ac:dyDescent="0.2">
      <c r="BN6150" s="192"/>
      <c r="BO6150" s="197"/>
      <c r="BP6150" s="197"/>
      <c r="BQ6150" s="197"/>
    </row>
    <row r="6151" spans="66:69" x14ac:dyDescent="0.2">
      <c r="BN6151" s="192"/>
      <c r="BO6151" s="197"/>
      <c r="BP6151" s="197"/>
      <c r="BQ6151" s="197"/>
    </row>
    <row r="6152" spans="66:69" x14ac:dyDescent="0.2">
      <c r="BN6152" s="192"/>
      <c r="BO6152" s="197"/>
      <c r="BP6152" s="197"/>
      <c r="BQ6152" s="197"/>
    </row>
    <row r="6153" spans="66:69" x14ac:dyDescent="0.2">
      <c r="BN6153" s="192"/>
      <c r="BO6153" s="197"/>
      <c r="BP6153" s="197"/>
      <c r="BQ6153" s="197"/>
    </row>
    <row r="6154" spans="66:69" x14ac:dyDescent="0.2">
      <c r="BN6154" s="192"/>
      <c r="BO6154" s="197"/>
      <c r="BP6154" s="197"/>
      <c r="BQ6154" s="197"/>
    </row>
    <row r="6155" spans="66:69" x14ac:dyDescent="0.2">
      <c r="BN6155" s="192"/>
      <c r="BO6155" s="197"/>
      <c r="BP6155" s="197"/>
      <c r="BQ6155" s="197"/>
    </row>
    <row r="6156" spans="66:69" x14ac:dyDescent="0.2">
      <c r="BN6156" s="192"/>
      <c r="BO6156" s="197"/>
      <c r="BP6156" s="197"/>
      <c r="BQ6156" s="197"/>
    </row>
    <row r="6157" spans="66:69" x14ac:dyDescent="0.2">
      <c r="BN6157" s="192"/>
      <c r="BO6157" s="197"/>
      <c r="BP6157" s="197"/>
      <c r="BQ6157" s="197"/>
    </row>
    <row r="6158" spans="66:69" x14ac:dyDescent="0.2">
      <c r="BN6158" s="192"/>
      <c r="BO6158" s="197"/>
      <c r="BP6158" s="197"/>
      <c r="BQ6158" s="197"/>
    </row>
    <row r="6159" spans="66:69" x14ac:dyDescent="0.2">
      <c r="BN6159" s="192"/>
      <c r="BO6159" s="197"/>
      <c r="BP6159" s="197"/>
      <c r="BQ6159" s="197"/>
    </row>
    <row r="6160" spans="66:69" x14ac:dyDescent="0.2">
      <c r="BN6160" s="192"/>
      <c r="BO6160" s="197"/>
      <c r="BP6160" s="197"/>
      <c r="BQ6160" s="197"/>
    </row>
    <row r="6161" spans="66:69" x14ac:dyDescent="0.2">
      <c r="BN6161" s="192"/>
      <c r="BO6161" s="197"/>
      <c r="BP6161" s="197"/>
      <c r="BQ6161" s="197"/>
    </row>
    <row r="6162" spans="66:69" x14ac:dyDescent="0.2">
      <c r="BN6162" s="192"/>
      <c r="BO6162" s="197"/>
      <c r="BP6162" s="197"/>
      <c r="BQ6162" s="197"/>
    </row>
    <row r="6163" spans="66:69" x14ac:dyDescent="0.2">
      <c r="BN6163" s="192"/>
      <c r="BO6163" s="197"/>
      <c r="BP6163" s="197"/>
      <c r="BQ6163" s="197"/>
    </row>
    <row r="6164" spans="66:69" x14ac:dyDescent="0.2">
      <c r="BN6164" s="192"/>
      <c r="BO6164" s="197"/>
      <c r="BP6164" s="197"/>
      <c r="BQ6164" s="197"/>
    </row>
    <row r="6165" spans="66:69" x14ac:dyDescent="0.2">
      <c r="BN6165" s="192"/>
      <c r="BO6165" s="197"/>
      <c r="BP6165" s="197"/>
      <c r="BQ6165" s="197"/>
    </row>
    <row r="6166" spans="66:69" x14ac:dyDescent="0.2">
      <c r="BN6166" s="192"/>
      <c r="BO6166" s="197"/>
      <c r="BP6166" s="197"/>
      <c r="BQ6166" s="197"/>
    </row>
    <row r="6167" spans="66:69" x14ac:dyDescent="0.2">
      <c r="BN6167" s="192"/>
      <c r="BO6167" s="197"/>
      <c r="BP6167" s="197"/>
      <c r="BQ6167" s="197"/>
    </row>
    <row r="6168" spans="66:69" x14ac:dyDescent="0.2">
      <c r="BN6168" s="192"/>
      <c r="BO6168" s="197"/>
      <c r="BP6168" s="197"/>
      <c r="BQ6168" s="197"/>
    </row>
    <row r="6169" spans="66:69" x14ac:dyDescent="0.2">
      <c r="BN6169" s="192"/>
      <c r="BO6169" s="197"/>
      <c r="BP6169" s="197"/>
      <c r="BQ6169" s="197"/>
    </row>
    <row r="6170" spans="66:69" x14ac:dyDescent="0.2">
      <c r="BN6170" s="192"/>
      <c r="BO6170" s="197"/>
      <c r="BP6170" s="197"/>
      <c r="BQ6170" s="197"/>
    </row>
    <row r="6171" spans="66:69" x14ac:dyDescent="0.2">
      <c r="BN6171" s="192"/>
      <c r="BO6171" s="197"/>
      <c r="BP6171" s="197"/>
      <c r="BQ6171" s="197"/>
    </row>
    <row r="6172" spans="66:69" x14ac:dyDescent="0.2">
      <c r="BN6172" s="192"/>
      <c r="BO6172" s="197"/>
      <c r="BP6172" s="197"/>
      <c r="BQ6172" s="197"/>
    </row>
    <row r="6173" spans="66:69" x14ac:dyDescent="0.2">
      <c r="BN6173" s="192"/>
      <c r="BO6173" s="197"/>
      <c r="BP6173" s="197"/>
      <c r="BQ6173" s="197"/>
    </row>
    <row r="6174" spans="66:69" x14ac:dyDescent="0.2">
      <c r="BN6174" s="192"/>
      <c r="BO6174" s="197"/>
      <c r="BP6174" s="197"/>
      <c r="BQ6174" s="197"/>
    </row>
    <row r="6175" spans="66:69" x14ac:dyDescent="0.2">
      <c r="BN6175" s="192"/>
      <c r="BO6175" s="197"/>
      <c r="BP6175" s="197"/>
      <c r="BQ6175" s="197"/>
    </row>
    <row r="6176" spans="66:69" x14ac:dyDescent="0.2">
      <c r="BN6176" s="192"/>
      <c r="BO6176" s="197"/>
      <c r="BP6176" s="197"/>
      <c r="BQ6176" s="197"/>
    </row>
    <row r="6177" spans="66:69" x14ac:dyDescent="0.2">
      <c r="BN6177" s="192"/>
      <c r="BO6177" s="197"/>
      <c r="BP6177" s="197"/>
      <c r="BQ6177" s="197"/>
    </row>
    <row r="6178" spans="66:69" x14ac:dyDescent="0.2">
      <c r="BN6178" s="192"/>
      <c r="BO6178" s="197"/>
      <c r="BP6178" s="197"/>
      <c r="BQ6178" s="197"/>
    </row>
    <row r="6179" spans="66:69" x14ac:dyDescent="0.2">
      <c r="BN6179" s="192"/>
      <c r="BO6179" s="197"/>
      <c r="BP6179" s="197"/>
      <c r="BQ6179" s="197"/>
    </row>
    <row r="6180" spans="66:69" x14ac:dyDescent="0.2">
      <c r="BN6180" s="192"/>
      <c r="BO6180" s="197"/>
      <c r="BP6180" s="197"/>
      <c r="BQ6180" s="197"/>
    </row>
    <row r="6181" spans="66:69" x14ac:dyDescent="0.2">
      <c r="BN6181" s="192"/>
      <c r="BO6181" s="197"/>
      <c r="BP6181" s="197"/>
      <c r="BQ6181" s="197"/>
    </row>
    <row r="6182" spans="66:69" x14ac:dyDescent="0.2">
      <c r="BN6182" s="192"/>
      <c r="BO6182" s="197"/>
      <c r="BP6182" s="197"/>
      <c r="BQ6182" s="197"/>
    </row>
    <row r="6183" spans="66:69" x14ac:dyDescent="0.2">
      <c r="BN6183" s="192"/>
      <c r="BO6183" s="197"/>
      <c r="BP6183" s="197"/>
      <c r="BQ6183" s="197"/>
    </row>
    <row r="6184" spans="66:69" x14ac:dyDescent="0.2">
      <c r="BN6184" s="192"/>
      <c r="BO6184" s="197"/>
      <c r="BP6184" s="197"/>
      <c r="BQ6184" s="197"/>
    </row>
    <row r="6185" spans="66:69" x14ac:dyDescent="0.2">
      <c r="BN6185" s="192"/>
      <c r="BO6185" s="197"/>
      <c r="BP6185" s="197"/>
      <c r="BQ6185" s="197"/>
    </row>
    <row r="6186" spans="66:69" x14ac:dyDescent="0.2">
      <c r="BN6186" s="192"/>
      <c r="BO6186" s="197"/>
      <c r="BP6186" s="197"/>
      <c r="BQ6186" s="197"/>
    </row>
    <row r="6187" spans="66:69" x14ac:dyDescent="0.2">
      <c r="BN6187" s="192"/>
      <c r="BO6187" s="197"/>
      <c r="BP6187" s="197"/>
      <c r="BQ6187" s="197"/>
    </row>
    <row r="6188" spans="66:69" x14ac:dyDescent="0.2">
      <c r="BN6188" s="192"/>
      <c r="BO6188" s="197"/>
      <c r="BP6188" s="197"/>
      <c r="BQ6188" s="197"/>
    </row>
    <row r="6189" spans="66:69" x14ac:dyDescent="0.2">
      <c r="BN6189" s="192"/>
      <c r="BO6189" s="197"/>
      <c r="BP6189" s="197"/>
      <c r="BQ6189" s="197"/>
    </row>
    <row r="6190" spans="66:69" x14ac:dyDescent="0.2">
      <c r="BN6190" s="192"/>
      <c r="BO6190" s="197"/>
      <c r="BP6190" s="197"/>
      <c r="BQ6190" s="197"/>
    </row>
    <row r="6191" spans="66:69" x14ac:dyDescent="0.2">
      <c r="BN6191" s="192"/>
      <c r="BO6191" s="197"/>
      <c r="BP6191" s="197"/>
      <c r="BQ6191" s="197"/>
    </row>
    <row r="6192" spans="66:69" x14ac:dyDescent="0.2">
      <c r="BN6192" s="192"/>
      <c r="BO6192" s="197"/>
      <c r="BP6192" s="197"/>
      <c r="BQ6192" s="197"/>
    </row>
    <row r="6193" spans="66:69" x14ac:dyDescent="0.2">
      <c r="BN6193" s="192"/>
      <c r="BO6193" s="197"/>
      <c r="BP6193" s="197"/>
      <c r="BQ6193" s="197"/>
    </row>
    <row r="6194" spans="66:69" x14ac:dyDescent="0.2">
      <c r="BN6194" s="192"/>
      <c r="BO6194" s="197"/>
      <c r="BP6194" s="197"/>
      <c r="BQ6194" s="197"/>
    </row>
    <row r="6195" spans="66:69" x14ac:dyDescent="0.2">
      <c r="BN6195" s="192"/>
      <c r="BO6195" s="197"/>
      <c r="BP6195" s="197"/>
      <c r="BQ6195" s="197"/>
    </row>
    <row r="6196" spans="66:69" x14ac:dyDescent="0.2">
      <c r="BN6196" s="192"/>
      <c r="BO6196" s="197"/>
      <c r="BP6196" s="197"/>
      <c r="BQ6196" s="197"/>
    </row>
    <row r="6197" spans="66:69" x14ac:dyDescent="0.2">
      <c r="BN6197" s="192"/>
      <c r="BO6197" s="197"/>
      <c r="BP6197" s="197"/>
      <c r="BQ6197" s="197"/>
    </row>
    <row r="6198" spans="66:69" x14ac:dyDescent="0.2">
      <c r="BN6198" s="192"/>
      <c r="BO6198" s="197"/>
      <c r="BP6198" s="197"/>
      <c r="BQ6198" s="197"/>
    </row>
    <row r="6199" spans="66:69" x14ac:dyDescent="0.2">
      <c r="BN6199" s="192"/>
      <c r="BO6199" s="197"/>
      <c r="BP6199" s="197"/>
      <c r="BQ6199" s="197"/>
    </row>
    <row r="6200" spans="66:69" x14ac:dyDescent="0.2">
      <c r="BN6200" s="192"/>
      <c r="BO6200" s="197"/>
      <c r="BP6200" s="197"/>
      <c r="BQ6200" s="197"/>
    </row>
    <row r="6201" spans="66:69" x14ac:dyDescent="0.2">
      <c r="BN6201" s="192"/>
      <c r="BO6201" s="197"/>
      <c r="BP6201" s="197"/>
      <c r="BQ6201" s="197"/>
    </row>
    <row r="6202" spans="66:69" x14ac:dyDescent="0.2">
      <c r="BN6202" s="192"/>
      <c r="BO6202" s="197"/>
      <c r="BP6202" s="197"/>
      <c r="BQ6202" s="197"/>
    </row>
    <row r="6203" spans="66:69" x14ac:dyDescent="0.2">
      <c r="BN6203" s="192"/>
      <c r="BO6203" s="197"/>
      <c r="BP6203" s="197"/>
      <c r="BQ6203" s="197"/>
    </row>
    <row r="6204" spans="66:69" x14ac:dyDescent="0.2">
      <c r="BN6204" s="192"/>
      <c r="BO6204" s="197"/>
      <c r="BP6204" s="197"/>
      <c r="BQ6204" s="197"/>
    </row>
    <row r="6205" spans="66:69" x14ac:dyDescent="0.2">
      <c r="BN6205" s="192"/>
      <c r="BO6205" s="197"/>
      <c r="BP6205" s="197"/>
      <c r="BQ6205" s="197"/>
    </row>
    <row r="6206" spans="66:69" x14ac:dyDescent="0.2">
      <c r="BN6206" s="192"/>
      <c r="BO6206" s="197"/>
      <c r="BP6206" s="197"/>
      <c r="BQ6206" s="197"/>
    </row>
    <row r="6207" spans="66:69" x14ac:dyDescent="0.2">
      <c r="BN6207" s="192"/>
      <c r="BO6207" s="197"/>
      <c r="BP6207" s="197"/>
      <c r="BQ6207" s="197"/>
    </row>
    <row r="6208" spans="66:69" x14ac:dyDescent="0.2">
      <c r="BN6208" s="192"/>
      <c r="BO6208" s="197"/>
      <c r="BP6208" s="197"/>
      <c r="BQ6208" s="197"/>
    </row>
    <row r="6209" spans="66:69" x14ac:dyDescent="0.2">
      <c r="BN6209" s="192"/>
      <c r="BO6209" s="197"/>
      <c r="BP6209" s="197"/>
      <c r="BQ6209" s="197"/>
    </row>
    <row r="6210" spans="66:69" x14ac:dyDescent="0.2">
      <c r="BN6210" s="192"/>
      <c r="BO6210" s="197"/>
      <c r="BP6210" s="197"/>
      <c r="BQ6210" s="197"/>
    </row>
    <row r="6211" spans="66:69" x14ac:dyDescent="0.2">
      <c r="BN6211" s="192"/>
      <c r="BO6211" s="197"/>
      <c r="BP6211" s="197"/>
      <c r="BQ6211" s="197"/>
    </row>
    <row r="6212" spans="66:69" x14ac:dyDescent="0.2">
      <c r="BN6212" s="192"/>
      <c r="BO6212" s="197"/>
      <c r="BP6212" s="197"/>
      <c r="BQ6212" s="197"/>
    </row>
    <row r="6213" spans="66:69" x14ac:dyDescent="0.2">
      <c r="BN6213" s="192"/>
      <c r="BO6213" s="197"/>
      <c r="BP6213" s="197"/>
      <c r="BQ6213" s="197"/>
    </row>
    <row r="6214" spans="66:69" x14ac:dyDescent="0.2">
      <c r="BN6214" s="192"/>
      <c r="BO6214" s="197"/>
      <c r="BP6214" s="197"/>
      <c r="BQ6214" s="197"/>
    </row>
    <row r="6215" spans="66:69" x14ac:dyDescent="0.2">
      <c r="BN6215" s="192"/>
      <c r="BO6215" s="197"/>
      <c r="BP6215" s="197"/>
      <c r="BQ6215" s="197"/>
    </row>
    <row r="6216" spans="66:69" x14ac:dyDescent="0.2">
      <c r="BN6216" s="192"/>
      <c r="BO6216" s="197"/>
      <c r="BP6216" s="197"/>
      <c r="BQ6216" s="197"/>
    </row>
    <row r="6217" spans="66:69" x14ac:dyDescent="0.2">
      <c r="BN6217" s="192"/>
      <c r="BO6217" s="197"/>
      <c r="BP6217" s="197"/>
      <c r="BQ6217" s="197"/>
    </row>
    <row r="6218" spans="66:69" x14ac:dyDescent="0.2">
      <c r="BN6218" s="192"/>
      <c r="BO6218" s="197"/>
      <c r="BP6218" s="197"/>
      <c r="BQ6218" s="197"/>
    </row>
    <row r="6219" spans="66:69" x14ac:dyDescent="0.2">
      <c r="BN6219" s="192"/>
      <c r="BO6219" s="197"/>
      <c r="BP6219" s="197"/>
      <c r="BQ6219" s="197"/>
    </row>
    <row r="6220" spans="66:69" x14ac:dyDescent="0.2">
      <c r="BN6220" s="192"/>
      <c r="BO6220" s="197"/>
      <c r="BP6220" s="197"/>
      <c r="BQ6220" s="197"/>
    </row>
    <row r="6221" spans="66:69" x14ac:dyDescent="0.2">
      <c r="BN6221" s="192"/>
      <c r="BO6221" s="197"/>
      <c r="BP6221" s="197"/>
      <c r="BQ6221" s="197"/>
    </row>
    <row r="6222" spans="66:69" x14ac:dyDescent="0.2">
      <c r="BN6222" s="192"/>
      <c r="BO6222" s="197"/>
      <c r="BP6222" s="197"/>
      <c r="BQ6222" s="197"/>
    </row>
    <row r="6223" spans="66:69" x14ac:dyDescent="0.2">
      <c r="BN6223" s="192"/>
      <c r="BO6223" s="197"/>
      <c r="BP6223" s="197"/>
      <c r="BQ6223" s="197"/>
    </row>
    <row r="6224" spans="66:69" x14ac:dyDescent="0.2">
      <c r="BN6224" s="192"/>
      <c r="BO6224" s="197"/>
      <c r="BP6224" s="197"/>
      <c r="BQ6224" s="197"/>
    </row>
    <row r="6225" spans="66:69" x14ac:dyDescent="0.2">
      <c r="BN6225" s="192"/>
      <c r="BO6225" s="197"/>
      <c r="BP6225" s="197"/>
      <c r="BQ6225" s="197"/>
    </row>
    <row r="6226" spans="66:69" x14ac:dyDescent="0.2">
      <c r="BN6226" s="192"/>
      <c r="BO6226" s="197"/>
      <c r="BP6226" s="197"/>
      <c r="BQ6226" s="197"/>
    </row>
    <row r="6227" spans="66:69" x14ac:dyDescent="0.2">
      <c r="BN6227" s="192"/>
      <c r="BO6227" s="197"/>
      <c r="BP6227" s="197"/>
      <c r="BQ6227" s="197"/>
    </row>
    <row r="6228" spans="66:69" x14ac:dyDescent="0.2">
      <c r="BN6228" s="192"/>
      <c r="BO6228" s="197"/>
      <c r="BP6228" s="197"/>
      <c r="BQ6228" s="197"/>
    </row>
    <row r="6229" spans="66:69" x14ac:dyDescent="0.2">
      <c r="BN6229" s="192"/>
      <c r="BO6229" s="197"/>
      <c r="BP6229" s="197"/>
      <c r="BQ6229" s="197"/>
    </row>
    <row r="6230" spans="66:69" x14ac:dyDescent="0.2">
      <c r="BN6230" s="192"/>
      <c r="BO6230" s="197"/>
      <c r="BP6230" s="197"/>
      <c r="BQ6230" s="197"/>
    </row>
    <row r="6231" spans="66:69" x14ac:dyDescent="0.2">
      <c r="BN6231" s="192"/>
      <c r="BO6231" s="197"/>
      <c r="BP6231" s="197"/>
      <c r="BQ6231" s="197"/>
    </row>
    <row r="6232" spans="66:69" x14ac:dyDescent="0.2">
      <c r="BN6232" s="192"/>
      <c r="BO6232" s="197"/>
      <c r="BP6232" s="197"/>
      <c r="BQ6232" s="197"/>
    </row>
    <row r="6233" spans="66:69" x14ac:dyDescent="0.2">
      <c r="BN6233" s="192"/>
      <c r="BO6233" s="197"/>
      <c r="BP6233" s="197"/>
      <c r="BQ6233" s="197"/>
    </row>
    <row r="6234" spans="66:69" x14ac:dyDescent="0.2">
      <c r="BN6234" s="192"/>
      <c r="BO6234" s="197"/>
      <c r="BP6234" s="197"/>
      <c r="BQ6234" s="197"/>
    </row>
    <row r="6235" spans="66:69" x14ac:dyDescent="0.2">
      <c r="BN6235" s="192"/>
      <c r="BO6235" s="197"/>
      <c r="BP6235" s="197"/>
      <c r="BQ6235" s="197"/>
    </row>
    <row r="6236" spans="66:69" x14ac:dyDescent="0.2">
      <c r="BN6236" s="192"/>
      <c r="BO6236" s="197"/>
      <c r="BP6236" s="197"/>
      <c r="BQ6236" s="197"/>
    </row>
    <row r="6237" spans="66:69" x14ac:dyDescent="0.2">
      <c r="BN6237" s="192"/>
      <c r="BO6237" s="197"/>
      <c r="BP6237" s="197"/>
      <c r="BQ6237" s="197"/>
    </row>
    <row r="6238" spans="66:69" x14ac:dyDescent="0.2">
      <c r="BN6238" s="192"/>
      <c r="BO6238" s="197"/>
      <c r="BP6238" s="197"/>
      <c r="BQ6238" s="197"/>
    </row>
    <row r="6239" spans="66:69" x14ac:dyDescent="0.2">
      <c r="BN6239" s="192"/>
      <c r="BO6239" s="197"/>
      <c r="BP6239" s="197"/>
      <c r="BQ6239" s="197"/>
    </row>
    <row r="6240" spans="66:69" x14ac:dyDescent="0.2">
      <c r="BN6240" s="192"/>
      <c r="BO6240" s="197"/>
      <c r="BP6240" s="197"/>
      <c r="BQ6240" s="197"/>
    </row>
    <row r="6241" spans="66:69" x14ac:dyDescent="0.2">
      <c r="BN6241" s="192"/>
      <c r="BO6241" s="197"/>
      <c r="BP6241" s="197"/>
      <c r="BQ6241" s="197"/>
    </row>
    <row r="6242" spans="66:69" x14ac:dyDescent="0.2">
      <c r="BN6242" s="192"/>
      <c r="BO6242" s="197"/>
      <c r="BP6242" s="197"/>
      <c r="BQ6242" s="197"/>
    </row>
    <row r="6243" spans="66:69" x14ac:dyDescent="0.2">
      <c r="BN6243" s="192"/>
      <c r="BO6243" s="197"/>
      <c r="BP6243" s="197"/>
      <c r="BQ6243" s="197"/>
    </row>
    <row r="6244" spans="66:69" x14ac:dyDescent="0.2">
      <c r="BN6244" s="192"/>
      <c r="BO6244" s="197"/>
      <c r="BP6244" s="197"/>
      <c r="BQ6244" s="197"/>
    </row>
    <row r="6245" spans="66:69" x14ac:dyDescent="0.2">
      <c r="BN6245" s="192"/>
      <c r="BO6245" s="197"/>
      <c r="BP6245" s="197"/>
      <c r="BQ6245" s="197"/>
    </row>
    <row r="6246" spans="66:69" x14ac:dyDescent="0.2">
      <c r="BN6246" s="192"/>
      <c r="BO6246" s="197"/>
      <c r="BP6246" s="197"/>
      <c r="BQ6246" s="197"/>
    </row>
    <row r="6247" spans="66:69" x14ac:dyDescent="0.2">
      <c r="BN6247" s="192"/>
      <c r="BO6247" s="197"/>
      <c r="BP6247" s="197"/>
      <c r="BQ6247" s="197"/>
    </row>
    <row r="6248" spans="66:69" x14ac:dyDescent="0.2">
      <c r="BN6248" s="192"/>
      <c r="BO6248" s="197"/>
      <c r="BP6248" s="197"/>
      <c r="BQ6248" s="197"/>
    </row>
    <row r="6249" spans="66:69" x14ac:dyDescent="0.2">
      <c r="BN6249" s="192"/>
      <c r="BO6249" s="197"/>
      <c r="BP6249" s="197"/>
      <c r="BQ6249" s="197"/>
    </row>
    <row r="6250" spans="66:69" x14ac:dyDescent="0.2">
      <c r="BN6250" s="192"/>
      <c r="BO6250" s="197"/>
      <c r="BP6250" s="197"/>
      <c r="BQ6250" s="197"/>
    </row>
    <row r="6251" spans="66:69" x14ac:dyDescent="0.2">
      <c r="BN6251" s="192"/>
      <c r="BO6251" s="197"/>
      <c r="BP6251" s="197"/>
      <c r="BQ6251" s="197"/>
    </row>
    <row r="6252" spans="66:69" x14ac:dyDescent="0.2">
      <c r="BN6252" s="192"/>
      <c r="BO6252" s="197"/>
      <c r="BP6252" s="197"/>
      <c r="BQ6252" s="197"/>
    </row>
    <row r="6253" spans="66:69" x14ac:dyDescent="0.2">
      <c r="BN6253" s="192"/>
      <c r="BO6253" s="197"/>
      <c r="BP6253" s="197"/>
      <c r="BQ6253" s="197"/>
    </row>
    <row r="6254" spans="66:69" x14ac:dyDescent="0.2">
      <c r="BN6254" s="192"/>
      <c r="BO6254" s="197"/>
      <c r="BP6254" s="197"/>
      <c r="BQ6254" s="197"/>
    </row>
    <row r="6255" spans="66:69" x14ac:dyDescent="0.2">
      <c r="BN6255" s="192"/>
      <c r="BO6255" s="197"/>
      <c r="BP6255" s="197"/>
      <c r="BQ6255" s="197"/>
    </row>
    <row r="6256" spans="66:69" x14ac:dyDescent="0.2">
      <c r="BN6256" s="192"/>
      <c r="BO6256" s="197"/>
      <c r="BP6256" s="197"/>
      <c r="BQ6256" s="197"/>
    </row>
    <row r="6257" spans="66:69" x14ac:dyDescent="0.2">
      <c r="BN6257" s="192"/>
      <c r="BO6257" s="197"/>
      <c r="BP6257" s="197"/>
      <c r="BQ6257" s="197"/>
    </row>
    <row r="6258" spans="66:69" x14ac:dyDescent="0.2">
      <c r="BN6258" s="192"/>
      <c r="BO6258" s="197"/>
      <c r="BP6258" s="197"/>
      <c r="BQ6258" s="197"/>
    </row>
    <row r="6259" spans="66:69" x14ac:dyDescent="0.2">
      <c r="BN6259" s="192"/>
      <c r="BO6259" s="197"/>
      <c r="BP6259" s="197"/>
      <c r="BQ6259" s="197"/>
    </row>
    <row r="6260" spans="66:69" x14ac:dyDescent="0.2">
      <c r="BN6260" s="192"/>
      <c r="BO6260" s="197"/>
      <c r="BP6260" s="197"/>
      <c r="BQ6260" s="197"/>
    </row>
    <row r="6261" spans="66:69" x14ac:dyDescent="0.2">
      <c r="BN6261" s="192"/>
      <c r="BO6261" s="197"/>
      <c r="BP6261" s="197"/>
      <c r="BQ6261" s="197"/>
    </row>
    <row r="6262" spans="66:69" x14ac:dyDescent="0.2">
      <c r="BN6262" s="192"/>
      <c r="BO6262" s="197"/>
      <c r="BP6262" s="197"/>
      <c r="BQ6262" s="197"/>
    </row>
    <row r="6263" spans="66:69" x14ac:dyDescent="0.2">
      <c r="BN6263" s="192"/>
      <c r="BO6263" s="197"/>
      <c r="BP6263" s="197"/>
      <c r="BQ6263" s="197"/>
    </row>
    <row r="6264" spans="66:69" x14ac:dyDescent="0.2">
      <c r="BN6264" s="192"/>
      <c r="BO6264" s="197"/>
      <c r="BP6264" s="197"/>
      <c r="BQ6264" s="197"/>
    </row>
    <row r="6265" spans="66:69" x14ac:dyDescent="0.2">
      <c r="BN6265" s="192"/>
      <c r="BO6265" s="197"/>
      <c r="BP6265" s="197"/>
      <c r="BQ6265" s="197"/>
    </row>
    <row r="6266" spans="66:69" x14ac:dyDescent="0.2">
      <c r="BN6266" s="192"/>
      <c r="BO6266" s="197"/>
      <c r="BP6266" s="197"/>
      <c r="BQ6266" s="197"/>
    </row>
    <row r="6267" spans="66:69" x14ac:dyDescent="0.2">
      <c r="BN6267" s="192"/>
      <c r="BO6267" s="197"/>
      <c r="BP6267" s="197"/>
      <c r="BQ6267" s="197"/>
    </row>
    <row r="6268" spans="66:69" x14ac:dyDescent="0.2">
      <c r="BN6268" s="192"/>
      <c r="BO6268" s="197"/>
      <c r="BP6268" s="197"/>
      <c r="BQ6268" s="197"/>
    </row>
    <row r="6269" spans="66:69" x14ac:dyDescent="0.2">
      <c r="BN6269" s="192"/>
      <c r="BO6269" s="197"/>
      <c r="BP6269" s="197"/>
      <c r="BQ6269" s="197"/>
    </row>
    <row r="6270" spans="66:69" x14ac:dyDescent="0.2">
      <c r="BN6270" s="192"/>
      <c r="BO6270" s="197"/>
      <c r="BP6270" s="197"/>
      <c r="BQ6270" s="197"/>
    </row>
    <row r="6271" spans="66:69" x14ac:dyDescent="0.2">
      <c r="BN6271" s="192"/>
      <c r="BO6271" s="197"/>
      <c r="BP6271" s="197"/>
      <c r="BQ6271" s="197"/>
    </row>
    <row r="6272" spans="66:69" x14ac:dyDescent="0.2">
      <c r="BN6272" s="192"/>
      <c r="BO6272" s="197"/>
      <c r="BP6272" s="197"/>
      <c r="BQ6272" s="197"/>
    </row>
    <row r="6273" spans="66:69" x14ac:dyDescent="0.2">
      <c r="BN6273" s="192"/>
      <c r="BO6273" s="197"/>
      <c r="BP6273" s="197"/>
      <c r="BQ6273" s="197"/>
    </row>
    <row r="6274" spans="66:69" x14ac:dyDescent="0.2">
      <c r="BN6274" s="192"/>
      <c r="BO6274" s="197"/>
      <c r="BP6274" s="197"/>
      <c r="BQ6274" s="197"/>
    </row>
    <row r="6275" spans="66:69" x14ac:dyDescent="0.2">
      <c r="BN6275" s="192"/>
      <c r="BO6275" s="197"/>
      <c r="BP6275" s="197"/>
      <c r="BQ6275" s="197"/>
    </row>
    <row r="6276" spans="66:69" x14ac:dyDescent="0.2">
      <c r="BN6276" s="192"/>
      <c r="BO6276" s="197"/>
      <c r="BP6276" s="197"/>
      <c r="BQ6276" s="197"/>
    </row>
    <row r="6277" spans="66:69" x14ac:dyDescent="0.2">
      <c r="BN6277" s="192"/>
      <c r="BO6277" s="197"/>
      <c r="BP6277" s="197"/>
      <c r="BQ6277" s="197"/>
    </row>
    <row r="6278" spans="66:69" x14ac:dyDescent="0.2">
      <c r="BN6278" s="192"/>
      <c r="BO6278" s="197"/>
      <c r="BP6278" s="197"/>
      <c r="BQ6278" s="197"/>
    </row>
    <row r="6279" spans="66:69" x14ac:dyDescent="0.2">
      <c r="BN6279" s="192"/>
      <c r="BO6279" s="197"/>
      <c r="BP6279" s="197"/>
      <c r="BQ6279" s="197"/>
    </row>
    <row r="6280" spans="66:69" x14ac:dyDescent="0.2">
      <c r="BN6280" s="192"/>
      <c r="BO6280" s="197"/>
      <c r="BP6280" s="197"/>
      <c r="BQ6280" s="197"/>
    </row>
    <row r="6281" spans="66:69" x14ac:dyDescent="0.2">
      <c r="BN6281" s="192"/>
      <c r="BO6281" s="197"/>
      <c r="BP6281" s="197"/>
      <c r="BQ6281" s="197"/>
    </row>
    <row r="6282" spans="66:69" x14ac:dyDescent="0.2">
      <c r="BN6282" s="192"/>
      <c r="BO6282" s="197"/>
      <c r="BP6282" s="197"/>
      <c r="BQ6282" s="197"/>
    </row>
    <row r="6283" spans="66:69" x14ac:dyDescent="0.2">
      <c r="BN6283" s="192"/>
      <c r="BO6283" s="197"/>
      <c r="BP6283" s="197"/>
      <c r="BQ6283" s="197"/>
    </row>
    <row r="6284" spans="66:69" x14ac:dyDescent="0.2">
      <c r="BN6284" s="192"/>
      <c r="BO6284" s="197"/>
      <c r="BP6284" s="197"/>
      <c r="BQ6284" s="197"/>
    </row>
    <row r="6285" spans="66:69" x14ac:dyDescent="0.2">
      <c r="BN6285" s="192"/>
      <c r="BO6285" s="197"/>
      <c r="BP6285" s="197"/>
      <c r="BQ6285" s="197"/>
    </row>
    <row r="6286" spans="66:69" x14ac:dyDescent="0.2">
      <c r="BN6286" s="192"/>
      <c r="BO6286" s="197"/>
      <c r="BP6286" s="197"/>
      <c r="BQ6286" s="197"/>
    </row>
    <row r="6287" spans="66:69" x14ac:dyDescent="0.2">
      <c r="BN6287" s="192"/>
      <c r="BO6287" s="197"/>
      <c r="BP6287" s="197"/>
      <c r="BQ6287" s="197"/>
    </row>
    <row r="6288" spans="66:69" x14ac:dyDescent="0.2">
      <c r="BN6288" s="192"/>
      <c r="BO6288" s="197"/>
      <c r="BP6288" s="197"/>
      <c r="BQ6288" s="197"/>
    </row>
    <row r="6289" spans="66:69" x14ac:dyDescent="0.2">
      <c r="BN6289" s="192"/>
      <c r="BO6289" s="197"/>
      <c r="BP6289" s="197"/>
      <c r="BQ6289" s="197"/>
    </row>
    <row r="6290" spans="66:69" x14ac:dyDescent="0.2">
      <c r="BN6290" s="192"/>
      <c r="BO6290" s="197"/>
      <c r="BP6290" s="197"/>
      <c r="BQ6290" s="197"/>
    </row>
    <row r="6291" spans="66:69" x14ac:dyDescent="0.2">
      <c r="BN6291" s="192"/>
      <c r="BO6291" s="197"/>
      <c r="BP6291" s="197"/>
      <c r="BQ6291" s="197"/>
    </row>
    <row r="6292" spans="66:69" x14ac:dyDescent="0.2">
      <c r="BN6292" s="192"/>
      <c r="BO6292" s="197"/>
      <c r="BP6292" s="197"/>
      <c r="BQ6292" s="197"/>
    </row>
    <row r="6293" spans="66:69" x14ac:dyDescent="0.2">
      <c r="BN6293" s="192"/>
      <c r="BO6293" s="197"/>
      <c r="BP6293" s="197"/>
      <c r="BQ6293" s="197"/>
    </row>
    <row r="6294" spans="66:69" x14ac:dyDescent="0.2">
      <c r="BN6294" s="192"/>
      <c r="BO6294" s="197"/>
      <c r="BP6294" s="197"/>
      <c r="BQ6294" s="197"/>
    </row>
    <row r="6295" spans="66:69" x14ac:dyDescent="0.2">
      <c r="BN6295" s="192"/>
      <c r="BO6295" s="197"/>
      <c r="BP6295" s="197"/>
      <c r="BQ6295" s="197"/>
    </row>
    <row r="6296" spans="66:69" x14ac:dyDescent="0.2">
      <c r="BN6296" s="192"/>
      <c r="BO6296" s="197"/>
      <c r="BP6296" s="197"/>
      <c r="BQ6296" s="197"/>
    </row>
    <row r="6297" spans="66:69" x14ac:dyDescent="0.2">
      <c r="BN6297" s="192"/>
      <c r="BO6297" s="197"/>
      <c r="BP6297" s="197"/>
      <c r="BQ6297" s="197"/>
    </row>
    <row r="6298" spans="66:69" x14ac:dyDescent="0.2">
      <c r="BN6298" s="192"/>
      <c r="BO6298" s="197"/>
      <c r="BP6298" s="197"/>
      <c r="BQ6298" s="197"/>
    </row>
    <row r="6299" spans="66:69" x14ac:dyDescent="0.2">
      <c r="BN6299" s="192"/>
      <c r="BO6299" s="197"/>
      <c r="BP6299" s="197"/>
      <c r="BQ6299" s="197"/>
    </row>
    <row r="6300" spans="66:69" x14ac:dyDescent="0.2">
      <c r="BN6300" s="192"/>
      <c r="BO6300" s="197"/>
      <c r="BP6300" s="197"/>
      <c r="BQ6300" s="197"/>
    </row>
    <row r="6301" spans="66:69" x14ac:dyDescent="0.2">
      <c r="BN6301" s="192"/>
      <c r="BO6301" s="197"/>
      <c r="BP6301" s="197"/>
      <c r="BQ6301" s="197"/>
    </row>
    <row r="6302" spans="66:69" x14ac:dyDescent="0.2">
      <c r="BN6302" s="192"/>
      <c r="BO6302" s="197"/>
      <c r="BP6302" s="197"/>
      <c r="BQ6302" s="197"/>
    </row>
    <row r="6303" spans="66:69" x14ac:dyDescent="0.2">
      <c r="BN6303" s="192"/>
      <c r="BO6303" s="197"/>
      <c r="BP6303" s="197"/>
      <c r="BQ6303" s="197"/>
    </row>
    <row r="6304" spans="66:69" x14ac:dyDescent="0.2">
      <c r="BN6304" s="192"/>
      <c r="BO6304" s="197"/>
      <c r="BP6304" s="197"/>
      <c r="BQ6304" s="197"/>
    </row>
    <row r="6305" spans="66:69" x14ac:dyDescent="0.2">
      <c r="BN6305" s="192"/>
      <c r="BO6305" s="197"/>
      <c r="BP6305" s="197"/>
      <c r="BQ6305" s="197"/>
    </row>
    <row r="6306" spans="66:69" x14ac:dyDescent="0.2">
      <c r="BN6306" s="192"/>
      <c r="BO6306" s="197"/>
      <c r="BP6306" s="197"/>
      <c r="BQ6306" s="197"/>
    </row>
    <row r="6307" spans="66:69" x14ac:dyDescent="0.2">
      <c r="BN6307" s="192"/>
      <c r="BO6307" s="197"/>
      <c r="BP6307" s="197"/>
      <c r="BQ6307" s="197"/>
    </row>
    <row r="6308" spans="66:69" x14ac:dyDescent="0.2">
      <c r="BN6308" s="192"/>
      <c r="BO6308" s="197"/>
      <c r="BP6308" s="197"/>
      <c r="BQ6308" s="197"/>
    </row>
    <row r="6309" spans="66:69" x14ac:dyDescent="0.2">
      <c r="BN6309" s="192"/>
      <c r="BO6309" s="197"/>
      <c r="BP6309" s="197"/>
      <c r="BQ6309" s="197"/>
    </row>
    <row r="6310" spans="66:69" x14ac:dyDescent="0.2">
      <c r="BN6310" s="192"/>
      <c r="BO6310" s="197"/>
      <c r="BP6310" s="197"/>
      <c r="BQ6310" s="197"/>
    </row>
    <row r="6311" spans="66:69" x14ac:dyDescent="0.2">
      <c r="BN6311" s="192"/>
      <c r="BO6311" s="197"/>
      <c r="BP6311" s="197"/>
      <c r="BQ6311" s="197"/>
    </row>
    <row r="6312" spans="66:69" x14ac:dyDescent="0.2">
      <c r="BN6312" s="192"/>
      <c r="BO6312" s="197"/>
      <c r="BP6312" s="197"/>
      <c r="BQ6312" s="197"/>
    </row>
    <row r="6313" spans="66:69" x14ac:dyDescent="0.2">
      <c r="BN6313" s="192"/>
      <c r="BO6313" s="197"/>
      <c r="BP6313" s="197"/>
      <c r="BQ6313" s="197"/>
    </row>
    <row r="6314" spans="66:69" x14ac:dyDescent="0.2">
      <c r="BN6314" s="192"/>
      <c r="BO6314" s="197"/>
      <c r="BP6314" s="197"/>
      <c r="BQ6314" s="197"/>
    </row>
    <row r="6315" spans="66:69" x14ac:dyDescent="0.2">
      <c r="BN6315" s="192"/>
      <c r="BO6315" s="197"/>
      <c r="BP6315" s="197"/>
      <c r="BQ6315" s="197"/>
    </row>
    <row r="6316" spans="66:69" x14ac:dyDescent="0.2">
      <c r="BN6316" s="192"/>
      <c r="BO6316" s="197"/>
      <c r="BP6316" s="197"/>
      <c r="BQ6316" s="197"/>
    </row>
    <row r="6317" spans="66:69" x14ac:dyDescent="0.2">
      <c r="BN6317" s="192"/>
      <c r="BO6317" s="197"/>
      <c r="BP6317" s="197"/>
      <c r="BQ6317" s="197"/>
    </row>
    <row r="6318" spans="66:69" x14ac:dyDescent="0.2">
      <c r="BN6318" s="192"/>
      <c r="BO6318" s="197"/>
      <c r="BP6318" s="197"/>
      <c r="BQ6318" s="197"/>
    </row>
    <row r="6319" spans="66:69" x14ac:dyDescent="0.2">
      <c r="BN6319" s="192"/>
      <c r="BO6319" s="197"/>
      <c r="BP6319" s="197"/>
      <c r="BQ6319" s="197"/>
    </row>
    <row r="6320" spans="66:69" x14ac:dyDescent="0.2">
      <c r="BN6320" s="192"/>
      <c r="BO6320" s="197"/>
      <c r="BP6320" s="197"/>
      <c r="BQ6320" s="197"/>
    </row>
    <row r="6321" spans="66:69" x14ac:dyDescent="0.2">
      <c r="BN6321" s="192"/>
      <c r="BO6321" s="197"/>
      <c r="BP6321" s="197"/>
      <c r="BQ6321" s="197"/>
    </row>
    <row r="6322" spans="66:69" x14ac:dyDescent="0.2">
      <c r="BN6322" s="192"/>
      <c r="BO6322" s="197"/>
      <c r="BP6322" s="197"/>
      <c r="BQ6322" s="197"/>
    </row>
    <row r="6323" spans="66:69" x14ac:dyDescent="0.2">
      <c r="BN6323" s="192"/>
      <c r="BO6323" s="197"/>
      <c r="BP6323" s="197"/>
      <c r="BQ6323" s="197"/>
    </row>
    <row r="6324" spans="66:69" x14ac:dyDescent="0.2">
      <c r="BN6324" s="192"/>
      <c r="BO6324" s="197"/>
      <c r="BP6324" s="197"/>
      <c r="BQ6324" s="197"/>
    </row>
    <row r="6325" spans="66:69" x14ac:dyDescent="0.2">
      <c r="BN6325" s="192"/>
      <c r="BO6325" s="197"/>
      <c r="BP6325" s="197"/>
      <c r="BQ6325" s="197"/>
    </row>
    <row r="6326" spans="66:69" x14ac:dyDescent="0.2">
      <c r="BN6326" s="192"/>
      <c r="BO6326" s="197"/>
      <c r="BP6326" s="197"/>
      <c r="BQ6326" s="197"/>
    </row>
    <row r="6327" spans="66:69" x14ac:dyDescent="0.2">
      <c r="BN6327" s="192"/>
      <c r="BO6327" s="197"/>
      <c r="BP6327" s="197"/>
      <c r="BQ6327" s="197"/>
    </row>
    <row r="6328" spans="66:69" x14ac:dyDescent="0.2">
      <c r="BN6328" s="192"/>
      <c r="BO6328" s="197"/>
      <c r="BP6328" s="197"/>
      <c r="BQ6328" s="197"/>
    </row>
    <row r="6329" spans="66:69" x14ac:dyDescent="0.2">
      <c r="BN6329" s="192"/>
      <c r="BO6329" s="197"/>
      <c r="BP6329" s="197"/>
      <c r="BQ6329" s="197"/>
    </row>
    <row r="6330" spans="66:69" x14ac:dyDescent="0.2">
      <c r="BN6330" s="192"/>
      <c r="BO6330" s="197"/>
      <c r="BP6330" s="197"/>
      <c r="BQ6330" s="197"/>
    </row>
    <row r="6331" spans="66:69" x14ac:dyDescent="0.2">
      <c r="BN6331" s="192"/>
      <c r="BO6331" s="197"/>
      <c r="BP6331" s="197"/>
      <c r="BQ6331" s="197"/>
    </row>
    <row r="6332" spans="66:69" x14ac:dyDescent="0.2">
      <c r="BN6332" s="192"/>
      <c r="BO6332" s="197"/>
      <c r="BP6332" s="197"/>
      <c r="BQ6332" s="197"/>
    </row>
    <row r="6333" spans="66:69" x14ac:dyDescent="0.2">
      <c r="BN6333" s="192"/>
      <c r="BO6333" s="197"/>
      <c r="BP6333" s="197"/>
      <c r="BQ6333" s="197"/>
    </row>
    <row r="6334" spans="66:69" x14ac:dyDescent="0.2">
      <c r="BN6334" s="192"/>
      <c r="BO6334" s="197"/>
      <c r="BP6334" s="197"/>
      <c r="BQ6334" s="197"/>
    </row>
    <row r="6335" spans="66:69" x14ac:dyDescent="0.2">
      <c r="BN6335" s="192"/>
      <c r="BO6335" s="197"/>
      <c r="BP6335" s="197"/>
      <c r="BQ6335" s="197"/>
    </row>
    <row r="6336" spans="66:69" x14ac:dyDescent="0.2">
      <c r="BN6336" s="192"/>
      <c r="BO6336" s="197"/>
      <c r="BP6336" s="197"/>
      <c r="BQ6336" s="197"/>
    </row>
    <row r="6337" spans="66:69" x14ac:dyDescent="0.2">
      <c r="BN6337" s="192"/>
      <c r="BO6337" s="197"/>
      <c r="BP6337" s="197"/>
      <c r="BQ6337" s="197"/>
    </row>
    <row r="6338" spans="66:69" x14ac:dyDescent="0.2">
      <c r="BN6338" s="192"/>
      <c r="BO6338" s="197"/>
      <c r="BP6338" s="197"/>
      <c r="BQ6338" s="197"/>
    </row>
    <row r="6339" spans="66:69" x14ac:dyDescent="0.2">
      <c r="BN6339" s="192"/>
      <c r="BO6339" s="197"/>
      <c r="BP6339" s="197"/>
      <c r="BQ6339" s="197"/>
    </row>
    <row r="6340" spans="66:69" x14ac:dyDescent="0.2">
      <c r="BN6340" s="192"/>
      <c r="BO6340" s="197"/>
      <c r="BP6340" s="197"/>
      <c r="BQ6340" s="197"/>
    </row>
    <row r="6341" spans="66:69" x14ac:dyDescent="0.2">
      <c r="BN6341" s="192"/>
      <c r="BO6341" s="197"/>
      <c r="BP6341" s="197"/>
      <c r="BQ6341" s="197"/>
    </row>
    <row r="6342" spans="66:69" x14ac:dyDescent="0.2">
      <c r="BN6342" s="192"/>
      <c r="BO6342" s="197"/>
      <c r="BP6342" s="197"/>
      <c r="BQ6342" s="197"/>
    </row>
    <row r="6343" spans="66:69" x14ac:dyDescent="0.2">
      <c r="BN6343" s="192"/>
      <c r="BO6343" s="197"/>
      <c r="BP6343" s="197"/>
      <c r="BQ6343" s="197"/>
    </row>
    <row r="6344" spans="66:69" x14ac:dyDescent="0.2">
      <c r="BN6344" s="192"/>
      <c r="BO6344" s="197"/>
      <c r="BP6344" s="197"/>
      <c r="BQ6344" s="197"/>
    </row>
    <row r="6345" spans="66:69" x14ac:dyDescent="0.2">
      <c r="BN6345" s="192"/>
      <c r="BO6345" s="197"/>
      <c r="BP6345" s="197"/>
      <c r="BQ6345" s="197"/>
    </row>
    <row r="6346" spans="66:69" x14ac:dyDescent="0.2">
      <c r="BN6346" s="192"/>
      <c r="BO6346" s="197"/>
      <c r="BP6346" s="197"/>
      <c r="BQ6346" s="197"/>
    </row>
    <row r="6347" spans="66:69" x14ac:dyDescent="0.2">
      <c r="BN6347" s="192"/>
      <c r="BO6347" s="197"/>
      <c r="BP6347" s="197"/>
      <c r="BQ6347" s="197"/>
    </row>
    <row r="6348" spans="66:69" x14ac:dyDescent="0.2">
      <c r="BN6348" s="192"/>
      <c r="BO6348" s="197"/>
      <c r="BP6348" s="197"/>
      <c r="BQ6348" s="197"/>
    </row>
    <row r="6349" spans="66:69" x14ac:dyDescent="0.2">
      <c r="BN6349" s="192"/>
      <c r="BO6349" s="197"/>
      <c r="BP6349" s="197"/>
      <c r="BQ6349" s="197"/>
    </row>
    <row r="6350" spans="66:69" x14ac:dyDescent="0.2">
      <c r="BN6350" s="192"/>
      <c r="BO6350" s="197"/>
      <c r="BP6350" s="197"/>
      <c r="BQ6350" s="197"/>
    </row>
    <row r="6351" spans="66:69" x14ac:dyDescent="0.2">
      <c r="BN6351" s="192"/>
      <c r="BO6351" s="197"/>
      <c r="BP6351" s="197"/>
      <c r="BQ6351" s="197"/>
    </row>
    <row r="6352" spans="66:69" x14ac:dyDescent="0.2">
      <c r="BN6352" s="192"/>
      <c r="BO6352" s="197"/>
      <c r="BP6352" s="197"/>
      <c r="BQ6352" s="197"/>
    </row>
    <row r="6353" spans="66:69" x14ac:dyDescent="0.2">
      <c r="BN6353" s="192"/>
      <c r="BO6353" s="197"/>
      <c r="BP6353" s="197"/>
      <c r="BQ6353" s="197"/>
    </row>
    <row r="6354" spans="66:69" x14ac:dyDescent="0.2">
      <c r="BN6354" s="192"/>
      <c r="BO6354" s="197"/>
      <c r="BP6354" s="197"/>
      <c r="BQ6354" s="197"/>
    </row>
    <row r="6355" spans="66:69" x14ac:dyDescent="0.2">
      <c r="BN6355" s="192"/>
      <c r="BO6355" s="197"/>
      <c r="BP6355" s="197"/>
      <c r="BQ6355" s="197"/>
    </row>
    <row r="6356" spans="66:69" x14ac:dyDescent="0.2">
      <c r="BN6356" s="192"/>
      <c r="BO6356" s="197"/>
      <c r="BP6356" s="197"/>
      <c r="BQ6356" s="197"/>
    </row>
    <row r="6357" spans="66:69" x14ac:dyDescent="0.2">
      <c r="BN6357" s="192"/>
      <c r="BO6357" s="197"/>
      <c r="BP6357" s="197"/>
      <c r="BQ6357" s="197"/>
    </row>
    <row r="6358" spans="66:69" x14ac:dyDescent="0.2">
      <c r="BN6358" s="192"/>
      <c r="BO6358" s="197"/>
      <c r="BP6358" s="197"/>
      <c r="BQ6358" s="197"/>
    </row>
    <row r="6359" spans="66:69" x14ac:dyDescent="0.2">
      <c r="BN6359" s="192"/>
      <c r="BO6359" s="197"/>
      <c r="BP6359" s="197"/>
      <c r="BQ6359" s="197"/>
    </row>
    <row r="6360" spans="66:69" x14ac:dyDescent="0.2">
      <c r="BN6360" s="192"/>
      <c r="BO6360" s="197"/>
      <c r="BP6360" s="197"/>
      <c r="BQ6360" s="197"/>
    </row>
    <row r="6361" spans="66:69" x14ac:dyDescent="0.2">
      <c r="BN6361" s="192"/>
      <c r="BO6361" s="197"/>
      <c r="BP6361" s="197"/>
      <c r="BQ6361" s="197"/>
    </row>
    <row r="6362" spans="66:69" x14ac:dyDescent="0.2">
      <c r="BN6362" s="192"/>
      <c r="BO6362" s="197"/>
      <c r="BP6362" s="197"/>
      <c r="BQ6362" s="197"/>
    </row>
    <row r="6363" spans="66:69" x14ac:dyDescent="0.2">
      <c r="BN6363" s="192"/>
      <c r="BO6363" s="197"/>
      <c r="BP6363" s="197"/>
      <c r="BQ6363" s="197"/>
    </row>
    <row r="6364" spans="66:69" x14ac:dyDescent="0.2">
      <c r="BN6364" s="192"/>
      <c r="BO6364" s="197"/>
      <c r="BP6364" s="197"/>
      <c r="BQ6364" s="197"/>
    </row>
    <row r="6365" spans="66:69" x14ac:dyDescent="0.2">
      <c r="BN6365" s="192"/>
      <c r="BO6365" s="197"/>
      <c r="BP6365" s="197"/>
      <c r="BQ6365" s="197"/>
    </row>
    <row r="6366" spans="66:69" x14ac:dyDescent="0.2">
      <c r="BN6366" s="192"/>
      <c r="BO6366" s="197"/>
      <c r="BP6366" s="197"/>
      <c r="BQ6366" s="197"/>
    </row>
    <row r="6367" spans="66:69" x14ac:dyDescent="0.2">
      <c r="BN6367" s="192"/>
      <c r="BO6367" s="197"/>
      <c r="BP6367" s="197"/>
      <c r="BQ6367" s="197"/>
    </row>
    <row r="6368" spans="66:69" x14ac:dyDescent="0.2">
      <c r="BN6368" s="192"/>
      <c r="BO6368" s="197"/>
      <c r="BP6368" s="197"/>
      <c r="BQ6368" s="197"/>
    </row>
    <row r="6369" spans="66:69" x14ac:dyDescent="0.2">
      <c r="BN6369" s="192"/>
      <c r="BO6369" s="197"/>
      <c r="BP6369" s="197"/>
      <c r="BQ6369" s="197"/>
    </row>
    <row r="6370" spans="66:69" x14ac:dyDescent="0.2">
      <c r="BN6370" s="192"/>
      <c r="BO6370" s="197"/>
      <c r="BP6370" s="197"/>
      <c r="BQ6370" s="197"/>
    </row>
    <row r="6371" spans="66:69" x14ac:dyDescent="0.2">
      <c r="BN6371" s="192"/>
      <c r="BO6371" s="197"/>
      <c r="BP6371" s="197"/>
      <c r="BQ6371" s="197"/>
    </row>
    <row r="6372" spans="66:69" x14ac:dyDescent="0.2">
      <c r="BN6372" s="192"/>
      <c r="BO6372" s="197"/>
      <c r="BP6372" s="197"/>
      <c r="BQ6372" s="197"/>
    </row>
    <row r="6373" spans="66:69" x14ac:dyDescent="0.2">
      <c r="BN6373" s="192"/>
      <c r="BO6373" s="197"/>
      <c r="BP6373" s="197"/>
      <c r="BQ6373" s="197"/>
    </row>
    <row r="6374" spans="66:69" x14ac:dyDescent="0.2">
      <c r="BN6374" s="192"/>
      <c r="BO6374" s="197"/>
      <c r="BP6374" s="197"/>
      <c r="BQ6374" s="197"/>
    </row>
    <row r="6375" spans="66:69" x14ac:dyDescent="0.2">
      <c r="BN6375" s="192"/>
      <c r="BO6375" s="197"/>
      <c r="BP6375" s="197"/>
      <c r="BQ6375" s="197"/>
    </row>
    <row r="6376" spans="66:69" x14ac:dyDescent="0.2">
      <c r="BN6376" s="192"/>
      <c r="BO6376" s="197"/>
      <c r="BP6376" s="197"/>
      <c r="BQ6376" s="197"/>
    </row>
    <row r="6377" spans="66:69" x14ac:dyDescent="0.2">
      <c r="BN6377" s="192"/>
      <c r="BO6377" s="197"/>
      <c r="BP6377" s="197"/>
      <c r="BQ6377" s="197"/>
    </row>
    <row r="6378" spans="66:69" x14ac:dyDescent="0.2">
      <c r="BN6378" s="192"/>
      <c r="BO6378" s="197"/>
      <c r="BP6378" s="197"/>
      <c r="BQ6378" s="197"/>
    </row>
    <row r="6379" spans="66:69" x14ac:dyDescent="0.2">
      <c r="BN6379" s="192"/>
      <c r="BO6379" s="197"/>
      <c r="BP6379" s="197"/>
      <c r="BQ6379" s="197"/>
    </row>
    <row r="6380" spans="66:69" x14ac:dyDescent="0.2">
      <c r="BN6380" s="192"/>
      <c r="BO6380" s="197"/>
      <c r="BP6380" s="197"/>
      <c r="BQ6380" s="197"/>
    </row>
    <row r="6381" spans="66:69" x14ac:dyDescent="0.2">
      <c r="BN6381" s="192"/>
      <c r="BO6381" s="197"/>
      <c r="BP6381" s="197"/>
      <c r="BQ6381" s="197"/>
    </row>
    <row r="6382" spans="66:69" x14ac:dyDescent="0.2">
      <c r="BN6382" s="192"/>
      <c r="BO6382" s="197"/>
      <c r="BP6382" s="197"/>
      <c r="BQ6382" s="197"/>
    </row>
    <row r="6383" spans="66:69" x14ac:dyDescent="0.2">
      <c r="BN6383" s="192"/>
      <c r="BO6383" s="197"/>
      <c r="BP6383" s="197"/>
      <c r="BQ6383" s="197"/>
    </row>
    <row r="6384" spans="66:69" x14ac:dyDescent="0.2">
      <c r="BN6384" s="192"/>
      <c r="BO6384" s="197"/>
      <c r="BP6384" s="197"/>
      <c r="BQ6384" s="197"/>
    </row>
    <row r="6385" spans="66:69" x14ac:dyDescent="0.2">
      <c r="BN6385" s="192"/>
      <c r="BO6385" s="197"/>
      <c r="BP6385" s="197"/>
      <c r="BQ6385" s="197"/>
    </row>
    <row r="6386" spans="66:69" x14ac:dyDescent="0.2">
      <c r="BN6386" s="192"/>
      <c r="BO6386" s="197"/>
      <c r="BP6386" s="197"/>
      <c r="BQ6386" s="197"/>
    </row>
    <row r="6387" spans="66:69" x14ac:dyDescent="0.2">
      <c r="BN6387" s="192"/>
      <c r="BO6387" s="197"/>
      <c r="BP6387" s="197"/>
      <c r="BQ6387" s="197"/>
    </row>
    <row r="6388" spans="66:69" x14ac:dyDescent="0.2">
      <c r="BN6388" s="192"/>
      <c r="BO6388" s="197"/>
      <c r="BP6388" s="197"/>
      <c r="BQ6388" s="197"/>
    </row>
    <row r="6389" spans="66:69" x14ac:dyDescent="0.2">
      <c r="BN6389" s="192"/>
      <c r="BO6389" s="197"/>
      <c r="BP6389" s="197"/>
      <c r="BQ6389" s="197"/>
    </row>
    <row r="6390" spans="66:69" x14ac:dyDescent="0.2">
      <c r="BN6390" s="192"/>
      <c r="BO6390" s="197"/>
      <c r="BP6390" s="197"/>
      <c r="BQ6390" s="197"/>
    </row>
    <row r="6391" spans="66:69" x14ac:dyDescent="0.2">
      <c r="BN6391" s="192"/>
      <c r="BO6391" s="197"/>
      <c r="BP6391" s="197"/>
      <c r="BQ6391" s="197"/>
    </row>
    <row r="6392" spans="66:69" x14ac:dyDescent="0.2">
      <c r="BN6392" s="192"/>
      <c r="BO6392" s="197"/>
      <c r="BP6392" s="197"/>
      <c r="BQ6392" s="197"/>
    </row>
    <row r="6393" spans="66:69" x14ac:dyDescent="0.2">
      <c r="BN6393" s="192"/>
      <c r="BO6393" s="197"/>
      <c r="BP6393" s="197"/>
      <c r="BQ6393" s="197"/>
    </row>
    <row r="6394" spans="66:69" x14ac:dyDescent="0.2">
      <c r="BN6394" s="192"/>
      <c r="BO6394" s="197"/>
      <c r="BP6394" s="197"/>
      <c r="BQ6394" s="197"/>
    </row>
    <row r="6395" spans="66:69" x14ac:dyDescent="0.2">
      <c r="BN6395" s="192"/>
      <c r="BO6395" s="197"/>
      <c r="BP6395" s="197"/>
      <c r="BQ6395" s="197"/>
    </row>
    <row r="6396" spans="66:69" x14ac:dyDescent="0.2">
      <c r="BN6396" s="192"/>
      <c r="BO6396" s="197"/>
      <c r="BP6396" s="197"/>
      <c r="BQ6396" s="197"/>
    </row>
    <row r="6397" spans="66:69" x14ac:dyDescent="0.2">
      <c r="BN6397" s="192"/>
      <c r="BO6397" s="197"/>
      <c r="BP6397" s="197"/>
      <c r="BQ6397" s="197"/>
    </row>
    <row r="6398" spans="66:69" x14ac:dyDescent="0.2">
      <c r="BN6398" s="192"/>
      <c r="BO6398" s="197"/>
      <c r="BP6398" s="197"/>
      <c r="BQ6398" s="197"/>
    </row>
    <row r="6399" spans="66:69" x14ac:dyDescent="0.2">
      <c r="BN6399" s="192"/>
      <c r="BO6399" s="197"/>
      <c r="BP6399" s="197"/>
      <c r="BQ6399" s="197"/>
    </row>
    <row r="6400" spans="66:69" x14ac:dyDescent="0.2">
      <c r="BN6400" s="192"/>
      <c r="BO6400" s="197"/>
      <c r="BP6400" s="197"/>
      <c r="BQ6400" s="197"/>
    </row>
    <row r="6401" spans="66:69" x14ac:dyDescent="0.2">
      <c r="BN6401" s="192"/>
      <c r="BO6401" s="197"/>
      <c r="BP6401" s="197"/>
      <c r="BQ6401" s="197"/>
    </row>
    <row r="6402" spans="66:69" x14ac:dyDescent="0.2">
      <c r="BN6402" s="192"/>
      <c r="BO6402" s="197"/>
      <c r="BP6402" s="197"/>
      <c r="BQ6402" s="197"/>
    </row>
    <row r="6403" spans="66:69" x14ac:dyDescent="0.2">
      <c r="BN6403" s="192"/>
      <c r="BO6403" s="197"/>
      <c r="BP6403" s="197"/>
      <c r="BQ6403" s="197"/>
    </row>
    <row r="6404" spans="66:69" x14ac:dyDescent="0.2">
      <c r="BN6404" s="192"/>
      <c r="BO6404" s="197"/>
      <c r="BP6404" s="197"/>
      <c r="BQ6404" s="197"/>
    </row>
    <row r="6405" spans="66:69" x14ac:dyDescent="0.2">
      <c r="BN6405" s="192"/>
      <c r="BO6405" s="197"/>
      <c r="BP6405" s="197"/>
      <c r="BQ6405" s="197"/>
    </row>
    <row r="6406" spans="66:69" x14ac:dyDescent="0.2">
      <c r="BN6406" s="192"/>
      <c r="BO6406" s="197"/>
      <c r="BP6406" s="197"/>
      <c r="BQ6406" s="197"/>
    </row>
    <row r="6407" spans="66:69" x14ac:dyDescent="0.2">
      <c r="BN6407" s="192"/>
      <c r="BO6407" s="197"/>
      <c r="BP6407" s="197"/>
      <c r="BQ6407" s="197"/>
    </row>
    <row r="6408" spans="66:69" x14ac:dyDescent="0.2">
      <c r="BN6408" s="192"/>
      <c r="BO6408" s="197"/>
      <c r="BP6408" s="197"/>
      <c r="BQ6408" s="197"/>
    </row>
    <row r="6409" spans="66:69" x14ac:dyDescent="0.2">
      <c r="BN6409" s="192"/>
      <c r="BO6409" s="197"/>
      <c r="BP6409" s="197"/>
      <c r="BQ6409" s="197"/>
    </row>
    <row r="6410" spans="66:69" x14ac:dyDescent="0.2">
      <c r="BN6410" s="192"/>
      <c r="BO6410" s="197"/>
      <c r="BP6410" s="197"/>
      <c r="BQ6410" s="197"/>
    </row>
    <row r="6411" spans="66:69" x14ac:dyDescent="0.2">
      <c r="BN6411" s="192"/>
      <c r="BO6411" s="197"/>
      <c r="BP6411" s="197"/>
      <c r="BQ6411" s="197"/>
    </row>
    <row r="6412" spans="66:69" x14ac:dyDescent="0.2">
      <c r="BN6412" s="192"/>
      <c r="BO6412" s="197"/>
      <c r="BP6412" s="197"/>
      <c r="BQ6412" s="197"/>
    </row>
    <row r="6413" spans="66:69" x14ac:dyDescent="0.2">
      <c r="BN6413" s="192"/>
      <c r="BO6413" s="197"/>
      <c r="BP6413" s="197"/>
      <c r="BQ6413" s="197"/>
    </row>
    <row r="6414" spans="66:69" x14ac:dyDescent="0.2">
      <c r="BN6414" s="192"/>
      <c r="BO6414" s="197"/>
      <c r="BP6414" s="197"/>
      <c r="BQ6414" s="197"/>
    </row>
    <row r="6415" spans="66:69" x14ac:dyDescent="0.2">
      <c r="BN6415" s="192"/>
      <c r="BO6415" s="197"/>
      <c r="BP6415" s="197"/>
      <c r="BQ6415" s="197"/>
    </row>
    <row r="6416" spans="66:69" x14ac:dyDescent="0.2">
      <c r="BN6416" s="192"/>
      <c r="BO6416" s="197"/>
      <c r="BP6416" s="197"/>
      <c r="BQ6416" s="197"/>
    </row>
    <row r="6417" spans="66:69" x14ac:dyDescent="0.2">
      <c r="BN6417" s="192"/>
      <c r="BO6417" s="197"/>
      <c r="BP6417" s="197"/>
      <c r="BQ6417" s="197"/>
    </row>
    <row r="6418" spans="66:69" x14ac:dyDescent="0.2">
      <c r="BN6418" s="192"/>
      <c r="BO6418" s="197"/>
      <c r="BP6418" s="197"/>
      <c r="BQ6418" s="197"/>
    </row>
    <row r="6419" spans="66:69" x14ac:dyDescent="0.2">
      <c r="BN6419" s="192"/>
      <c r="BO6419" s="197"/>
      <c r="BP6419" s="197"/>
      <c r="BQ6419" s="197"/>
    </row>
    <row r="6420" spans="66:69" x14ac:dyDescent="0.2">
      <c r="BN6420" s="192"/>
      <c r="BO6420" s="197"/>
      <c r="BP6420" s="197"/>
      <c r="BQ6420" s="197"/>
    </row>
    <row r="6421" spans="66:69" x14ac:dyDescent="0.2">
      <c r="BN6421" s="192"/>
      <c r="BO6421" s="197"/>
      <c r="BP6421" s="197"/>
      <c r="BQ6421" s="197"/>
    </row>
    <row r="6422" spans="66:69" x14ac:dyDescent="0.2">
      <c r="BN6422" s="192"/>
      <c r="BO6422" s="197"/>
      <c r="BP6422" s="197"/>
      <c r="BQ6422" s="197"/>
    </row>
    <row r="6423" spans="66:69" x14ac:dyDescent="0.2">
      <c r="BN6423" s="192"/>
      <c r="BO6423" s="197"/>
      <c r="BP6423" s="197"/>
      <c r="BQ6423" s="197"/>
    </row>
    <row r="6424" spans="66:69" x14ac:dyDescent="0.2">
      <c r="BN6424" s="192"/>
      <c r="BO6424" s="197"/>
      <c r="BP6424" s="197"/>
      <c r="BQ6424" s="197"/>
    </row>
    <row r="6425" spans="66:69" x14ac:dyDescent="0.2">
      <c r="BN6425" s="192"/>
      <c r="BO6425" s="197"/>
      <c r="BP6425" s="197"/>
      <c r="BQ6425" s="197"/>
    </row>
    <row r="6426" spans="66:69" x14ac:dyDescent="0.2">
      <c r="BN6426" s="192"/>
      <c r="BO6426" s="197"/>
      <c r="BP6426" s="197"/>
      <c r="BQ6426" s="197"/>
    </row>
    <row r="6427" spans="66:69" x14ac:dyDescent="0.2">
      <c r="BN6427" s="192"/>
      <c r="BO6427" s="197"/>
      <c r="BP6427" s="197"/>
      <c r="BQ6427" s="197"/>
    </row>
    <row r="6428" spans="66:69" x14ac:dyDescent="0.2">
      <c r="BN6428" s="192"/>
      <c r="BO6428" s="197"/>
      <c r="BP6428" s="197"/>
      <c r="BQ6428" s="197"/>
    </row>
    <row r="6429" spans="66:69" x14ac:dyDescent="0.2">
      <c r="BN6429" s="192"/>
      <c r="BO6429" s="197"/>
      <c r="BP6429" s="197"/>
      <c r="BQ6429" s="197"/>
    </row>
    <row r="6430" spans="66:69" x14ac:dyDescent="0.2">
      <c r="BN6430" s="192"/>
      <c r="BO6430" s="197"/>
      <c r="BP6430" s="197"/>
      <c r="BQ6430" s="197"/>
    </row>
    <row r="6431" spans="66:69" x14ac:dyDescent="0.2">
      <c r="BN6431" s="192"/>
      <c r="BO6431" s="197"/>
      <c r="BP6431" s="197"/>
      <c r="BQ6431" s="197"/>
    </row>
    <row r="6432" spans="66:69" x14ac:dyDescent="0.2">
      <c r="BN6432" s="192"/>
      <c r="BO6432" s="197"/>
      <c r="BP6432" s="197"/>
      <c r="BQ6432" s="197"/>
    </row>
    <row r="6433" spans="66:69" x14ac:dyDescent="0.2">
      <c r="BN6433" s="192"/>
      <c r="BO6433" s="197"/>
      <c r="BP6433" s="197"/>
      <c r="BQ6433" s="197"/>
    </row>
    <row r="6434" spans="66:69" x14ac:dyDescent="0.2">
      <c r="BN6434" s="192"/>
      <c r="BO6434" s="197"/>
      <c r="BP6434" s="197"/>
      <c r="BQ6434" s="197"/>
    </row>
    <row r="6435" spans="66:69" x14ac:dyDescent="0.2">
      <c r="BN6435" s="192"/>
      <c r="BO6435" s="197"/>
      <c r="BP6435" s="197"/>
      <c r="BQ6435" s="197"/>
    </row>
    <row r="6436" spans="66:69" x14ac:dyDescent="0.2">
      <c r="BN6436" s="192"/>
      <c r="BO6436" s="197"/>
      <c r="BP6436" s="197"/>
      <c r="BQ6436" s="197"/>
    </row>
    <row r="6437" spans="66:69" x14ac:dyDescent="0.2">
      <c r="BN6437" s="192"/>
      <c r="BO6437" s="197"/>
      <c r="BP6437" s="197"/>
      <c r="BQ6437" s="197"/>
    </row>
    <row r="6438" spans="66:69" x14ac:dyDescent="0.2">
      <c r="BN6438" s="192"/>
      <c r="BO6438" s="197"/>
      <c r="BP6438" s="197"/>
      <c r="BQ6438" s="197"/>
    </row>
    <row r="6439" spans="66:69" x14ac:dyDescent="0.2">
      <c r="BN6439" s="192"/>
      <c r="BO6439" s="197"/>
      <c r="BP6439" s="197"/>
      <c r="BQ6439" s="197"/>
    </row>
    <row r="6440" spans="66:69" x14ac:dyDescent="0.2">
      <c r="BN6440" s="192"/>
      <c r="BO6440" s="197"/>
      <c r="BP6440" s="197"/>
      <c r="BQ6440" s="197"/>
    </row>
    <row r="6441" spans="66:69" x14ac:dyDescent="0.2">
      <c r="BN6441" s="192"/>
      <c r="BO6441" s="197"/>
      <c r="BP6441" s="197"/>
      <c r="BQ6441" s="197"/>
    </row>
    <row r="6442" spans="66:69" x14ac:dyDescent="0.2">
      <c r="BN6442" s="192"/>
      <c r="BO6442" s="197"/>
      <c r="BP6442" s="197"/>
      <c r="BQ6442" s="197"/>
    </row>
    <row r="6443" spans="66:69" x14ac:dyDescent="0.2">
      <c r="BN6443" s="192"/>
      <c r="BO6443" s="197"/>
      <c r="BP6443" s="197"/>
      <c r="BQ6443" s="197"/>
    </row>
    <row r="6444" spans="66:69" x14ac:dyDescent="0.2">
      <c r="BN6444" s="192"/>
      <c r="BO6444" s="197"/>
      <c r="BP6444" s="197"/>
      <c r="BQ6444" s="197"/>
    </row>
    <row r="6445" spans="66:69" x14ac:dyDescent="0.2">
      <c r="BN6445" s="192"/>
      <c r="BO6445" s="197"/>
      <c r="BP6445" s="197"/>
      <c r="BQ6445" s="197"/>
    </row>
    <row r="6446" spans="66:69" x14ac:dyDescent="0.2">
      <c r="BN6446" s="192"/>
      <c r="BO6446" s="197"/>
      <c r="BP6446" s="197"/>
      <c r="BQ6446" s="197"/>
    </row>
    <row r="6447" spans="66:69" x14ac:dyDescent="0.2">
      <c r="BN6447" s="192"/>
      <c r="BO6447" s="197"/>
      <c r="BP6447" s="197"/>
      <c r="BQ6447" s="197"/>
    </row>
    <row r="6448" spans="66:69" x14ac:dyDescent="0.2">
      <c r="BN6448" s="192"/>
      <c r="BO6448" s="197"/>
      <c r="BP6448" s="197"/>
      <c r="BQ6448" s="197"/>
    </row>
    <row r="6449" spans="66:69" x14ac:dyDescent="0.2">
      <c r="BN6449" s="192"/>
      <c r="BO6449" s="197"/>
      <c r="BP6449" s="197"/>
      <c r="BQ6449" s="197"/>
    </row>
    <row r="6450" spans="66:69" x14ac:dyDescent="0.2">
      <c r="BN6450" s="192"/>
      <c r="BO6450" s="197"/>
      <c r="BP6450" s="197"/>
      <c r="BQ6450" s="197"/>
    </row>
    <row r="6451" spans="66:69" x14ac:dyDescent="0.2">
      <c r="BN6451" s="192"/>
      <c r="BO6451" s="197"/>
      <c r="BP6451" s="197"/>
      <c r="BQ6451" s="197"/>
    </row>
    <row r="6452" spans="66:69" x14ac:dyDescent="0.2">
      <c r="BN6452" s="192"/>
      <c r="BO6452" s="197"/>
      <c r="BP6452" s="197"/>
      <c r="BQ6452" s="197"/>
    </row>
    <row r="6453" spans="66:69" x14ac:dyDescent="0.2">
      <c r="BN6453" s="192"/>
      <c r="BO6453" s="197"/>
      <c r="BP6453" s="197"/>
      <c r="BQ6453" s="197"/>
    </row>
    <row r="6454" spans="66:69" x14ac:dyDescent="0.2">
      <c r="BN6454" s="192"/>
      <c r="BO6454" s="197"/>
      <c r="BP6454" s="197"/>
      <c r="BQ6454" s="197"/>
    </row>
    <row r="6455" spans="66:69" x14ac:dyDescent="0.2">
      <c r="BN6455" s="192"/>
      <c r="BO6455" s="197"/>
      <c r="BP6455" s="197"/>
      <c r="BQ6455" s="197"/>
    </row>
    <row r="6456" spans="66:69" x14ac:dyDescent="0.2">
      <c r="BN6456" s="192"/>
      <c r="BO6456" s="197"/>
      <c r="BP6456" s="197"/>
      <c r="BQ6456" s="197"/>
    </row>
    <row r="6457" spans="66:69" x14ac:dyDescent="0.2">
      <c r="BN6457" s="192"/>
      <c r="BO6457" s="197"/>
      <c r="BP6457" s="197"/>
      <c r="BQ6457" s="197"/>
    </row>
    <row r="6458" spans="66:69" x14ac:dyDescent="0.2">
      <c r="BN6458" s="192"/>
      <c r="BO6458" s="197"/>
      <c r="BP6458" s="197"/>
      <c r="BQ6458" s="197"/>
    </row>
    <row r="6459" spans="66:69" x14ac:dyDescent="0.2">
      <c r="BN6459" s="192"/>
      <c r="BO6459" s="197"/>
      <c r="BP6459" s="197"/>
      <c r="BQ6459" s="197"/>
    </row>
    <row r="6460" spans="66:69" x14ac:dyDescent="0.2">
      <c r="BN6460" s="192"/>
      <c r="BO6460" s="197"/>
      <c r="BP6460" s="197"/>
      <c r="BQ6460" s="197"/>
    </row>
    <row r="6461" spans="66:69" x14ac:dyDescent="0.2">
      <c r="BN6461" s="192"/>
      <c r="BO6461" s="197"/>
      <c r="BP6461" s="197"/>
      <c r="BQ6461" s="197"/>
    </row>
    <row r="6462" spans="66:69" x14ac:dyDescent="0.2">
      <c r="BN6462" s="192"/>
      <c r="BO6462" s="197"/>
      <c r="BP6462" s="197"/>
      <c r="BQ6462" s="197"/>
    </row>
    <row r="6463" spans="66:69" x14ac:dyDescent="0.2">
      <c r="BN6463" s="192"/>
      <c r="BO6463" s="197"/>
      <c r="BP6463" s="197"/>
      <c r="BQ6463" s="197"/>
    </row>
    <row r="6464" spans="66:69" x14ac:dyDescent="0.2">
      <c r="BN6464" s="192"/>
      <c r="BO6464" s="197"/>
      <c r="BP6464" s="197"/>
      <c r="BQ6464" s="197"/>
    </row>
    <row r="6465" spans="66:69" x14ac:dyDescent="0.2">
      <c r="BN6465" s="192"/>
      <c r="BO6465" s="197"/>
      <c r="BP6465" s="197"/>
      <c r="BQ6465" s="197"/>
    </row>
    <row r="6466" spans="66:69" x14ac:dyDescent="0.2">
      <c r="BN6466" s="192"/>
      <c r="BO6466" s="197"/>
      <c r="BP6466" s="197"/>
      <c r="BQ6466" s="197"/>
    </row>
    <row r="6467" spans="66:69" x14ac:dyDescent="0.2">
      <c r="BN6467" s="192"/>
      <c r="BO6467" s="197"/>
      <c r="BP6467" s="197"/>
      <c r="BQ6467" s="197"/>
    </row>
    <row r="6468" spans="66:69" x14ac:dyDescent="0.2">
      <c r="BN6468" s="192"/>
      <c r="BO6468" s="197"/>
      <c r="BP6468" s="197"/>
      <c r="BQ6468" s="197"/>
    </row>
    <row r="6469" spans="66:69" x14ac:dyDescent="0.2">
      <c r="BN6469" s="192"/>
      <c r="BO6469" s="197"/>
      <c r="BP6469" s="197"/>
      <c r="BQ6469" s="197"/>
    </row>
    <row r="6470" spans="66:69" x14ac:dyDescent="0.2">
      <c r="BN6470" s="192"/>
      <c r="BO6470" s="197"/>
      <c r="BP6470" s="197"/>
      <c r="BQ6470" s="197"/>
    </row>
    <row r="6471" spans="66:69" x14ac:dyDescent="0.2">
      <c r="BN6471" s="192"/>
      <c r="BO6471" s="197"/>
      <c r="BP6471" s="197"/>
      <c r="BQ6471" s="197"/>
    </row>
    <row r="6472" spans="66:69" x14ac:dyDescent="0.2">
      <c r="BN6472" s="192"/>
      <c r="BO6472" s="197"/>
      <c r="BP6472" s="197"/>
      <c r="BQ6472" s="197"/>
    </row>
    <row r="6473" spans="66:69" x14ac:dyDescent="0.2">
      <c r="BN6473" s="192"/>
      <c r="BO6473" s="197"/>
      <c r="BP6473" s="197"/>
      <c r="BQ6473" s="197"/>
    </row>
    <row r="6474" spans="66:69" x14ac:dyDescent="0.2">
      <c r="BN6474" s="192"/>
      <c r="BO6474" s="197"/>
      <c r="BP6474" s="197"/>
      <c r="BQ6474" s="197"/>
    </row>
    <row r="6475" spans="66:69" x14ac:dyDescent="0.2">
      <c r="BN6475" s="192"/>
      <c r="BO6475" s="197"/>
      <c r="BP6475" s="197"/>
      <c r="BQ6475" s="197"/>
    </row>
    <row r="6476" spans="66:69" x14ac:dyDescent="0.2">
      <c r="BN6476" s="192"/>
      <c r="BO6476" s="197"/>
      <c r="BP6476" s="197"/>
      <c r="BQ6476" s="197"/>
    </row>
    <row r="6477" spans="66:69" x14ac:dyDescent="0.2">
      <c r="BN6477" s="192"/>
      <c r="BO6477" s="197"/>
      <c r="BP6477" s="197"/>
      <c r="BQ6477" s="197"/>
    </row>
    <row r="6478" spans="66:69" x14ac:dyDescent="0.2">
      <c r="BN6478" s="192"/>
      <c r="BO6478" s="197"/>
      <c r="BP6478" s="197"/>
      <c r="BQ6478" s="197"/>
    </row>
    <row r="6479" spans="66:69" x14ac:dyDescent="0.2">
      <c r="BN6479" s="192"/>
      <c r="BO6479" s="197"/>
      <c r="BP6479" s="197"/>
      <c r="BQ6479" s="197"/>
    </row>
    <row r="6480" spans="66:69" x14ac:dyDescent="0.2">
      <c r="BN6480" s="192"/>
      <c r="BO6480" s="197"/>
      <c r="BP6480" s="197"/>
      <c r="BQ6480" s="197"/>
    </row>
    <row r="6481" spans="66:69" x14ac:dyDescent="0.2">
      <c r="BN6481" s="192"/>
      <c r="BO6481" s="197"/>
      <c r="BP6481" s="197"/>
      <c r="BQ6481" s="197"/>
    </row>
    <row r="6482" spans="66:69" x14ac:dyDescent="0.2">
      <c r="BN6482" s="192"/>
      <c r="BO6482" s="197"/>
      <c r="BP6482" s="197"/>
      <c r="BQ6482" s="197"/>
    </row>
    <row r="6483" spans="66:69" x14ac:dyDescent="0.2">
      <c r="BN6483" s="192"/>
      <c r="BO6483" s="197"/>
      <c r="BP6483" s="197"/>
      <c r="BQ6483" s="197"/>
    </row>
    <row r="6484" spans="66:69" x14ac:dyDescent="0.2">
      <c r="BN6484" s="192"/>
      <c r="BO6484" s="197"/>
      <c r="BP6484" s="197"/>
      <c r="BQ6484" s="197"/>
    </row>
    <row r="6485" spans="66:69" x14ac:dyDescent="0.2">
      <c r="BN6485" s="192"/>
      <c r="BO6485" s="197"/>
      <c r="BP6485" s="197"/>
      <c r="BQ6485" s="197"/>
    </row>
    <row r="6486" spans="66:69" x14ac:dyDescent="0.2">
      <c r="BN6486" s="192"/>
      <c r="BO6486" s="197"/>
      <c r="BP6486" s="197"/>
      <c r="BQ6486" s="197"/>
    </row>
    <row r="6487" spans="66:69" x14ac:dyDescent="0.2">
      <c r="BN6487" s="192"/>
      <c r="BO6487" s="197"/>
      <c r="BP6487" s="197"/>
      <c r="BQ6487" s="197"/>
    </row>
    <row r="6488" spans="66:69" x14ac:dyDescent="0.2">
      <c r="BN6488" s="192"/>
      <c r="BO6488" s="197"/>
      <c r="BP6488" s="197"/>
      <c r="BQ6488" s="197"/>
    </row>
    <row r="6489" spans="66:69" x14ac:dyDescent="0.2">
      <c r="BN6489" s="192"/>
      <c r="BO6489" s="197"/>
      <c r="BP6489" s="197"/>
      <c r="BQ6489" s="197"/>
    </row>
    <row r="6490" spans="66:69" x14ac:dyDescent="0.2">
      <c r="BN6490" s="192"/>
      <c r="BO6490" s="197"/>
      <c r="BP6490" s="197"/>
      <c r="BQ6490" s="197"/>
    </row>
    <row r="6491" spans="66:69" x14ac:dyDescent="0.2">
      <c r="BN6491" s="192"/>
      <c r="BO6491" s="197"/>
      <c r="BP6491" s="197"/>
      <c r="BQ6491" s="197"/>
    </row>
    <row r="6492" spans="66:69" x14ac:dyDescent="0.2">
      <c r="BN6492" s="192"/>
      <c r="BO6492" s="197"/>
      <c r="BP6492" s="197"/>
      <c r="BQ6492" s="197"/>
    </row>
    <row r="6493" spans="66:69" x14ac:dyDescent="0.2">
      <c r="BN6493" s="192"/>
      <c r="BO6493" s="197"/>
      <c r="BP6493" s="197"/>
      <c r="BQ6493" s="197"/>
    </row>
    <row r="6494" spans="66:69" x14ac:dyDescent="0.2">
      <c r="BN6494" s="192"/>
      <c r="BO6494" s="197"/>
      <c r="BP6494" s="197"/>
      <c r="BQ6494" s="197"/>
    </row>
    <row r="6495" spans="66:69" x14ac:dyDescent="0.2">
      <c r="BN6495" s="192"/>
      <c r="BO6495" s="197"/>
      <c r="BP6495" s="197"/>
      <c r="BQ6495" s="197"/>
    </row>
    <row r="6496" spans="66:69" x14ac:dyDescent="0.2">
      <c r="BN6496" s="192"/>
      <c r="BO6496" s="197"/>
      <c r="BP6496" s="197"/>
      <c r="BQ6496" s="197"/>
    </row>
    <row r="6497" spans="66:69" x14ac:dyDescent="0.2">
      <c r="BN6497" s="192"/>
      <c r="BO6497" s="197"/>
      <c r="BP6497" s="197"/>
      <c r="BQ6497" s="197"/>
    </row>
    <row r="6498" spans="66:69" x14ac:dyDescent="0.2">
      <c r="BN6498" s="192"/>
      <c r="BO6498" s="197"/>
      <c r="BP6498" s="197"/>
      <c r="BQ6498" s="197"/>
    </row>
    <row r="6499" spans="66:69" x14ac:dyDescent="0.2">
      <c r="BN6499" s="192"/>
      <c r="BO6499" s="197"/>
      <c r="BP6499" s="197"/>
      <c r="BQ6499" s="197"/>
    </row>
    <row r="6500" spans="66:69" x14ac:dyDescent="0.2">
      <c r="BN6500" s="192"/>
      <c r="BO6500" s="197"/>
      <c r="BP6500" s="197"/>
      <c r="BQ6500" s="197"/>
    </row>
    <row r="6501" spans="66:69" x14ac:dyDescent="0.2">
      <c r="BN6501" s="192"/>
      <c r="BO6501" s="197"/>
      <c r="BP6501" s="197"/>
      <c r="BQ6501" s="197"/>
    </row>
    <row r="6502" spans="66:69" x14ac:dyDescent="0.2">
      <c r="BN6502" s="192"/>
      <c r="BO6502" s="197"/>
      <c r="BP6502" s="197"/>
      <c r="BQ6502" s="197"/>
    </row>
    <row r="6503" spans="66:69" x14ac:dyDescent="0.2">
      <c r="BN6503" s="192"/>
      <c r="BO6503" s="197"/>
      <c r="BP6503" s="197"/>
      <c r="BQ6503" s="197"/>
    </row>
    <row r="6504" spans="66:69" x14ac:dyDescent="0.2">
      <c r="BN6504" s="192"/>
      <c r="BO6504" s="197"/>
      <c r="BP6504" s="197"/>
      <c r="BQ6504" s="197"/>
    </row>
    <row r="6505" spans="66:69" x14ac:dyDescent="0.2">
      <c r="BN6505" s="192"/>
      <c r="BO6505" s="197"/>
      <c r="BP6505" s="197"/>
      <c r="BQ6505" s="197"/>
    </row>
    <row r="6506" spans="66:69" x14ac:dyDescent="0.2">
      <c r="BN6506" s="192"/>
      <c r="BO6506" s="197"/>
      <c r="BP6506" s="197"/>
      <c r="BQ6506" s="197"/>
    </row>
    <row r="6507" spans="66:69" x14ac:dyDescent="0.2">
      <c r="BN6507" s="192"/>
      <c r="BO6507" s="197"/>
      <c r="BP6507" s="197"/>
      <c r="BQ6507" s="197"/>
    </row>
    <row r="6508" spans="66:69" x14ac:dyDescent="0.2">
      <c r="BN6508" s="192"/>
      <c r="BO6508" s="197"/>
      <c r="BP6508" s="197"/>
      <c r="BQ6508" s="197"/>
    </row>
    <row r="6509" spans="66:69" x14ac:dyDescent="0.2">
      <c r="BN6509" s="192"/>
      <c r="BO6509" s="197"/>
      <c r="BP6509" s="197"/>
      <c r="BQ6509" s="197"/>
    </row>
    <row r="6510" spans="66:69" x14ac:dyDescent="0.2">
      <c r="BN6510" s="192"/>
      <c r="BO6510" s="197"/>
      <c r="BP6510" s="197"/>
      <c r="BQ6510" s="197"/>
    </row>
    <row r="6511" spans="66:69" x14ac:dyDescent="0.2">
      <c r="BN6511" s="192"/>
      <c r="BO6511" s="197"/>
      <c r="BP6511" s="197"/>
      <c r="BQ6511" s="197"/>
    </row>
    <row r="6512" spans="66:69" x14ac:dyDescent="0.2">
      <c r="BN6512" s="192"/>
      <c r="BO6512" s="197"/>
      <c r="BP6512" s="197"/>
      <c r="BQ6512" s="197"/>
    </row>
    <row r="6513" spans="66:69" x14ac:dyDescent="0.2">
      <c r="BN6513" s="192"/>
      <c r="BO6513" s="197"/>
      <c r="BP6513" s="197"/>
      <c r="BQ6513" s="197"/>
    </row>
    <row r="6514" spans="66:69" x14ac:dyDescent="0.2">
      <c r="BN6514" s="192"/>
      <c r="BO6514" s="197"/>
      <c r="BP6514" s="197"/>
      <c r="BQ6514" s="197"/>
    </row>
    <row r="6515" spans="66:69" x14ac:dyDescent="0.2">
      <c r="BN6515" s="192"/>
      <c r="BO6515" s="197"/>
      <c r="BP6515" s="197"/>
      <c r="BQ6515" s="197"/>
    </row>
    <row r="6516" spans="66:69" x14ac:dyDescent="0.2">
      <c r="BN6516" s="192"/>
      <c r="BO6516" s="197"/>
      <c r="BP6516" s="197"/>
      <c r="BQ6516" s="197"/>
    </row>
    <row r="6517" spans="66:69" x14ac:dyDescent="0.2">
      <c r="BN6517" s="192"/>
      <c r="BO6517" s="197"/>
      <c r="BP6517" s="197"/>
      <c r="BQ6517" s="197"/>
    </row>
    <row r="6518" spans="66:69" x14ac:dyDescent="0.2">
      <c r="BN6518" s="192"/>
      <c r="BO6518" s="197"/>
      <c r="BP6518" s="197"/>
      <c r="BQ6518" s="197"/>
    </row>
    <row r="6519" spans="66:69" x14ac:dyDescent="0.2">
      <c r="BN6519" s="192"/>
      <c r="BO6519" s="197"/>
      <c r="BP6519" s="197"/>
      <c r="BQ6519" s="197"/>
    </row>
    <row r="6520" spans="66:69" x14ac:dyDescent="0.2">
      <c r="BN6520" s="192"/>
      <c r="BO6520" s="197"/>
      <c r="BP6520" s="197"/>
      <c r="BQ6520" s="197"/>
    </row>
    <row r="6521" spans="66:69" x14ac:dyDescent="0.2">
      <c r="BN6521" s="192"/>
      <c r="BO6521" s="197"/>
      <c r="BP6521" s="197"/>
      <c r="BQ6521" s="197"/>
    </row>
    <row r="6522" spans="66:69" x14ac:dyDescent="0.2">
      <c r="BN6522" s="192"/>
      <c r="BO6522" s="197"/>
      <c r="BP6522" s="197"/>
      <c r="BQ6522" s="197"/>
    </row>
    <row r="6523" spans="66:69" x14ac:dyDescent="0.2">
      <c r="BN6523" s="192"/>
      <c r="BO6523" s="197"/>
      <c r="BP6523" s="197"/>
      <c r="BQ6523" s="197"/>
    </row>
    <row r="6524" spans="66:69" x14ac:dyDescent="0.2">
      <c r="BN6524" s="192"/>
      <c r="BO6524" s="197"/>
      <c r="BP6524" s="197"/>
      <c r="BQ6524" s="197"/>
    </row>
    <row r="6525" spans="66:69" x14ac:dyDescent="0.2">
      <c r="BN6525" s="192"/>
      <c r="BO6525" s="197"/>
      <c r="BP6525" s="197"/>
      <c r="BQ6525" s="197"/>
    </row>
    <row r="6526" spans="66:69" x14ac:dyDescent="0.2">
      <c r="BN6526" s="192"/>
      <c r="BO6526" s="197"/>
      <c r="BP6526" s="197"/>
      <c r="BQ6526" s="197"/>
    </row>
    <row r="6527" spans="66:69" x14ac:dyDescent="0.2">
      <c r="BN6527" s="192"/>
      <c r="BO6527" s="197"/>
      <c r="BP6527" s="197"/>
      <c r="BQ6527" s="197"/>
    </row>
    <row r="6528" spans="66:69" x14ac:dyDescent="0.2">
      <c r="BN6528" s="192"/>
      <c r="BO6528" s="197"/>
      <c r="BP6528" s="197"/>
      <c r="BQ6528" s="197"/>
    </row>
    <row r="6529" spans="66:69" x14ac:dyDescent="0.2">
      <c r="BN6529" s="192"/>
      <c r="BO6529" s="197"/>
      <c r="BP6529" s="197"/>
      <c r="BQ6529" s="197"/>
    </row>
    <row r="6530" spans="66:69" x14ac:dyDescent="0.2">
      <c r="BN6530" s="192"/>
      <c r="BO6530" s="197"/>
      <c r="BP6530" s="197"/>
      <c r="BQ6530" s="197"/>
    </row>
    <row r="6531" spans="66:69" x14ac:dyDescent="0.2">
      <c r="BN6531" s="192"/>
      <c r="BO6531" s="197"/>
      <c r="BP6531" s="197"/>
      <c r="BQ6531" s="197"/>
    </row>
    <row r="6532" spans="66:69" x14ac:dyDescent="0.2">
      <c r="BN6532" s="192"/>
      <c r="BO6532" s="197"/>
      <c r="BP6532" s="197"/>
      <c r="BQ6532" s="197"/>
    </row>
    <row r="6533" spans="66:69" x14ac:dyDescent="0.2">
      <c r="BN6533" s="192"/>
      <c r="BO6533" s="197"/>
      <c r="BP6533" s="197"/>
      <c r="BQ6533" s="197"/>
    </row>
    <row r="6534" spans="66:69" x14ac:dyDescent="0.2">
      <c r="BN6534" s="192"/>
      <c r="BO6534" s="197"/>
      <c r="BP6534" s="197"/>
      <c r="BQ6534" s="197"/>
    </row>
    <row r="6535" spans="66:69" x14ac:dyDescent="0.2">
      <c r="BN6535" s="192"/>
      <c r="BO6535" s="197"/>
      <c r="BP6535" s="197"/>
      <c r="BQ6535" s="197"/>
    </row>
    <row r="6536" spans="66:69" x14ac:dyDescent="0.2">
      <c r="BN6536" s="192"/>
      <c r="BO6536" s="197"/>
      <c r="BP6536" s="197"/>
      <c r="BQ6536" s="197"/>
    </row>
    <row r="6537" spans="66:69" x14ac:dyDescent="0.2">
      <c r="BN6537" s="192"/>
      <c r="BO6537" s="197"/>
      <c r="BP6537" s="197"/>
      <c r="BQ6537" s="197"/>
    </row>
    <row r="6538" spans="66:69" x14ac:dyDescent="0.2">
      <c r="BN6538" s="192"/>
      <c r="BO6538" s="197"/>
      <c r="BP6538" s="197"/>
      <c r="BQ6538" s="197"/>
    </row>
    <row r="6539" spans="66:69" x14ac:dyDescent="0.2">
      <c r="BN6539" s="192"/>
      <c r="BO6539" s="197"/>
      <c r="BP6539" s="197"/>
      <c r="BQ6539" s="197"/>
    </row>
    <row r="6540" spans="66:69" x14ac:dyDescent="0.2">
      <c r="BN6540" s="192"/>
      <c r="BO6540" s="197"/>
      <c r="BP6540" s="197"/>
      <c r="BQ6540" s="197"/>
    </row>
    <row r="6541" spans="66:69" x14ac:dyDescent="0.2">
      <c r="BN6541" s="192"/>
      <c r="BO6541" s="197"/>
      <c r="BP6541" s="197"/>
      <c r="BQ6541" s="197"/>
    </row>
    <row r="6542" spans="66:69" x14ac:dyDescent="0.2">
      <c r="BN6542" s="192"/>
      <c r="BO6542" s="197"/>
      <c r="BP6542" s="197"/>
      <c r="BQ6542" s="197"/>
    </row>
    <row r="6543" spans="66:69" x14ac:dyDescent="0.2">
      <c r="BN6543" s="192"/>
      <c r="BO6543" s="197"/>
      <c r="BP6543" s="197"/>
      <c r="BQ6543" s="197"/>
    </row>
    <row r="6544" spans="66:69" x14ac:dyDescent="0.2">
      <c r="BN6544" s="192"/>
      <c r="BO6544" s="197"/>
      <c r="BP6544" s="197"/>
      <c r="BQ6544" s="197"/>
    </row>
    <row r="6545" spans="66:69" x14ac:dyDescent="0.2">
      <c r="BN6545" s="192"/>
      <c r="BO6545" s="197"/>
      <c r="BP6545" s="197"/>
      <c r="BQ6545" s="197"/>
    </row>
    <row r="6546" spans="66:69" x14ac:dyDescent="0.2">
      <c r="BN6546" s="192"/>
      <c r="BO6546" s="197"/>
      <c r="BP6546" s="197"/>
      <c r="BQ6546" s="197"/>
    </row>
    <row r="6547" spans="66:69" x14ac:dyDescent="0.2">
      <c r="BN6547" s="192"/>
      <c r="BO6547" s="197"/>
      <c r="BP6547" s="197"/>
      <c r="BQ6547" s="197"/>
    </row>
    <row r="6548" spans="66:69" x14ac:dyDescent="0.2">
      <c r="BN6548" s="192"/>
      <c r="BO6548" s="197"/>
      <c r="BP6548" s="197"/>
      <c r="BQ6548" s="197"/>
    </row>
    <row r="6549" spans="66:69" x14ac:dyDescent="0.2">
      <c r="BN6549" s="192"/>
      <c r="BO6549" s="197"/>
      <c r="BP6549" s="197"/>
      <c r="BQ6549" s="197"/>
    </row>
    <row r="6550" spans="66:69" x14ac:dyDescent="0.2">
      <c r="BN6550" s="192"/>
      <c r="BO6550" s="197"/>
      <c r="BP6550" s="197"/>
      <c r="BQ6550" s="197"/>
    </row>
    <row r="6551" spans="66:69" x14ac:dyDescent="0.2">
      <c r="BN6551" s="192"/>
      <c r="BO6551" s="197"/>
      <c r="BP6551" s="197"/>
      <c r="BQ6551" s="197"/>
    </row>
    <row r="6552" spans="66:69" x14ac:dyDescent="0.2">
      <c r="BN6552" s="192"/>
      <c r="BO6552" s="197"/>
      <c r="BP6552" s="197"/>
      <c r="BQ6552" s="197"/>
    </row>
    <row r="6553" spans="66:69" x14ac:dyDescent="0.2">
      <c r="BN6553" s="192"/>
      <c r="BO6553" s="197"/>
      <c r="BP6553" s="197"/>
      <c r="BQ6553" s="197"/>
    </row>
    <row r="6554" spans="66:69" x14ac:dyDescent="0.2">
      <c r="BN6554" s="192"/>
      <c r="BO6554" s="197"/>
      <c r="BP6554" s="197"/>
      <c r="BQ6554" s="197"/>
    </row>
    <row r="6555" spans="66:69" x14ac:dyDescent="0.2">
      <c r="BN6555" s="192"/>
      <c r="BO6555" s="197"/>
      <c r="BP6555" s="197"/>
      <c r="BQ6555" s="197"/>
    </row>
    <row r="6556" spans="66:69" x14ac:dyDescent="0.2">
      <c r="BN6556" s="192"/>
      <c r="BO6556" s="197"/>
      <c r="BP6556" s="197"/>
      <c r="BQ6556" s="197"/>
    </row>
    <row r="6557" spans="66:69" x14ac:dyDescent="0.2">
      <c r="BN6557" s="192"/>
      <c r="BO6557" s="197"/>
      <c r="BP6557" s="197"/>
      <c r="BQ6557" s="197"/>
    </row>
    <row r="6558" spans="66:69" x14ac:dyDescent="0.2">
      <c r="BN6558" s="192"/>
      <c r="BO6558" s="197"/>
      <c r="BP6558" s="197"/>
      <c r="BQ6558" s="197"/>
    </row>
    <row r="6559" spans="66:69" x14ac:dyDescent="0.2">
      <c r="BN6559" s="192"/>
      <c r="BO6559" s="197"/>
      <c r="BP6559" s="197"/>
      <c r="BQ6559" s="197"/>
    </row>
    <row r="6560" spans="66:69" x14ac:dyDescent="0.2">
      <c r="BN6560" s="192"/>
      <c r="BO6560" s="197"/>
      <c r="BP6560" s="197"/>
      <c r="BQ6560" s="197"/>
    </row>
    <row r="6561" spans="66:69" x14ac:dyDescent="0.2">
      <c r="BN6561" s="192"/>
      <c r="BO6561" s="197"/>
      <c r="BP6561" s="197"/>
      <c r="BQ6561" s="197"/>
    </row>
    <row r="6562" spans="66:69" x14ac:dyDescent="0.2">
      <c r="BN6562" s="192"/>
      <c r="BO6562" s="197"/>
      <c r="BP6562" s="197"/>
      <c r="BQ6562" s="197"/>
    </row>
    <row r="6563" spans="66:69" x14ac:dyDescent="0.2">
      <c r="BN6563" s="192"/>
      <c r="BO6563" s="197"/>
      <c r="BP6563" s="197"/>
      <c r="BQ6563" s="197"/>
    </row>
    <row r="6564" spans="66:69" x14ac:dyDescent="0.2">
      <c r="BN6564" s="192"/>
      <c r="BO6564" s="197"/>
      <c r="BP6564" s="197"/>
      <c r="BQ6564" s="197"/>
    </row>
    <row r="6565" spans="66:69" x14ac:dyDescent="0.2">
      <c r="BN6565" s="192"/>
      <c r="BO6565" s="197"/>
      <c r="BP6565" s="197"/>
      <c r="BQ6565" s="197"/>
    </row>
    <row r="6566" spans="66:69" x14ac:dyDescent="0.2">
      <c r="BN6566" s="192"/>
      <c r="BO6566" s="197"/>
      <c r="BP6566" s="197"/>
      <c r="BQ6566" s="197"/>
    </row>
    <row r="6567" spans="66:69" x14ac:dyDescent="0.2">
      <c r="BN6567" s="192"/>
      <c r="BO6567" s="197"/>
      <c r="BP6567" s="197"/>
      <c r="BQ6567" s="197"/>
    </row>
    <row r="6568" spans="66:69" x14ac:dyDescent="0.2">
      <c r="BN6568" s="192"/>
      <c r="BO6568" s="197"/>
      <c r="BP6568" s="197"/>
      <c r="BQ6568" s="197"/>
    </row>
    <row r="6569" spans="66:69" x14ac:dyDescent="0.2">
      <c r="BN6569" s="192"/>
      <c r="BO6569" s="197"/>
      <c r="BP6569" s="197"/>
      <c r="BQ6569" s="197"/>
    </row>
    <row r="6570" spans="66:69" x14ac:dyDescent="0.2">
      <c r="BN6570" s="192"/>
      <c r="BO6570" s="197"/>
      <c r="BP6570" s="197"/>
      <c r="BQ6570" s="197"/>
    </row>
    <row r="6571" spans="66:69" x14ac:dyDescent="0.2">
      <c r="BN6571" s="192"/>
      <c r="BO6571" s="197"/>
      <c r="BP6571" s="197"/>
      <c r="BQ6571" s="197"/>
    </row>
    <row r="6572" spans="66:69" x14ac:dyDescent="0.2">
      <c r="BN6572" s="192"/>
      <c r="BO6572" s="197"/>
      <c r="BP6572" s="197"/>
      <c r="BQ6572" s="197"/>
    </row>
    <row r="6573" spans="66:69" x14ac:dyDescent="0.2">
      <c r="BN6573" s="192"/>
      <c r="BO6573" s="197"/>
      <c r="BP6573" s="197"/>
      <c r="BQ6573" s="197"/>
    </row>
    <row r="6574" spans="66:69" x14ac:dyDescent="0.2">
      <c r="BN6574" s="192"/>
      <c r="BO6574" s="197"/>
      <c r="BP6574" s="197"/>
      <c r="BQ6574" s="197"/>
    </row>
    <row r="6575" spans="66:69" x14ac:dyDescent="0.2">
      <c r="BN6575" s="192"/>
      <c r="BO6575" s="197"/>
      <c r="BP6575" s="197"/>
      <c r="BQ6575" s="197"/>
    </row>
    <row r="6576" spans="66:69" x14ac:dyDescent="0.2">
      <c r="BN6576" s="192"/>
      <c r="BO6576" s="197"/>
      <c r="BP6576" s="197"/>
      <c r="BQ6576" s="197"/>
    </row>
    <row r="6577" spans="66:69" x14ac:dyDescent="0.2">
      <c r="BN6577" s="192"/>
      <c r="BO6577" s="197"/>
      <c r="BP6577" s="197"/>
      <c r="BQ6577" s="197"/>
    </row>
    <row r="6578" spans="66:69" x14ac:dyDescent="0.2">
      <c r="BN6578" s="192"/>
      <c r="BO6578" s="197"/>
      <c r="BP6578" s="197"/>
      <c r="BQ6578" s="197"/>
    </row>
    <row r="6579" spans="66:69" x14ac:dyDescent="0.2">
      <c r="BN6579" s="192"/>
      <c r="BO6579" s="197"/>
      <c r="BP6579" s="197"/>
      <c r="BQ6579" s="197"/>
    </row>
    <row r="6580" spans="66:69" x14ac:dyDescent="0.2">
      <c r="BN6580" s="192"/>
      <c r="BO6580" s="197"/>
      <c r="BP6580" s="197"/>
      <c r="BQ6580" s="197"/>
    </row>
    <row r="6581" spans="66:69" x14ac:dyDescent="0.2">
      <c r="BN6581" s="192"/>
      <c r="BO6581" s="197"/>
      <c r="BP6581" s="197"/>
      <c r="BQ6581" s="197"/>
    </row>
    <row r="6582" spans="66:69" x14ac:dyDescent="0.2">
      <c r="BN6582" s="192"/>
      <c r="BO6582" s="197"/>
      <c r="BP6582" s="197"/>
      <c r="BQ6582" s="197"/>
    </row>
    <row r="6583" spans="66:69" x14ac:dyDescent="0.2">
      <c r="BN6583" s="192"/>
      <c r="BO6583" s="197"/>
      <c r="BP6583" s="197"/>
      <c r="BQ6583" s="197"/>
    </row>
    <row r="6584" spans="66:69" x14ac:dyDescent="0.2">
      <c r="BN6584" s="192"/>
      <c r="BO6584" s="197"/>
      <c r="BP6584" s="197"/>
      <c r="BQ6584" s="197"/>
    </row>
    <row r="6585" spans="66:69" x14ac:dyDescent="0.2">
      <c r="BN6585" s="192"/>
      <c r="BO6585" s="197"/>
      <c r="BP6585" s="197"/>
      <c r="BQ6585" s="197"/>
    </row>
    <row r="6586" spans="66:69" x14ac:dyDescent="0.2">
      <c r="BN6586" s="192"/>
      <c r="BO6586" s="197"/>
      <c r="BP6586" s="197"/>
      <c r="BQ6586" s="197"/>
    </row>
    <row r="6587" spans="66:69" x14ac:dyDescent="0.2">
      <c r="BN6587" s="192"/>
      <c r="BO6587" s="197"/>
      <c r="BP6587" s="197"/>
      <c r="BQ6587" s="197"/>
    </row>
    <row r="6588" spans="66:69" x14ac:dyDescent="0.2">
      <c r="BN6588" s="192"/>
      <c r="BO6588" s="197"/>
      <c r="BP6588" s="197"/>
      <c r="BQ6588" s="197"/>
    </row>
    <row r="6589" spans="66:69" x14ac:dyDescent="0.2">
      <c r="BN6589" s="192"/>
      <c r="BO6589" s="197"/>
      <c r="BP6589" s="197"/>
      <c r="BQ6589" s="197"/>
    </row>
    <row r="6590" spans="66:69" x14ac:dyDescent="0.2">
      <c r="BN6590" s="192"/>
      <c r="BO6590" s="197"/>
      <c r="BP6590" s="197"/>
      <c r="BQ6590" s="197"/>
    </row>
    <row r="6591" spans="66:69" x14ac:dyDescent="0.2">
      <c r="BN6591" s="192"/>
      <c r="BO6591" s="197"/>
      <c r="BP6591" s="197"/>
      <c r="BQ6591" s="197"/>
    </row>
    <row r="6592" spans="66:69" x14ac:dyDescent="0.2">
      <c r="BN6592" s="192"/>
      <c r="BO6592" s="197"/>
      <c r="BP6592" s="197"/>
      <c r="BQ6592" s="197"/>
    </row>
    <row r="6593" spans="66:69" x14ac:dyDescent="0.2">
      <c r="BN6593" s="192"/>
      <c r="BO6593" s="197"/>
      <c r="BP6593" s="197"/>
      <c r="BQ6593" s="197"/>
    </row>
    <row r="6594" spans="66:69" x14ac:dyDescent="0.2">
      <c r="BN6594" s="192"/>
      <c r="BO6594" s="197"/>
      <c r="BP6594" s="197"/>
      <c r="BQ6594" s="197"/>
    </row>
    <row r="6595" spans="66:69" x14ac:dyDescent="0.2">
      <c r="BN6595" s="192"/>
      <c r="BO6595" s="197"/>
      <c r="BP6595" s="197"/>
      <c r="BQ6595" s="197"/>
    </row>
    <row r="6596" spans="66:69" x14ac:dyDescent="0.2">
      <c r="BN6596" s="192"/>
      <c r="BO6596" s="197"/>
      <c r="BP6596" s="197"/>
      <c r="BQ6596" s="197"/>
    </row>
    <row r="6597" spans="66:69" x14ac:dyDescent="0.2">
      <c r="BN6597" s="192"/>
      <c r="BO6597" s="197"/>
      <c r="BP6597" s="197"/>
      <c r="BQ6597" s="197"/>
    </row>
    <row r="6598" spans="66:69" x14ac:dyDescent="0.2">
      <c r="BN6598" s="192"/>
      <c r="BO6598" s="197"/>
      <c r="BP6598" s="197"/>
      <c r="BQ6598" s="197"/>
    </row>
    <row r="6599" spans="66:69" x14ac:dyDescent="0.2">
      <c r="BN6599" s="192"/>
      <c r="BO6599" s="197"/>
      <c r="BP6599" s="197"/>
      <c r="BQ6599" s="197"/>
    </row>
    <row r="6600" spans="66:69" x14ac:dyDescent="0.2">
      <c r="BN6600" s="192"/>
      <c r="BO6600" s="197"/>
      <c r="BP6600" s="197"/>
      <c r="BQ6600" s="197"/>
    </row>
    <row r="6601" spans="66:69" x14ac:dyDescent="0.2">
      <c r="BN6601" s="192"/>
      <c r="BO6601" s="197"/>
      <c r="BP6601" s="197"/>
      <c r="BQ6601" s="197"/>
    </row>
    <row r="6602" spans="66:69" x14ac:dyDescent="0.2">
      <c r="BN6602" s="192"/>
      <c r="BO6602" s="197"/>
      <c r="BP6602" s="197"/>
      <c r="BQ6602" s="197"/>
    </row>
    <row r="6603" spans="66:69" x14ac:dyDescent="0.2">
      <c r="BN6603" s="192"/>
      <c r="BO6603" s="197"/>
      <c r="BP6603" s="197"/>
      <c r="BQ6603" s="197"/>
    </row>
    <row r="6604" spans="66:69" x14ac:dyDescent="0.2">
      <c r="BN6604" s="192"/>
      <c r="BO6604" s="197"/>
      <c r="BP6604" s="197"/>
      <c r="BQ6604" s="197"/>
    </row>
    <row r="6605" spans="66:69" x14ac:dyDescent="0.2">
      <c r="BN6605" s="192"/>
      <c r="BO6605" s="197"/>
      <c r="BP6605" s="197"/>
      <c r="BQ6605" s="197"/>
    </row>
    <row r="6606" spans="66:69" x14ac:dyDescent="0.2">
      <c r="BN6606" s="192"/>
      <c r="BO6606" s="197"/>
      <c r="BP6606" s="197"/>
      <c r="BQ6606" s="197"/>
    </row>
    <row r="6607" spans="66:69" x14ac:dyDescent="0.2">
      <c r="BN6607" s="192"/>
      <c r="BO6607" s="197"/>
      <c r="BP6607" s="197"/>
      <c r="BQ6607" s="197"/>
    </row>
    <row r="6608" spans="66:69" x14ac:dyDescent="0.2">
      <c r="BN6608" s="192"/>
      <c r="BO6608" s="197"/>
      <c r="BP6608" s="197"/>
      <c r="BQ6608" s="197"/>
    </row>
    <row r="6609" spans="66:69" x14ac:dyDescent="0.2">
      <c r="BN6609" s="192"/>
      <c r="BO6609" s="197"/>
      <c r="BP6609" s="197"/>
      <c r="BQ6609" s="197"/>
    </row>
    <row r="6610" spans="66:69" x14ac:dyDescent="0.2">
      <c r="BN6610" s="192"/>
      <c r="BO6610" s="197"/>
      <c r="BP6610" s="197"/>
      <c r="BQ6610" s="197"/>
    </row>
    <row r="6611" spans="66:69" x14ac:dyDescent="0.2">
      <c r="BN6611" s="192"/>
      <c r="BO6611" s="197"/>
      <c r="BP6611" s="197"/>
      <c r="BQ6611" s="197"/>
    </row>
    <row r="6612" spans="66:69" x14ac:dyDescent="0.2">
      <c r="BN6612" s="192"/>
      <c r="BO6612" s="197"/>
      <c r="BP6612" s="197"/>
      <c r="BQ6612" s="197"/>
    </row>
    <row r="6613" spans="66:69" x14ac:dyDescent="0.2">
      <c r="BN6613" s="192"/>
      <c r="BO6613" s="197"/>
      <c r="BP6613" s="197"/>
      <c r="BQ6613" s="197"/>
    </row>
    <row r="6614" spans="66:69" x14ac:dyDescent="0.2">
      <c r="BN6614" s="192"/>
      <c r="BO6614" s="197"/>
      <c r="BP6614" s="197"/>
      <c r="BQ6614" s="197"/>
    </row>
    <row r="6615" spans="66:69" x14ac:dyDescent="0.2">
      <c r="BN6615" s="192"/>
      <c r="BO6615" s="197"/>
      <c r="BP6615" s="197"/>
      <c r="BQ6615" s="197"/>
    </row>
    <row r="6616" spans="66:69" x14ac:dyDescent="0.2">
      <c r="BN6616" s="192"/>
      <c r="BO6616" s="197"/>
      <c r="BP6616" s="197"/>
      <c r="BQ6616" s="197"/>
    </row>
    <row r="6617" spans="66:69" x14ac:dyDescent="0.2">
      <c r="BN6617" s="192"/>
      <c r="BO6617" s="197"/>
      <c r="BP6617" s="197"/>
      <c r="BQ6617" s="197"/>
    </row>
    <row r="6618" spans="66:69" x14ac:dyDescent="0.2">
      <c r="BN6618" s="192"/>
      <c r="BO6618" s="197"/>
      <c r="BP6618" s="197"/>
      <c r="BQ6618" s="197"/>
    </row>
    <row r="6619" spans="66:69" x14ac:dyDescent="0.2">
      <c r="BN6619" s="192"/>
      <c r="BO6619" s="197"/>
      <c r="BP6619" s="197"/>
      <c r="BQ6619" s="197"/>
    </row>
    <row r="6620" spans="66:69" x14ac:dyDescent="0.2">
      <c r="BN6620" s="192"/>
      <c r="BO6620" s="197"/>
      <c r="BP6620" s="197"/>
      <c r="BQ6620" s="197"/>
    </row>
    <row r="6621" spans="66:69" x14ac:dyDescent="0.2">
      <c r="BN6621" s="192"/>
      <c r="BO6621" s="197"/>
      <c r="BP6621" s="197"/>
      <c r="BQ6621" s="197"/>
    </row>
    <row r="6622" spans="66:69" x14ac:dyDescent="0.2">
      <c r="BN6622" s="192"/>
      <c r="BO6622" s="197"/>
      <c r="BP6622" s="197"/>
      <c r="BQ6622" s="197"/>
    </row>
    <row r="6623" spans="66:69" x14ac:dyDescent="0.2">
      <c r="BN6623" s="192"/>
      <c r="BO6623" s="197"/>
      <c r="BP6623" s="197"/>
      <c r="BQ6623" s="197"/>
    </row>
    <row r="6624" spans="66:69" x14ac:dyDescent="0.2">
      <c r="BN6624" s="192"/>
      <c r="BO6624" s="197"/>
      <c r="BP6624" s="197"/>
      <c r="BQ6624" s="197"/>
    </row>
    <row r="6625" spans="66:69" x14ac:dyDescent="0.2">
      <c r="BN6625" s="192"/>
      <c r="BO6625" s="197"/>
      <c r="BP6625" s="197"/>
      <c r="BQ6625" s="197"/>
    </row>
    <row r="6626" spans="66:69" x14ac:dyDescent="0.2">
      <c r="BN6626" s="192"/>
      <c r="BO6626" s="197"/>
      <c r="BP6626" s="197"/>
      <c r="BQ6626" s="197"/>
    </row>
    <row r="6627" spans="66:69" x14ac:dyDescent="0.2">
      <c r="BN6627" s="192"/>
      <c r="BO6627" s="197"/>
      <c r="BP6627" s="197"/>
      <c r="BQ6627" s="197"/>
    </row>
    <row r="6628" spans="66:69" x14ac:dyDescent="0.2">
      <c r="BN6628" s="192"/>
      <c r="BO6628" s="197"/>
      <c r="BP6628" s="197"/>
      <c r="BQ6628" s="197"/>
    </row>
    <row r="6629" spans="66:69" x14ac:dyDescent="0.2">
      <c r="BN6629" s="192"/>
      <c r="BO6629" s="197"/>
      <c r="BP6629" s="197"/>
      <c r="BQ6629" s="197"/>
    </row>
    <row r="6630" spans="66:69" x14ac:dyDescent="0.2">
      <c r="BN6630" s="192"/>
      <c r="BO6630" s="197"/>
      <c r="BP6630" s="197"/>
      <c r="BQ6630" s="197"/>
    </row>
    <row r="6631" spans="66:69" x14ac:dyDescent="0.2">
      <c r="BN6631" s="192"/>
      <c r="BO6631" s="197"/>
      <c r="BP6631" s="197"/>
      <c r="BQ6631" s="197"/>
    </row>
    <row r="6632" spans="66:69" x14ac:dyDescent="0.2">
      <c r="BN6632" s="192"/>
      <c r="BO6632" s="197"/>
      <c r="BP6632" s="197"/>
      <c r="BQ6632" s="197"/>
    </row>
    <row r="6633" spans="66:69" x14ac:dyDescent="0.2">
      <c r="BN6633" s="192"/>
      <c r="BO6633" s="197"/>
      <c r="BP6633" s="197"/>
      <c r="BQ6633" s="197"/>
    </row>
    <row r="6634" spans="66:69" x14ac:dyDescent="0.2">
      <c r="BN6634" s="192"/>
      <c r="BO6634" s="197"/>
      <c r="BP6634" s="197"/>
      <c r="BQ6634" s="197"/>
    </row>
    <row r="6635" spans="66:69" x14ac:dyDescent="0.2">
      <c r="BN6635" s="192"/>
      <c r="BO6635" s="197"/>
      <c r="BP6635" s="197"/>
      <c r="BQ6635" s="197"/>
    </row>
    <row r="6636" spans="66:69" x14ac:dyDescent="0.2">
      <c r="BN6636" s="192"/>
      <c r="BO6636" s="197"/>
      <c r="BP6636" s="197"/>
      <c r="BQ6636" s="197"/>
    </row>
    <row r="6637" spans="66:69" x14ac:dyDescent="0.2">
      <c r="BN6637" s="192"/>
      <c r="BO6637" s="197"/>
      <c r="BP6637" s="197"/>
      <c r="BQ6637" s="197"/>
    </row>
    <row r="6638" spans="66:69" x14ac:dyDescent="0.2">
      <c r="BN6638" s="192"/>
      <c r="BO6638" s="197"/>
      <c r="BP6638" s="197"/>
      <c r="BQ6638" s="197"/>
    </row>
    <row r="6639" spans="66:69" x14ac:dyDescent="0.2">
      <c r="BN6639" s="192"/>
      <c r="BO6639" s="197"/>
      <c r="BP6639" s="197"/>
      <c r="BQ6639" s="197"/>
    </row>
    <row r="6640" spans="66:69" x14ac:dyDescent="0.2">
      <c r="BN6640" s="192"/>
      <c r="BO6640" s="197"/>
      <c r="BP6640" s="197"/>
      <c r="BQ6640" s="197"/>
    </row>
    <row r="6641" spans="66:69" x14ac:dyDescent="0.2">
      <c r="BN6641" s="192"/>
      <c r="BO6641" s="197"/>
      <c r="BP6641" s="197"/>
      <c r="BQ6641" s="197"/>
    </row>
    <row r="6642" spans="66:69" x14ac:dyDescent="0.2">
      <c r="BN6642" s="192"/>
      <c r="BO6642" s="197"/>
      <c r="BP6642" s="197"/>
      <c r="BQ6642" s="197"/>
    </row>
    <row r="6643" spans="66:69" x14ac:dyDescent="0.2">
      <c r="BN6643" s="192"/>
      <c r="BO6643" s="197"/>
      <c r="BP6643" s="197"/>
      <c r="BQ6643" s="197"/>
    </row>
    <row r="6644" spans="66:69" x14ac:dyDescent="0.2">
      <c r="BN6644" s="192"/>
      <c r="BO6644" s="197"/>
      <c r="BP6644" s="197"/>
      <c r="BQ6644" s="197"/>
    </row>
    <row r="6645" spans="66:69" x14ac:dyDescent="0.2">
      <c r="BN6645" s="192"/>
      <c r="BO6645" s="197"/>
      <c r="BP6645" s="197"/>
      <c r="BQ6645" s="197"/>
    </row>
    <row r="6646" spans="66:69" x14ac:dyDescent="0.2">
      <c r="BN6646" s="192"/>
      <c r="BO6646" s="197"/>
      <c r="BP6646" s="197"/>
      <c r="BQ6646" s="197"/>
    </row>
    <row r="6647" spans="66:69" x14ac:dyDescent="0.2">
      <c r="BN6647" s="192"/>
      <c r="BO6647" s="197"/>
      <c r="BP6647" s="197"/>
      <c r="BQ6647" s="197"/>
    </row>
    <row r="6648" spans="66:69" x14ac:dyDescent="0.2">
      <c r="BN6648" s="192"/>
      <c r="BO6648" s="197"/>
      <c r="BP6648" s="197"/>
      <c r="BQ6648" s="197"/>
    </row>
    <row r="6649" spans="66:69" x14ac:dyDescent="0.2">
      <c r="BN6649" s="192"/>
      <c r="BO6649" s="197"/>
      <c r="BP6649" s="197"/>
      <c r="BQ6649" s="197"/>
    </row>
    <row r="6650" spans="66:69" x14ac:dyDescent="0.2">
      <c r="BN6650" s="192"/>
      <c r="BO6650" s="197"/>
      <c r="BP6650" s="197"/>
      <c r="BQ6650" s="197"/>
    </row>
    <row r="6651" spans="66:69" x14ac:dyDescent="0.2">
      <c r="BN6651" s="192"/>
      <c r="BO6651" s="197"/>
      <c r="BP6651" s="197"/>
      <c r="BQ6651" s="197"/>
    </row>
    <row r="6652" spans="66:69" x14ac:dyDescent="0.2">
      <c r="BN6652" s="192"/>
      <c r="BO6652" s="197"/>
      <c r="BP6652" s="197"/>
      <c r="BQ6652" s="197"/>
    </row>
    <row r="6653" spans="66:69" x14ac:dyDescent="0.2">
      <c r="BN6653" s="192"/>
      <c r="BO6653" s="197"/>
      <c r="BP6653" s="197"/>
      <c r="BQ6653" s="197"/>
    </row>
    <row r="6654" spans="66:69" x14ac:dyDescent="0.2">
      <c r="BN6654" s="192"/>
      <c r="BO6654" s="197"/>
      <c r="BP6654" s="197"/>
      <c r="BQ6654" s="197"/>
    </row>
    <row r="6655" spans="66:69" x14ac:dyDescent="0.2">
      <c r="BN6655" s="192"/>
      <c r="BO6655" s="197"/>
      <c r="BP6655" s="197"/>
      <c r="BQ6655" s="197"/>
    </row>
    <row r="6656" spans="66:69" x14ac:dyDescent="0.2">
      <c r="BN6656" s="192"/>
      <c r="BO6656" s="197"/>
      <c r="BP6656" s="197"/>
      <c r="BQ6656" s="197"/>
    </row>
    <row r="6657" spans="66:69" x14ac:dyDescent="0.2">
      <c r="BN6657" s="192"/>
      <c r="BO6657" s="197"/>
      <c r="BP6657" s="197"/>
      <c r="BQ6657" s="197"/>
    </row>
    <row r="6658" spans="66:69" x14ac:dyDescent="0.2">
      <c r="BN6658" s="192"/>
      <c r="BO6658" s="197"/>
      <c r="BP6658" s="197"/>
      <c r="BQ6658" s="197"/>
    </row>
    <row r="6659" spans="66:69" x14ac:dyDescent="0.2">
      <c r="BN6659" s="192"/>
      <c r="BO6659" s="197"/>
      <c r="BP6659" s="197"/>
      <c r="BQ6659" s="197"/>
    </row>
    <row r="6660" spans="66:69" x14ac:dyDescent="0.2">
      <c r="BN6660" s="192"/>
      <c r="BO6660" s="197"/>
      <c r="BP6660" s="197"/>
      <c r="BQ6660" s="197"/>
    </row>
    <row r="6661" spans="66:69" x14ac:dyDescent="0.2">
      <c r="BN6661" s="192"/>
      <c r="BO6661" s="197"/>
      <c r="BP6661" s="197"/>
      <c r="BQ6661" s="197"/>
    </row>
    <row r="6662" spans="66:69" x14ac:dyDescent="0.2">
      <c r="BN6662" s="192"/>
      <c r="BO6662" s="197"/>
      <c r="BP6662" s="197"/>
      <c r="BQ6662" s="197"/>
    </row>
    <row r="6663" spans="66:69" x14ac:dyDescent="0.2">
      <c r="BN6663" s="192"/>
      <c r="BO6663" s="197"/>
      <c r="BP6663" s="197"/>
      <c r="BQ6663" s="197"/>
    </row>
    <row r="6664" spans="66:69" x14ac:dyDescent="0.2">
      <c r="BN6664" s="192"/>
      <c r="BO6664" s="197"/>
      <c r="BP6664" s="197"/>
      <c r="BQ6664" s="197"/>
    </row>
    <row r="6665" spans="66:69" x14ac:dyDescent="0.2">
      <c r="BN6665" s="192"/>
      <c r="BO6665" s="197"/>
      <c r="BP6665" s="197"/>
      <c r="BQ6665" s="197"/>
    </row>
    <row r="6666" spans="66:69" x14ac:dyDescent="0.2">
      <c r="BN6666" s="192"/>
      <c r="BO6666" s="197"/>
      <c r="BP6666" s="197"/>
      <c r="BQ6666" s="197"/>
    </row>
    <row r="6667" spans="66:69" x14ac:dyDescent="0.2">
      <c r="BN6667" s="192"/>
      <c r="BO6667" s="197"/>
      <c r="BP6667" s="197"/>
      <c r="BQ6667" s="197"/>
    </row>
    <row r="6668" spans="66:69" x14ac:dyDescent="0.2">
      <c r="BN6668" s="192"/>
      <c r="BO6668" s="197"/>
      <c r="BP6668" s="197"/>
      <c r="BQ6668" s="197"/>
    </row>
    <row r="6669" spans="66:69" x14ac:dyDescent="0.2">
      <c r="BN6669" s="192"/>
      <c r="BO6669" s="197"/>
      <c r="BP6669" s="197"/>
      <c r="BQ6669" s="197"/>
    </row>
    <row r="6670" spans="66:69" x14ac:dyDescent="0.2">
      <c r="BN6670" s="192"/>
      <c r="BO6670" s="197"/>
      <c r="BP6670" s="197"/>
      <c r="BQ6670" s="197"/>
    </row>
    <row r="6671" spans="66:69" x14ac:dyDescent="0.2">
      <c r="BN6671" s="192"/>
      <c r="BO6671" s="197"/>
      <c r="BP6671" s="197"/>
      <c r="BQ6671" s="197"/>
    </row>
    <row r="6672" spans="66:69" x14ac:dyDescent="0.2">
      <c r="BN6672" s="192"/>
      <c r="BO6672" s="197"/>
      <c r="BP6672" s="197"/>
      <c r="BQ6672" s="197"/>
    </row>
    <row r="6673" spans="66:69" x14ac:dyDescent="0.2">
      <c r="BN6673" s="192"/>
      <c r="BO6673" s="197"/>
      <c r="BP6673" s="197"/>
      <c r="BQ6673" s="197"/>
    </row>
    <row r="6674" spans="66:69" x14ac:dyDescent="0.2">
      <c r="BN6674" s="192"/>
      <c r="BO6674" s="197"/>
      <c r="BP6674" s="197"/>
      <c r="BQ6674" s="197"/>
    </row>
    <row r="6675" spans="66:69" x14ac:dyDescent="0.2">
      <c r="BN6675" s="192"/>
      <c r="BO6675" s="197"/>
      <c r="BP6675" s="197"/>
      <c r="BQ6675" s="197"/>
    </row>
    <row r="6676" spans="66:69" x14ac:dyDescent="0.2">
      <c r="BN6676" s="192"/>
      <c r="BO6676" s="197"/>
      <c r="BP6676" s="197"/>
      <c r="BQ6676" s="197"/>
    </row>
    <row r="6677" spans="66:69" x14ac:dyDescent="0.2">
      <c r="BN6677" s="192"/>
      <c r="BO6677" s="197"/>
      <c r="BP6677" s="197"/>
      <c r="BQ6677" s="197"/>
    </row>
    <row r="6678" spans="66:69" x14ac:dyDescent="0.2">
      <c r="BN6678" s="192"/>
      <c r="BO6678" s="197"/>
      <c r="BP6678" s="197"/>
      <c r="BQ6678" s="197"/>
    </row>
    <row r="6679" spans="66:69" x14ac:dyDescent="0.2">
      <c r="BN6679" s="192"/>
      <c r="BO6679" s="197"/>
      <c r="BP6679" s="197"/>
      <c r="BQ6679" s="197"/>
    </row>
    <row r="6680" spans="66:69" x14ac:dyDescent="0.2">
      <c r="BN6680" s="192"/>
      <c r="BO6680" s="197"/>
      <c r="BP6680" s="197"/>
      <c r="BQ6680" s="197"/>
    </row>
    <row r="6681" spans="66:69" x14ac:dyDescent="0.2">
      <c r="BN6681" s="192"/>
      <c r="BO6681" s="197"/>
      <c r="BP6681" s="197"/>
      <c r="BQ6681" s="197"/>
    </row>
    <row r="6682" spans="66:69" x14ac:dyDescent="0.2">
      <c r="BN6682" s="192"/>
      <c r="BO6682" s="197"/>
      <c r="BP6682" s="197"/>
      <c r="BQ6682" s="197"/>
    </row>
    <row r="6683" spans="66:69" x14ac:dyDescent="0.2">
      <c r="BN6683" s="192"/>
      <c r="BO6683" s="197"/>
      <c r="BP6683" s="197"/>
      <c r="BQ6683" s="197"/>
    </row>
    <row r="6684" spans="66:69" x14ac:dyDescent="0.2">
      <c r="BN6684" s="192"/>
      <c r="BO6684" s="197"/>
      <c r="BP6684" s="197"/>
      <c r="BQ6684" s="197"/>
    </row>
    <row r="6685" spans="66:69" x14ac:dyDescent="0.2">
      <c r="BN6685" s="192"/>
      <c r="BO6685" s="197"/>
      <c r="BP6685" s="197"/>
      <c r="BQ6685" s="197"/>
    </row>
    <row r="6686" spans="66:69" x14ac:dyDescent="0.2">
      <c r="BN6686" s="192"/>
      <c r="BO6686" s="197"/>
      <c r="BP6686" s="197"/>
      <c r="BQ6686" s="197"/>
    </row>
    <row r="6687" spans="66:69" x14ac:dyDescent="0.2">
      <c r="BN6687" s="192"/>
      <c r="BO6687" s="197"/>
      <c r="BP6687" s="197"/>
      <c r="BQ6687" s="197"/>
    </row>
    <row r="6688" spans="66:69" x14ac:dyDescent="0.2">
      <c r="BN6688" s="192"/>
      <c r="BO6688" s="197"/>
      <c r="BP6688" s="197"/>
      <c r="BQ6688" s="197"/>
    </row>
    <row r="6689" spans="66:69" x14ac:dyDescent="0.2">
      <c r="BN6689" s="192"/>
      <c r="BO6689" s="197"/>
      <c r="BP6689" s="197"/>
      <c r="BQ6689" s="197"/>
    </row>
    <row r="6690" spans="66:69" x14ac:dyDescent="0.2">
      <c r="BN6690" s="192"/>
      <c r="BO6690" s="197"/>
      <c r="BP6690" s="197"/>
      <c r="BQ6690" s="197"/>
    </row>
    <row r="6691" spans="66:69" x14ac:dyDescent="0.2">
      <c r="BN6691" s="192"/>
      <c r="BO6691" s="197"/>
      <c r="BP6691" s="197"/>
      <c r="BQ6691" s="197"/>
    </row>
    <row r="6692" spans="66:69" x14ac:dyDescent="0.2">
      <c r="BN6692" s="192"/>
      <c r="BO6692" s="197"/>
      <c r="BP6692" s="197"/>
      <c r="BQ6692" s="197"/>
    </row>
    <row r="6693" spans="66:69" x14ac:dyDescent="0.2">
      <c r="BN6693" s="192"/>
      <c r="BO6693" s="197"/>
      <c r="BP6693" s="197"/>
      <c r="BQ6693" s="197"/>
    </row>
    <row r="6694" spans="66:69" x14ac:dyDescent="0.2">
      <c r="BN6694" s="192"/>
      <c r="BO6694" s="197"/>
      <c r="BP6694" s="197"/>
      <c r="BQ6694" s="197"/>
    </row>
    <row r="6695" spans="66:69" x14ac:dyDescent="0.2">
      <c r="BN6695" s="192"/>
      <c r="BO6695" s="197"/>
      <c r="BP6695" s="197"/>
      <c r="BQ6695" s="197"/>
    </row>
    <row r="6696" spans="66:69" x14ac:dyDescent="0.2">
      <c r="BN6696" s="192"/>
      <c r="BO6696" s="197"/>
      <c r="BP6696" s="197"/>
      <c r="BQ6696" s="197"/>
    </row>
    <row r="6697" spans="66:69" x14ac:dyDescent="0.2">
      <c r="BN6697" s="192"/>
      <c r="BO6697" s="197"/>
      <c r="BP6697" s="197"/>
      <c r="BQ6697" s="197"/>
    </row>
    <row r="6698" spans="66:69" x14ac:dyDescent="0.2">
      <c r="BN6698" s="192"/>
      <c r="BO6698" s="197"/>
      <c r="BP6698" s="197"/>
      <c r="BQ6698" s="197"/>
    </row>
    <row r="6699" spans="66:69" x14ac:dyDescent="0.2">
      <c r="BN6699" s="192"/>
      <c r="BO6699" s="197"/>
      <c r="BP6699" s="197"/>
      <c r="BQ6699" s="197"/>
    </row>
    <row r="6700" spans="66:69" x14ac:dyDescent="0.2">
      <c r="BN6700" s="192"/>
      <c r="BO6700" s="197"/>
      <c r="BP6700" s="197"/>
      <c r="BQ6700" s="197"/>
    </row>
    <row r="6701" spans="66:69" x14ac:dyDescent="0.2">
      <c r="BN6701" s="192"/>
      <c r="BO6701" s="197"/>
      <c r="BP6701" s="197"/>
      <c r="BQ6701" s="197"/>
    </row>
    <row r="6702" spans="66:69" x14ac:dyDescent="0.2">
      <c r="BN6702" s="192"/>
      <c r="BO6702" s="197"/>
      <c r="BP6702" s="197"/>
      <c r="BQ6702" s="197"/>
    </row>
    <row r="6703" spans="66:69" x14ac:dyDescent="0.2">
      <c r="BN6703" s="192"/>
      <c r="BO6703" s="197"/>
      <c r="BP6703" s="197"/>
      <c r="BQ6703" s="197"/>
    </row>
    <row r="6704" spans="66:69" x14ac:dyDescent="0.2">
      <c r="BN6704" s="192"/>
      <c r="BO6704" s="197"/>
      <c r="BP6704" s="197"/>
      <c r="BQ6704" s="197"/>
    </row>
    <row r="6705" spans="66:69" x14ac:dyDescent="0.2">
      <c r="BN6705" s="192"/>
      <c r="BO6705" s="197"/>
      <c r="BP6705" s="197"/>
      <c r="BQ6705" s="197"/>
    </row>
    <row r="6706" spans="66:69" x14ac:dyDescent="0.2">
      <c r="BN6706" s="192"/>
      <c r="BO6706" s="197"/>
      <c r="BP6706" s="197"/>
      <c r="BQ6706" s="197"/>
    </row>
    <row r="6707" spans="66:69" x14ac:dyDescent="0.2">
      <c r="BN6707" s="192"/>
      <c r="BO6707" s="197"/>
      <c r="BP6707" s="197"/>
      <c r="BQ6707" s="197"/>
    </row>
    <row r="6708" spans="66:69" x14ac:dyDescent="0.2">
      <c r="BN6708" s="192"/>
      <c r="BO6708" s="197"/>
      <c r="BP6708" s="197"/>
      <c r="BQ6708" s="197"/>
    </row>
    <row r="6709" spans="66:69" x14ac:dyDescent="0.2">
      <c r="BN6709" s="192"/>
      <c r="BO6709" s="197"/>
      <c r="BP6709" s="197"/>
      <c r="BQ6709" s="197"/>
    </row>
    <row r="6710" spans="66:69" x14ac:dyDescent="0.2">
      <c r="BN6710" s="192"/>
      <c r="BO6710" s="197"/>
      <c r="BP6710" s="197"/>
      <c r="BQ6710" s="197"/>
    </row>
    <row r="6711" spans="66:69" x14ac:dyDescent="0.2">
      <c r="BN6711" s="192"/>
      <c r="BO6711" s="197"/>
      <c r="BP6711" s="197"/>
      <c r="BQ6711" s="197"/>
    </row>
    <row r="6712" spans="66:69" x14ac:dyDescent="0.2">
      <c r="BN6712" s="192"/>
      <c r="BO6712" s="197"/>
      <c r="BP6712" s="197"/>
      <c r="BQ6712" s="197"/>
    </row>
    <row r="6713" spans="66:69" x14ac:dyDescent="0.2">
      <c r="BN6713" s="192"/>
      <c r="BO6713" s="197"/>
      <c r="BP6713" s="197"/>
      <c r="BQ6713" s="197"/>
    </row>
    <row r="6714" spans="66:69" x14ac:dyDescent="0.2">
      <c r="BN6714" s="192"/>
      <c r="BO6714" s="197"/>
      <c r="BP6714" s="197"/>
      <c r="BQ6714" s="197"/>
    </row>
    <row r="6715" spans="66:69" x14ac:dyDescent="0.2">
      <c r="BN6715" s="192"/>
      <c r="BO6715" s="197"/>
      <c r="BP6715" s="197"/>
      <c r="BQ6715" s="197"/>
    </row>
    <row r="6716" spans="66:69" x14ac:dyDescent="0.2">
      <c r="BN6716" s="192"/>
      <c r="BO6716" s="197"/>
      <c r="BP6716" s="197"/>
      <c r="BQ6716" s="197"/>
    </row>
    <row r="6717" spans="66:69" x14ac:dyDescent="0.2">
      <c r="BN6717" s="192"/>
      <c r="BO6717" s="197"/>
      <c r="BP6717" s="197"/>
      <c r="BQ6717" s="197"/>
    </row>
    <row r="6718" spans="66:69" x14ac:dyDescent="0.2">
      <c r="BN6718" s="192"/>
      <c r="BO6718" s="197"/>
      <c r="BP6718" s="197"/>
      <c r="BQ6718" s="197"/>
    </row>
    <row r="6719" spans="66:69" x14ac:dyDescent="0.2">
      <c r="BN6719" s="192"/>
      <c r="BO6719" s="197"/>
      <c r="BP6719" s="197"/>
      <c r="BQ6719" s="197"/>
    </row>
    <row r="6720" spans="66:69" x14ac:dyDescent="0.2">
      <c r="BN6720" s="192"/>
      <c r="BO6720" s="197"/>
      <c r="BP6720" s="197"/>
      <c r="BQ6720" s="197"/>
    </row>
    <row r="6721" spans="66:69" x14ac:dyDescent="0.2">
      <c r="BN6721" s="192"/>
      <c r="BO6721" s="197"/>
      <c r="BP6721" s="197"/>
      <c r="BQ6721" s="197"/>
    </row>
    <row r="6722" spans="66:69" x14ac:dyDescent="0.2">
      <c r="BN6722" s="192"/>
      <c r="BO6722" s="197"/>
      <c r="BP6722" s="197"/>
      <c r="BQ6722" s="197"/>
    </row>
    <row r="6723" spans="66:69" x14ac:dyDescent="0.2">
      <c r="BN6723" s="192"/>
      <c r="BO6723" s="197"/>
      <c r="BP6723" s="197"/>
      <c r="BQ6723" s="197"/>
    </row>
    <row r="6724" spans="66:69" x14ac:dyDescent="0.2">
      <c r="BN6724" s="192"/>
      <c r="BO6724" s="197"/>
      <c r="BP6724" s="197"/>
      <c r="BQ6724" s="197"/>
    </row>
    <row r="6725" spans="66:69" x14ac:dyDescent="0.2">
      <c r="BN6725" s="192"/>
      <c r="BO6725" s="197"/>
      <c r="BP6725" s="197"/>
      <c r="BQ6725" s="197"/>
    </row>
    <row r="6726" spans="66:69" x14ac:dyDescent="0.2">
      <c r="BN6726" s="192"/>
      <c r="BO6726" s="197"/>
      <c r="BP6726" s="197"/>
      <c r="BQ6726" s="197"/>
    </row>
    <row r="6727" spans="66:69" x14ac:dyDescent="0.2">
      <c r="BN6727" s="192"/>
      <c r="BO6727" s="197"/>
      <c r="BP6727" s="197"/>
      <c r="BQ6727" s="197"/>
    </row>
    <row r="6728" spans="66:69" x14ac:dyDescent="0.2">
      <c r="BN6728" s="192"/>
      <c r="BO6728" s="197"/>
      <c r="BP6728" s="197"/>
      <c r="BQ6728" s="197"/>
    </row>
    <row r="6729" spans="66:69" x14ac:dyDescent="0.2">
      <c r="BN6729" s="192"/>
      <c r="BO6729" s="197"/>
      <c r="BP6729" s="197"/>
      <c r="BQ6729" s="197"/>
    </row>
    <row r="6730" spans="66:69" x14ac:dyDescent="0.2">
      <c r="BN6730" s="192"/>
      <c r="BO6730" s="197"/>
      <c r="BP6730" s="197"/>
      <c r="BQ6730" s="197"/>
    </row>
    <row r="6731" spans="66:69" x14ac:dyDescent="0.2">
      <c r="BN6731" s="192"/>
      <c r="BO6731" s="197"/>
      <c r="BP6731" s="197"/>
      <c r="BQ6731" s="197"/>
    </row>
    <row r="6732" spans="66:69" x14ac:dyDescent="0.2">
      <c r="BN6732" s="192"/>
      <c r="BO6732" s="197"/>
      <c r="BP6732" s="197"/>
      <c r="BQ6732" s="197"/>
    </row>
    <row r="6733" spans="66:69" x14ac:dyDescent="0.2">
      <c r="BN6733" s="192"/>
      <c r="BO6733" s="197"/>
      <c r="BP6733" s="197"/>
      <c r="BQ6733" s="197"/>
    </row>
    <row r="6734" spans="66:69" x14ac:dyDescent="0.2">
      <c r="BN6734" s="192"/>
      <c r="BO6734" s="197"/>
      <c r="BP6734" s="197"/>
      <c r="BQ6734" s="197"/>
    </row>
    <row r="6735" spans="66:69" x14ac:dyDescent="0.2">
      <c r="BN6735" s="192"/>
      <c r="BO6735" s="197"/>
      <c r="BP6735" s="197"/>
      <c r="BQ6735" s="197"/>
    </row>
    <row r="6736" spans="66:69" x14ac:dyDescent="0.2">
      <c r="BN6736" s="192"/>
      <c r="BO6736" s="197"/>
      <c r="BP6736" s="197"/>
      <c r="BQ6736" s="197"/>
    </row>
    <row r="6737" spans="66:69" x14ac:dyDescent="0.2">
      <c r="BN6737" s="192"/>
      <c r="BO6737" s="197"/>
      <c r="BP6737" s="197"/>
      <c r="BQ6737" s="197"/>
    </row>
    <row r="6738" spans="66:69" x14ac:dyDescent="0.2">
      <c r="BN6738" s="192"/>
      <c r="BO6738" s="197"/>
      <c r="BP6738" s="197"/>
      <c r="BQ6738" s="197"/>
    </row>
    <row r="6739" spans="66:69" x14ac:dyDescent="0.2">
      <c r="BN6739" s="192"/>
      <c r="BO6739" s="197"/>
      <c r="BP6739" s="197"/>
      <c r="BQ6739" s="197"/>
    </row>
    <row r="6740" spans="66:69" x14ac:dyDescent="0.2">
      <c r="BN6740" s="192"/>
      <c r="BO6740" s="197"/>
      <c r="BP6740" s="197"/>
      <c r="BQ6740" s="197"/>
    </row>
    <row r="6741" spans="66:69" x14ac:dyDescent="0.2">
      <c r="BN6741" s="192"/>
      <c r="BO6741" s="197"/>
      <c r="BP6741" s="197"/>
      <c r="BQ6741" s="197"/>
    </row>
    <row r="6742" spans="66:69" x14ac:dyDescent="0.2">
      <c r="BN6742" s="192"/>
      <c r="BO6742" s="197"/>
      <c r="BP6742" s="197"/>
      <c r="BQ6742" s="197"/>
    </row>
    <row r="6743" spans="66:69" x14ac:dyDescent="0.2">
      <c r="BN6743" s="192"/>
      <c r="BO6743" s="197"/>
      <c r="BP6743" s="197"/>
      <c r="BQ6743" s="197"/>
    </row>
    <row r="6744" spans="66:69" x14ac:dyDescent="0.2">
      <c r="BN6744" s="192"/>
      <c r="BO6744" s="197"/>
      <c r="BP6744" s="197"/>
      <c r="BQ6744" s="197"/>
    </row>
    <row r="6745" spans="66:69" x14ac:dyDescent="0.2">
      <c r="BN6745" s="192"/>
      <c r="BO6745" s="197"/>
      <c r="BP6745" s="197"/>
      <c r="BQ6745" s="197"/>
    </row>
    <row r="6746" spans="66:69" x14ac:dyDescent="0.2">
      <c r="BN6746" s="192"/>
      <c r="BO6746" s="197"/>
      <c r="BP6746" s="197"/>
      <c r="BQ6746" s="197"/>
    </row>
    <row r="6747" spans="66:69" x14ac:dyDescent="0.2">
      <c r="BN6747" s="192"/>
      <c r="BO6747" s="197"/>
      <c r="BP6747" s="197"/>
      <c r="BQ6747" s="197"/>
    </row>
    <row r="6748" spans="66:69" x14ac:dyDescent="0.2">
      <c r="BN6748" s="192"/>
      <c r="BO6748" s="197"/>
      <c r="BP6748" s="197"/>
      <c r="BQ6748" s="197"/>
    </row>
    <row r="6749" spans="66:69" x14ac:dyDescent="0.2">
      <c r="BN6749" s="192"/>
      <c r="BO6749" s="197"/>
      <c r="BP6749" s="197"/>
      <c r="BQ6749" s="197"/>
    </row>
    <row r="6750" spans="66:69" x14ac:dyDescent="0.2">
      <c r="BN6750" s="192"/>
      <c r="BO6750" s="197"/>
      <c r="BP6750" s="197"/>
      <c r="BQ6750" s="197"/>
    </row>
    <row r="6751" spans="66:69" x14ac:dyDescent="0.2">
      <c r="BN6751" s="192"/>
      <c r="BO6751" s="197"/>
      <c r="BP6751" s="197"/>
      <c r="BQ6751" s="197"/>
    </row>
    <row r="6752" spans="66:69" x14ac:dyDescent="0.2">
      <c r="BN6752" s="192"/>
      <c r="BO6752" s="197"/>
      <c r="BP6752" s="197"/>
      <c r="BQ6752" s="197"/>
    </row>
    <row r="6753" spans="66:69" x14ac:dyDescent="0.2">
      <c r="BN6753" s="192"/>
      <c r="BO6753" s="197"/>
      <c r="BP6753" s="197"/>
      <c r="BQ6753" s="197"/>
    </row>
    <row r="6754" spans="66:69" x14ac:dyDescent="0.2">
      <c r="BN6754" s="192"/>
      <c r="BO6754" s="197"/>
      <c r="BP6754" s="197"/>
      <c r="BQ6754" s="197"/>
    </row>
    <row r="6755" spans="66:69" x14ac:dyDescent="0.2">
      <c r="BN6755" s="192"/>
      <c r="BO6755" s="197"/>
      <c r="BP6755" s="197"/>
      <c r="BQ6755" s="197"/>
    </row>
    <row r="6756" spans="66:69" x14ac:dyDescent="0.2">
      <c r="BN6756" s="192"/>
      <c r="BO6756" s="197"/>
      <c r="BP6756" s="197"/>
      <c r="BQ6756" s="197"/>
    </row>
    <row r="6757" spans="66:69" x14ac:dyDescent="0.2">
      <c r="BN6757" s="192"/>
      <c r="BO6757" s="197"/>
      <c r="BP6757" s="197"/>
      <c r="BQ6757" s="197"/>
    </row>
    <row r="6758" spans="66:69" x14ac:dyDescent="0.2">
      <c r="BN6758" s="192"/>
      <c r="BO6758" s="197"/>
      <c r="BP6758" s="197"/>
      <c r="BQ6758" s="197"/>
    </row>
    <row r="6759" spans="66:69" x14ac:dyDescent="0.2">
      <c r="BN6759" s="192"/>
      <c r="BO6759" s="197"/>
      <c r="BP6759" s="197"/>
      <c r="BQ6759" s="197"/>
    </row>
    <row r="6760" spans="66:69" x14ac:dyDescent="0.2">
      <c r="BN6760" s="192"/>
      <c r="BO6760" s="197"/>
      <c r="BP6760" s="197"/>
      <c r="BQ6760" s="197"/>
    </row>
    <row r="6761" spans="66:69" x14ac:dyDescent="0.2">
      <c r="BN6761" s="192"/>
      <c r="BO6761" s="197"/>
      <c r="BP6761" s="197"/>
      <c r="BQ6761" s="197"/>
    </row>
    <row r="6762" spans="66:69" x14ac:dyDescent="0.2">
      <c r="BN6762" s="192"/>
      <c r="BO6762" s="197"/>
      <c r="BP6762" s="197"/>
      <c r="BQ6762" s="197"/>
    </row>
    <row r="6763" spans="66:69" x14ac:dyDescent="0.2">
      <c r="BN6763" s="192"/>
      <c r="BO6763" s="197"/>
      <c r="BP6763" s="197"/>
      <c r="BQ6763" s="197"/>
    </row>
    <row r="6764" spans="66:69" x14ac:dyDescent="0.2">
      <c r="BN6764" s="192"/>
      <c r="BO6764" s="197"/>
      <c r="BP6764" s="197"/>
      <c r="BQ6764" s="197"/>
    </row>
    <row r="6765" spans="66:69" x14ac:dyDescent="0.2">
      <c r="BN6765" s="192"/>
      <c r="BO6765" s="197"/>
      <c r="BP6765" s="197"/>
      <c r="BQ6765" s="197"/>
    </row>
    <row r="6766" spans="66:69" x14ac:dyDescent="0.2">
      <c r="BN6766" s="192"/>
      <c r="BO6766" s="197"/>
      <c r="BP6766" s="197"/>
      <c r="BQ6766" s="197"/>
    </row>
    <row r="6767" spans="66:69" x14ac:dyDescent="0.2">
      <c r="BN6767" s="192"/>
      <c r="BO6767" s="197"/>
      <c r="BP6767" s="197"/>
      <c r="BQ6767" s="197"/>
    </row>
    <row r="6768" spans="66:69" x14ac:dyDescent="0.2">
      <c r="BN6768" s="192"/>
      <c r="BO6768" s="197"/>
      <c r="BP6768" s="197"/>
      <c r="BQ6768" s="197"/>
    </row>
    <row r="6769" spans="66:69" x14ac:dyDescent="0.2">
      <c r="BN6769" s="192"/>
      <c r="BO6769" s="197"/>
      <c r="BP6769" s="197"/>
      <c r="BQ6769" s="197"/>
    </row>
    <row r="6770" spans="66:69" x14ac:dyDescent="0.2">
      <c r="BN6770" s="192"/>
      <c r="BO6770" s="197"/>
      <c r="BP6770" s="197"/>
      <c r="BQ6770" s="197"/>
    </row>
    <row r="6771" spans="66:69" x14ac:dyDescent="0.2">
      <c r="BN6771" s="192"/>
      <c r="BO6771" s="197"/>
      <c r="BP6771" s="197"/>
      <c r="BQ6771" s="197"/>
    </row>
    <row r="6772" spans="66:69" x14ac:dyDescent="0.2">
      <c r="BN6772" s="192"/>
      <c r="BO6772" s="197"/>
      <c r="BP6772" s="197"/>
      <c r="BQ6772" s="197"/>
    </row>
    <row r="6773" spans="66:69" x14ac:dyDescent="0.2">
      <c r="BN6773" s="192"/>
      <c r="BO6773" s="197"/>
      <c r="BP6773" s="197"/>
      <c r="BQ6773" s="197"/>
    </row>
    <row r="6774" spans="66:69" x14ac:dyDescent="0.2">
      <c r="BN6774" s="192"/>
      <c r="BO6774" s="197"/>
      <c r="BP6774" s="197"/>
      <c r="BQ6774" s="197"/>
    </row>
    <row r="6775" spans="66:69" x14ac:dyDescent="0.2">
      <c r="BN6775" s="192"/>
      <c r="BO6775" s="197"/>
      <c r="BP6775" s="197"/>
      <c r="BQ6775" s="197"/>
    </row>
    <row r="6776" spans="66:69" x14ac:dyDescent="0.2">
      <c r="BN6776" s="192"/>
      <c r="BO6776" s="197"/>
      <c r="BP6776" s="197"/>
      <c r="BQ6776" s="197"/>
    </row>
    <row r="6777" spans="66:69" x14ac:dyDescent="0.2">
      <c r="BN6777" s="192"/>
      <c r="BO6777" s="197"/>
      <c r="BP6777" s="197"/>
      <c r="BQ6777" s="197"/>
    </row>
    <row r="6778" spans="66:69" x14ac:dyDescent="0.2">
      <c r="BN6778" s="192"/>
      <c r="BO6778" s="197"/>
      <c r="BP6778" s="197"/>
      <c r="BQ6778" s="197"/>
    </row>
    <row r="6779" spans="66:69" x14ac:dyDescent="0.2">
      <c r="BN6779" s="192"/>
      <c r="BO6779" s="197"/>
      <c r="BP6779" s="197"/>
      <c r="BQ6779" s="197"/>
    </row>
    <row r="6780" spans="66:69" x14ac:dyDescent="0.2">
      <c r="BN6780" s="192"/>
      <c r="BO6780" s="197"/>
      <c r="BP6780" s="197"/>
      <c r="BQ6780" s="197"/>
    </row>
    <row r="6781" spans="66:69" x14ac:dyDescent="0.2">
      <c r="BN6781" s="192"/>
      <c r="BO6781" s="197"/>
      <c r="BP6781" s="197"/>
      <c r="BQ6781" s="197"/>
    </row>
    <row r="6782" spans="66:69" x14ac:dyDescent="0.2">
      <c r="BN6782" s="192"/>
      <c r="BO6782" s="197"/>
      <c r="BP6782" s="197"/>
      <c r="BQ6782" s="197"/>
    </row>
    <row r="6783" spans="66:69" x14ac:dyDescent="0.2">
      <c r="BN6783" s="192"/>
      <c r="BO6783" s="197"/>
      <c r="BP6783" s="197"/>
      <c r="BQ6783" s="197"/>
    </row>
    <row r="6784" spans="66:69" x14ac:dyDescent="0.2">
      <c r="BN6784" s="192"/>
      <c r="BO6784" s="197"/>
      <c r="BP6784" s="197"/>
      <c r="BQ6784" s="197"/>
    </row>
    <row r="6785" spans="66:69" x14ac:dyDescent="0.2">
      <c r="BN6785" s="192"/>
      <c r="BO6785" s="197"/>
      <c r="BP6785" s="197"/>
      <c r="BQ6785" s="197"/>
    </row>
    <row r="6786" spans="66:69" x14ac:dyDescent="0.2">
      <c r="BN6786" s="192"/>
      <c r="BO6786" s="197"/>
      <c r="BP6786" s="197"/>
      <c r="BQ6786" s="197"/>
    </row>
    <row r="6787" spans="66:69" x14ac:dyDescent="0.2">
      <c r="BN6787" s="192"/>
      <c r="BO6787" s="197"/>
      <c r="BP6787" s="197"/>
      <c r="BQ6787" s="197"/>
    </row>
    <row r="6788" spans="66:69" x14ac:dyDescent="0.2">
      <c r="BN6788" s="192"/>
      <c r="BO6788" s="197"/>
      <c r="BP6788" s="197"/>
      <c r="BQ6788" s="197"/>
    </row>
    <row r="6789" spans="66:69" x14ac:dyDescent="0.2">
      <c r="BN6789" s="192"/>
      <c r="BO6789" s="197"/>
      <c r="BP6789" s="197"/>
      <c r="BQ6789" s="197"/>
    </row>
    <row r="6790" spans="66:69" x14ac:dyDescent="0.2">
      <c r="BN6790" s="192"/>
      <c r="BO6790" s="197"/>
      <c r="BP6790" s="197"/>
      <c r="BQ6790" s="197"/>
    </row>
    <row r="6791" spans="66:69" x14ac:dyDescent="0.2">
      <c r="BN6791" s="192"/>
      <c r="BO6791" s="197"/>
      <c r="BP6791" s="197"/>
      <c r="BQ6791" s="197"/>
    </row>
    <row r="6792" spans="66:69" x14ac:dyDescent="0.2">
      <c r="BN6792" s="192"/>
      <c r="BO6792" s="197"/>
      <c r="BP6792" s="197"/>
      <c r="BQ6792" s="197"/>
    </row>
    <row r="6793" spans="66:69" x14ac:dyDescent="0.2">
      <c r="BN6793" s="192"/>
      <c r="BO6793" s="197"/>
      <c r="BP6793" s="197"/>
      <c r="BQ6793" s="197"/>
    </row>
    <row r="6794" spans="66:69" x14ac:dyDescent="0.2">
      <c r="BN6794" s="192"/>
      <c r="BO6794" s="197"/>
      <c r="BP6794" s="197"/>
      <c r="BQ6794" s="197"/>
    </row>
    <row r="6795" spans="66:69" x14ac:dyDescent="0.2">
      <c r="BN6795" s="192"/>
      <c r="BO6795" s="197"/>
      <c r="BP6795" s="197"/>
      <c r="BQ6795" s="197"/>
    </row>
    <row r="6796" spans="66:69" x14ac:dyDescent="0.2">
      <c r="BN6796" s="192"/>
      <c r="BO6796" s="197"/>
      <c r="BP6796" s="197"/>
      <c r="BQ6796" s="197"/>
    </row>
    <row r="6797" spans="66:69" x14ac:dyDescent="0.2">
      <c r="BN6797" s="192"/>
      <c r="BO6797" s="197"/>
      <c r="BP6797" s="197"/>
      <c r="BQ6797" s="197"/>
    </row>
    <row r="6798" spans="66:69" x14ac:dyDescent="0.2">
      <c r="BN6798" s="192"/>
      <c r="BO6798" s="197"/>
      <c r="BP6798" s="197"/>
      <c r="BQ6798" s="197"/>
    </row>
    <row r="6799" spans="66:69" x14ac:dyDescent="0.2">
      <c r="BN6799" s="192"/>
      <c r="BO6799" s="197"/>
      <c r="BP6799" s="197"/>
      <c r="BQ6799" s="197"/>
    </row>
    <row r="6800" spans="66:69" x14ac:dyDescent="0.2">
      <c r="BN6800" s="192"/>
      <c r="BO6800" s="197"/>
      <c r="BP6800" s="197"/>
      <c r="BQ6800" s="197"/>
    </row>
    <row r="6801" spans="66:69" x14ac:dyDescent="0.2">
      <c r="BN6801" s="192"/>
      <c r="BO6801" s="197"/>
      <c r="BP6801" s="197"/>
      <c r="BQ6801" s="197"/>
    </row>
    <row r="6802" spans="66:69" x14ac:dyDescent="0.2">
      <c r="BN6802" s="192"/>
      <c r="BO6802" s="197"/>
      <c r="BP6802" s="197"/>
      <c r="BQ6802" s="197"/>
    </row>
    <row r="6803" spans="66:69" x14ac:dyDescent="0.2">
      <c r="BN6803" s="192"/>
      <c r="BO6803" s="197"/>
      <c r="BP6803" s="197"/>
      <c r="BQ6803" s="197"/>
    </row>
    <row r="6804" spans="66:69" x14ac:dyDescent="0.2">
      <c r="BN6804" s="192"/>
      <c r="BO6804" s="197"/>
      <c r="BP6804" s="197"/>
      <c r="BQ6804" s="197"/>
    </row>
    <row r="6805" spans="66:69" x14ac:dyDescent="0.2">
      <c r="BN6805" s="192"/>
      <c r="BO6805" s="197"/>
      <c r="BP6805" s="197"/>
      <c r="BQ6805" s="197"/>
    </row>
    <row r="6806" spans="66:69" x14ac:dyDescent="0.2">
      <c r="BN6806" s="192"/>
      <c r="BO6806" s="197"/>
      <c r="BP6806" s="197"/>
      <c r="BQ6806" s="197"/>
    </row>
    <row r="6807" spans="66:69" x14ac:dyDescent="0.2">
      <c r="BN6807" s="192"/>
      <c r="BO6807" s="197"/>
      <c r="BP6807" s="197"/>
      <c r="BQ6807" s="197"/>
    </row>
    <row r="6808" spans="66:69" x14ac:dyDescent="0.2">
      <c r="BN6808" s="192"/>
      <c r="BO6808" s="197"/>
      <c r="BP6808" s="197"/>
      <c r="BQ6808" s="197"/>
    </row>
    <row r="6809" spans="66:69" x14ac:dyDescent="0.2">
      <c r="BN6809" s="192"/>
      <c r="BO6809" s="197"/>
      <c r="BP6809" s="197"/>
      <c r="BQ6809" s="197"/>
    </row>
    <row r="6810" spans="66:69" x14ac:dyDescent="0.2">
      <c r="BN6810" s="192"/>
      <c r="BO6810" s="197"/>
      <c r="BP6810" s="197"/>
      <c r="BQ6810" s="197"/>
    </row>
    <row r="6811" spans="66:69" x14ac:dyDescent="0.2">
      <c r="BN6811" s="192"/>
      <c r="BO6811" s="197"/>
      <c r="BP6811" s="197"/>
      <c r="BQ6811" s="197"/>
    </row>
    <row r="6812" spans="66:69" x14ac:dyDescent="0.2">
      <c r="BN6812" s="192"/>
      <c r="BO6812" s="197"/>
      <c r="BP6812" s="197"/>
      <c r="BQ6812" s="197"/>
    </row>
    <row r="6813" spans="66:69" x14ac:dyDescent="0.2">
      <c r="BN6813" s="192"/>
      <c r="BO6813" s="197"/>
      <c r="BP6813" s="197"/>
      <c r="BQ6813" s="197"/>
    </row>
    <row r="6814" spans="66:69" x14ac:dyDescent="0.2">
      <c r="BN6814" s="192"/>
      <c r="BO6814" s="197"/>
      <c r="BP6814" s="197"/>
      <c r="BQ6814" s="197"/>
    </row>
    <row r="6815" spans="66:69" x14ac:dyDescent="0.2">
      <c r="BN6815" s="192"/>
      <c r="BO6815" s="197"/>
      <c r="BP6815" s="197"/>
      <c r="BQ6815" s="197"/>
    </row>
    <row r="6816" spans="66:69" x14ac:dyDescent="0.2">
      <c r="BN6816" s="192"/>
      <c r="BO6816" s="197"/>
      <c r="BP6816" s="197"/>
      <c r="BQ6816" s="197"/>
    </row>
    <row r="6817" spans="66:69" x14ac:dyDescent="0.2">
      <c r="BN6817" s="192"/>
      <c r="BO6817" s="197"/>
      <c r="BP6817" s="197"/>
      <c r="BQ6817" s="197"/>
    </row>
    <row r="6818" spans="66:69" x14ac:dyDescent="0.2">
      <c r="BN6818" s="192"/>
      <c r="BO6818" s="197"/>
      <c r="BP6818" s="197"/>
      <c r="BQ6818" s="197"/>
    </row>
    <row r="6819" spans="66:69" x14ac:dyDescent="0.2">
      <c r="BN6819" s="192"/>
      <c r="BO6819" s="197"/>
      <c r="BP6819" s="197"/>
      <c r="BQ6819" s="197"/>
    </row>
    <row r="6820" spans="66:69" x14ac:dyDescent="0.2">
      <c r="BN6820" s="192"/>
      <c r="BO6820" s="197"/>
      <c r="BP6820" s="197"/>
      <c r="BQ6820" s="197"/>
    </row>
    <row r="6821" spans="66:69" x14ac:dyDescent="0.2">
      <c r="BN6821" s="192"/>
      <c r="BO6821" s="197"/>
      <c r="BP6821" s="197"/>
      <c r="BQ6821" s="197"/>
    </row>
    <row r="6822" spans="66:69" x14ac:dyDescent="0.2">
      <c r="BN6822" s="192"/>
      <c r="BO6822" s="197"/>
      <c r="BP6822" s="197"/>
      <c r="BQ6822" s="197"/>
    </row>
    <row r="6823" spans="66:69" x14ac:dyDescent="0.2">
      <c r="BN6823" s="192"/>
      <c r="BO6823" s="197"/>
      <c r="BP6823" s="197"/>
      <c r="BQ6823" s="197"/>
    </row>
    <row r="6824" spans="66:69" x14ac:dyDescent="0.2">
      <c r="BN6824" s="192"/>
      <c r="BO6824" s="197"/>
      <c r="BP6824" s="197"/>
      <c r="BQ6824" s="197"/>
    </row>
    <row r="6825" spans="66:69" x14ac:dyDescent="0.2">
      <c r="BN6825" s="192"/>
      <c r="BO6825" s="197"/>
      <c r="BP6825" s="197"/>
      <c r="BQ6825" s="197"/>
    </row>
    <row r="6826" spans="66:69" x14ac:dyDescent="0.2">
      <c r="BN6826" s="192"/>
      <c r="BO6826" s="197"/>
      <c r="BP6826" s="197"/>
      <c r="BQ6826" s="197"/>
    </row>
    <row r="6827" spans="66:69" x14ac:dyDescent="0.2">
      <c r="BN6827" s="192"/>
      <c r="BO6827" s="197"/>
      <c r="BP6827" s="197"/>
      <c r="BQ6827" s="197"/>
    </row>
    <row r="6828" spans="66:69" x14ac:dyDescent="0.2">
      <c r="BN6828" s="192"/>
      <c r="BO6828" s="197"/>
      <c r="BP6828" s="197"/>
      <c r="BQ6828" s="197"/>
    </row>
    <row r="6829" spans="66:69" x14ac:dyDescent="0.2">
      <c r="BN6829" s="192"/>
      <c r="BO6829" s="197"/>
      <c r="BP6829" s="197"/>
      <c r="BQ6829" s="197"/>
    </row>
    <row r="6830" spans="66:69" x14ac:dyDescent="0.2">
      <c r="BN6830" s="192"/>
      <c r="BO6830" s="197"/>
      <c r="BP6830" s="197"/>
      <c r="BQ6830" s="197"/>
    </row>
    <row r="6831" spans="66:69" x14ac:dyDescent="0.2">
      <c r="BN6831" s="192"/>
      <c r="BO6831" s="197"/>
      <c r="BP6831" s="197"/>
      <c r="BQ6831" s="197"/>
    </row>
    <row r="6832" spans="66:69" x14ac:dyDescent="0.2">
      <c r="BN6832" s="192"/>
      <c r="BO6832" s="197"/>
      <c r="BP6832" s="197"/>
      <c r="BQ6832" s="197"/>
    </row>
    <row r="6833" spans="66:69" x14ac:dyDescent="0.2">
      <c r="BN6833" s="192"/>
      <c r="BO6833" s="197"/>
      <c r="BP6833" s="197"/>
      <c r="BQ6833" s="197"/>
    </row>
    <row r="6834" spans="66:69" x14ac:dyDescent="0.2">
      <c r="BN6834" s="192"/>
      <c r="BO6834" s="197"/>
      <c r="BP6834" s="197"/>
      <c r="BQ6834" s="197"/>
    </row>
    <row r="6835" spans="66:69" x14ac:dyDescent="0.2">
      <c r="BN6835" s="192"/>
      <c r="BO6835" s="197"/>
      <c r="BP6835" s="197"/>
      <c r="BQ6835" s="197"/>
    </row>
    <row r="6836" spans="66:69" x14ac:dyDescent="0.2">
      <c r="BN6836" s="192"/>
      <c r="BO6836" s="197"/>
      <c r="BP6836" s="197"/>
      <c r="BQ6836" s="197"/>
    </row>
    <row r="6837" spans="66:69" x14ac:dyDescent="0.2">
      <c r="BN6837" s="192"/>
      <c r="BO6837" s="197"/>
      <c r="BP6837" s="197"/>
      <c r="BQ6837" s="197"/>
    </row>
    <row r="6838" spans="66:69" x14ac:dyDescent="0.2">
      <c r="BN6838" s="192"/>
      <c r="BO6838" s="197"/>
      <c r="BP6838" s="197"/>
      <c r="BQ6838" s="197"/>
    </row>
    <row r="6839" spans="66:69" x14ac:dyDescent="0.2">
      <c r="BN6839" s="192"/>
      <c r="BO6839" s="197"/>
      <c r="BP6839" s="197"/>
      <c r="BQ6839" s="197"/>
    </row>
    <row r="6840" spans="66:69" x14ac:dyDescent="0.2">
      <c r="BN6840" s="192"/>
      <c r="BO6840" s="197"/>
      <c r="BP6840" s="197"/>
      <c r="BQ6840" s="197"/>
    </row>
    <row r="6841" spans="66:69" x14ac:dyDescent="0.2">
      <c r="BN6841" s="192"/>
      <c r="BO6841" s="197"/>
      <c r="BP6841" s="197"/>
      <c r="BQ6841" s="197"/>
    </row>
    <row r="6842" spans="66:69" x14ac:dyDescent="0.2">
      <c r="BN6842" s="192"/>
      <c r="BO6842" s="197"/>
      <c r="BP6842" s="197"/>
      <c r="BQ6842" s="197"/>
    </row>
    <row r="6843" spans="66:69" x14ac:dyDescent="0.2">
      <c r="BN6843" s="192"/>
      <c r="BO6843" s="197"/>
      <c r="BP6843" s="197"/>
      <c r="BQ6843" s="197"/>
    </row>
    <row r="6844" spans="66:69" x14ac:dyDescent="0.2">
      <c r="BN6844" s="192"/>
      <c r="BO6844" s="197"/>
      <c r="BP6844" s="197"/>
      <c r="BQ6844" s="197"/>
    </row>
    <row r="6845" spans="66:69" x14ac:dyDescent="0.2">
      <c r="BN6845" s="192"/>
      <c r="BO6845" s="197"/>
      <c r="BP6845" s="197"/>
      <c r="BQ6845" s="197"/>
    </row>
    <row r="6846" spans="66:69" x14ac:dyDescent="0.2">
      <c r="BN6846" s="192"/>
      <c r="BO6846" s="197"/>
      <c r="BP6846" s="197"/>
      <c r="BQ6846" s="197"/>
    </row>
    <row r="6847" spans="66:69" x14ac:dyDescent="0.2">
      <c r="BN6847" s="192"/>
      <c r="BO6847" s="197"/>
      <c r="BP6847" s="197"/>
      <c r="BQ6847" s="197"/>
    </row>
    <row r="6848" spans="66:69" x14ac:dyDescent="0.2">
      <c r="BN6848" s="192"/>
      <c r="BO6848" s="197"/>
      <c r="BP6848" s="197"/>
      <c r="BQ6848" s="197"/>
    </row>
    <row r="6849" spans="66:69" x14ac:dyDescent="0.2">
      <c r="BN6849" s="192"/>
      <c r="BO6849" s="197"/>
      <c r="BP6849" s="197"/>
      <c r="BQ6849" s="197"/>
    </row>
    <row r="6850" spans="66:69" x14ac:dyDescent="0.2">
      <c r="BN6850" s="192"/>
      <c r="BO6850" s="197"/>
      <c r="BP6850" s="197"/>
      <c r="BQ6850" s="197"/>
    </row>
    <row r="6851" spans="66:69" x14ac:dyDescent="0.2">
      <c r="BN6851" s="192"/>
      <c r="BO6851" s="197"/>
      <c r="BP6851" s="197"/>
      <c r="BQ6851" s="197"/>
    </row>
    <row r="6852" spans="66:69" x14ac:dyDescent="0.2">
      <c r="BN6852" s="192"/>
      <c r="BO6852" s="197"/>
      <c r="BP6852" s="197"/>
      <c r="BQ6852" s="197"/>
    </row>
    <row r="6853" spans="66:69" x14ac:dyDescent="0.2">
      <c r="BN6853" s="192"/>
      <c r="BO6853" s="197"/>
      <c r="BP6853" s="197"/>
      <c r="BQ6853" s="197"/>
    </row>
    <row r="6854" spans="66:69" x14ac:dyDescent="0.2">
      <c r="BN6854" s="192"/>
      <c r="BO6854" s="197"/>
      <c r="BP6854" s="197"/>
      <c r="BQ6854" s="197"/>
    </row>
    <row r="6855" spans="66:69" x14ac:dyDescent="0.2">
      <c r="BN6855" s="192"/>
      <c r="BO6855" s="197"/>
      <c r="BP6855" s="197"/>
      <c r="BQ6855" s="197"/>
    </row>
    <row r="6856" spans="66:69" x14ac:dyDescent="0.2">
      <c r="BN6856" s="192"/>
      <c r="BO6856" s="197"/>
      <c r="BP6856" s="197"/>
      <c r="BQ6856" s="197"/>
    </row>
    <row r="6857" spans="66:69" x14ac:dyDescent="0.2">
      <c r="BN6857" s="192"/>
      <c r="BO6857" s="197"/>
      <c r="BP6857" s="197"/>
      <c r="BQ6857" s="197"/>
    </row>
    <row r="6858" spans="66:69" x14ac:dyDescent="0.2">
      <c r="BN6858" s="192"/>
      <c r="BO6858" s="197"/>
      <c r="BP6858" s="197"/>
      <c r="BQ6858" s="197"/>
    </row>
    <row r="6859" spans="66:69" x14ac:dyDescent="0.2">
      <c r="BN6859" s="192"/>
      <c r="BO6859" s="197"/>
      <c r="BP6859" s="197"/>
      <c r="BQ6859" s="197"/>
    </row>
    <row r="6860" spans="66:69" x14ac:dyDescent="0.2">
      <c r="BN6860" s="192"/>
      <c r="BO6860" s="197"/>
      <c r="BP6860" s="197"/>
      <c r="BQ6860" s="197"/>
    </row>
    <row r="6861" spans="66:69" x14ac:dyDescent="0.2">
      <c r="BN6861" s="192"/>
      <c r="BO6861" s="197"/>
      <c r="BP6861" s="197"/>
      <c r="BQ6861" s="197"/>
    </row>
    <row r="6862" spans="66:69" x14ac:dyDescent="0.2">
      <c r="BN6862" s="192"/>
      <c r="BO6862" s="197"/>
      <c r="BP6862" s="197"/>
      <c r="BQ6862" s="197"/>
    </row>
    <row r="6863" spans="66:69" x14ac:dyDescent="0.2">
      <c r="BN6863" s="192"/>
      <c r="BO6863" s="197"/>
      <c r="BP6863" s="197"/>
      <c r="BQ6863" s="197"/>
    </row>
    <row r="6864" spans="66:69" x14ac:dyDescent="0.2">
      <c r="BN6864" s="192"/>
      <c r="BO6864" s="197"/>
      <c r="BP6864" s="197"/>
      <c r="BQ6864" s="197"/>
    </row>
    <row r="6865" spans="66:69" x14ac:dyDescent="0.2">
      <c r="BN6865" s="192"/>
      <c r="BO6865" s="197"/>
      <c r="BP6865" s="197"/>
      <c r="BQ6865" s="197"/>
    </row>
    <row r="6866" spans="66:69" x14ac:dyDescent="0.2">
      <c r="BN6866" s="192"/>
      <c r="BO6866" s="197"/>
      <c r="BP6866" s="197"/>
      <c r="BQ6866" s="197"/>
    </row>
    <row r="6867" spans="66:69" x14ac:dyDescent="0.2">
      <c r="BN6867" s="192"/>
      <c r="BO6867" s="197"/>
      <c r="BP6867" s="197"/>
      <c r="BQ6867" s="197"/>
    </row>
    <row r="6868" spans="66:69" x14ac:dyDescent="0.2">
      <c r="BN6868" s="192"/>
      <c r="BO6868" s="197"/>
      <c r="BP6868" s="197"/>
      <c r="BQ6868" s="197"/>
    </row>
    <row r="6869" spans="66:69" x14ac:dyDescent="0.2">
      <c r="BN6869" s="192"/>
      <c r="BO6869" s="197"/>
      <c r="BP6869" s="197"/>
      <c r="BQ6869" s="197"/>
    </row>
    <row r="6870" spans="66:69" x14ac:dyDescent="0.2">
      <c r="BN6870" s="192"/>
      <c r="BO6870" s="197"/>
      <c r="BP6870" s="197"/>
      <c r="BQ6870" s="197"/>
    </row>
    <row r="6871" spans="66:69" x14ac:dyDescent="0.2">
      <c r="BN6871" s="192"/>
      <c r="BO6871" s="197"/>
      <c r="BP6871" s="197"/>
      <c r="BQ6871" s="197"/>
    </row>
    <row r="6872" spans="66:69" x14ac:dyDescent="0.2">
      <c r="BN6872" s="192"/>
      <c r="BO6872" s="197"/>
      <c r="BP6872" s="197"/>
      <c r="BQ6872" s="197"/>
    </row>
    <row r="6873" spans="66:69" x14ac:dyDescent="0.2">
      <c r="BN6873" s="192"/>
      <c r="BO6873" s="197"/>
      <c r="BP6873" s="197"/>
      <c r="BQ6873" s="197"/>
    </row>
    <row r="6874" spans="66:69" x14ac:dyDescent="0.2">
      <c r="BN6874" s="192"/>
      <c r="BO6874" s="197"/>
      <c r="BP6874" s="197"/>
      <c r="BQ6874" s="197"/>
    </row>
    <row r="6875" spans="66:69" x14ac:dyDescent="0.2">
      <c r="BN6875" s="192"/>
      <c r="BO6875" s="197"/>
      <c r="BP6875" s="197"/>
      <c r="BQ6875" s="197"/>
    </row>
    <row r="6876" spans="66:69" x14ac:dyDescent="0.2">
      <c r="BN6876" s="192"/>
      <c r="BO6876" s="197"/>
      <c r="BP6876" s="197"/>
      <c r="BQ6876" s="197"/>
    </row>
    <row r="6877" spans="66:69" x14ac:dyDescent="0.2">
      <c r="BN6877" s="192"/>
      <c r="BO6877" s="197"/>
      <c r="BP6877" s="197"/>
      <c r="BQ6877" s="197"/>
    </row>
    <row r="6878" spans="66:69" x14ac:dyDescent="0.2">
      <c r="BN6878" s="192"/>
      <c r="BO6878" s="197"/>
      <c r="BP6878" s="197"/>
      <c r="BQ6878" s="197"/>
    </row>
    <row r="6879" spans="66:69" x14ac:dyDescent="0.2">
      <c r="BN6879" s="192"/>
      <c r="BO6879" s="197"/>
      <c r="BP6879" s="197"/>
      <c r="BQ6879" s="197"/>
    </row>
    <row r="6880" spans="66:69" x14ac:dyDescent="0.2">
      <c r="BN6880" s="192"/>
      <c r="BO6880" s="197"/>
      <c r="BP6880" s="197"/>
      <c r="BQ6880" s="197"/>
    </row>
    <row r="6881" spans="66:69" x14ac:dyDescent="0.2">
      <c r="BN6881" s="192"/>
      <c r="BO6881" s="197"/>
      <c r="BP6881" s="197"/>
      <c r="BQ6881" s="197"/>
    </row>
    <row r="6882" spans="66:69" x14ac:dyDescent="0.2">
      <c r="BN6882" s="192"/>
      <c r="BO6882" s="197"/>
      <c r="BP6882" s="197"/>
      <c r="BQ6882" s="197"/>
    </row>
    <row r="6883" spans="66:69" x14ac:dyDescent="0.2">
      <c r="BN6883" s="192"/>
      <c r="BO6883" s="197"/>
      <c r="BP6883" s="197"/>
      <c r="BQ6883" s="197"/>
    </row>
    <row r="6884" spans="66:69" x14ac:dyDescent="0.2">
      <c r="BN6884" s="192"/>
      <c r="BO6884" s="197"/>
      <c r="BP6884" s="197"/>
      <c r="BQ6884" s="197"/>
    </row>
    <row r="6885" spans="66:69" x14ac:dyDescent="0.2">
      <c r="BN6885" s="192"/>
      <c r="BO6885" s="197"/>
      <c r="BP6885" s="197"/>
      <c r="BQ6885" s="197"/>
    </row>
    <row r="6886" spans="66:69" x14ac:dyDescent="0.2">
      <c r="BN6886" s="192"/>
      <c r="BO6886" s="197"/>
      <c r="BP6886" s="197"/>
      <c r="BQ6886" s="197"/>
    </row>
    <row r="6887" spans="66:69" x14ac:dyDescent="0.2">
      <c r="BN6887" s="192"/>
      <c r="BO6887" s="197"/>
      <c r="BP6887" s="197"/>
      <c r="BQ6887" s="197"/>
    </row>
    <row r="6888" spans="66:69" x14ac:dyDescent="0.2">
      <c r="BN6888" s="192"/>
      <c r="BO6888" s="197"/>
      <c r="BP6888" s="197"/>
      <c r="BQ6888" s="197"/>
    </row>
    <row r="6889" spans="66:69" x14ac:dyDescent="0.2">
      <c r="BN6889" s="192"/>
      <c r="BO6889" s="197"/>
      <c r="BP6889" s="197"/>
      <c r="BQ6889" s="197"/>
    </row>
    <row r="6890" spans="66:69" x14ac:dyDescent="0.2">
      <c r="BN6890" s="192"/>
      <c r="BO6890" s="197"/>
      <c r="BP6890" s="197"/>
      <c r="BQ6890" s="197"/>
    </row>
    <row r="6891" spans="66:69" x14ac:dyDescent="0.2">
      <c r="BN6891" s="192"/>
      <c r="BO6891" s="197"/>
      <c r="BP6891" s="197"/>
      <c r="BQ6891" s="197"/>
    </row>
    <row r="6892" spans="66:69" x14ac:dyDescent="0.2">
      <c r="BN6892" s="192"/>
      <c r="BO6892" s="197"/>
      <c r="BP6892" s="197"/>
      <c r="BQ6892" s="197"/>
    </row>
    <row r="6893" spans="66:69" x14ac:dyDescent="0.2">
      <c r="BN6893" s="192"/>
      <c r="BO6893" s="197"/>
      <c r="BP6893" s="197"/>
      <c r="BQ6893" s="197"/>
    </row>
    <row r="6894" spans="66:69" x14ac:dyDescent="0.2">
      <c r="BN6894" s="192"/>
      <c r="BO6894" s="197"/>
      <c r="BP6894" s="197"/>
      <c r="BQ6894" s="197"/>
    </row>
    <row r="6895" spans="66:69" x14ac:dyDescent="0.2">
      <c r="BN6895" s="192"/>
      <c r="BO6895" s="197"/>
      <c r="BP6895" s="197"/>
      <c r="BQ6895" s="197"/>
    </row>
    <row r="6896" spans="66:69" x14ac:dyDescent="0.2">
      <c r="BN6896" s="192"/>
      <c r="BO6896" s="197"/>
      <c r="BP6896" s="197"/>
      <c r="BQ6896" s="197"/>
    </row>
    <row r="6897" spans="66:69" x14ac:dyDescent="0.2">
      <c r="BN6897" s="192"/>
      <c r="BO6897" s="197"/>
      <c r="BP6897" s="197"/>
      <c r="BQ6897" s="197"/>
    </row>
    <row r="6898" spans="66:69" x14ac:dyDescent="0.2">
      <c r="BN6898" s="192"/>
      <c r="BO6898" s="197"/>
      <c r="BP6898" s="197"/>
      <c r="BQ6898" s="197"/>
    </row>
    <row r="6899" spans="66:69" x14ac:dyDescent="0.2">
      <c r="BN6899" s="192"/>
      <c r="BO6899" s="197"/>
      <c r="BP6899" s="197"/>
      <c r="BQ6899" s="197"/>
    </row>
    <row r="6900" spans="66:69" x14ac:dyDescent="0.2">
      <c r="BN6900" s="192"/>
      <c r="BO6900" s="197"/>
      <c r="BP6900" s="197"/>
      <c r="BQ6900" s="197"/>
    </row>
    <row r="6901" spans="66:69" x14ac:dyDescent="0.2">
      <c r="BN6901" s="192"/>
      <c r="BO6901" s="197"/>
      <c r="BP6901" s="197"/>
      <c r="BQ6901" s="197"/>
    </row>
    <row r="6902" spans="66:69" x14ac:dyDescent="0.2">
      <c r="BN6902" s="192"/>
      <c r="BO6902" s="197"/>
      <c r="BP6902" s="197"/>
      <c r="BQ6902" s="197"/>
    </row>
    <row r="6903" spans="66:69" x14ac:dyDescent="0.2">
      <c r="BN6903" s="192"/>
      <c r="BO6903" s="197"/>
      <c r="BP6903" s="197"/>
      <c r="BQ6903" s="197"/>
    </row>
    <row r="6904" spans="66:69" x14ac:dyDescent="0.2">
      <c r="BN6904" s="192"/>
      <c r="BO6904" s="197"/>
      <c r="BP6904" s="197"/>
      <c r="BQ6904" s="197"/>
    </row>
    <row r="6905" spans="66:69" x14ac:dyDescent="0.2">
      <c r="BN6905" s="192"/>
      <c r="BO6905" s="197"/>
      <c r="BP6905" s="197"/>
      <c r="BQ6905" s="197"/>
    </row>
    <row r="6906" spans="66:69" x14ac:dyDescent="0.2">
      <c r="BN6906" s="192"/>
      <c r="BO6906" s="197"/>
      <c r="BP6906" s="197"/>
      <c r="BQ6906" s="197"/>
    </row>
    <row r="6907" spans="66:69" x14ac:dyDescent="0.2">
      <c r="BN6907" s="192"/>
      <c r="BO6907" s="197"/>
      <c r="BP6907" s="197"/>
      <c r="BQ6907" s="197"/>
    </row>
    <row r="6908" spans="66:69" x14ac:dyDescent="0.2">
      <c r="BN6908" s="192"/>
      <c r="BO6908" s="197"/>
      <c r="BP6908" s="197"/>
      <c r="BQ6908" s="197"/>
    </row>
    <row r="6909" spans="66:69" x14ac:dyDescent="0.2">
      <c r="BN6909" s="192"/>
      <c r="BO6909" s="197"/>
      <c r="BP6909" s="197"/>
      <c r="BQ6909" s="197"/>
    </row>
    <row r="6910" spans="66:69" x14ac:dyDescent="0.2">
      <c r="BN6910" s="192"/>
      <c r="BO6910" s="197"/>
      <c r="BP6910" s="197"/>
      <c r="BQ6910" s="197"/>
    </row>
    <row r="6911" spans="66:69" x14ac:dyDescent="0.2">
      <c r="BN6911" s="192"/>
      <c r="BO6911" s="197"/>
      <c r="BP6911" s="197"/>
      <c r="BQ6911" s="197"/>
    </row>
    <row r="6912" spans="66:69" x14ac:dyDescent="0.2">
      <c r="BN6912" s="192"/>
      <c r="BO6912" s="197"/>
      <c r="BP6912" s="197"/>
      <c r="BQ6912" s="197"/>
    </row>
    <row r="6913" spans="66:69" x14ac:dyDescent="0.2">
      <c r="BN6913" s="192"/>
      <c r="BO6913" s="197"/>
      <c r="BP6913" s="197"/>
      <c r="BQ6913" s="197"/>
    </row>
    <row r="6914" spans="66:69" x14ac:dyDescent="0.2">
      <c r="BN6914" s="192"/>
      <c r="BO6914" s="197"/>
      <c r="BP6914" s="197"/>
      <c r="BQ6914" s="197"/>
    </row>
    <row r="6915" spans="66:69" x14ac:dyDescent="0.2">
      <c r="BN6915" s="192"/>
      <c r="BO6915" s="197"/>
      <c r="BP6915" s="197"/>
      <c r="BQ6915" s="197"/>
    </row>
    <row r="6916" spans="66:69" x14ac:dyDescent="0.2">
      <c r="BN6916" s="192"/>
      <c r="BO6916" s="197"/>
      <c r="BP6916" s="197"/>
      <c r="BQ6916" s="197"/>
    </row>
    <row r="6917" spans="66:69" x14ac:dyDescent="0.2">
      <c r="BN6917" s="192"/>
      <c r="BO6917" s="197"/>
      <c r="BP6917" s="197"/>
      <c r="BQ6917" s="197"/>
    </row>
    <row r="6918" spans="66:69" x14ac:dyDescent="0.2">
      <c r="BN6918" s="192"/>
      <c r="BO6918" s="197"/>
      <c r="BP6918" s="197"/>
      <c r="BQ6918" s="197"/>
    </row>
    <row r="6919" spans="66:69" x14ac:dyDescent="0.2">
      <c r="BN6919" s="192"/>
      <c r="BO6919" s="197"/>
      <c r="BP6919" s="197"/>
      <c r="BQ6919" s="197"/>
    </row>
    <row r="6920" spans="66:69" x14ac:dyDescent="0.2">
      <c r="BN6920" s="192"/>
      <c r="BO6920" s="197"/>
      <c r="BP6920" s="197"/>
      <c r="BQ6920" s="197"/>
    </row>
    <row r="6921" spans="66:69" x14ac:dyDescent="0.2">
      <c r="BN6921" s="192"/>
      <c r="BO6921" s="197"/>
      <c r="BP6921" s="197"/>
      <c r="BQ6921" s="197"/>
    </row>
    <row r="6922" spans="66:69" x14ac:dyDescent="0.2">
      <c r="BN6922" s="192"/>
      <c r="BO6922" s="197"/>
      <c r="BP6922" s="197"/>
      <c r="BQ6922" s="197"/>
    </row>
    <row r="6923" spans="66:69" x14ac:dyDescent="0.2">
      <c r="BN6923" s="192"/>
      <c r="BO6923" s="197"/>
      <c r="BP6923" s="197"/>
      <c r="BQ6923" s="197"/>
    </row>
    <row r="6924" spans="66:69" x14ac:dyDescent="0.2">
      <c r="BN6924" s="192"/>
      <c r="BO6924" s="197"/>
      <c r="BP6924" s="197"/>
      <c r="BQ6924" s="197"/>
    </row>
    <row r="6925" spans="66:69" x14ac:dyDescent="0.2">
      <c r="BN6925" s="192"/>
      <c r="BO6925" s="197"/>
      <c r="BP6925" s="197"/>
      <c r="BQ6925" s="197"/>
    </row>
    <row r="6926" spans="66:69" x14ac:dyDescent="0.2">
      <c r="BN6926" s="192"/>
      <c r="BO6926" s="197"/>
      <c r="BP6926" s="197"/>
      <c r="BQ6926" s="197"/>
    </row>
    <row r="6927" spans="66:69" x14ac:dyDescent="0.2">
      <c r="BN6927" s="192"/>
      <c r="BO6927" s="197"/>
      <c r="BP6927" s="197"/>
      <c r="BQ6927" s="197"/>
    </row>
    <row r="6928" spans="66:69" x14ac:dyDescent="0.2">
      <c r="BN6928" s="192"/>
      <c r="BO6928" s="197"/>
      <c r="BP6928" s="197"/>
      <c r="BQ6928" s="197"/>
    </row>
    <row r="6929" spans="66:69" x14ac:dyDescent="0.2">
      <c r="BN6929" s="192"/>
      <c r="BO6929" s="197"/>
      <c r="BP6929" s="197"/>
      <c r="BQ6929" s="197"/>
    </row>
    <row r="6930" spans="66:69" x14ac:dyDescent="0.2">
      <c r="BN6930" s="192"/>
      <c r="BO6930" s="197"/>
      <c r="BP6930" s="197"/>
      <c r="BQ6930" s="197"/>
    </row>
    <row r="6931" spans="66:69" x14ac:dyDescent="0.2">
      <c r="BN6931" s="192"/>
      <c r="BO6931" s="197"/>
      <c r="BP6931" s="197"/>
      <c r="BQ6931" s="197"/>
    </row>
    <row r="6932" spans="66:69" x14ac:dyDescent="0.2">
      <c r="BN6932" s="192"/>
      <c r="BO6932" s="197"/>
      <c r="BP6932" s="197"/>
      <c r="BQ6932" s="197"/>
    </row>
    <row r="6933" spans="66:69" x14ac:dyDescent="0.2">
      <c r="BN6933" s="192"/>
      <c r="BO6933" s="197"/>
      <c r="BP6933" s="197"/>
      <c r="BQ6933" s="197"/>
    </row>
    <row r="6934" spans="66:69" x14ac:dyDescent="0.2">
      <c r="BN6934" s="192"/>
      <c r="BO6934" s="197"/>
      <c r="BP6934" s="197"/>
      <c r="BQ6934" s="197"/>
    </row>
    <row r="6935" spans="66:69" x14ac:dyDescent="0.2">
      <c r="BN6935" s="192"/>
      <c r="BO6935" s="197"/>
      <c r="BP6935" s="197"/>
      <c r="BQ6935" s="197"/>
    </row>
    <row r="6936" spans="66:69" x14ac:dyDescent="0.2">
      <c r="BN6936" s="192"/>
      <c r="BO6936" s="197"/>
      <c r="BP6936" s="197"/>
      <c r="BQ6936" s="197"/>
    </row>
    <row r="6937" spans="66:69" x14ac:dyDescent="0.2">
      <c r="BN6937" s="192"/>
      <c r="BO6937" s="197"/>
      <c r="BP6937" s="197"/>
      <c r="BQ6937" s="197"/>
    </row>
    <row r="6938" spans="66:69" x14ac:dyDescent="0.2">
      <c r="BN6938" s="192"/>
      <c r="BO6938" s="197"/>
      <c r="BP6938" s="197"/>
      <c r="BQ6938" s="197"/>
    </row>
    <row r="6939" spans="66:69" x14ac:dyDescent="0.2">
      <c r="BN6939" s="192"/>
      <c r="BO6939" s="197"/>
      <c r="BP6939" s="197"/>
      <c r="BQ6939" s="197"/>
    </row>
    <row r="6940" spans="66:69" x14ac:dyDescent="0.2">
      <c r="BN6940" s="192"/>
      <c r="BO6940" s="197"/>
      <c r="BP6940" s="197"/>
      <c r="BQ6940" s="197"/>
    </row>
    <row r="6941" spans="66:69" x14ac:dyDescent="0.2">
      <c r="BN6941" s="192"/>
      <c r="BO6941" s="197"/>
      <c r="BP6941" s="197"/>
      <c r="BQ6941" s="197"/>
    </row>
    <row r="6942" spans="66:69" x14ac:dyDescent="0.2">
      <c r="BN6942" s="192"/>
      <c r="BO6942" s="197"/>
      <c r="BP6942" s="197"/>
      <c r="BQ6942" s="197"/>
    </row>
    <row r="6943" spans="66:69" x14ac:dyDescent="0.2">
      <c r="BN6943" s="192"/>
      <c r="BO6943" s="197"/>
      <c r="BP6943" s="197"/>
      <c r="BQ6943" s="197"/>
    </row>
    <row r="6944" spans="66:69" x14ac:dyDescent="0.2">
      <c r="BN6944" s="192"/>
      <c r="BO6944" s="197"/>
      <c r="BP6944" s="197"/>
      <c r="BQ6944" s="197"/>
    </row>
    <row r="6945" spans="66:69" x14ac:dyDescent="0.2">
      <c r="BN6945" s="192"/>
      <c r="BO6945" s="197"/>
      <c r="BP6945" s="197"/>
      <c r="BQ6945" s="197"/>
    </row>
    <row r="6946" spans="66:69" x14ac:dyDescent="0.2">
      <c r="BN6946" s="192"/>
      <c r="BO6946" s="197"/>
      <c r="BP6946" s="197"/>
      <c r="BQ6946" s="197"/>
    </row>
    <row r="6947" spans="66:69" x14ac:dyDescent="0.2">
      <c r="BN6947" s="192"/>
      <c r="BO6947" s="197"/>
      <c r="BP6947" s="197"/>
      <c r="BQ6947" s="197"/>
    </row>
    <row r="6948" spans="66:69" x14ac:dyDescent="0.2">
      <c r="BN6948" s="192"/>
      <c r="BO6948" s="197"/>
      <c r="BP6948" s="197"/>
      <c r="BQ6948" s="197"/>
    </row>
    <row r="6949" spans="66:69" x14ac:dyDescent="0.2">
      <c r="BN6949" s="192"/>
      <c r="BO6949" s="197"/>
      <c r="BP6949" s="197"/>
      <c r="BQ6949" s="197"/>
    </row>
    <row r="6950" spans="66:69" x14ac:dyDescent="0.2">
      <c r="BN6950" s="192"/>
      <c r="BO6950" s="197"/>
      <c r="BP6950" s="197"/>
      <c r="BQ6950" s="197"/>
    </row>
    <row r="6951" spans="66:69" x14ac:dyDescent="0.2">
      <c r="BN6951" s="192"/>
      <c r="BO6951" s="197"/>
      <c r="BP6951" s="197"/>
      <c r="BQ6951" s="197"/>
    </row>
    <row r="6952" spans="66:69" x14ac:dyDescent="0.2">
      <c r="BN6952" s="192"/>
      <c r="BO6952" s="197"/>
      <c r="BP6952" s="197"/>
      <c r="BQ6952" s="197"/>
    </row>
    <row r="6953" spans="66:69" x14ac:dyDescent="0.2">
      <c r="BN6953" s="192"/>
      <c r="BO6953" s="197"/>
      <c r="BP6953" s="197"/>
      <c r="BQ6953" s="197"/>
    </row>
    <row r="6954" spans="66:69" x14ac:dyDescent="0.2">
      <c r="BN6954" s="192"/>
      <c r="BO6954" s="197"/>
      <c r="BP6954" s="197"/>
      <c r="BQ6954" s="197"/>
    </row>
    <row r="6955" spans="66:69" x14ac:dyDescent="0.2">
      <c r="BN6955" s="192"/>
      <c r="BO6955" s="197"/>
      <c r="BP6955" s="197"/>
      <c r="BQ6955" s="197"/>
    </row>
    <row r="6956" spans="66:69" x14ac:dyDescent="0.2">
      <c r="BN6956" s="192"/>
      <c r="BO6956" s="197"/>
      <c r="BP6956" s="197"/>
      <c r="BQ6956" s="197"/>
    </row>
    <row r="6957" spans="66:69" x14ac:dyDescent="0.2">
      <c r="BN6957" s="192"/>
      <c r="BO6957" s="197"/>
      <c r="BP6957" s="197"/>
      <c r="BQ6957" s="197"/>
    </row>
    <row r="6958" spans="66:69" x14ac:dyDescent="0.2">
      <c r="BN6958" s="192"/>
      <c r="BO6958" s="197"/>
      <c r="BP6958" s="197"/>
      <c r="BQ6958" s="197"/>
    </row>
    <row r="6959" spans="66:69" x14ac:dyDescent="0.2">
      <c r="BN6959" s="192"/>
      <c r="BO6959" s="197"/>
      <c r="BP6959" s="197"/>
      <c r="BQ6959" s="197"/>
    </row>
    <row r="6960" spans="66:69" x14ac:dyDescent="0.2">
      <c r="BN6960" s="192"/>
      <c r="BO6960" s="197"/>
      <c r="BP6960" s="197"/>
      <c r="BQ6960" s="197"/>
    </row>
    <row r="6961" spans="66:69" x14ac:dyDescent="0.2">
      <c r="BN6961" s="192"/>
      <c r="BO6961" s="197"/>
      <c r="BP6961" s="197"/>
      <c r="BQ6961" s="197"/>
    </row>
    <row r="6962" spans="66:69" x14ac:dyDescent="0.2">
      <c r="BN6962" s="192"/>
      <c r="BO6962" s="197"/>
      <c r="BP6962" s="197"/>
      <c r="BQ6962" s="197"/>
    </row>
    <row r="6963" spans="66:69" x14ac:dyDescent="0.2">
      <c r="BN6963" s="192"/>
      <c r="BO6963" s="197"/>
      <c r="BP6963" s="197"/>
      <c r="BQ6963" s="197"/>
    </row>
    <row r="6964" spans="66:69" x14ac:dyDescent="0.2">
      <c r="BN6964" s="192"/>
      <c r="BO6964" s="197"/>
      <c r="BP6964" s="197"/>
      <c r="BQ6964" s="197"/>
    </row>
    <row r="6965" spans="66:69" x14ac:dyDescent="0.2">
      <c r="BN6965" s="192"/>
      <c r="BO6965" s="197"/>
      <c r="BP6965" s="197"/>
      <c r="BQ6965" s="197"/>
    </row>
    <row r="6966" spans="66:69" x14ac:dyDescent="0.2">
      <c r="BN6966" s="192"/>
      <c r="BO6966" s="197"/>
      <c r="BP6966" s="197"/>
      <c r="BQ6966" s="197"/>
    </row>
    <row r="6967" spans="66:69" x14ac:dyDescent="0.2">
      <c r="BN6967" s="192"/>
      <c r="BO6967" s="197"/>
      <c r="BP6967" s="197"/>
      <c r="BQ6967" s="197"/>
    </row>
    <row r="6968" spans="66:69" x14ac:dyDescent="0.2">
      <c r="BN6968" s="192"/>
      <c r="BO6968" s="197"/>
      <c r="BP6968" s="197"/>
      <c r="BQ6968" s="197"/>
    </row>
    <row r="6969" spans="66:69" x14ac:dyDescent="0.2">
      <c r="BN6969" s="192"/>
      <c r="BO6969" s="197"/>
      <c r="BP6969" s="197"/>
      <c r="BQ6969" s="197"/>
    </row>
    <row r="6970" spans="66:69" x14ac:dyDescent="0.2">
      <c r="BN6970" s="192"/>
      <c r="BO6970" s="197"/>
      <c r="BP6970" s="197"/>
      <c r="BQ6970" s="197"/>
    </row>
    <row r="6971" spans="66:69" x14ac:dyDescent="0.2">
      <c r="BN6971" s="192"/>
      <c r="BO6971" s="197"/>
      <c r="BP6971" s="197"/>
      <c r="BQ6971" s="197"/>
    </row>
    <row r="6972" spans="66:69" x14ac:dyDescent="0.2">
      <c r="BN6972" s="192"/>
      <c r="BO6972" s="197"/>
      <c r="BP6972" s="197"/>
      <c r="BQ6972" s="197"/>
    </row>
    <row r="6973" spans="66:69" x14ac:dyDescent="0.2">
      <c r="BN6973" s="192"/>
      <c r="BO6973" s="197"/>
      <c r="BP6973" s="197"/>
      <c r="BQ6973" s="197"/>
    </row>
    <row r="6974" spans="66:69" x14ac:dyDescent="0.2">
      <c r="BN6974" s="192"/>
      <c r="BO6974" s="197"/>
      <c r="BP6974" s="197"/>
      <c r="BQ6974" s="197"/>
    </row>
    <row r="6975" spans="66:69" x14ac:dyDescent="0.2">
      <c r="BN6975" s="192"/>
      <c r="BO6975" s="197"/>
      <c r="BP6975" s="197"/>
      <c r="BQ6975" s="197"/>
    </row>
    <row r="6976" spans="66:69" x14ac:dyDescent="0.2">
      <c r="BN6976" s="192"/>
      <c r="BO6976" s="197"/>
      <c r="BP6976" s="197"/>
      <c r="BQ6976" s="197"/>
    </row>
    <row r="6977" spans="66:69" x14ac:dyDescent="0.2">
      <c r="BN6977" s="192"/>
      <c r="BO6977" s="197"/>
      <c r="BP6977" s="197"/>
      <c r="BQ6977" s="197"/>
    </row>
    <row r="6978" spans="66:69" x14ac:dyDescent="0.2">
      <c r="BN6978" s="192"/>
      <c r="BO6978" s="197"/>
      <c r="BP6978" s="197"/>
      <c r="BQ6978" s="197"/>
    </row>
    <row r="6979" spans="66:69" x14ac:dyDescent="0.2">
      <c r="BN6979" s="192"/>
      <c r="BO6979" s="197"/>
      <c r="BP6979" s="197"/>
      <c r="BQ6979" s="197"/>
    </row>
    <row r="6980" spans="66:69" x14ac:dyDescent="0.2">
      <c r="BN6980" s="192"/>
      <c r="BO6980" s="197"/>
      <c r="BP6980" s="197"/>
      <c r="BQ6980" s="197"/>
    </row>
    <row r="6981" spans="66:69" x14ac:dyDescent="0.2">
      <c r="BN6981" s="192"/>
      <c r="BO6981" s="197"/>
      <c r="BP6981" s="197"/>
      <c r="BQ6981" s="197"/>
    </row>
    <row r="6982" spans="66:69" x14ac:dyDescent="0.2">
      <c r="BN6982" s="192"/>
      <c r="BO6982" s="197"/>
      <c r="BP6982" s="197"/>
      <c r="BQ6982" s="197"/>
    </row>
    <row r="6983" spans="66:69" x14ac:dyDescent="0.2">
      <c r="BN6983" s="192"/>
      <c r="BO6983" s="197"/>
      <c r="BP6983" s="197"/>
      <c r="BQ6983" s="197"/>
    </row>
    <row r="6984" spans="66:69" x14ac:dyDescent="0.2">
      <c r="BN6984" s="192"/>
      <c r="BO6984" s="197"/>
      <c r="BP6984" s="197"/>
      <c r="BQ6984" s="197"/>
    </row>
    <row r="6985" spans="66:69" x14ac:dyDescent="0.2">
      <c r="BN6985" s="192"/>
      <c r="BO6985" s="197"/>
      <c r="BP6985" s="197"/>
      <c r="BQ6985" s="197"/>
    </row>
    <row r="6986" spans="66:69" x14ac:dyDescent="0.2">
      <c r="BN6986" s="192"/>
      <c r="BO6986" s="197"/>
      <c r="BP6986" s="197"/>
      <c r="BQ6986" s="197"/>
    </row>
    <row r="6987" spans="66:69" x14ac:dyDescent="0.2">
      <c r="BN6987" s="192"/>
      <c r="BO6987" s="197"/>
      <c r="BP6987" s="197"/>
      <c r="BQ6987" s="197"/>
    </row>
    <row r="6988" spans="66:69" x14ac:dyDescent="0.2">
      <c r="BN6988" s="192"/>
      <c r="BO6988" s="197"/>
      <c r="BP6988" s="197"/>
      <c r="BQ6988" s="197"/>
    </row>
    <row r="6989" spans="66:69" x14ac:dyDescent="0.2">
      <c r="BN6989" s="192"/>
      <c r="BO6989" s="197"/>
      <c r="BP6989" s="197"/>
      <c r="BQ6989" s="197"/>
    </row>
    <row r="6990" spans="66:69" x14ac:dyDescent="0.2">
      <c r="BN6990" s="192"/>
      <c r="BO6990" s="197"/>
      <c r="BP6990" s="197"/>
      <c r="BQ6990" s="197"/>
    </row>
    <row r="6991" spans="66:69" x14ac:dyDescent="0.2">
      <c r="BN6991" s="192"/>
      <c r="BO6991" s="197"/>
      <c r="BP6991" s="197"/>
      <c r="BQ6991" s="197"/>
    </row>
    <row r="6992" spans="66:69" x14ac:dyDescent="0.2">
      <c r="BN6992" s="192"/>
      <c r="BO6992" s="197"/>
      <c r="BP6992" s="197"/>
      <c r="BQ6992" s="197"/>
    </row>
    <row r="6993" spans="66:69" x14ac:dyDescent="0.2">
      <c r="BN6993" s="192"/>
      <c r="BO6993" s="197"/>
      <c r="BP6993" s="197"/>
      <c r="BQ6993" s="197"/>
    </row>
    <row r="6994" spans="66:69" x14ac:dyDescent="0.2">
      <c r="BN6994" s="192"/>
      <c r="BO6994" s="197"/>
      <c r="BP6994" s="197"/>
      <c r="BQ6994" s="197"/>
    </row>
    <row r="6995" spans="66:69" x14ac:dyDescent="0.2">
      <c r="BN6995" s="192"/>
      <c r="BO6995" s="197"/>
      <c r="BP6995" s="197"/>
      <c r="BQ6995" s="197"/>
    </row>
    <row r="6996" spans="66:69" x14ac:dyDescent="0.2">
      <c r="BN6996" s="192"/>
      <c r="BO6996" s="197"/>
      <c r="BP6996" s="197"/>
      <c r="BQ6996" s="197"/>
    </row>
    <row r="6997" spans="66:69" x14ac:dyDescent="0.2">
      <c r="BN6997" s="192"/>
      <c r="BO6997" s="197"/>
      <c r="BP6997" s="197"/>
      <c r="BQ6997" s="197"/>
    </row>
    <row r="6998" spans="66:69" x14ac:dyDescent="0.2">
      <c r="BN6998" s="192"/>
      <c r="BO6998" s="197"/>
      <c r="BP6998" s="197"/>
      <c r="BQ6998" s="197"/>
    </row>
    <row r="6999" spans="66:69" x14ac:dyDescent="0.2">
      <c r="BN6999" s="192"/>
      <c r="BO6999" s="197"/>
      <c r="BP6999" s="197"/>
      <c r="BQ6999" s="197"/>
    </row>
    <row r="7000" spans="66:69" x14ac:dyDescent="0.2">
      <c r="BN7000" s="192"/>
      <c r="BO7000" s="197"/>
      <c r="BP7000" s="197"/>
      <c r="BQ7000" s="197"/>
    </row>
    <row r="7001" spans="66:69" x14ac:dyDescent="0.2">
      <c r="BN7001" s="192"/>
      <c r="BO7001" s="197"/>
      <c r="BP7001" s="197"/>
      <c r="BQ7001" s="197"/>
    </row>
    <row r="7002" spans="66:69" x14ac:dyDescent="0.2">
      <c r="BN7002" s="192"/>
      <c r="BO7002" s="197"/>
      <c r="BP7002" s="197"/>
      <c r="BQ7002" s="197"/>
    </row>
    <row r="7003" spans="66:69" x14ac:dyDescent="0.2">
      <c r="BN7003" s="192"/>
      <c r="BO7003" s="197"/>
      <c r="BP7003" s="197"/>
      <c r="BQ7003" s="197"/>
    </row>
    <row r="7004" spans="66:69" x14ac:dyDescent="0.2">
      <c r="BN7004" s="192"/>
      <c r="BO7004" s="197"/>
      <c r="BP7004" s="197"/>
      <c r="BQ7004" s="197"/>
    </row>
    <row r="7005" spans="66:69" x14ac:dyDescent="0.2">
      <c r="BN7005" s="192"/>
      <c r="BO7005" s="197"/>
      <c r="BP7005" s="197"/>
      <c r="BQ7005" s="197"/>
    </row>
    <row r="7006" spans="66:69" x14ac:dyDescent="0.2">
      <c r="BN7006" s="192"/>
      <c r="BO7006" s="197"/>
      <c r="BP7006" s="197"/>
      <c r="BQ7006" s="197"/>
    </row>
    <row r="7007" spans="66:69" x14ac:dyDescent="0.2">
      <c r="BN7007" s="192"/>
      <c r="BO7007" s="197"/>
      <c r="BP7007" s="197"/>
      <c r="BQ7007" s="197"/>
    </row>
    <row r="7008" spans="66:69" x14ac:dyDescent="0.2">
      <c r="BN7008" s="192"/>
      <c r="BO7008" s="197"/>
      <c r="BP7008" s="197"/>
      <c r="BQ7008" s="197"/>
    </row>
    <row r="7009" spans="66:69" x14ac:dyDescent="0.2">
      <c r="BN7009" s="192"/>
      <c r="BO7009" s="197"/>
      <c r="BP7009" s="197"/>
      <c r="BQ7009" s="197"/>
    </row>
    <row r="7010" spans="66:69" x14ac:dyDescent="0.2">
      <c r="BN7010" s="192"/>
      <c r="BO7010" s="197"/>
      <c r="BP7010" s="197"/>
      <c r="BQ7010" s="197"/>
    </row>
    <row r="7011" spans="66:69" x14ac:dyDescent="0.2">
      <c r="BN7011" s="192"/>
      <c r="BO7011" s="197"/>
      <c r="BP7011" s="197"/>
      <c r="BQ7011" s="197"/>
    </row>
    <row r="7012" spans="66:69" x14ac:dyDescent="0.2">
      <c r="BN7012" s="192"/>
      <c r="BO7012" s="197"/>
      <c r="BP7012" s="197"/>
      <c r="BQ7012" s="197"/>
    </row>
    <row r="7013" spans="66:69" x14ac:dyDescent="0.2">
      <c r="BN7013" s="192"/>
      <c r="BO7013" s="197"/>
      <c r="BP7013" s="197"/>
      <c r="BQ7013" s="197"/>
    </row>
    <row r="7014" spans="66:69" x14ac:dyDescent="0.2">
      <c r="BN7014" s="192"/>
      <c r="BO7014" s="197"/>
      <c r="BP7014" s="197"/>
      <c r="BQ7014" s="197"/>
    </row>
    <row r="7015" spans="66:69" x14ac:dyDescent="0.2">
      <c r="BN7015" s="192"/>
      <c r="BO7015" s="197"/>
      <c r="BP7015" s="197"/>
      <c r="BQ7015" s="197"/>
    </row>
    <row r="7016" spans="66:69" x14ac:dyDescent="0.2">
      <c r="BN7016" s="192"/>
      <c r="BO7016" s="197"/>
      <c r="BP7016" s="197"/>
      <c r="BQ7016" s="197"/>
    </row>
    <row r="7017" spans="66:69" x14ac:dyDescent="0.2">
      <c r="BN7017" s="192"/>
      <c r="BO7017" s="197"/>
      <c r="BP7017" s="197"/>
      <c r="BQ7017" s="197"/>
    </row>
    <row r="7018" spans="66:69" x14ac:dyDescent="0.2">
      <c r="BN7018" s="192"/>
      <c r="BO7018" s="197"/>
      <c r="BP7018" s="197"/>
      <c r="BQ7018" s="197"/>
    </row>
    <row r="7019" spans="66:69" x14ac:dyDescent="0.2">
      <c r="BN7019" s="192"/>
      <c r="BO7019" s="197"/>
      <c r="BP7019" s="197"/>
      <c r="BQ7019" s="197"/>
    </row>
    <row r="7020" spans="66:69" x14ac:dyDescent="0.2">
      <c r="BN7020" s="192"/>
      <c r="BO7020" s="197"/>
      <c r="BP7020" s="197"/>
      <c r="BQ7020" s="197"/>
    </row>
    <row r="7021" spans="66:69" x14ac:dyDescent="0.2">
      <c r="BN7021" s="192"/>
      <c r="BO7021" s="197"/>
      <c r="BP7021" s="197"/>
      <c r="BQ7021" s="197"/>
    </row>
    <row r="7022" spans="66:69" x14ac:dyDescent="0.2">
      <c r="BN7022" s="192"/>
      <c r="BO7022" s="197"/>
      <c r="BP7022" s="197"/>
      <c r="BQ7022" s="197"/>
    </row>
    <row r="7023" spans="66:69" x14ac:dyDescent="0.2">
      <c r="BN7023" s="192"/>
      <c r="BO7023" s="197"/>
      <c r="BP7023" s="197"/>
      <c r="BQ7023" s="197"/>
    </row>
    <row r="7024" spans="66:69" x14ac:dyDescent="0.2">
      <c r="BN7024" s="192"/>
      <c r="BO7024" s="197"/>
      <c r="BP7024" s="197"/>
      <c r="BQ7024" s="197"/>
    </row>
    <row r="7025" spans="66:69" x14ac:dyDescent="0.2">
      <c r="BN7025" s="192"/>
      <c r="BO7025" s="197"/>
      <c r="BP7025" s="197"/>
      <c r="BQ7025" s="197"/>
    </row>
    <row r="7026" spans="66:69" x14ac:dyDescent="0.2">
      <c r="BN7026" s="192"/>
      <c r="BO7026" s="197"/>
      <c r="BP7026" s="197"/>
      <c r="BQ7026" s="197"/>
    </row>
    <row r="7027" spans="66:69" x14ac:dyDescent="0.2">
      <c r="BN7027" s="192"/>
      <c r="BO7027" s="197"/>
      <c r="BP7027" s="197"/>
      <c r="BQ7027" s="197"/>
    </row>
    <row r="7028" spans="66:69" x14ac:dyDescent="0.2">
      <c r="BN7028" s="192"/>
      <c r="BO7028" s="197"/>
      <c r="BP7028" s="197"/>
      <c r="BQ7028" s="197"/>
    </row>
    <row r="7029" spans="66:69" x14ac:dyDescent="0.2">
      <c r="BN7029" s="192"/>
      <c r="BO7029" s="197"/>
      <c r="BP7029" s="197"/>
      <c r="BQ7029" s="197"/>
    </row>
    <row r="7030" spans="66:69" x14ac:dyDescent="0.2">
      <c r="BN7030" s="192"/>
      <c r="BO7030" s="197"/>
      <c r="BP7030" s="197"/>
      <c r="BQ7030" s="197"/>
    </row>
    <row r="7031" spans="66:69" x14ac:dyDescent="0.2">
      <c r="BN7031" s="192"/>
      <c r="BO7031" s="197"/>
      <c r="BP7031" s="197"/>
      <c r="BQ7031" s="197"/>
    </row>
    <row r="7032" spans="66:69" x14ac:dyDescent="0.2">
      <c r="BN7032" s="192"/>
      <c r="BO7032" s="197"/>
      <c r="BP7032" s="197"/>
      <c r="BQ7032" s="197"/>
    </row>
    <row r="7033" spans="66:69" x14ac:dyDescent="0.2">
      <c r="BN7033" s="192"/>
      <c r="BO7033" s="197"/>
      <c r="BP7033" s="197"/>
      <c r="BQ7033" s="197"/>
    </row>
    <row r="7034" spans="66:69" x14ac:dyDescent="0.2">
      <c r="BN7034" s="192"/>
      <c r="BO7034" s="197"/>
      <c r="BP7034" s="197"/>
      <c r="BQ7034" s="197"/>
    </row>
    <row r="7035" spans="66:69" x14ac:dyDescent="0.2">
      <c r="BN7035" s="192"/>
      <c r="BO7035" s="197"/>
      <c r="BP7035" s="197"/>
      <c r="BQ7035" s="197"/>
    </row>
    <row r="7036" spans="66:69" x14ac:dyDescent="0.2">
      <c r="BN7036" s="192"/>
      <c r="BO7036" s="197"/>
      <c r="BP7036" s="197"/>
      <c r="BQ7036" s="197"/>
    </row>
    <row r="7037" spans="66:69" x14ac:dyDescent="0.2">
      <c r="BN7037" s="192"/>
      <c r="BO7037" s="197"/>
      <c r="BP7037" s="197"/>
      <c r="BQ7037" s="197"/>
    </row>
    <row r="7038" spans="66:69" x14ac:dyDescent="0.2">
      <c r="BN7038" s="192"/>
      <c r="BO7038" s="197"/>
      <c r="BP7038" s="197"/>
      <c r="BQ7038" s="197"/>
    </row>
    <row r="7039" spans="66:69" x14ac:dyDescent="0.2">
      <c r="BN7039" s="192"/>
      <c r="BO7039" s="197"/>
      <c r="BP7039" s="197"/>
      <c r="BQ7039" s="197"/>
    </row>
    <row r="7040" spans="66:69" x14ac:dyDescent="0.2">
      <c r="BN7040" s="192"/>
      <c r="BO7040" s="197"/>
      <c r="BP7040" s="197"/>
      <c r="BQ7040" s="197"/>
    </row>
    <row r="7041" spans="66:69" x14ac:dyDescent="0.2">
      <c r="BN7041" s="192"/>
      <c r="BO7041" s="197"/>
      <c r="BP7041" s="197"/>
      <c r="BQ7041" s="197"/>
    </row>
    <row r="7042" spans="66:69" x14ac:dyDescent="0.2">
      <c r="BN7042" s="192"/>
      <c r="BO7042" s="197"/>
      <c r="BP7042" s="197"/>
      <c r="BQ7042" s="197"/>
    </row>
    <row r="7043" spans="66:69" x14ac:dyDescent="0.2">
      <c r="BN7043" s="192"/>
      <c r="BO7043" s="197"/>
      <c r="BP7043" s="197"/>
      <c r="BQ7043" s="197"/>
    </row>
    <row r="7044" spans="66:69" x14ac:dyDescent="0.2">
      <c r="BN7044" s="192"/>
      <c r="BO7044" s="197"/>
      <c r="BP7044" s="197"/>
      <c r="BQ7044" s="197"/>
    </row>
    <row r="7045" spans="66:69" x14ac:dyDescent="0.2">
      <c r="BN7045" s="192"/>
      <c r="BO7045" s="197"/>
      <c r="BP7045" s="197"/>
      <c r="BQ7045" s="197"/>
    </row>
    <row r="7046" spans="66:69" x14ac:dyDescent="0.2">
      <c r="BN7046" s="192"/>
      <c r="BO7046" s="197"/>
      <c r="BP7046" s="197"/>
      <c r="BQ7046" s="197"/>
    </row>
    <row r="7047" spans="66:69" x14ac:dyDescent="0.2">
      <c r="BN7047" s="192"/>
      <c r="BO7047" s="197"/>
      <c r="BP7047" s="197"/>
      <c r="BQ7047" s="197"/>
    </row>
    <row r="7048" spans="66:69" x14ac:dyDescent="0.2">
      <c r="BN7048" s="192"/>
      <c r="BO7048" s="197"/>
      <c r="BP7048" s="197"/>
      <c r="BQ7048" s="197"/>
    </row>
    <row r="7049" spans="66:69" x14ac:dyDescent="0.2">
      <c r="BN7049" s="192"/>
      <c r="BO7049" s="197"/>
      <c r="BP7049" s="197"/>
      <c r="BQ7049" s="197"/>
    </row>
    <row r="7050" spans="66:69" x14ac:dyDescent="0.2">
      <c r="BN7050" s="192"/>
      <c r="BO7050" s="197"/>
      <c r="BP7050" s="197"/>
      <c r="BQ7050" s="197"/>
    </row>
    <row r="7051" spans="66:69" x14ac:dyDescent="0.2">
      <c r="BN7051" s="192"/>
      <c r="BO7051" s="197"/>
      <c r="BP7051" s="197"/>
      <c r="BQ7051" s="197"/>
    </row>
    <row r="7052" spans="66:69" x14ac:dyDescent="0.2">
      <c r="BN7052" s="192"/>
      <c r="BO7052" s="197"/>
      <c r="BP7052" s="197"/>
      <c r="BQ7052" s="197"/>
    </row>
    <row r="7053" spans="66:69" x14ac:dyDescent="0.2">
      <c r="BN7053" s="192"/>
      <c r="BO7053" s="197"/>
      <c r="BP7053" s="197"/>
      <c r="BQ7053" s="197"/>
    </row>
    <row r="7054" spans="66:69" x14ac:dyDescent="0.2">
      <c r="BN7054" s="192"/>
      <c r="BO7054" s="197"/>
      <c r="BP7054" s="197"/>
      <c r="BQ7054" s="197"/>
    </row>
    <row r="7055" spans="66:69" x14ac:dyDescent="0.2">
      <c r="BN7055" s="192"/>
      <c r="BO7055" s="197"/>
      <c r="BP7055" s="197"/>
      <c r="BQ7055" s="197"/>
    </row>
    <row r="7056" spans="66:69" x14ac:dyDescent="0.2">
      <c r="BN7056" s="192"/>
      <c r="BO7056" s="197"/>
      <c r="BP7056" s="197"/>
      <c r="BQ7056" s="197"/>
    </row>
    <row r="7057" spans="66:69" x14ac:dyDescent="0.2">
      <c r="BN7057" s="192"/>
      <c r="BO7057" s="197"/>
      <c r="BP7057" s="197"/>
      <c r="BQ7057" s="197"/>
    </row>
    <row r="7058" spans="66:69" x14ac:dyDescent="0.2">
      <c r="BN7058" s="192"/>
      <c r="BO7058" s="197"/>
      <c r="BP7058" s="197"/>
      <c r="BQ7058" s="197"/>
    </row>
    <row r="7059" spans="66:69" x14ac:dyDescent="0.2">
      <c r="BN7059" s="192"/>
      <c r="BO7059" s="197"/>
      <c r="BP7059" s="197"/>
      <c r="BQ7059" s="197"/>
    </row>
    <row r="7060" spans="66:69" x14ac:dyDescent="0.2">
      <c r="BN7060" s="192"/>
      <c r="BO7060" s="197"/>
      <c r="BP7060" s="197"/>
      <c r="BQ7060" s="197"/>
    </row>
    <row r="7061" spans="66:69" x14ac:dyDescent="0.2">
      <c r="BN7061" s="192"/>
      <c r="BO7061" s="197"/>
      <c r="BP7061" s="197"/>
      <c r="BQ7061" s="197"/>
    </row>
    <row r="7062" spans="66:69" x14ac:dyDescent="0.2">
      <c r="BN7062" s="192"/>
      <c r="BO7062" s="197"/>
      <c r="BP7062" s="197"/>
      <c r="BQ7062" s="197"/>
    </row>
    <row r="7063" spans="66:69" x14ac:dyDescent="0.2">
      <c r="BN7063" s="192"/>
      <c r="BO7063" s="197"/>
      <c r="BP7063" s="197"/>
      <c r="BQ7063" s="197"/>
    </row>
    <row r="7064" spans="66:69" x14ac:dyDescent="0.2">
      <c r="BN7064" s="192"/>
      <c r="BO7064" s="197"/>
      <c r="BP7064" s="197"/>
      <c r="BQ7064" s="197"/>
    </row>
    <row r="7065" spans="66:69" x14ac:dyDescent="0.2">
      <c r="BN7065" s="192"/>
      <c r="BO7065" s="197"/>
      <c r="BP7065" s="197"/>
      <c r="BQ7065" s="197"/>
    </row>
    <row r="7066" spans="66:69" x14ac:dyDescent="0.2">
      <c r="BN7066" s="192"/>
      <c r="BO7066" s="197"/>
      <c r="BP7066" s="197"/>
      <c r="BQ7066" s="197"/>
    </row>
    <row r="7067" spans="66:69" x14ac:dyDescent="0.2">
      <c r="BN7067" s="192"/>
      <c r="BO7067" s="197"/>
      <c r="BP7067" s="197"/>
      <c r="BQ7067" s="197"/>
    </row>
    <row r="7068" spans="66:69" x14ac:dyDescent="0.2">
      <c r="BN7068" s="192"/>
      <c r="BO7068" s="197"/>
      <c r="BP7068" s="197"/>
      <c r="BQ7068" s="197"/>
    </row>
    <row r="7069" spans="66:69" x14ac:dyDescent="0.2">
      <c r="BN7069" s="192"/>
      <c r="BO7069" s="197"/>
      <c r="BP7069" s="197"/>
      <c r="BQ7069" s="197"/>
    </row>
    <row r="7070" spans="66:69" x14ac:dyDescent="0.2">
      <c r="BN7070" s="192"/>
      <c r="BO7070" s="197"/>
      <c r="BP7070" s="197"/>
      <c r="BQ7070" s="197"/>
    </row>
    <row r="7071" spans="66:69" x14ac:dyDescent="0.2">
      <c r="BN7071" s="192"/>
      <c r="BO7071" s="197"/>
      <c r="BP7071" s="197"/>
      <c r="BQ7071" s="197"/>
    </row>
    <row r="7072" spans="66:69" x14ac:dyDescent="0.2">
      <c r="BN7072" s="192"/>
      <c r="BO7072" s="197"/>
      <c r="BP7072" s="197"/>
      <c r="BQ7072" s="197"/>
    </row>
    <row r="7073" spans="66:69" x14ac:dyDescent="0.2">
      <c r="BN7073" s="192"/>
      <c r="BO7073" s="197"/>
      <c r="BP7073" s="197"/>
      <c r="BQ7073" s="197"/>
    </row>
    <row r="7074" spans="66:69" x14ac:dyDescent="0.2">
      <c r="BN7074" s="192"/>
      <c r="BO7074" s="197"/>
      <c r="BP7074" s="197"/>
      <c r="BQ7074" s="197"/>
    </row>
    <row r="7075" spans="66:69" x14ac:dyDescent="0.2">
      <c r="BN7075" s="192"/>
      <c r="BO7075" s="197"/>
      <c r="BP7075" s="197"/>
      <c r="BQ7075" s="197"/>
    </row>
    <row r="7076" spans="66:69" x14ac:dyDescent="0.2">
      <c r="BN7076" s="192"/>
      <c r="BO7076" s="197"/>
      <c r="BP7076" s="197"/>
      <c r="BQ7076" s="197"/>
    </row>
    <row r="7077" spans="66:69" x14ac:dyDescent="0.2">
      <c r="BN7077" s="192"/>
      <c r="BO7077" s="197"/>
      <c r="BP7077" s="197"/>
      <c r="BQ7077" s="197"/>
    </row>
    <row r="7078" spans="66:69" x14ac:dyDescent="0.2">
      <c r="BN7078" s="192"/>
      <c r="BO7078" s="197"/>
      <c r="BP7078" s="197"/>
      <c r="BQ7078" s="197"/>
    </row>
    <row r="7079" spans="66:69" x14ac:dyDescent="0.2">
      <c r="BN7079" s="192"/>
      <c r="BO7079" s="197"/>
      <c r="BP7079" s="197"/>
      <c r="BQ7079" s="197"/>
    </row>
    <row r="7080" spans="66:69" x14ac:dyDescent="0.2">
      <c r="BN7080" s="192"/>
      <c r="BO7080" s="197"/>
      <c r="BP7080" s="197"/>
      <c r="BQ7080" s="197"/>
    </row>
    <row r="7081" spans="66:69" x14ac:dyDescent="0.2">
      <c r="BN7081" s="192"/>
      <c r="BO7081" s="197"/>
      <c r="BP7081" s="197"/>
      <c r="BQ7081" s="197"/>
    </row>
    <row r="7082" spans="66:69" x14ac:dyDescent="0.2">
      <c r="BN7082" s="192"/>
      <c r="BO7082" s="197"/>
      <c r="BP7082" s="197"/>
      <c r="BQ7082" s="197"/>
    </row>
    <row r="7083" spans="66:69" x14ac:dyDescent="0.2">
      <c r="BN7083" s="192"/>
      <c r="BO7083" s="197"/>
      <c r="BP7083" s="197"/>
      <c r="BQ7083" s="197"/>
    </row>
    <row r="7084" spans="66:69" x14ac:dyDescent="0.2">
      <c r="BN7084" s="192"/>
      <c r="BO7084" s="197"/>
      <c r="BP7084" s="197"/>
      <c r="BQ7084" s="197"/>
    </row>
    <row r="7085" spans="66:69" x14ac:dyDescent="0.2">
      <c r="BN7085" s="192"/>
      <c r="BO7085" s="197"/>
      <c r="BP7085" s="197"/>
      <c r="BQ7085" s="197"/>
    </row>
    <row r="7086" spans="66:69" x14ac:dyDescent="0.2">
      <c r="BN7086" s="192"/>
      <c r="BO7086" s="197"/>
      <c r="BP7086" s="197"/>
      <c r="BQ7086" s="197"/>
    </row>
    <row r="7087" spans="66:69" x14ac:dyDescent="0.2">
      <c r="BN7087" s="192"/>
      <c r="BO7087" s="197"/>
      <c r="BP7087" s="197"/>
      <c r="BQ7087" s="197"/>
    </row>
    <row r="7088" spans="66:69" x14ac:dyDescent="0.2">
      <c r="BN7088" s="192"/>
      <c r="BO7088" s="197"/>
      <c r="BP7088" s="197"/>
      <c r="BQ7088" s="197"/>
    </row>
    <row r="7089" spans="66:69" x14ac:dyDescent="0.2">
      <c r="BN7089" s="192"/>
      <c r="BO7089" s="197"/>
      <c r="BP7089" s="197"/>
      <c r="BQ7089" s="197"/>
    </row>
    <row r="7090" spans="66:69" x14ac:dyDescent="0.2">
      <c r="BN7090" s="192"/>
      <c r="BO7090" s="197"/>
      <c r="BP7090" s="197"/>
      <c r="BQ7090" s="197"/>
    </row>
    <row r="7091" spans="66:69" x14ac:dyDescent="0.2">
      <c r="BN7091" s="192"/>
      <c r="BO7091" s="197"/>
      <c r="BP7091" s="197"/>
      <c r="BQ7091" s="197"/>
    </row>
    <row r="7092" spans="66:69" x14ac:dyDescent="0.2">
      <c r="BN7092" s="192"/>
      <c r="BO7092" s="197"/>
      <c r="BP7092" s="197"/>
      <c r="BQ7092" s="197"/>
    </row>
    <row r="7093" spans="66:69" x14ac:dyDescent="0.2">
      <c r="BN7093" s="192"/>
      <c r="BO7093" s="197"/>
      <c r="BP7093" s="197"/>
      <c r="BQ7093" s="197"/>
    </row>
    <row r="7094" spans="66:69" x14ac:dyDescent="0.2">
      <c r="BN7094" s="192"/>
      <c r="BO7094" s="197"/>
      <c r="BP7094" s="197"/>
      <c r="BQ7094" s="197"/>
    </row>
    <row r="7095" spans="66:69" x14ac:dyDescent="0.2">
      <c r="BN7095" s="192"/>
      <c r="BO7095" s="197"/>
      <c r="BP7095" s="197"/>
      <c r="BQ7095" s="197"/>
    </row>
    <row r="7096" spans="66:69" x14ac:dyDescent="0.2">
      <c r="BN7096" s="192"/>
      <c r="BO7096" s="197"/>
      <c r="BP7096" s="197"/>
      <c r="BQ7096" s="197"/>
    </row>
    <row r="7097" spans="66:69" x14ac:dyDescent="0.2">
      <c r="BN7097" s="192"/>
      <c r="BO7097" s="197"/>
      <c r="BP7097" s="197"/>
      <c r="BQ7097" s="197"/>
    </row>
    <row r="7098" spans="66:69" x14ac:dyDescent="0.2">
      <c r="BN7098" s="192"/>
      <c r="BO7098" s="197"/>
      <c r="BP7098" s="197"/>
      <c r="BQ7098" s="197"/>
    </row>
    <row r="7099" spans="66:69" x14ac:dyDescent="0.2">
      <c r="BN7099" s="192"/>
      <c r="BO7099" s="197"/>
      <c r="BP7099" s="197"/>
      <c r="BQ7099" s="197"/>
    </row>
    <row r="7100" spans="66:69" x14ac:dyDescent="0.2">
      <c r="BN7100" s="192"/>
      <c r="BO7100" s="197"/>
      <c r="BP7100" s="197"/>
      <c r="BQ7100" s="197"/>
    </row>
    <row r="7101" spans="66:69" x14ac:dyDescent="0.2">
      <c r="BN7101" s="192"/>
      <c r="BO7101" s="197"/>
      <c r="BP7101" s="197"/>
      <c r="BQ7101" s="197"/>
    </row>
    <row r="7102" spans="66:69" x14ac:dyDescent="0.2">
      <c r="BN7102" s="192"/>
      <c r="BO7102" s="197"/>
      <c r="BP7102" s="197"/>
      <c r="BQ7102" s="197"/>
    </row>
    <row r="7103" spans="66:69" x14ac:dyDescent="0.2">
      <c r="BN7103" s="192"/>
      <c r="BO7103" s="197"/>
      <c r="BP7103" s="197"/>
      <c r="BQ7103" s="197"/>
    </row>
    <row r="7104" spans="66:69" x14ac:dyDescent="0.2">
      <c r="BN7104" s="192"/>
      <c r="BO7104" s="197"/>
      <c r="BP7104" s="197"/>
      <c r="BQ7104" s="197"/>
    </row>
    <row r="7105" spans="66:69" x14ac:dyDescent="0.2">
      <c r="BN7105" s="192"/>
      <c r="BO7105" s="197"/>
      <c r="BP7105" s="197"/>
      <c r="BQ7105" s="197"/>
    </row>
    <row r="7106" spans="66:69" x14ac:dyDescent="0.2">
      <c r="BN7106" s="192"/>
      <c r="BO7106" s="197"/>
      <c r="BP7106" s="197"/>
      <c r="BQ7106" s="197"/>
    </row>
    <row r="7107" spans="66:69" x14ac:dyDescent="0.2">
      <c r="BN7107" s="192"/>
      <c r="BO7107" s="197"/>
      <c r="BP7107" s="197"/>
      <c r="BQ7107" s="197"/>
    </row>
    <row r="7108" spans="66:69" x14ac:dyDescent="0.2">
      <c r="BN7108" s="192"/>
      <c r="BO7108" s="197"/>
      <c r="BP7108" s="197"/>
      <c r="BQ7108" s="197"/>
    </row>
    <row r="7109" spans="66:69" x14ac:dyDescent="0.2">
      <c r="BN7109" s="192"/>
      <c r="BO7109" s="197"/>
      <c r="BP7109" s="197"/>
      <c r="BQ7109" s="197"/>
    </row>
    <row r="7110" spans="66:69" x14ac:dyDescent="0.2">
      <c r="BN7110" s="192"/>
      <c r="BO7110" s="197"/>
      <c r="BP7110" s="197"/>
      <c r="BQ7110" s="197"/>
    </row>
    <row r="7111" spans="66:69" x14ac:dyDescent="0.2">
      <c r="BN7111" s="192"/>
      <c r="BO7111" s="197"/>
      <c r="BP7111" s="197"/>
      <c r="BQ7111" s="197"/>
    </row>
    <row r="7112" spans="66:69" x14ac:dyDescent="0.2">
      <c r="BN7112" s="192"/>
      <c r="BO7112" s="197"/>
      <c r="BP7112" s="197"/>
      <c r="BQ7112" s="197"/>
    </row>
    <row r="7113" spans="66:69" x14ac:dyDescent="0.2">
      <c r="BN7113" s="192"/>
      <c r="BO7113" s="197"/>
      <c r="BP7113" s="197"/>
      <c r="BQ7113" s="197"/>
    </row>
    <row r="7114" spans="66:69" x14ac:dyDescent="0.2">
      <c r="BN7114" s="192"/>
      <c r="BO7114" s="197"/>
      <c r="BP7114" s="197"/>
      <c r="BQ7114" s="197"/>
    </row>
    <row r="7115" spans="66:69" x14ac:dyDescent="0.2">
      <c r="BN7115" s="192"/>
      <c r="BO7115" s="197"/>
      <c r="BP7115" s="197"/>
      <c r="BQ7115" s="197"/>
    </row>
    <row r="7116" spans="66:69" x14ac:dyDescent="0.2">
      <c r="BN7116" s="192"/>
      <c r="BO7116" s="197"/>
      <c r="BP7116" s="197"/>
      <c r="BQ7116" s="197"/>
    </row>
    <row r="7117" spans="66:69" x14ac:dyDescent="0.2">
      <c r="BN7117" s="192"/>
      <c r="BO7117" s="197"/>
      <c r="BP7117" s="197"/>
      <c r="BQ7117" s="197"/>
    </row>
    <row r="7118" spans="66:69" x14ac:dyDescent="0.2">
      <c r="BN7118" s="192"/>
      <c r="BO7118" s="197"/>
      <c r="BP7118" s="197"/>
      <c r="BQ7118" s="197"/>
    </row>
    <row r="7119" spans="66:69" x14ac:dyDescent="0.2">
      <c r="BN7119" s="192"/>
      <c r="BO7119" s="197"/>
      <c r="BP7119" s="197"/>
      <c r="BQ7119" s="197"/>
    </row>
    <row r="7120" spans="66:69" x14ac:dyDescent="0.2">
      <c r="BN7120" s="192"/>
      <c r="BO7120" s="197"/>
      <c r="BP7120" s="197"/>
      <c r="BQ7120" s="197"/>
    </row>
    <row r="7121" spans="66:69" x14ac:dyDescent="0.2">
      <c r="BN7121" s="192"/>
      <c r="BO7121" s="197"/>
      <c r="BP7121" s="197"/>
      <c r="BQ7121" s="197"/>
    </row>
    <row r="7122" spans="66:69" x14ac:dyDescent="0.2">
      <c r="BN7122" s="192"/>
      <c r="BO7122" s="197"/>
      <c r="BP7122" s="197"/>
      <c r="BQ7122" s="197"/>
    </row>
    <row r="7123" spans="66:69" x14ac:dyDescent="0.2">
      <c r="BN7123" s="192"/>
      <c r="BO7123" s="197"/>
      <c r="BP7123" s="197"/>
      <c r="BQ7123" s="197"/>
    </row>
    <row r="7124" spans="66:69" x14ac:dyDescent="0.2">
      <c r="BN7124" s="192"/>
      <c r="BO7124" s="197"/>
      <c r="BP7124" s="197"/>
      <c r="BQ7124" s="197"/>
    </row>
    <row r="7125" spans="66:69" x14ac:dyDescent="0.2">
      <c r="BN7125" s="192"/>
      <c r="BO7125" s="197"/>
      <c r="BP7125" s="197"/>
      <c r="BQ7125" s="197"/>
    </row>
    <row r="7126" spans="66:69" x14ac:dyDescent="0.2">
      <c r="BN7126" s="192"/>
      <c r="BO7126" s="197"/>
      <c r="BP7126" s="197"/>
      <c r="BQ7126" s="197"/>
    </row>
    <row r="7127" spans="66:69" x14ac:dyDescent="0.2">
      <c r="BN7127" s="192"/>
      <c r="BO7127" s="197"/>
      <c r="BP7127" s="197"/>
      <c r="BQ7127" s="197"/>
    </row>
    <row r="7128" spans="66:69" x14ac:dyDescent="0.2">
      <c r="BN7128" s="192"/>
      <c r="BO7128" s="197"/>
      <c r="BP7128" s="197"/>
      <c r="BQ7128" s="197"/>
    </row>
    <row r="7129" spans="66:69" x14ac:dyDescent="0.2">
      <c r="BN7129" s="192"/>
      <c r="BO7129" s="197"/>
      <c r="BP7129" s="197"/>
      <c r="BQ7129" s="197"/>
    </row>
    <row r="7130" spans="66:69" x14ac:dyDescent="0.2">
      <c r="BN7130" s="192"/>
      <c r="BO7130" s="197"/>
      <c r="BP7130" s="197"/>
      <c r="BQ7130" s="197"/>
    </row>
    <row r="7131" spans="66:69" x14ac:dyDescent="0.2">
      <c r="BN7131" s="192"/>
      <c r="BO7131" s="197"/>
      <c r="BP7131" s="197"/>
      <c r="BQ7131" s="197"/>
    </row>
    <row r="7132" spans="66:69" x14ac:dyDescent="0.2">
      <c r="BN7132" s="192"/>
      <c r="BO7132" s="197"/>
      <c r="BP7132" s="197"/>
      <c r="BQ7132" s="197"/>
    </row>
    <row r="7133" spans="66:69" x14ac:dyDescent="0.2">
      <c r="BN7133" s="192"/>
      <c r="BO7133" s="197"/>
      <c r="BP7133" s="197"/>
      <c r="BQ7133" s="197"/>
    </row>
    <row r="7134" spans="66:69" x14ac:dyDescent="0.2">
      <c r="BN7134" s="192"/>
      <c r="BO7134" s="197"/>
      <c r="BP7134" s="197"/>
      <c r="BQ7134" s="197"/>
    </row>
    <row r="7135" spans="66:69" x14ac:dyDescent="0.2">
      <c r="BN7135" s="192"/>
      <c r="BO7135" s="197"/>
      <c r="BP7135" s="197"/>
      <c r="BQ7135" s="197"/>
    </row>
    <row r="7136" spans="66:69" x14ac:dyDescent="0.2">
      <c r="BN7136" s="192"/>
      <c r="BO7136" s="197"/>
      <c r="BP7136" s="197"/>
      <c r="BQ7136" s="197"/>
    </row>
    <row r="7137" spans="66:69" x14ac:dyDescent="0.2">
      <c r="BN7137" s="192"/>
      <c r="BO7137" s="197"/>
      <c r="BP7137" s="197"/>
      <c r="BQ7137" s="197"/>
    </row>
    <row r="7138" spans="66:69" x14ac:dyDescent="0.2">
      <c r="BN7138" s="192"/>
      <c r="BO7138" s="197"/>
      <c r="BP7138" s="197"/>
      <c r="BQ7138" s="197"/>
    </row>
    <row r="7139" spans="66:69" x14ac:dyDescent="0.2">
      <c r="BN7139" s="192"/>
      <c r="BO7139" s="197"/>
      <c r="BP7139" s="197"/>
      <c r="BQ7139" s="197"/>
    </row>
    <row r="7140" spans="66:69" x14ac:dyDescent="0.2">
      <c r="BN7140" s="192"/>
      <c r="BO7140" s="197"/>
      <c r="BP7140" s="197"/>
      <c r="BQ7140" s="197"/>
    </row>
    <row r="7141" spans="66:69" x14ac:dyDescent="0.2">
      <c r="BN7141" s="192"/>
      <c r="BO7141" s="197"/>
      <c r="BP7141" s="197"/>
      <c r="BQ7141" s="197"/>
    </row>
    <row r="7142" spans="66:69" x14ac:dyDescent="0.2">
      <c r="BN7142" s="192"/>
      <c r="BO7142" s="197"/>
      <c r="BP7142" s="197"/>
      <c r="BQ7142" s="197"/>
    </row>
    <row r="7143" spans="66:69" x14ac:dyDescent="0.2">
      <c r="BN7143" s="192"/>
      <c r="BO7143" s="197"/>
      <c r="BP7143" s="197"/>
      <c r="BQ7143" s="197"/>
    </row>
    <row r="7144" spans="66:69" x14ac:dyDescent="0.2">
      <c r="BN7144" s="192"/>
      <c r="BO7144" s="197"/>
      <c r="BP7144" s="197"/>
      <c r="BQ7144" s="197"/>
    </row>
    <row r="7145" spans="66:69" x14ac:dyDescent="0.2">
      <c r="BN7145" s="192"/>
      <c r="BO7145" s="197"/>
      <c r="BP7145" s="197"/>
      <c r="BQ7145" s="197"/>
    </row>
    <row r="7146" spans="66:69" x14ac:dyDescent="0.2">
      <c r="BN7146" s="192"/>
      <c r="BO7146" s="197"/>
      <c r="BP7146" s="197"/>
      <c r="BQ7146" s="197"/>
    </row>
    <row r="7147" spans="66:69" x14ac:dyDescent="0.2">
      <c r="BN7147" s="192"/>
      <c r="BO7147" s="197"/>
      <c r="BP7147" s="197"/>
      <c r="BQ7147" s="197"/>
    </row>
    <row r="7148" spans="66:69" x14ac:dyDescent="0.2">
      <c r="BN7148" s="192"/>
      <c r="BO7148" s="197"/>
      <c r="BP7148" s="197"/>
      <c r="BQ7148" s="197"/>
    </row>
    <row r="7149" spans="66:69" x14ac:dyDescent="0.2">
      <c r="BN7149" s="192"/>
      <c r="BO7149" s="197"/>
      <c r="BP7149" s="197"/>
      <c r="BQ7149" s="197"/>
    </row>
    <row r="7150" spans="66:69" x14ac:dyDescent="0.2">
      <c r="BN7150" s="192"/>
      <c r="BO7150" s="197"/>
      <c r="BP7150" s="197"/>
      <c r="BQ7150" s="197"/>
    </row>
    <row r="7151" spans="66:69" x14ac:dyDescent="0.2">
      <c r="BN7151" s="192"/>
      <c r="BO7151" s="197"/>
      <c r="BP7151" s="197"/>
      <c r="BQ7151" s="197"/>
    </row>
    <row r="7152" spans="66:69" x14ac:dyDescent="0.2">
      <c r="BN7152" s="192"/>
      <c r="BO7152" s="197"/>
      <c r="BP7152" s="197"/>
      <c r="BQ7152" s="197"/>
    </row>
    <row r="7153" spans="66:69" x14ac:dyDescent="0.2">
      <c r="BN7153" s="192"/>
      <c r="BO7153" s="197"/>
      <c r="BP7153" s="197"/>
      <c r="BQ7153" s="197"/>
    </row>
    <row r="7154" spans="66:69" x14ac:dyDescent="0.2">
      <c r="BN7154" s="192"/>
      <c r="BO7154" s="197"/>
      <c r="BP7154" s="197"/>
      <c r="BQ7154" s="197"/>
    </row>
    <row r="7155" spans="66:69" x14ac:dyDescent="0.2">
      <c r="BN7155" s="192"/>
      <c r="BO7155" s="197"/>
      <c r="BP7155" s="197"/>
      <c r="BQ7155" s="197"/>
    </row>
    <row r="7156" spans="66:69" x14ac:dyDescent="0.2">
      <c r="BN7156" s="192"/>
      <c r="BO7156" s="197"/>
      <c r="BP7156" s="197"/>
      <c r="BQ7156" s="197"/>
    </row>
    <row r="7157" spans="66:69" x14ac:dyDescent="0.2">
      <c r="BN7157" s="192"/>
      <c r="BO7157" s="197"/>
      <c r="BP7157" s="197"/>
      <c r="BQ7157" s="197"/>
    </row>
    <row r="7158" spans="66:69" x14ac:dyDescent="0.2">
      <c r="BN7158" s="192"/>
      <c r="BO7158" s="197"/>
      <c r="BP7158" s="197"/>
      <c r="BQ7158" s="197"/>
    </row>
    <row r="7159" spans="66:69" x14ac:dyDescent="0.2">
      <c r="BN7159" s="192"/>
      <c r="BO7159" s="197"/>
      <c r="BP7159" s="197"/>
      <c r="BQ7159" s="197"/>
    </row>
    <row r="7160" spans="66:69" x14ac:dyDescent="0.2">
      <c r="BN7160" s="192"/>
      <c r="BO7160" s="197"/>
      <c r="BP7160" s="197"/>
      <c r="BQ7160" s="197"/>
    </row>
    <row r="7161" spans="66:69" x14ac:dyDescent="0.2">
      <c r="BN7161" s="192"/>
      <c r="BO7161" s="197"/>
      <c r="BP7161" s="197"/>
      <c r="BQ7161" s="197"/>
    </row>
    <row r="7162" spans="66:69" x14ac:dyDescent="0.2">
      <c r="BN7162" s="192"/>
      <c r="BO7162" s="197"/>
      <c r="BP7162" s="197"/>
      <c r="BQ7162" s="197"/>
    </row>
    <row r="7163" spans="66:69" x14ac:dyDescent="0.2">
      <c r="BN7163" s="192"/>
      <c r="BO7163" s="197"/>
      <c r="BP7163" s="197"/>
      <c r="BQ7163" s="197"/>
    </row>
    <row r="7164" spans="66:69" x14ac:dyDescent="0.2">
      <c r="BN7164" s="192"/>
      <c r="BO7164" s="197"/>
      <c r="BP7164" s="197"/>
      <c r="BQ7164" s="197"/>
    </row>
    <row r="7165" spans="66:69" x14ac:dyDescent="0.2">
      <c r="BN7165" s="192"/>
      <c r="BO7165" s="197"/>
      <c r="BP7165" s="197"/>
      <c r="BQ7165" s="197"/>
    </row>
    <row r="7166" spans="66:69" x14ac:dyDescent="0.2">
      <c r="BN7166" s="192"/>
      <c r="BO7166" s="197"/>
      <c r="BP7166" s="197"/>
      <c r="BQ7166" s="197"/>
    </row>
    <row r="7167" spans="66:69" x14ac:dyDescent="0.2">
      <c r="BN7167" s="192"/>
      <c r="BO7167" s="197"/>
      <c r="BP7167" s="197"/>
      <c r="BQ7167" s="197"/>
    </row>
    <row r="7168" spans="66:69" x14ac:dyDescent="0.2">
      <c r="BN7168" s="192"/>
      <c r="BO7168" s="197"/>
      <c r="BP7168" s="197"/>
      <c r="BQ7168" s="197"/>
    </row>
    <row r="7169" spans="66:69" x14ac:dyDescent="0.2">
      <c r="BN7169" s="192"/>
      <c r="BO7169" s="197"/>
      <c r="BP7169" s="197"/>
      <c r="BQ7169" s="197"/>
    </row>
    <row r="7170" spans="66:69" x14ac:dyDescent="0.2">
      <c r="BN7170" s="192"/>
      <c r="BO7170" s="197"/>
      <c r="BP7170" s="197"/>
      <c r="BQ7170" s="197"/>
    </row>
    <row r="7171" spans="66:69" x14ac:dyDescent="0.2">
      <c r="BN7171" s="192"/>
      <c r="BO7171" s="197"/>
      <c r="BP7171" s="197"/>
      <c r="BQ7171" s="197"/>
    </row>
    <row r="7172" spans="66:69" x14ac:dyDescent="0.2">
      <c r="BN7172" s="192"/>
      <c r="BO7172" s="197"/>
      <c r="BP7172" s="197"/>
      <c r="BQ7172" s="197"/>
    </row>
    <row r="7173" spans="66:69" x14ac:dyDescent="0.2">
      <c r="BN7173" s="192"/>
      <c r="BO7173" s="197"/>
      <c r="BP7173" s="197"/>
      <c r="BQ7173" s="197"/>
    </row>
    <row r="7174" spans="66:69" x14ac:dyDescent="0.2">
      <c r="BN7174" s="192"/>
      <c r="BO7174" s="197"/>
      <c r="BP7174" s="197"/>
      <c r="BQ7174" s="197"/>
    </row>
    <row r="7175" spans="66:69" x14ac:dyDescent="0.2">
      <c r="BN7175" s="192"/>
      <c r="BO7175" s="197"/>
      <c r="BP7175" s="197"/>
      <c r="BQ7175" s="197"/>
    </row>
    <row r="7176" spans="66:69" x14ac:dyDescent="0.2">
      <c r="BN7176" s="192"/>
      <c r="BO7176" s="197"/>
      <c r="BP7176" s="197"/>
      <c r="BQ7176" s="197"/>
    </row>
    <row r="7177" spans="66:69" x14ac:dyDescent="0.2">
      <c r="BN7177" s="192"/>
      <c r="BO7177" s="197"/>
      <c r="BP7177" s="197"/>
      <c r="BQ7177" s="197"/>
    </row>
    <row r="7178" spans="66:69" x14ac:dyDescent="0.2">
      <c r="BN7178" s="192"/>
      <c r="BO7178" s="197"/>
      <c r="BP7178" s="197"/>
      <c r="BQ7178" s="197"/>
    </row>
    <row r="7179" spans="66:69" x14ac:dyDescent="0.2">
      <c r="BN7179" s="192"/>
      <c r="BO7179" s="197"/>
      <c r="BP7179" s="197"/>
      <c r="BQ7179" s="197"/>
    </row>
    <row r="7180" spans="66:69" x14ac:dyDescent="0.2">
      <c r="BN7180" s="192"/>
      <c r="BO7180" s="197"/>
      <c r="BP7180" s="197"/>
      <c r="BQ7180" s="197"/>
    </row>
    <row r="7181" spans="66:69" x14ac:dyDescent="0.2">
      <c r="BN7181" s="192"/>
      <c r="BO7181" s="197"/>
      <c r="BP7181" s="197"/>
      <c r="BQ7181" s="197"/>
    </row>
    <row r="7182" spans="66:69" x14ac:dyDescent="0.2">
      <c r="BN7182" s="192"/>
      <c r="BO7182" s="197"/>
      <c r="BP7182" s="197"/>
      <c r="BQ7182" s="197"/>
    </row>
    <row r="7183" spans="66:69" x14ac:dyDescent="0.2">
      <c r="BN7183" s="192"/>
      <c r="BO7183" s="197"/>
      <c r="BP7183" s="197"/>
      <c r="BQ7183" s="197"/>
    </row>
    <row r="7184" spans="66:69" x14ac:dyDescent="0.2">
      <c r="BN7184" s="192"/>
      <c r="BO7184" s="197"/>
      <c r="BP7184" s="197"/>
      <c r="BQ7184" s="197"/>
    </row>
    <row r="7185" spans="66:69" x14ac:dyDescent="0.2">
      <c r="BN7185" s="192"/>
      <c r="BO7185" s="197"/>
      <c r="BP7185" s="197"/>
      <c r="BQ7185" s="197"/>
    </row>
    <row r="7186" spans="66:69" x14ac:dyDescent="0.2">
      <c r="BN7186" s="192"/>
      <c r="BO7186" s="197"/>
      <c r="BP7186" s="197"/>
      <c r="BQ7186" s="197"/>
    </row>
    <row r="7187" spans="66:69" x14ac:dyDescent="0.2">
      <c r="BN7187" s="192"/>
      <c r="BO7187" s="197"/>
      <c r="BP7187" s="197"/>
      <c r="BQ7187" s="197"/>
    </row>
    <row r="7188" spans="66:69" x14ac:dyDescent="0.2">
      <c r="BN7188" s="192"/>
      <c r="BO7188" s="197"/>
      <c r="BP7188" s="197"/>
      <c r="BQ7188" s="197"/>
    </row>
    <row r="7189" spans="66:69" x14ac:dyDescent="0.2">
      <c r="BN7189" s="192"/>
      <c r="BO7189" s="197"/>
      <c r="BP7189" s="197"/>
      <c r="BQ7189" s="197"/>
    </row>
    <row r="7190" spans="66:69" x14ac:dyDescent="0.2">
      <c r="BN7190" s="192"/>
      <c r="BO7190" s="197"/>
      <c r="BP7190" s="197"/>
      <c r="BQ7190" s="197"/>
    </row>
    <row r="7191" spans="66:69" x14ac:dyDescent="0.2">
      <c r="BN7191" s="192"/>
      <c r="BO7191" s="197"/>
      <c r="BP7191" s="197"/>
      <c r="BQ7191" s="197"/>
    </row>
    <row r="7192" spans="66:69" x14ac:dyDescent="0.2">
      <c r="BN7192" s="192"/>
      <c r="BO7192" s="197"/>
      <c r="BP7192" s="197"/>
      <c r="BQ7192" s="197"/>
    </row>
    <row r="7193" spans="66:69" x14ac:dyDescent="0.2">
      <c r="BN7193" s="192"/>
      <c r="BO7193" s="197"/>
      <c r="BP7193" s="197"/>
      <c r="BQ7193" s="197"/>
    </row>
    <row r="7194" spans="66:69" x14ac:dyDescent="0.2">
      <c r="BN7194" s="192"/>
      <c r="BO7194" s="197"/>
      <c r="BP7194" s="197"/>
      <c r="BQ7194" s="197"/>
    </row>
    <row r="7195" spans="66:69" x14ac:dyDescent="0.2">
      <c r="BN7195" s="192"/>
      <c r="BO7195" s="197"/>
      <c r="BP7195" s="197"/>
      <c r="BQ7195" s="197"/>
    </row>
    <row r="7196" spans="66:69" x14ac:dyDescent="0.2">
      <c r="BN7196" s="192"/>
      <c r="BO7196" s="197"/>
      <c r="BP7196" s="197"/>
      <c r="BQ7196" s="197"/>
    </row>
    <row r="7197" spans="66:69" x14ac:dyDescent="0.2">
      <c r="BN7197" s="192"/>
      <c r="BO7197" s="197"/>
      <c r="BP7197" s="197"/>
      <c r="BQ7197" s="197"/>
    </row>
    <row r="7198" spans="66:69" x14ac:dyDescent="0.2">
      <c r="BN7198" s="192"/>
      <c r="BO7198" s="197"/>
      <c r="BP7198" s="197"/>
      <c r="BQ7198" s="197"/>
    </row>
    <row r="7199" spans="66:69" x14ac:dyDescent="0.2">
      <c r="BN7199" s="192"/>
      <c r="BO7199" s="197"/>
      <c r="BP7199" s="197"/>
      <c r="BQ7199" s="197"/>
    </row>
    <row r="7200" spans="66:69" x14ac:dyDescent="0.2">
      <c r="BN7200" s="192"/>
      <c r="BO7200" s="197"/>
      <c r="BP7200" s="197"/>
      <c r="BQ7200" s="197"/>
    </row>
    <row r="7201" spans="66:69" x14ac:dyDescent="0.2">
      <c r="BN7201" s="192"/>
      <c r="BO7201" s="197"/>
      <c r="BP7201" s="197"/>
      <c r="BQ7201" s="197"/>
    </row>
    <row r="7202" spans="66:69" x14ac:dyDescent="0.2">
      <c r="BN7202" s="192"/>
      <c r="BO7202" s="197"/>
      <c r="BP7202" s="197"/>
      <c r="BQ7202" s="197"/>
    </row>
    <row r="7203" spans="66:69" x14ac:dyDescent="0.2">
      <c r="BN7203" s="192"/>
      <c r="BO7203" s="197"/>
      <c r="BP7203" s="197"/>
      <c r="BQ7203" s="197"/>
    </row>
    <row r="7204" spans="66:69" x14ac:dyDescent="0.2">
      <c r="BN7204" s="192"/>
      <c r="BO7204" s="197"/>
      <c r="BP7204" s="197"/>
      <c r="BQ7204" s="197"/>
    </row>
    <row r="7205" spans="66:69" x14ac:dyDescent="0.2">
      <c r="BN7205" s="192"/>
      <c r="BO7205" s="197"/>
      <c r="BP7205" s="197"/>
      <c r="BQ7205" s="197"/>
    </row>
    <row r="7206" spans="66:69" x14ac:dyDescent="0.2">
      <c r="BN7206" s="192"/>
      <c r="BO7206" s="197"/>
      <c r="BP7206" s="197"/>
      <c r="BQ7206" s="197"/>
    </row>
    <row r="7207" spans="66:69" x14ac:dyDescent="0.2">
      <c r="BN7207" s="192"/>
      <c r="BO7207" s="197"/>
      <c r="BP7207" s="197"/>
      <c r="BQ7207" s="197"/>
    </row>
    <row r="7208" spans="66:69" x14ac:dyDescent="0.2">
      <c r="BN7208" s="192"/>
      <c r="BO7208" s="197"/>
      <c r="BP7208" s="197"/>
      <c r="BQ7208" s="197"/>
    </row>
    <row r="7209" spans="66:69" x14ac:dyDescent="0.2">
      <c r="BN7209" s="192"/>
      <c r="BO7209" s="197"/>
      <c r="BP7209" s="197"/>
      <c r="BQ7209" s="197"/>
    </row>
    <row r="7210" spans="66:69" x14ac:dyDescent="0.2">
      <c r="BN7210" s="192"/>
      <c r="BO7210" s="197"/>
      <c r="BP7210" s="197"/>
      <c r="BQ7210" s="197"/>
    </row>
    <row r="7211" spans="66:69" x14ac:dyDescent="0.2">
      <c r="BN7211" s="192"/>
      <c r="BO7211" s="197"/>
      <c r="BP7211" s="197"/>
      <c r="BQ7211" s="197"/>
    </row>
    <row r="7212" spans="66:69" x14ac:dyDescent="0.2">
      <c r="BN7212" s="192"/>
      <c r="BO7212" s="197"/>
      <c r="BP7212" s="197"/>
      <c r="BQ7212" s="197"/>
    </row>
    <row r="7213" spans="66:69" x14ac:dyDescent="0.2">
      <c r="BN7213" s="192"/>
      <c r="BO7213" s="197"/>
      <c r="BP7213" s="197"/>
      <c r="BQ7213" s="197"/>
    </row>
    <row r="7214" spans="66:69" x14ac:dyDescent="0.2">
      <c r="BN7214" s="192"/>
      <c r="BO7214" s="197"/>
      <c r="BP7214" s="197"/>
      <c r="BQ7214" s="197"/>
    </row>
    <row r="7215" spans="66:69" x14ac:dyDescent="0.2">
      <c r="BN7215" s="192"/>
      <c r="BO7215" s="197"/>
      <c r="BP7215" s="197"/>
      <c r="BQ7215" s="197"/>
    </row>
    <row r="7216" spans="66:69" x14ac:dyDescent="0.2">
      <c r="BN7216" s="192"/>
      <c r="BO7216" s="197"/>
      <c r="BP7216" s="197"/>
      <c r="BQ7216" s="197"/>
    </row>
    <row r="7217" spans="66:69" x14ac:dyDescent="0.2">
      <c r="BN7217" s="192"/>
      <c r="BO7217" s="197"/>
      <c r="BP7217" s="197"/>
      <c r="BQ7217" s="197"/>
    </row>
    <row r="7218" spans="66:69" x14ac:dyDescent="0.2">
      <c r="BN7218" s="192"/>
      <c r="BO7218" s="197"/>
      <c r="BP7218" s="197"/>
      <c r="BQ7218" s="197"/>
    </row>
    <row r="7219" spans="66:69" x14ac:dyDescent="0.2">
      <c r="BN7219" s="192"/>
      <c r="BO7219" s="197"/>
      <c r="BP7219" s="197"/>
      <c r="BQ7219" s="197"/>
    </row>
    <row r="7220" spans="66:69" x14ac:dyDescent="0.2">
      <c r="BN7220" s="192"/>
      <c r="BO7220" s="197"/>
      <c r="BP7220" s="197"/>
      <c r="BQ7220" s="197"/>
    </row>
    <row r="7221" spans="66:69" x14ac:dyDescent="0.2">
      <c r="BN7221" s="192"/>
      <c r="BO7221" s="197"/>
      <c r="BP7221" s="197"/>
      <c r="BQ7221" s="197"/>
    </row>
    <row r="7222" spans="66:69" x14ac:dyDescent="0.2">
      <c r="BN7222" s="192"/>
      <c r="BO7222" s="197"/>
      <c r="BP7222" s="197"/>
      <c r="BQ7222" s="197"/>
    </row>
    <row r="7223" spans="66:69" x14ac:dyDescent="0.2">
      <c r="BN7223" s="192"/>
      <c r="BO7223" s="197"/>
      <c r="BP7223" s="197"/>
      <c r="BQ7223" s="197"/>
    </row>
    <row r="7224" spans="66:69" x14ac:dyDescent="0.2">
      <c r="BN7224" s="192"/>
      <c r="BO7224" s="197"/>
      <c r="BP7224" s="197"/>
      <c r="BQ7224" s="197"/>
    </row>
    <row r="7225" spans="66:69" x14ac:dyDescent="0.2">
      <c r="BN7225" s="192"/>
      <c r="BO7225" s="197"/>
      <c r="BP7225" s="197"/>
      <c r="BQ7225" s="197"/>
    </row>
    <row r="7226" spans="66:69" x14ac:dyDescent="0.2">
      <c r="BN7226" s="192"/>
      <c r="BO7226" s="197"/>
      <c r="BP7226" s="197"/>
      <c r="BQ7226" s="197"/>
    </row>
    <row r="7227" spans="66:69" x14ac:dyDescent="0.2">
      <c r="BN7227" s="192"/>
      <c r="BO7227" s="197"/>
      <c r="BP7227" s="197"/>
      <c r="BQ7227" s="197"/>
    </row>
    <row r="7228" spans="66:69" x14ac:dyDescent="0.2">
      <c r="BN7228" s="192"/>
      <c r="BO7228" s="197"/>
      <c r="BP7228" s="197"/>
      <c r="BQ7228" s="197"/>
    </row>
    <row r="7229" spans="66:69" x14ac:dyDescent="0.2">
      <c r="BN7229" s="192"/>
      <c r="BO7229" s="197"/>
      <c r="BP7229" s="197"/>
      <c r="BQ7229" s="197"/>
    </row>
    <row r="7230" spans="66:69" x14ac:dyDescent="0.2">
      <c r="BN7230" s="192"/>
      <c r="BO7230" s="197"/>
      <c r="BP7230" s="197"/>
      <c r="BQ7230" s="197"/>
    </row>
    <row r="7231" spans="66:69" x14ac:dyDescent="0.2">
      <c r="BN7231" s="192"/>
      <c r="BO7231" s="197"/>
      <c r="BP7231" s="197"/>
      <c r="BQ7231" s="197"/>
    </row>
    <row r="7232" spans="66:69" x14ac:dyDescent="0.2">
      <c r="BN7232" s="192"/>
      <c r="BO7232" s="197"/>
      <c r="BP7232" s="197"/>
      <c r="BQ7232" s="197"/>
    </row>
    <row r="7233" spans="66:69" x14ac:dyDescent="0.2">
      <c r="BN7233" s="192"/>
      <c r="BO7233" s="197"/>
      <c r="BP7233" s="197"/>
      <c r="BQ7233" s="197"/>
    </row>
    <row r="7234" spans="66:69" x14ac:dyDescent="0.2">
      <c r="BN7234" s="192"/>
      <c r="BO7234" s="197"/>
      <c r="BP7234" s="197"/>
      <c r="BQ7234" s="197"/>
    </row>
    <row r="7235" spans="66:69" x14ac:dyDescent="0.2">
      <c r="BN7235" s="192"/>
      <c r="BO7235" s="197"/>
      <c r="BP7235" s="197"/>
      <c r="BQ7235" s="197"/>
    </row>
    <row r="7236" spans="66:69" x14ac:dyDescent="0.2">
      <c r="BN7236" s="192"/>
      <c r="BO7236" s="197"/>
      <c r="BP7236" s="197"/>
      <c r="BQ7236" s="197"/>
    </row>
    <row r="7237" spans="66:69" x14ac:dyDescent="0.2">
      <c r="BN7237" s="192"/>
      <c r="BO7237" s="197"/>
      <c r="BP7237" s="197"/>
      <c r="BQ7237" s="197"/>
    </row>
    <row r="7238" spans="66:69" x14ac:dyDescent="0.2">
      <c r="BN7238" s="192"/>
      <c r="BO7238" s="197"/>
      <c r="BP7238" s="197"/>
      <c r="BQ7238" s="197"/>
    </row>
    <row r="7239" spans="66:69" x14ac:dyDescent="0.2">
      <c r="BN7239" s="192"/>
      <c r="BO7239" s="197"/>
      <c r="BP7239" s="197"/>
      <c r="BQ7239" s="197"/>
    </row>
    <row r="7240" spans="66:69" x14ac:dyDescent="0.2">
      <c r="BN7240" s="192"/>
      <c r="BO7240" s="197"/>
      <c r="BP7240" s="197"/>
      <c r="BQ7240" s="197"/>
    </row>
    <row r="7241" spans="66:69" x14ac:dyDescent="0.2">
      <c r="BN7241" s="192"/>
      <c r="BO7241" s="197"/>
      <c r="BP7241" s="197"/>
      <c r="BQ7241" s="197"/>
    </row>
    <row r="7242" spans="66:69" x14ac:dyDescent="0.2">
      <c r="BN7242" s="192"/>
      <c r="BO7242" s="197"/>
      <c r="BP7242" s="197"/>
      <c r="BQ7242" s="197"/>
    </row>
    <row r="7243" spans="66:69" x14ac:dyDescent="0.2">
      <c r="BN7243" s="192"/>
      <c r="BO7243" s="197"/>
      <c r="BP7243" s="197"/>
      <c r="BQ7243" s="197"/>
    </row>
    <row r="7244" spans="66:69" x14ac:dyDescent="0.2">
      <c r="BN7244" s="192"/>
      <c r="BO7244" s="197"/>
      <c r="BP7244" s="197"/>
      <c r="BQ7244" s="197"/>
    </row>
    <row r="7245" spans="66:69" x14ac:dyDescent="0.2">
      <c r="BN7245" s="192"/>
      <c r="BO7245" s="197"/>
      <c r="BP7245" s="197"/>
      <c r="BQ7245" s="197"/>
    </row>
    <row r="7246" spans="66:69" x14ac:dyDescent="0.2">
      <c r="BN7246" s="192"/>
      <c r="BO7246" s="197"/>
      <c r="BP7246" s="197"/>
      <c r="BQ7246" s="197"/>
    </row>
    <row r="7247" spans="66:69" x14ac:dyDescent="0.2">
      <c r="BN7247" s="192"/>
      <c r="BO7247" s="197"/>
      <c r="BP7247" s="197"/>
      <c r="BQ7247" s="197"/>
    </row>
    <row r="7248" spans="66:69" x14ac:dyDescent="0.2">
      <c r="BN7248" s="192"/>
      <c r="BO7248" s="197"/>
      <c r="BP7248" s="197"/>
      <c r="BQ7248" s="197"/>
    </row>
    <row r="7249" spans="66:69" x14ac:dyDescent="0.2">
      <c r="BN7249" s="192"/>
      <c r="BO7249" s="197"/>
      <c r="BP7249" s="197"/>
      <c r="BQ7249" s="197"/>
    </row>
    <row r="7250" spans="66:69" x14ac:dyDescent="0.2">
      <c r="BN7250" s="192"/>
      <c r="BO7250" s="197"/>
      <c r="BP7250" s="197"/>
      <c r="BQ7250" s="197"/>
    </row>
    <row r="7251" spans="66:69" x14ac:dyDescent="0.2">
      <c r="BN7251" s="192"/>
      <c r="BO7251" s="197"/>
      <c r="BP7251" s="197"/>
      <c r="BQ7251" s="197"/>
    </row>
    <row r="7252" spans="66:69" x14ac:dyDescent="0.2">
      <c r="BN7252" s="192"/>
      <c r="BO7252" s="197"/>
      <c r="BP7252" s="197"/>
      <c r="BQ7252" s="197"/>
    </row>
    <row r="7253" spans="66:69" x14ac:dyDescent="0.2">
      <c r="BN7253" s="192"/>
      <c r="BO7253" s="197"/>
      <c r="BP7253" s="197"/>
      <c r="BQ7253" s="197"/>
    </row>
    <row r="7254" spans="66:69" x14ac:dyDescent="0.2">
      <c r="BN7254" s="192"/>
      <c r="BO7254" s="197"/>
      <c r="BP7254" s="197"/>
      <c r="BQ7254" s="197"/>
    </row>
    <row r="7255" spans="66:69" x14ac:dyDescent="0.2">
      <c r="BN7255" s="192"/>
      <c r="BO7255" s="197"/>
      <c r="BP7255" s="197"/>
      <c r="BQ7255" s="197"/>
    </row>
    <row r="7256" spans="66:69" x14ac:dyDescent="0.2">
      <c r="BN7256" s="192"/>
      <c r="BO7256" s="197"/>
      <c r="BP7256" s="197"/>
      <c r="BQ7256" s="197"/>
    </row>
    <row r="7257" spans="66:69" x14ac:dyDescent="0.2">
      <c r="BN7257" s="192"/>
      <c r="BO7257" s="197"/>
      <c r="BP7257" s="197"/>
      <c r="BQ7257" s="197"/>
    </row>
    <row r="7258" spans="66:69" x14ac:dyDescent="0.2">
      <c r="BN7258" s="192"/>
      <c r="BO7258" s="197"/>
      <c r="BP7258" s="197"/>
      <c r="BQ7258" s="197"/>
    </row>
    <row r="7259" spans="66:69" x14ac:dyDescent="0.2">
      <c r="BN7259" s="192"/>
      <c r="BO7259" s="197"/>
      <c r="BP7259" s="197"/>
      <c r="BQ7259" s="197"/>
    </row>
    <row r="7260" spans="66:69" x14ac:dyDescent="0.2">
      <c r="BN7260" s="192"/>
      <c r="BO7260" s="197"/>
      <c r="BP7260" s="197"/>
      <c r="BQ7260" s="197"/>
    </row>
    <row r="7261" spans="66:69" x14ac:dyDescent="0.2">
      <c r="BN7261" s="192"/>
      <c r="BO7261" s="197"/>
      <c r="BP7261" s="197"/>
      <c r="BQ7261" s="197"/>
    </row>
    <row r="7262" spans="66:69" x14ac:dyDescent="0.2">
      <c r="BN7262" s="192"/>
      <c r="BO7262" s="197"/>
      <c r="BP7262" s="197"/>
      <c r="BQ7262" s="197"/>
    </row>
    <row r="7263" spans="66:69" x14ac:dyDescent="0.2">
      <c r="BN7263" s="192"/>
      <c r="BO7263" s="197"/>
      <c r="BP7263" s="197"/>
      <c r="BQ7263" s="197"/>
    </row>
    <row r="7264" spans="66:69" x14ac:dyDescent="0.2">
      <c r="BN7264" s="192"/>
      <c r="BO7264" s="197"/>
      <c r="BP7264" s="197"/>
      <c r="BQ7264" s="197"/>
    </row>
    <row r="7265" spans="66:69" x14ac:dyDescent="0.2">
      <c r="BN7265" s="192"/>
      <c r="BO7265" s="197"/>
      <c r="BP7265" s="197"/>
      <c r="BQ7265" s="197"/>
    </row>
    <row r="7266" spans="66:69" x14ac:dyDescent="0.2">
      <c r="BN7266" s="192"/>
      <c r="BO7266" s="197"/>
      <c r="BP7266" s="197"/>
      <c r="BQ7266" s="197"/>
    </row>
    <row r="7267" spans="66:69" x14ac:dyDescent="0.2">
      <c r="BN7267" s="192"/>
      <c r="BO7267" s="197"/>
      <c r="BP7267" s="197"/>
      <c r="BQ7267" s="197"/>
    </row>
    <row r="7268" spans="66:69" x14ac:dyDescent="0.2">
      <c r="BN7268" s="192"/>
      <c r="BO7268" s="197"/>
      <c r="BP7268" s="197"/>
      <c r="BQ7268" s="197"/>
    </row>
    <row r="7269" spans="66:69" x14ac:dyDescent="0.2">
      <c r="BN7269" s="192"/>
      <c r="BO7269" s="197"/>
      <c r="BP7269" s="197"/>
      <c r="BQ7269" s="197"/>
    </row>
    <row r="7270" spans="66:69" x14ac:dyDescent="0.2">
      <c r="BN7270" s="192"/>
      <c r="BO7270" s="197"/>
      <c r="BP7270" s="197"/>
      <c r="BQ7270" s="197"/>
    </row>
    <row r="7271" spans="66:69" x14ac:dyDescent="0.2">
      <c r="BN7271" s="192"/>
      <c r="BO7271" s="197"/>
      <c r="BP7271" s="197"/>
      <c r="BQ7271" s="197"/>
    </row>
    <row r="7272" spans="66:69" x14ac:dyDescent="0.2">
      <c r="BN7272" s="192"/>
      <c r="BO7272" s="197"/>
      <c r="BP7272" s="197"/>
      <c r="BQ7272" s="197"/>
    </row>
    <row r="7273" spans="66:69" x14ac:dyDescent="0.2">
      <c r="BN7273" s="192"/>
      <c r="BO7273" s="197"/>
      <c r="BP7273" s="197"/>
      <c r="BQ7273" s="197"/>
    </row>
    <row r="7274" spans="66:69" x14ac:dyDescent="0.2">
      <c r="BN7274" s="192"/>
      <c r="BO7274" s="197"/>
      <c r="BP7274" s="197"/>
      <c r="BQ7274" s="197"/>
    </row>
    <row r="7275" spans="66:69" x14ac:dyDescent="0.2">
      <c r="BN7275" s="192"/>
      <c r="BO7275" s="197"/>
      <c r="BP7275" s="197"/>
      <c r="BQ7275" s="197"/>
    </row>
    <row r="7276" spans="66:69" x14ac:dyDescent="0.2">
      <c r="BN7276" s="192"/>
      <c r="BO7276" s="197"/>
      <c r="BP7276" s="197"/>
      <c r="BQ7276" s="197"/>
    </row>
    <row r="7277" spans="66:69" x14ac:dyDescent="0.2">
      <c r="BN7277" s="192"/>
      <c r="BO7277" s="197"/>
      <c r="BP7277" s="197"/>
      <c r="BQ7277" s="197"/>
    </row>
    <row r="7278" spans="66:69" x14ac:dyDescent="0.2">
      <c r="BN7278" s="192"/>
      <c r="BO7278" s="197"/>
      <c r="BP7278" s="197"/>
      <c r="BQ7278" s="197"/>
    </row>
    <row r="7279" spans="66:69" x14ac:dyDescent="0.2">
      <c r="BN7279" s="192"/>
      <c r="BO7279" s="197"/>
      <c r="BP7279" s="197"/>
      <c r="BQ7279" s="197"/>
    </row>
    <row r="7280" spans="66:69" x14ac:dyDescent="0.2">
      <c r="BN7280" s="192"/>
      <c r="BO7280" s="197"/>
      <c r="BP7280" s="197"/>
      <c r="BQ7280" s="197"/>
    </row>
    <row r="7281" spans="66:69" x14ac:dyDescent="0.2">
      <c r="BN7281" s="192"/>
      <c r="BO7281" s="197"/>
      <c r="BP7281" s="197"/>
      <c r="BQ7281" s="197"/>
    </row>
    <row r="7282" spans="66:69" x14ac:dyDescent="0.2">
      <c r="BN7282" s="192"/>
      <c r="BO7282" s="197"/>
      <c r="BP7282" s="197"/>
      <c r="BQ7282" s="197"/>
    </row>
    <row r="7283" spans="66:69" x14ac:dyDescent="0.2">
      <c r="BN7283" s="192"/>
      <c r="BO7283" s="197"/>
      <c r="BP7283" s="197"/>
      <c r="BQ7283" s="197"/>
    </row>
    <row r="7284" spans="66:69" x14ac:dyDescent="0.2">
      <c r="BN7284" s="192"/>
      <c r="BO7284" s="197"/>
      <c r="BP7284" s="197"/>
      <c r="BQ7284" s="197"/>
    </row>
    <row r="7285" spans="66:69" x14ac:dyDescent="0.2">
      <c r="BN7285" s="192"/>
      <c r="BO7285" s="197"/>
      <c r="BP7285" s="197"/>
      <c r="BQ7285" s="197"/>
    </row>
    <row r="7286" spans="66:69" x14ac:dyDescent="0.2">
      <c r="BN7286" s="192"/>
      <c r="BO7286" s="197"/>
      <c r="BP7286" s="197"/>
      <c r="BQ7286" s="197"/>
    </row>
    <row r="7287" spans="66:69" x14ac:dyDescent="0.2">
      <c r="BN7287" s="192"/>
      <c r="BO7287" s="197"/>
      <c r="BP7287" s="197"/>
      <c r="BQ7287" s="197"/>
    </row>
    <row r="7288" spans="66:69" x14ac:dyDescent="0.2">
      <c r="BN7288" s="192"/>
      <c r="BO7288" s="197"/>
      <c r="BP7288" s="197"/>
      <c r="BQ7288" s="197"/>
    </row>
    <row r="7289" spans="66:69" x14ac:dyDescent="0.2">
      <c r="BN7289" s="192"/>
      <c r="BO7289" s="197"/>
      <c r="BP7289" s="197"/>
      <c r="BQ7289" s="197"/>
    </row>
    <row r="7290" spans="66:69" x14ac:dyDescent="0.2">
      <c r="BN7290" s="192"/>
      <c r="BO7290" s="197"/>
      <c r="BP7290" s="197"/>
      <c r="BQ7290" s="197"/>
    </row>
    <row r="7291" spans="66:69" x14ac:dyDescent="0.2">
      <c r="BN7291" s="192"/>
      <c r="BO7291" s="197"/>
      <c r="BP7291" s="197"/>
      <c r="BQ7291" s="197"/>
    </row>
    <row r="7292" spans="66:69" x14ac:dyDescent="0.2">
      <c r="BN7292" s="192"/>
      <c r="BO7292" s="197"/>
      <c r="BP7292" s="197"/>
      <c r="BQ7292" s="197"/>
    </row>
    <row r="7293" spans="66:69" x14ac:dyDescent="0.2">
      <c r="BN7293" s="192"/>
      <c r="BO7293" s="197"/>
      <c r="BP7293" s="197"/>
      <c r="BQ7293" s="197"/>
    </row>
    <row r="7294" spans="66:69" x14ac:dyDescent="0.2">
      <c r="BN7294" s="192"/>
      <c r="BO7294" s="197"/>
      <c r="BP7294" s="197"/>
      <c r="BQ7294" s="197"/>
    </row>
    <row r="7295" spans="66:69" x14ac:dyDescent="0.2">
      <c r="BN7295" s="192"/>
      <c r="BO7295" s="197"/>
      <c r="BP7295" s="197"/>
      <c r="BQ7295" s="197"/>
    </row>
    <row r="7296" spans="66:69" x14ac:dyDescent="0.2">
      <c r="BN7296" s="192"/>
      <c r="BO7296" s="197"/>
      <c r="BP7296" s="197"/>
      <c r="BQ7296" s="197"/>
    </row>
    <row r="7297" spans="66:69" x14ac:dyDescent="0.2">
      <c r="BN7297" s="192"/>
      <c r="BO7297" s="197"/>
      <c r="BP7297" s="197"/>
      <c r="BQ7297" s="197"/>
    </row>
    <row r="7298" spans="66:69" x14ac:dyDescent="0.2">
      <c r="BN7298" s="192"/>
      <c r="BO7298" s="197"/>
      <c r="BP7298" s="197"/>
      <c r="BQ7298" s="197"/>
    </row>
    <row r="7299" spans="66:69" x14ac:dyDescent="0.2">
      <c r="BN7299" s="192"/>
      <c r="BO7299" s="197"/>
      <c r="BP7299" s="197"/>
      <c r="BQ7299" s="197"/>
    </row>
    <row r="7300" spans="66:69" x14ac:dyDescent="0.2">
      <c r="BN7300" s="192"/>
      <c r="BO7300" s="197"/>
      <c r="BP7300" s="197"/>
      <c r="BQ7300" s="197"/>
    </row>
    <row r="7301" spans="66:69" x14ac:dyDescent="0.2">
      <c r="BN7301" s="192"/>
      <c r="BO7301" s="197"/>
      <c r="BP7301" s="197"/>
      <c r="BQ7301" s="197"/>
    </row>
    <row r="7302" spans="66:69" x14ac:dyDescent="0.2">
      <c r="BN7302" s="192"/>
      <c r="BO7302" s="197"/>
      <c r="BP7302" s="197"/>
      <c r="BQ7302" s="197"/>
    </row>
    <row r="7303" spans="66:69" x14ac:dyDescent="0.2">
      <c r="BN7303" s="192"/>
      <c r="BO7303" s="197"/>
      <c r="BP7303" s="197"/>
      <c r="BQ7303" s="197"/>
    </row>
    <row r="7304" spans="66:69" x14ac:dyDescent="0.2">
      <c r="BN7304" s="192"/>
      <c r="BO7304" s="197"/>
      <c r="BP7304" s="197"/>
      <c r="BQ7304" s="197"/>
    </row>
    <row r="7305" spans="66:69" x14ac:dyDescent="0.2">
      <c r="BN7305" s="192"/>
      <c r="BO7305" s="197"/>
      <c r="BP7305" s="197"/>
      <c r="BQ7305" s="197"/>
    </row>
    <row r="7306" spans="66:69" x14ac:dyDescent="0.2">
      <c r="BN7306" s="192"/>
      <c r="BO7306" s="197"/>
      <c r="BP7306" s="197"/>
      <c r="BQ7306" s="197"/>
    </row>
    <row r="7307" spans="66:69" x14ac:dyDescent="0.2">
      <c r="BN7307" s="192"/>
      <c r="BO7307" s="197"/>
      <c r="BP7307" s="197"/>
      <c r="BQ7307" s="197"/>
    </row>
    <row r="7308" spans="66:69" x14ac:dyDescent="0.2">
      <c r="BN7308" s="192"/>
      <c r="BO7308" s="197"/>
      <c r="BP7308" s="197"/>
      <c r="BQ7308" s="197"/>
    </row>
    <row r="7309" spans="66:69" x14ac:dyDescent="0.2">
      <c r="BN7309" s="192"/>
      <c r="BO7309" s="197"/>
      <c r="BP7309" s="197"/>
      <c r="BQ7309" s="197"/>
    </row>
    <row r="7310" spans="66:69" x14ac:dyDescent="0.2">
      <c r="BN7310" s="192"/>
      <c r="BO7310" s="197"/>
      <c r="BP7310" s="197"/>
      <c r="BQ7310" s="197"/>
    </row>
    <row r="7311" spans="66:69" x14ac:dyDescent="0.2">
      <c r="BN7311" s="192"/>
      <c r="BO7311" s="197"/>
      <c r="BP7311" s="197"/>
      <c r="BQ7311" s="197"/>
    </row>
    <row r="7312" spans="66:69" x14ac:dyDescent="0.2">
      <c r="BN7312" s="192"/>
      <c r="BO7312" s="197"/>
      <c r="BP7312" s="197"/>
      <c r="BQ7312" s="197"/>
    </row>
    <row r="7313" spans="66:69" x14ac:dyDescent="0.2">
      <c r="BN7313" s="192"/>
      <c r="BO7313" s="197"/>
      <c r="BP7313" s="197"/>
      <c r="BQ7313" s="197"/>
    </row>
    <row r="7314" spans="66:69" x14ac:dyDescent="0.2">
      <c r="BN7314" s="192"/>
      <c r="BO7314" s="197"/>
      <c r="BP7314" s="197"/>
      <c r="BQ7314" s="197"/>
    </row>
    <row r="7315" spans="66:69" x14ac:dyDescent="0.2">
      <c r="BN7315" s="192"/>
      <c r="BO7315" s="197"/>
      <c r="BP7315" s="197"/>
      <c r="BQ7315" s="197"/>
    </row>
    <row r="7316" spans="66:69" x14ac:dyDescent="0.2">
      <c r="BN7316" s="192"/>
      <c r="BO7316" s="197"/>
      <c r="BP7316" s="197"/>
      <c r="BQ7316" s="197"/>
    </row>
    <row r="7317" spans="66:69" x14ac:dyDescent="0.2">
      <c r="BN7317" s="192"/>
      <c r="BO7317" s="197"/>
      <c r="BP7317" s="197"/>
      <c r="BQ7317" s="197"/>
    </row>
    <row r="7318" spans="66:69" x14ac:dyDescent="0.2">
      <c r="BN7318" s="192"/>
      <c r="BO7318" s="197"/>
      <c r="BP7318" s="197"/>
      <c r="BQ7318" s="197"/>
    </row>
    <row r="7319" spans="66:69" x14ac:dyDescent="0.2">
      <c r="BN7319" s="192"/>
      <c r="BO7319" s="197"/>
      <c r="BP7319" s="197"/>
      <c r="BQ7319" s="197"/>
    </row>
    <row r="7320" spans="66:69" x14ac:dyDescent="0.2">
      <c r="BN7320" s="192"/>
      <c r="BO7320" s="197"/>
      <c r="BP7320" s="197"/>
      <c r="BQ7320" s="197"/>
    </row>
    <row r="7321" spans="66:69" x14ac:dyDescent="0.2">
      <c r="BN7321" s="192"/>
      <c r="BO7321" s="197"/>
      <c r="BP7321" s="197"/>
      <c r="BQ7321" s="197"/>
    </row>
    <row r="7322" spans="66:69" x14ac:dyDescent="0.2">
      <c r="BN7322" s="192"/>
      <c r="BO7322" s="197"/>
      <c r="BP7322" s="197"/>
      <c r="BQ7322" s="197"/>
    </row>
    <row r="7323" spans="66:69" x14ac:dyDescent="0.2">
      <c r="BN7323" s="192"/>
      <c r="BO7323" s="197"/>
      <c r="BP7323" s="197"/>
      <c r="BQ7323" s="197"/>
    </row>
    <row r="7324" spans="66:69" x14ac:dyDescent="0.2">
      <c r="BN7324" s="192"/>
      <c r="BO7324" s="197"/>
      <c r="BP7324" s="197"/>
      <c r="BQ7324" s="197"/>
    </row>
    <row r="7325" spans="66:69" x14ac:dyDescent="0.2">
      <c r="BN7325" s="192"/>
      <c r="BO7325" s="197"/>
      <c r="BP7325" s="197"/>
      <c r="BQ7325" s="197"/>
    </row>
    <row r="7326" spans="66:69" x14ac:dyDescent="0.2">
      <c r="BN7326" s="192"/>
      <c r="BO7326" s="197"/>
      <c r="BP7326" s="197"/>
      <c r="BQ7326" s="197"/>
    </row>
    <row r="7327" spans="66:69" x14ac:dyDescent="0.2">
      <c r="BN7327" s="192"/>
      <c r="BO7327" s="197"/>
      <c r="BP7327" s="197"/>
      <c r="BQ7327" s="197"/>
    </row>
    <row r="7328" spans="66:69" x14ac:dyDescent="0.2">
      <c r="BN7328" s="192"/>
      <c r="BO7328" s="197"/>
      <c r="BP7328" s="197"/>
      <c r="BQ7328" s="197"/>
    </row>
    <row r="7329" spans="66:69" x14ac:dyDescent="0.2">
      <c r="BN7329" s="192"/>
      <c r="BO7329" s="197"/>
      <c r="BP7329" s="197"/>
      <c r="BQ7329" s="197"/>
    </row>
    <row r="7330" spans="66:69" x14ac:dyDescent="0.2">
      <c r="BN7330" s="192"/>
      <c r="BO7330" s="197"/>
      <c r="BP7330" s="197"/>
      <c r="BQ7330" s="197"/>
    </row>
    <row r="7331" spans="66:69" x14ac:dyDescent="0.2">
      <c r="BN7331" s="192"/>
      <c r="BO7331" s="197"/>
      <c r="BP7331" s="197"/>
      <c r="BQ7331" s="197"/>
    </row>
    <row r="7332" spans="66:69" x14ac:dyDescent="0.2">
      <c r="BN7332" s="192"/>
      <c r="BO7332" s="197"/>
      <c r="BP7332" s="197"/>
      <c r="BQ7332" s="197"/>
    </row>
    <row r="7333" spans="66:69" x14ac:dyDescent="0.2">
      <c r="BN7333" s="192"/>
      <c r="BO7333" s="197"/>
      <c r="BP7333" s="197"/>
      <c r="BQ7333" s="197"/>
    </row>
    <row r="7334" spans="66:69" x14ac:dyDescent="0.2">
      <c r="BN7334" s="192"/>
      <c r="BO7334" s="197"/>
      <c r="BP7334" s="197"/>
      <c r="BQ7334" s="197"/>
    </row>
    <row r="7335" spans="66:69" x14ac:dyDescent="0.2">
      <c r="BN7335" s="192"/>
      <c r="BO7335" s="197"/>
      <c r="BP7335" s="197"/>
      <c r="BQ7335" s="197"/>
    </row>
    <row r="7336" spans="66:69" x14ac:dyDescent="0.2">
      <c r="BN7336" s="192"/>
      <c r="BO7336" s="197"/>
      <c r="BP7336" s="197"/>
      <c r="BQ7336" s="197"/>
    </row>
    <row r="7337" spans="66:69" x14ac:dyDescent="0.2">
      <c r="BN7337" s="192"/>
      <c r="BO7337" s="197"/>
      <c r="BP7337" s="197"/>
      <c r="BQ7337" s="197"/>
    </row>
    <row r="7338" spans="66:69" x14ac:dyDescent="0.2">
      <c r="BN7338" s="192"/>
      <c r="BO7338" s="197"/>
      <c r="BP7338" s="197"/>
      <c r="BQ7338" s="197"/>
    </row>
    <row r="7339" spans="66:69" x14ac:dyDescent="0.2">
      <c r="BN7339" s="192"/>
      <c r="BO7339" s="197"/>
      <c r="BP7339" s="197"/>
      <c r="BQ7339" s="197"/>
    </row>
    <row r="7340" spans="66:69" x14ac:dyDescent="0.2">
      <c r="BN7340" s="192"/>
      <c r="BO7340" s="197"/>
      <c r="BP7340" s="197"/>
      <c r="BQ7340" s="197"/>
    </row>
    <row r="7341" spans="66:69" x14ac:dyDescent="0.2">
      <c r="BN7341" s="192"/>
      <c r="BO7341" s="197"/>
      <c r="BP7341" s="197"/>
      <c r="BQ7341" s="197"/>
    </row>
    <row r="7342" spans="66:69" x14ac:dyDescent="0.2">
      <c r="BN7342" s="192"/>
      <c r="BO7342" s="197"/>
      <c r="BP7342" s="197"/>
      <c r="BQ7342" s="197"/>
    </row>
    <row r="7343" spans="66:69" x14ac:dyDescent="0.2">
      <c r="BN7343" s="192"/>
      <c r="BO7343" s="197"/>
      <c r="BP7343" s="197"/>
      <c r="BQ7343" s="197"/>
    </row>
    <row r="7344" spans="66:69" x14ac:dyDescent="0.2">
      <c r="BN7344" s="192"/>
      <c r="BO7344" s="197"/>
      <c r="BP7344" s="197"/>
      <c r="BQ7344" s="197"/>
    </row>
    <row r="7345" spans="66:69" x14ac:dyDescent="0.2">
      <c r="BN7345" s="192"/>
      <c r="BO7345" s="197"/>
      <c r="BP7345" s="197"/>
      <c r="BQ7345" s="197"/>
    </row>
    <row r="7346" spans="66:69" x14ac:dyDescent="0.2">
      <c r="BN7346" s="192"/>
      <c r="BO7346" s="197"/>
      <c r="BP7346" s="197"/>
      <c r="BQ7346" s="197"/>
    </row>
    <row r="7347" spans="66:69" x14ac:dyDescent="0.2">
      <c r="BN7347" s="192"/>
      <c r="BO7347" s="197"/>
      <c r="BP7347" s="197"/>
      <c r="BQ7347" s="197"/>
    </row>
    <row r="7348" spans="66:69" x14ac:dyDescent="0.2">
      <c r="BN7348" s="192"/>
      <c r="BO7348" s="197"/>
      <c r="BP7348" s="197"/>
      <c r="BQ7348" s="197"/>
    </row>
    <row r="7349" spans="66:69" x14ac:dyDescent="0.2">
      <c r="BN7349" s="192"/>
      <c r="BO7349" s="197"/>
      <c r="BP7349" s="197"/>
      <c r="BQ7349" s="197"/>
    </row>
    <row r="7350" spans="66:69" x14ac:dyDescent="0.2">
      <c r="BN7350" s="192"/>
      <c r="BO7350" s="197"/>
      <c r="BP7350" s="197"/>
      <c r="BQ7350" s="197"/>
    </row>
    <row r="7351" spans="66:69" x14ac:dyDescent="0.2">
      <c r="BN7351" s="192"/>
      <c r="BO7351" s="197"/>
      <c r="BP7351" s="197"/>
      <c r="BQ7351" s="197"/>
    </row>
    <row r="7352" spans="66:69" x14ac:dyDescent="0.2">
      <c r="BN7352" s="192"/>
      <c r="BO7352" s="197"/>
      <c r="BP7352" s="197"/>
      <c r="BQ7352" s="197"/>
    </row>
    <row r="7353" spans="66:69" x14ac:dyDescent="0.2">
      <c r="BN7353" s="192"/>
      <c r="BO7353" s="197"/>
      <c r="BP7353" s="197"/>
      <c r="BQ7353" s="197"/>
    </row>
    <row r="7354" spans="66:69" x14ac:dyDescent="0.2">
      <c r="BN7354" s="192"/>
      <c r="BO7354" s="197"/>
      <c r="BP7354" s="197"/>
      <c r="BQ7354" s="197"/>
    </row>
    <row r="7355" spans="66:69" x14ac:dyDescent="0.2">
      <c r="BN7355" s="192"/>
      <c r="BO7355" s="197"/>
      <c r="BP7355" s="197"/>
      <c r="BQ7355" s="197"/>
    </row>
    <row r="7356" spans="66:69" x14ac:dyDescent="0.2">
      <c r="BN7356" s="192"/>
      <c r="BO7356" s="197"/>
      <c r="BP7356" s="197"/>
      <c r="BQ7356" s="197"/>
    </row>
    <row r="7357" spans="66:69" x14ac:dyDescent="0.2">
      <c r="BN7357" s="192"/>
      <c r="BO7357" s="197"/>
      <c r="BP7357" s="197"/>
      <c r="BQ7357" s="197"/>
    </row>
    <row r="7358" spans="66:69" x14ac:dyDescent="0.2">
      <c r="BN7358" s="192"/>
      <c r="BO7358" s="197"/>
      <c r="BP7358" s="197"/>
      <c r="BQ7358" s="197"/>
    </row>
    <row r="7359" spans="66:69" x14ac:dyDescent="0.2">
      <c r="BN7359" s="192"/>
      <c r="BO7359" s="197"/>
      <c r="BP7359" s="197"/>
      <c r="BQ7359" s="197"/>
    </row>
    <row r="7360" spans="66:69" x14ac:dyDescent="0.2">
      <c r="BN7360" s="192"/>
      <c r="BO7360" s="197"/>
      <c r="BP7360" s="197"/>
      <c r="BQ7360" s="197"/>
    </row>
    <row r="7361" spans="66:69" x14ac:dyDescent="0.2">
      <c r="BN7361" s="192"/>
      <c r="BO7361" s="197"/>
      <c r="BP7361" s="197"/>
      <c r="BQ7361" s="197"/>
    </row>
    <row r="7362" spans="66:69" x14ac:dyDescent="0.2">
      <c r="BN7362" s="192"/>
      <c r="BO7362" s="197"/>
      <c r="BP7362" s="197"/>
      <c r="BQ7362" s="197"/>
    </row>
    <row r="7363" spans="66:69" x14ac:dyDescent="0.2">
      <c r="BN7363" s="192"/>
      <c r="BO7363" s="197"/>
      <c r="BP7363" s="197"/>
      <c r="BQ7363" s="197"/>
    </row>
    <row r="7364" spans="66:69" x14ac:dyDescent="0.2">
      <c r="BN7364" s="192"/>
      <c r="BO7364" s="197"/>
      <c r="BP7364" s="197"/>
      <c r="BQ7364" s="197"/>
    </row>
    <row r="7365" spans="66:69" x14ac:dyDescent="0.2">
      <c r="BN7365" s="192"/>
      <c r="BO7365" s="197"/>
      <c r="BP7365" s="197"/>
      <c r="BQ7365" s="197"/>
    </row>
    <row r="7366" spans="66:69" x14ac:dyDescent="0.2">
      <c r="BN7366" s="192"/>
      <c r="BO7366" s="197"/>
      <c r="BP7366" s="197"/>
      <c r="BQ7366" s="197"/>
    </row>
    <row r="7367" spans="66:69" x14ac:dyDescent="0.2">
      <c r="BN7367" s="192"/>
      <c r="BO7367" s="197"/>
      <c r="BP7367" s="197"/>
      <c r="BQ7367" s="197"/>
    </row>
    <row r="7368" spans="66:69" x14ac:dyDescent="0.2">
      <c r="BN7368" s="192"/>
      <c r="BO7368" s="197"/>
      <c r="BP7368" s="197"/>
      <c r="BQ7368" s="197"/>
    </row>
    <row r="7369" spans="66:69" x14ac:dyDescent="0.2">
      <c r="BN7369" s="192"/>
      <c r="BO7369" s="197"/>
      <c r="BP7369" s="197"/>
      <c r="BQ7369" s="197"/>
    </row>
    <row r="7370" spans="66:69" x14ac:dyDescent="0.2">
      <c r="BN7370" s="192"/>
      <c r="BO7370" s="197"/>
      <c r="BP7370" s="197"/>
      <c r="BQ7370" s="197"/>
    </row>
    <row r="7371" spans="66:69" x14ac:dyDescent="0.2">
      <c r="BN7371" s="192"/>
      <c r="BO7371" s="197"/>
      <c r="BP7371" s="197"/>
      <c r="BQ7371" s="197"/>
    </row>
    <row r="7372" spans="66:69" x14ac:dyDescent="0.2">
      <c r="BN7372" s="192"/>
      <c r="BO7372" s="197"/>
      <c r="BP7372" s="197"/>
      <c r="BQ7372" s="197"/>
    </row>
    <row r="7373" spans="66:69" x14ac:dyDescent="0.2">
      <c r="BN7373" s="192"/>
      <c r="BO7373" s="197"/>
      <c r="BP7373" s="197"/>
      <c r="BQ7373" s="197"/>
    </row>
    <row r="7374" spans="66:69" x14ac:dyDescent="0.2">
      <c r="BN7374" s="192"/>
      <c r="BO7374" s="197"/>
      <c r="BP7374" s="197"/>
      <c r="BQ7374" s="197"/>
    </row>
    <row r="7375" spans="66:69" x14ac:dyDescent="0.2">
      <c r="BN7375" s="192"/>
      <c r="BO7375" s="197"/>
      <c r="BP7375" s="197"/>
      <c r="BQ7375" s="197"/>
    </row>
    <row r="7376" spans="66:69" x14ac:dyDescent="0.2">
      <c r="BN7376" s="192"/>
      <c r="BO7376" s="197"/>
      <c r="BP7376" s="197"/>
      <c r="BQ7376" s="197"/>
    </row>
    <row r="7377" spans="66:69" x14ac:dyDescent="0.2">
      <c r="BN7377" s="192"/>
      <c r="BO7377" s="197"/>
      <c r="BP7377" s="197"/>
      <c r="BQ7377" s="197"/>
    </row>
    <row r="7378" spans="66:69" x14ac:dyDescent="0.2">
      <c r="BN7378" s="192"/>
      <c r="BO7378" s="197"/>
      <c r="BP7378" s="197"/>
      <c r="BQ7378" s="197"/>
    </row>
    <row r="7379" spans="66:69" x14ac:dyDescent="0.2">
      <c r="BN7379" s="192"/>
      <c r="BO7379" s="197"/>
      <c r="BP7379" s="197"/>
      <c r="BQ7379" s="197"/>
    </row>
    <row r="7380" spans="66:69" x14ac:dyDescent="0.2">
      <c r="BN7380" s="192"/>
      <c r="BO7380" s="197"/>
      <c r="BP7380" s="197"/>
      <c r="BQ7380" s="197"/>
    </row>
    <row r="7381" spans="66:69" x14ac:dyDescent="0.2">
      <c r="BN7381" s="192"/>
      <c r="BO7381" s="197"/>
      <c r="BP7381" s="197"/>
      <c r="BQ7381" s="197"/>
    </row>
    <row r="7382" spans="66:69" x14ac:dyDescent="0.2">
      <c r="BN7382" s="192"/>
      <c r="BO7382" s="197"/>
      <c r="BP7382" s="197"/>
      <c r="BQ7382" s="197"/>
    </row>
    <row r="7383" spans="66:69" x14ac:dyDescent="0.2">
      <c r="BN7383" s="192"/>
      <c r="BO7383" s="197"/>
      <c r="BP7383" s="197"/>
      <c r="BQ7383" s="197"/>
    </row>
    <row r="7384" spans="66:69" x14ac:dyDescent="0.2">
      <c r="BN7384" s="192"/>
      <c r="BO7384" s="197"/>
      <c r="BP7384" s="197"/>
      <c r="BQ7384" s="197"/>
    </row>
    <row r="7385" spans="66:69" x14ac:dyDescent="0.2">
      <c r="BN7385" s="192"/>
      <c r="BO7385" s="197"/>
      <c r="BP7385" s="197"/>
      <c r="BQ7385" s="197"/>
    </row>
    <row r="7386" spans="66:69" x14ac:dyDescent="0.2">
      <c r="BN7386" s="192"/>
      <c r="BO7386" s="197"/>
      <c r="BP7386" s="197"/>
      <c r="BQ7386" s="197"/>
    </row>
    <row r="7387" spans="66:69" x14ac:dyDescent="0.2">
      <c r="BN7387" s="192"/>
      <c r="BO7387" s="197"/>
      <c r="BP7387" s="197"/>
      <c r="BQ7387" s="197"/>
    </row>
    <row r="7388" spans="66:69" x14ac:dyDescent="0.2">
      <c r="BN7388" s="192"/>
      <c r="BO7388" s="197"/>
      <c r="BP7388" s="197"/>
      <c r="BQ7388" s="197"/>
    </row>
    <row r="7389" spans="66:69" x14ac:dyDescent="0.2">
      <c r="BN7389" s="192"/>
      <c r="BO7389" s="197"/>
      <c r="BP7389" s="197"/>
      <c r="BQ7389" s="197"/>
    </row>
    <row r="7390" spans="66:69" x14ac:dyDescent="0.2">
      <c r="BN7390" s="192"/>
      <c r="BO7390" s="197"/>
      <c r="BP7390" s="197"/>
      <c r="BQ7390" s="197"/>
    </row>
    <row r="7391" spans="66:69" x14ac:dyDescent="0.2">
      <c r="BN7391" s="192"/>
      <c r="BO7391" s="197"/>
      <c r="BP7391" s="197"/>
      <c r="BQ7391" s="197"/>
    </row>
    <row r="7392" spans="66:69" x14ac:dyDescent="0.2">
      <c r="BN7392" s="192"/>
      <c r="BO7392" s="197"/>
      <c r="BP7392" s="197"/>
      <c r="BQ7392" s="197"/>
    </row>
    <row r="7393" spans="66:69" x14ac:dyDescent="0.2">
      <c r="BN7393" s="192"/>
      <c r="BO7393" s="197"/>
      <c r="BP7393" s="197"/>
      <c r="BQ7393" s="197"/>
    </row>
    <row r="7394" spans="66:69" x14ac:dyDescent="0.2">
      <c r="BN7394" s="192"/>
      <c r="BO7394" s="197"/>
      <c r="BP7394" s="197"/>
      <c r="BQ7394" s="197"/>
    </row>
    <row r="7395" spans="66:69" x14ac:dyDescent="0.2">
      <c r="BN7395" s="192"/>
      <c r="BO7395" s="197"/>
      <c r="BP7395" s="197"/>
      <c r="BQ7395" s="197"/>
    </row>
    <row r="7396" spans="66:69" x14ac:dyDescent="0.2">
      <c r="BN7396" s="192"/>
      <c r="BO7396" s="197"/>
      <c r="BP7396" s="197"/>
      <c r="BQ7396" s="197"/>
    </row>
    <row r="7397" spans="66:69" x14ac:dyDescent="0.2">
      <c r="BN7397" s="192"/>
      <c r="BO7397" s="197"/>
      <c r="BP7397" s="197"/>
      <c r="BQ7397" s="197"/>
    </row>
    <row r="7398" spans="66:69" x14ac:dyDescent="0.2">
      <c r="BN7398" s="192"/>
      <c r="BO7398" s="197"/>
      <c r="BP7398" s="197"/>
      <c r="BQ7398" s="197"/>
    </row>
    <row r="7399" spans="66:69" x14ac:dyDescent="0.2">
      <c r="BN7399" s="192"/>
      <c r="BO7399" s="197"/>
      <c r="BP7399" s="197"/>
      <c r="BQ7399" s="197"/>
    </row>
    <row r="7400" spans="66:69" x14ac:dyDescent="0.2">
      <c r="BN7400" s="192"/>
      <c r="BO7400" s="197"/>
      <c r="BP7400" s="197"/>
      <c r="BQ7400" s="197"/>
    </row>
    <row r="7401" spans="66:69" x14ac:dyDescent="0.2">
      <c r="BN7401" s="192"/>
      <c r="BO7401" s="197"/>
      <c r="BP7401" s="197"/>
      <c r="BQ7401" s="197"/>
    </row>
    <row r="7402" spans="66:69" x14ac:dyDescent="0.2">
      <c r="BN7402" s="192"/>
      <c r="BO7402" s="197"/>
      <c r="BP7402" s="197"/>
      <c r="BQ7402" s="197"/>
    </row>
    <row r="7403" spans="66:69" x14ac:dyDescent="0.2">
      <c r="BN7403" s="192"/>
      <c r="BO7403" s="197"/>
      <c r="BP7403" s="197"/>
      <c r="BQ7403" s="197"/>
    </row>
    <row r="7404" spans="66:69" x14ac:dyDescent="0.2">
      <c r="BN7404" s="192"/>
      <c r="BO7404" s="197"/>
      <c r="BP7404" s="197"/>
      <c r="BQ7404" s="197"/>
    </row>
    <row r="7405" spans="66:69" x14ac:dyDescent="0.2">
      <c r="BN7405" s="192"/>
      <c r="BO7405" s="197"/>
      <c r="BP7405" s="197"/>
      <c r="BQ7405" s="197"/>
    </row>
    <row r="7406" spans="66:69" x14ac:dyDescent="0.2">
      <c r="BN7406" s="192"/>
      <c r="BO7406" s="197"/>
      <c r="BP7406" s="197"/>
      <c r="BQ7406" s="197"/>
    </row>
    <row r="7407" spans="66:69" x14ac:dyDescent="0.2">
      <c r="BN7407" s="192"/>
      <c r="BO7407" s="197"/>
      <c r="BP7407" s="197"/>
      <c r="BQ7407" s="197"/>
    </row>
    <row r="7408" spans="66:69" x14ac:dyDescent="0.2">
      <c r="BN7408" s="192"/>
      <c r="BO7408" s="197"/>
      <c r="BP7408" s="197"/>
      <c r="BQ7408" s="197"/>
    </row>
    <row r="7409" spans="66:69" x14ac:dyDescent="0.2">
      <c r="BN7409" s="192"/>
      <c r="BO7409" s="197"/>
      <c r="BP7409" s="197"/>
      <c r="BQ7409" s="197"/>
    </row>
    <row r="7410" spans="66:69" x14ac:dyDescent="0.2">
      <c r="BN7410" s="192"/>
      <c r="BO7410" s="197"/>
      <c r="BP7410" s="197"/>
      <c r="BQ7410" s="197"/>
    </row>
    <row r="7411" spans="66:69" x14ac:dyDescent="0.2">
      <c r="BN7411" s="192"/>
      <c r="BO7411" s="197"/>
      <c r="BP7411" s="197"/>
      <c r="BQ7411" s="197"/>
    </row>
    <row r="7412" spans="66:69" x14ac:dyDescent="0.2">
      <c r="BN7412" s="192"/>
      <c r="BO7412" s="197"/>
      <c r="BP7412" s="197"/>
      <c r="BQ7412" s="197"/>
    </row>
    <row r="7413" spans="66:69" x14ac:dyDescent="0.2">
      <c r="BN7413" s="192"/>
      <c r="BO7413" s="197"/>
      <c r="BP7413" s="197"/>
      <c r="BQ7413" s="197"/>
    </row>
    <row r="7414" spans="66:69" x14ac:dyDescent="0.2">
      <c r="BN7414" s="192"/>
      <c r="BO7414" s="197"/>
      <c r="BP7414" s="197"/>
      <c r="BQ7414" s="197"/>
    </row>
    <row r="7415" spans="66:69" x14ac:dyDescent="0.2">
      <c r="BN7415" s="192"/>
      <c r="BO7415" s="197"/>
      <c r="BP7415" s="197"/>
      <c r="BQ7415" s="197"/>
    </row>
    <row r="7416" spans="66:69" x14ac:dyDescent="0.2">
      <c r="BN7416" s="192"/>
      <c r="BO7416" s="197"/>
      <c r="BP7416" s="197"/>
      <c r="BQ7416" s="197"/>
    </row>
    <row r="7417" spans="66:69" x14ac:dyDescent="0.2">
      <c r="BN7417" s="192"/>
      <c r="BO7417" s="197"/>
      <c r="BP7417" s="197"/>
      <c r="BQ7417" s="197"/>
    </row>
    <row r="7418" spans="66:69" x14ac:dyDescent="0.2">
      <c r="BN7418" s="192"/>
      <c r="BO7418" s="197"/>
      <c r="BP7418" s="197"/>
      <c r="BQ7418" s="197"/>
    </row>
    <row r="7419" spans="66:69" x14ac:dyDescent="0.2">
      <c r="BN7419" s="192"/>
      <c r="BO7419" s="197"/>
      <c r="BP7419" s="197"/>
      <c r="BQ7419" s="197"/>
    </row>
    <row r="7420" spans="66:69" x14ac:dyDescent="0.2">
      <c r="BN7420" s="192"/>
      <c r="BO7420" s="197"/>
      <c r="BP7420" s="197"/>
      <c r="BQ7420" s="197"/>
    </row>
    <row r="7421" spans="66:69" x14ac:dyDescent="0.2">
      <c r="BN7421" s="192"/>
      <c r="BO7421" s="197"/>
      <c r="BP7421" s="197"/>
      <c r="BQ7421" s="197"/>
    </row>
    <row r="7422" spans="66:69" x14ac:dyDescent="0.2">
      <c r="BN7422" s="192"/>
      <c r="BO7422" s="197"/>
      <c r="BP7422" s="197"/>
      <c r="BQ7422" s="197"/>
    </row>
    <row r="7423" spans="66:69" x14ac:dyDescent="0.2">
      <c r="BN7423" s="192"/>
      <c r="BO7423" s="197"/>
      <c r="BP7423" s="197"/>
      <c r="BQ7423" s="197"/>
    </row>
    <row r="7424" spans="66:69" x14ac:dyDescent="0.2">
      <c r="BN7424" s="192"/>
      <c r="BO7424" s="197"/>
      <c r="BP7424" s="197"/>
      <c r="BQ7424" s="197"/>
    </row>
    <row r="7425" spans="66:69" x14ac:dyDescent="0.2">
      <c r="BN7425" s="192"/>
      <c r="BO7425" s="197"/>
      <c r="BP7425" s="197"/>
      <c r="BQ7425" s="197"/>
    </row>
    <row r="7426" spans="66:69" x14ac:dyDescent="0.2">
      <c r="BN7426" s="192"/>
      <c r="BO7426" s="197"/>
      <c r="BP7426" s="197"/>
      <c r="BQ7426" s="197"/>
    </row>
    <row r="7427" spans="66:69" x14ac:dyDescent="0.2">
      <c r="BN7427" s="192"/>
      <c r="BO7427" s="197"/>
      <c r="BP7427" s="197"/>
      <c r="BQ7427" s="197"/>
    </row>
    <row r="7428" spans="66:69" x14ac:dyDescent="0.2">
      <c r="BN7428" s="192"/>
      <c r="BO7428" s="197"/>
      <c r="BP7428" s="197"/>
      <c r="BQ7428" s="197"/>
    </row>
    <row r="7429" spans="66:69" x14ac:dyDescent="0.2">
      <c r="BN7429" s="192"/>
      <c r="BO7429" s="197"/>
      <c r="BP7429" s="197"/>
      <c r="BQ7429" s="197"/>
    </row>
    <row r="7430" spans="66:69" x14ac:dyDescent="0.2">
      <c r="BN7430" s="192"/>
      <c r="BO7430" s="197"/>
      <c r="BP7430" s="197"/>
      <c r="BQ7430" s="197"/>
    </row>
    <row r="7431" spans="66:69" x14ac:dyDescent="0.2">
      <c r="BN7431" s="192"/>
      <c r="BO7431" s="197"/>
      <c r="BP7431" s="197"/>
      <c r="BQ7431" s="197"/>
    </row>
    <row r="7432" spans="66:69" x14ac:dyDescent="0.2">
      <c r="BN7432" s="192"/>
      <c r="BO7432" s="197"/>
      <c r="BP7432" s="197"/>
      <c r="BQ7432" s="197"/>
    </row>
    <row r="7433" spans="66:69" x14ac:dyDescent="0.2">
      <c r="BN7433" s="192"/>
      <c r="BO7433" s="197"/>
      <c r="BP7433" s="197"/>
      <c r="BQ7433" s="197"/>
    </row>
    <row r="7434" spans="66:69" x14ac:dyDescent="0.2">
      <c r="BN7434" s="192"/>
      <c r="BO7434" s="197"/>
      <c r="BP7434" s="197"/>
      <c r="BQ7434" s="197"/>
    </row>
    <row r="7435" spans="66:69" x14ac:dyDescent="0.2">
      <c r="BN7435" s="192"/>
      <c r="BO7435" s="197"/>
      <c r="BP7435" s="197"/>
      <c r="BQ7435" s="197"/>
    </row>
    <row r="7436" spans="66:69" x14ac:dyDescent="0.2">
      <c r="BN7436" s="192"/>
      <c r="BO7436" s="197"/>
      <c r="BP7436" s="197"/>
      <c r="BQ7436" s="197"/>
    </row>
    <row r="7437" spans="66:69" x14ac:dyDescent="0.2">
      <c r="BN7437" s="192"/>
      <c r="BO7437" s="197"/>
      <c r="BP7437" s="197"/>
      <c r="BQ7437" s="197"/>
    </row>
    <row r="7438" spans="66:69" x14ac:dyDescent="0.2">
      <c r="BN7438" s="192"/>
      <c r="BO7438" s="197"/>
      <c r="BP7438" s="197"/>
      <c r="BQ7438" s="197"/>
    </row>
    <row r="7439" spans="66:69" x14ac:dyDescent="0.2">
      <c r="BN7439" s="192"/>
      <c r="BO7439" s="197"/>
      <c r="BP7439" s="197"/>
      <c r="BQ7439" s="197"/>
    </row>
    <row r="7440" spans="66:69" x14ac:dyDescent="0.2">
      <c r="BN7440" s="192"/>
      <c r="BO7440" s="197"/>
      <c r="BP7440" s="197"/>
      <c r="BQ7440" s="197"/>
    </row>
    <row r="7441" spans="66:69" x14ac:dyDescent="0.2">
      <c r="BN7441" s="192"/>
      <c r="BO7441" s="197"/>
      <c r="BP7441" s="197"/>
      <c r="BQ7441" s="197"/>
    </row>
    <row r="7442" spans="66:69" x14ac:dyDescent="0.2">
      <c r="BN7442" s="192"/>
      <c r="BO7442" s="197"/>
      <c r="BP7442" s="197"/>
      <c r="BQ7442" s="197"/>
    </row>
    <row r="7443" spans="66:69" x14ac:dyDescent="0.2">
      <c r="BN7443" s="192"/>
      <c r="BO7443" s="197"/>
      <c r="BP7443" s="197"/>
      <c r="BQ7443" s="197"/>
    </row>
    <row r="7444" spans="66:69" x14ac:dyDescent="0.2">
      <c r="BN7444" s="192"/>
      <c r="BO7444" s="197"/>
      <c r="BP7444" s="197"/>
      <c r="BQ7444" s="197"/>
    </row>
    <row r="7445" spans="66:69" x14ac:dyDescent="0.2">
      <c r="BN7445" s="192"/>
      <c r="BO7445" s="197"/>
      <c r="BP7445" s="197"/>
      <c r="BQ7445" s="197"/>
    </row>
    <row r="7446" spans="66:69" x14ac:dyDescent="0.2">
      <c r="BN7446" s="192"/>
      <c r="BO7446" s="197"/>
      <c r="BP7446" s="197"/>
      <c r="BQ7446" s="197"/>
    </row>
    <row r="7447" spans="66:69" x14ac:dyDescent="0.2">
      <c r="BN7447" s="192"/>
      <c r="BO7447" s="197"/>
      <c r="BP7447" s="197"/>
      <c r="BQ7447" s="197"/>
    </row>
    <row r="7448" spans="66:69" x14ac:dyDescent="0.2">
      <c r="BN7448" s="192"/>
      <c r="BO7448" s="197"/>
      <c r="BP7448" s="197"/>
      <c r="BQ7448" s="197"/>
    </row>
    <row r="7449" spans="66:69" x14ac:dyDescent="0.2">
      <c r="BN7449" s="192"/>
      <c r="BO7449" s="197"/>
      <c r="BP7449" s="197"/>
      <c r="BQ7449" s="197"/>
    </row>
    <row r="7450" spans="66:69" x14ac:dyDescent="0.2">
      <c r="BN7450" s="192"/>
      <c r="BO7450" s="197"/>
      <c r="BP7450" s="197"/>
      <c r="BQ7450" s="197"/>
    </row>
    <row r="7451" spans="66:69" x14ac:dyDescent="0.2">
      <c r="BN7451" s="192"/>
      <c r="BO7451" s="197"/>
      <c r="BP7451" s="197"/>
      <c r="BQ7451" s="197"/>
    </row>
    <row r="7452" spans="66:69" x14ac:dyDescent="0.2">
      <c r="BN7452" s="192"/>
      <c r="BO7452" s="197"/>
      <c r="BP7452" s="197"/>
      <c r="BQ7452" s="197"/>
    </row>
    <row r="7453" spans="66:69" x14ac:dyDescent="0.2">
      <c r="BN7453" s="192"/>
      <c r="BO7453" s="197"/>
      <c r="BP7453" s="197"/>
      <c r="BQ7453" s="197"/>
    </row>
    <row r="7454" spans="66:69" x14ac:dyDescent="0.2">
      <c r="BN7454" s="192"/>
      <c r="BO7454" s="197"/>
      <c r="BP7454" s="197"/>
      <c r="BQ7454" s="197"/>
    </row>
    <row r="7455" spans="66:69" x14ac:dyDescent="0.2">
      <c r="BN7455" s="192"/>
      <c r="BO7455" s="197"/>
      <c r="BP7455" s="197"/>
      <c r="BQ7455" s="197"/>
    </row>
    <row r="7456" spans="66:69" x14ac:dyDescent="0.2">
      <c r="BN7456" s="192"/>
      <c r="BO7456" s="197"/>
      <c r="BP7456" s="197"/>
      <c r="BQ7456" s="197"/>
    </row>
    <row r="7457" spans="66:69" x14ac:dyDescent="0.2">
      <c r="BN7457" s="192"/>
      <c r="BO7457" s="197"/>
      <c r="BP7457" s="197"/>
      <c r="BQ7457" s="197"/>
    </row>
    <row r="7458" spans="66:69" x14ac:dyDescent="0.2">
      <c r="BN7458" s="192"/>
      <c r="BO7458" s="197"/>
      <c r="BP7458" s="197"/>
      <c r="BQ7458" s="197"/>
    </row>
    <row r="7459" spans="66:69" x14ac:dyDescent="0.2">
      <c r="BN7459" s="192"/>
      <c r="BO7459" s="197"/>
      <c r="BP7459" s="197"/>
      <c r="BQ7459" s="197"/>
    </row>
    <row r="7460" spans="66:69" x14ac:dyDescent="0.2">
      <c r="BN7460" s="192"/>
      <c r="BO7460" s="197"/>
      <c r="BP7460" s="197"/>
      <c r="BQ7460" s="197"/>
    </row>
    <row r="7461" spans="66:69" x14ac:dyDescent="0.2">
      <c r="BN7461" s="192"/>
      <c r="BO7461" s="197"/>
      <c r="BP7461" s="197"/>
      <c r="BQ7461" s="197"/>
    </row>
    <row r="7462" spans="66:69" x14ac:dyDescent="0.2">
      <c r="BN7462" s="192"/>
      <c r="BO7462" s="197"/>
      <c r="BP7462" s="197"/>
      <c r="BQ7462" s="197"/>
    </row>
    <row r="7463" spans="66:69" x14ac:dyDescent="0.2">
      <c r="BN7463" s="192"/>
      <c r="BO7463" s="197"/>
      <c r="BP7463" s="197"/>
      <c r="BQ7463" s="197"/>
    </row>
    <row r="7464" spans="66:69" x14ac:dyDescent="0.2">
      <c r="BN7464" s="192"/>
      <c r="BO7464" s="197"/>
      <c r="BP7464" s="197"/>
      <c r="BQ7464" s="197"/>
    </row>
    <row r="7465" spans="66:69" x14ac:dyDescent="0.2">
      <c r="BN7465" s="192"/>
      <c r="BO7465" s="197"/>
      <c r="BP7465" s="197"/>
      <c r="BQ7465" s="197"/>
    </row>
    <row r="7466" spans="66:69" x14ac:dyDescent="0.2">
      <c r="BN7466" s="192"/>
      <c r="BO7466" s="197"/>
      <c r="BP7466" s="197"/>
      <c r="BQ7466" s="197"/>
    </row>
    <row r="7467" spans="66:69" x14ac:dyDescent="0.2">
      <c r="BN7467" s="192"/>
      <c r="BO7467" s="197"/>
      <c r="BP7467" s="197"/>
      <c r="BQ7467" s="197"/>
    </row>
    <row r="7468" spans="66:69" x14ac:dyDescent="0.2">
      <c r="BN7468" s="192"/>
      <c r="BO7468" s="197"/>
      <c r="BP7468" s="197"/>
      <c r="BQ7468" s="197"/>
    </row>
    <row r="7469" spans="66:69" x14ac:dyDescent="0.2">
      <c r="BN7469" s="192"/>
      <c r="BO7469" s="197"/>
      <c r="BP7469" s="197"/>
      <c r="BQ7469" s="197"/>
    </row>
    <row r="7470" spans="66:69" x14ac:dyDescent="0.2">
      <c r="BN7470" s="192"/>
      <c r="BO7470" s="197"/>
      <c r="BP7470" s="197"/>
      <c r="BQ7470" s="197"/>
    </row>
    <row r="7471" spans="66:69" x14ac:dyDescent="0.2">
      <c r="BN7471" s="192"/>
      <c r="BO7471" s="197"/>
      <c r="BP7471" s="197"/>
      <c r="BQ7471" s="197"/>
    </row>
    <row r="7472" spans="66:69" x14ac:dyDescent="0.2">
      <c r="BN7472" s="192"/>
      <c r="BO7472" s="197"/>
      <c r="BP7472" s="197"/>
      <c r="BQ7472" s="197"/>
    </row>
    <row r="7473" spans="66:69" x14ac:dyDescent="0.2">
      <c r="BN7473" s="192"/>
      <c r="BO7473" s="197"/>
      <c r="BP7473" s="197"/>
      <c r="BQ7473" s="197"/>
    </row>
    <row r="7474" spans="66:69" x14ac:dyDescent="0.2">
      <c r="BN7474" s="192"/>
      <c r="BO7474" s="197"/>
      <c r="BP7474" s="197"/>
      <c r="BQ7474" s="197"/>
    </row>
    <row r="7475" spans="66:69" x14ac:dyDescent="0.2">
      <c r="BN7475" s="192"/>
      <c r="BO7475" s="197"/>
      <c r="BP7475" s="197"/>
      <c r="BQ7475" s="197"/>
    </row>
    <row r="7476" spans="66:69" x14ac:dyDescent="0.2">
      <c r="BN7476" s="192"/>
      <c r="BO7476" s="197"/>
      <c r="BP7476" s="197"/>
      <c r="BQ7476" s="197"/>
    </row>
    <row r="7477" spans="66:69" x14ac:dyDescent="0.2">
      <c r="BN7477" s="192"/>
      <c r="BO7477" s="197"/>
      <c r="BP7477" s="197"/>
      <c r="BQ7477" s="197"/>
    </row>
    <row r="7478" spans="66:69" x14ac:dyDescent="0.2">
      <c r="BN7478" s="192"/>
      <c r="BO7478" s="197"/>
      <c r="BP7478" s="197"/>
      <c r="BQ7478" s="197"/>
    </row>
    <row r="7479" spans="66:69" x14ac:dyDescent="0.2">
      <c r="BN7479" s="192"/>
      <c r="BO7479" s="197"/>
      <c r="BP7479" s="197"/>
      <c r="BQ7479" s="197"/>
    </row>
    <row r="7480" spans="66:69" x14ac:dyDescent="0.2">
      <c r="BN7480" s="192"/>
      <c r="BO7480" s="197"/>
      <c r="BP7480" s="197"/>
      <c r="BQ7480" s="197"/>
    </row>
    <row r="7481" spans="66:69" x14ac:dyDescent="0.2">
      <c r="BN7481" s="192"/>
      <c r="BO7481" s="197"/>
      <c r="BP7481" s="197"/>
      <c r="BQ7481" s="197"/>
    </row>
    <row r="7482" spans="66:69" x14ac:dyDescent="0.2">
      <c r="BN7482" s="192"/>
      <c r="BO7482" s="197"/>
      <c r="BP7482" s="197"/>
      <c r="BQ7482" s="197"/>
    </row>
    <row r="7483" spans="66:69" x14ac:dyDescent="0.2">
      <c r="BN7483" s="192"/>
      <c r="BO7483" s="197"/>
      <c r="BP7483" s="197"/>
      <c r="BQ7483" s="197"/>
    </row>
    <row r="7484" spans="66:69" x14ac:dyDescent="0.2">
      <c r="BN7484" s="192"/>
      <c r="BO7484" s="197"/>
      <c r="BP7484" s="197"/>
      <c r="BQ7484" s="197"/>
    </row>
    <row r="7485" spans="66:69" x14ac:dyDescent="0.2">
      <c r="BN7485" s="192"/>
      <c r="BO7485" s="197"/>
      <c r="BP7485" s="197"/>
      <c r="BQ7485" s="197"/>
    </row>
    <row r="7486" spans="66:69" x14ac:dyDescent="0.2">
      <c r="BN7486" s="192"/>
      <c r="BO7486" s="197"/>
      <c r="BP7486" s="197"/>
      <c r="BQ7486" s="197"/>
    </row>
    <row r="7487" spans="66:69" x14ac:dyDescent="0.2">
      <c r="BN7487" s="192"/>
      <c r="BO7487" s="197"/>
      <c r="BP7487" s="197"/>
      <c r="BQ7487" s="197"/>
    </row>
    <row r="7488" spans="66:69" x14ac:dyDescent="0.2">
      <c r="BN7488" s="192"/>
      <c r="BO7488" s="197"/>
      <c r="BP7488" s="197"/>
      <c r="BQ7488" s="197"/>
    </row>
    <row r="7489" spans="66:69" x14ac:dyDescent="0.2">
      <c r="BN7489" s="192"/>
      <c r="BO7489" s="197"/>
      <c r="BP7489" s="197"/>
      <c r="BQ7489" s="197"/>
    </row>
    <row r="7490" spans="66:69" x14ac:dyDescent="0.2">
      <c r="BN7490" s="192"/>
      <c r="BO7490" s="197"/>
      <c r="BP7490" s="197"/>
      <c r="BQ7490" s="197"/>
    </row>
    <row r="7491" spans="66:69" x14ac:dyDescent="0.2">
      <c r="BN7491" s="192"/>
      <c r="BO7491" s="197"/>
      <c r="BP7491" s="197"/>
      <c r="BQ7491" s="197"/>
    </row>
    <row r="7492" spans="66:69" x14ac:dyDescent="0.2">
      <c r="BN7492" s="192"/>
      <c r="BO7492" s="197"/>
      <c r="BP7492" s="197"/>
      <c r="BQ7492" s="197"/>
    </row>
    <row r="7493" spans="66:69" x14ac:dyDescent="0.2">
      <c r="BN7493" s="192"/>
      <c r="BO7493" s="197"/>
      <c r="BP7493" s="197"/>
      <c r="BQ7493" s="197"/>
    </row>
    <row r="7494" spans="66:69" x14ac:dyDescent="0.2">
      <c r="BN7494" s="192"/>
      <c r="BO7494" s="197"/>
      <c r="BP7494" s="197"/>
      <c r="BQ7494" s="197"/>
    </row>
    <row r="7495" spans="66:69" x14ac:dyDescent="0.2">
      <c r="BN7495" s="192"/>
      <c r="BO7495" s="197"/>
      <c r="BP7495" s="197"/>
      <c r="BQ7495" s="197"/>
    </row>
    <row r="7496" spans="66:69" x14ac:dyDescent="0.2">
      <c r="BN7496" s="192"/>
      <c r="BO7496" s="197"/>
      <c r="BP7496" s="197"/>
      <c r="BQ7496" s="197"/>
    </row>
    <row r="7497" spans="66:69" x14ac:dyDescent="0.2">
      <c r="BN7497" s="192"/>
      <c r="BO7497" s="197"/>
      <c r="BP7497" s="197"/>
      <c r="BQ7497" s="197"/>
    </row>
    <row r="7498" spans="66:69" x14ac:dyDescent="0.2">
      <c r="BN7498" s="192"/>
      <c r="BO7498" s="197"/>
      <c r="BP7498" s="197"/>
      <c r="BQ7498" s="197"/>
    </row>
    <row r="7499" spans="66:69" x14ac:dyDescent="0.2">
      <c r="BN7499" s="192"/>
      <c r="BO7499" s="197"/>
      <c r="BP7499" s="197"/>
      <c r="BQ7499" s="197"/>
    </row>
    <row r="7500" spans="66:69" x14ac:dyDescent="0.2">
      <c r="BN7500" s="192"/>
      <c r="BO7500" s="197"/>
      <c r="BP7500" s="197"/>
      <c r="BQ7500" s="197"/>
    </row>
    <row r="7501" spans="66:69" x14ac:dyDescent="0.2">
      <c r="BN7501" s="192"/>
      <c r="BO7501" s="197"/>
      <c r="BP7501" s="197"/>
      <c r="BQ7501" s="197"/>
    </row>
    <row r="7502" spans="66:69" x14ac:dyDescent="0.2">
      <c r="BN7502" s="192"/>
      <c r="BO7502" s="197"/>
      <c r="BP7502" s="197"/>
      <c r="BQ7502" s="197"/>
    </row>
    <row r="7503" spans="66:69" x14ac:dyDescent="0.2">
      <c r="BN7503" s="192"/>
      <c r="BO7503" s="197"/>
      <c r="BP7503" s="197"/>
      <c r="BQ7503" s="197"/>
    </row>
    <row r="7504" spans="66:69" x14ac:dyDescent="0.2">
      <c r="BN7504" s="192"/>
      <c r="BO7504" s="197"/>
      <c r="BP7504" s="197"/>
      <c r="BQ7504" s="197"/>
    </row>
    <row r="7505" spans="66:69" x14ac:dyDescent="0.2">
      <c r="BN7505" s="192"/>
      <c r="BO7505" s="197"/>
      <c r="BP7505" s="197"/>
      <c r="BQ7505" s="197"/>
    </row>
    <row r="7506" spans="66:69" x14ac:dyDescent="0.2">
      <c r="BN7506" s="192"/>
      <c r="BO7506" s="197"/>
      <c r="BP7506" s="197"/>
      <c r="BQ7506" s="197"/>
    </row>
    <row r="7507" spans="66:69" x14ac:dyDescent="0.2">
      <c r="BN7507" s="192"/>
      <c r="BO7507" s="197"/>
      <c r="BP7507" s="197"/>
      <c r="BQ7507" s="197"/>
    </row>
    <row r="7508" spans="66:69" x14ac:dyDescent="0.2">
      <c r="BN7508" s="192"/>
      <c r="BO7508" s="197"/>
      <c r="BP7508" s="197"/>
      <c r="BQ7508" s="197"/>
    </row>
    <row r="7509" spans="66:69" x14ac:dyDescent="0.2">
      <c r="BN7509" s="192"/>
      <c r="BO7509" s="197"/>
      <c r="BP7509" s="197"/>
      <c r="BQ7509" s="197"/>
    </row>
    <row r="7510" spans="66:69" x14ac:dyDescent="0.2">
      <c r="BN7510" s="192"/>
      <c r="BO7510" s="197"/>
      <c r="BP7510" s="197"/>
      <c r="BQ7510" s="197"/>
    </row>
    <row r="7511" spans="66:69" x14ac:dyDescent="0.2">
      <c r="BN7511" s="192"/>
      <c r="BO7511" s="197"/>
      <c r="BP7511" s="197"/>
      <c r="BQ7511" s="197"/>
    </row>
    <row r="7512" spans="66:69" x14ac:dyDescent="0.2">
      <c r="BN7512" s="192"/>
      <c r="BO7512" s="197"/>
      <c r="BP7512" s="197"/>
      <c r="BQ7512" s="197"/>
    </row>
    <row r="7513" spans="66:69" x14ac:dyDescent="0.2">
      <c r="BN7513" s="192"/>
      <c r="BO7513" s="197"/>
      <c r="BP7513" s="197"/>
      <c r="BQ7513" s="197"/>
    </row>
    <row r="7514" spans="66:69" x14ac:dyDescent="0.2">
      <c r="BN7514" s="192"/>
      <c r="BO7514" s="197"/>
      <c r="BP7514" s="197"/>
      <c r="BQ7514" s="197"/>
    </row>
    <row r="7515" spans="66:69" x14ac:dyDescent="0.2">
      <c r="BN7515" s="192"/>
      <c r="BO7515" s="197"/>
      <c r="BP7515" s="197"/>
      <c r="BQ7515" s="197"/>
    </row>
    <row r="7516" spans="66:69" x14ac:dyDescent="0.2">
      <c r="BN7516" s="192"/>
      <c r="BO7516" s="197"/>
      <c r="BP7516" s="197"/>
      <c r="BQ7516" s="197"/>
    </row>
    <row r="7517" spans="66:69" x14ac:dyDescent="0.2">
      <c r="BN7517" s="192"/>
      <c r="BO7517" s="197"/>
      <c r="BP7517" s="197"/>
      <c r="BQ7517" s="197"/>
    </row>
    <row r="7518" spans="66:69" x14ac:dyDescent="0.2">
      <c r="BN7518" s="192"/>
      <c r="BO7518" s="197"/>
      <c r="BP7518" s="197"/>
      <c r="BQ7518" s="197"/>
    </row>
    <row r="7519" spans="66:69" x14ac:dyDescent="0.2">
      <c r="BN7519" s="192"/>
      <c r="BO7519" s="197"/>
      <c r="BP7519" s="197"/>
      <c r="BQ7519" s="197"/>
    </row>
    <row r="7520" spans="66:69" x14ac:dyDescent="0.2">
      <c r="BN7520" s="192"/>
      <c r="BO7520" s="197"/>
      <c r="BP7520" s="197"/>
      <c r="BQ7520" s="197"/>
    </row>
    <row r="7521" spans="66:69" x14ac:dyDescent="0.2">
      <c r="BN7521" s="192"/>
      <c r="BO7521" s="197"/>
      <c r="BP7521" s="197"/>
      <c r="BQ7521" s="197"/>
    </row>
    <row r="7522" spans="66:69" x14ac:dyDescent="0.2">
      <c r="BN7522" s="192"/>
      <c r="BO7522" s="197"/>
      <c r="BP7522" s="197"/>
      <c r="BQ7522" s="197"/>
    </row>
    <row r="7523" spans="66:69" x14ac:dyDescent="0.2">
      <c r="BN7523" s="192"/>
      <c r="BO7523" s="197"/>
      <c r="BP7523" s="197"/>
      <c r="BQ7523" s="197"/>
    </row>
    <row r="7524" spans="66:69" x14ac:dyDescent="0.2">
      <c r="BN7524" s="192"/>
      <c r="BO7524" s="197"/>
      <c r="BP7524" s="197"/>
      <c r="BQ7524" s="197"/>
    </row>
    <row r="7525" spans="66:69" x14ac:dyDescent="0.2">
      <c r="BN7525" s="192"/>
      <c r="BO7525" s="197"/>
      <c r="BP7525" s="197"/>
      <c r="BQ7525" s="197"/>
    </row>
    <row r="7526" spans="66:69" x14ac:dyDescent="0.2">
      <c r="BN7526" s="192"/>
      <c r="BO7526" s="197"/>
      <c r="BP7526" s="197"/>
      <c r="BQ7526" s="197"/>
    </row>
    <row r="7527" spans="66:69" x14ac:dyDescent="0.2">
      <c r="BN7527" s="192"/>
      <c r="BO7527" s="197"/>
      <c r="BP7527" s="197"/>
      <c r="BQ7527" s="197"/>
    </row>
    <row r="7528" spans="66:69" x14ac:dyDescent="0.2">
      <c r="BN7528" s="192"/>
      <c r="BO7528" s="197"/>
      <c r="BP7528" s="197"/>
      <c r="BQ7528" s="197"/>
    </row>
    <row r="7529" spans="66:69" x14ac:dyDescent="0.2">
      <c r="BN7529" s="192"/>
      <c r="BO7529" s="197"/>
      <c r="BP7529" s="197"/>
      <c r="BQ7529" s="197"/>
    </row>
    <row r="7530" spans="66:69" x14ac:dyDescent="0.2">
      <c r="BN7530" s="192"/>
      <c r="BO7530" s="197"/>
      <c r="BP7530" s="197"/>
      <c r="BQ7530" s="197"/>
    </row>
    <row r="7531" spans="66:69" x14ac:dyDescent="0.2">
      <c r="BN7531" s="192"/>
      <c r="BO7531" s="197"/>
      <c r="BP7531" s="197"/>
      <c r="BQ7531" s="197"/>
    </row>
    <row r="7532" spans="66:69" x14ac:dyDescent="0.2">
      <c r="BN7532" s="192"/>
      <c r="BO7532" s="197"/>
      <c r="BP7532" s="197"/>
      <c r="BQ7532" s="197"/>
    </row>
    <row r="7533" spans="66:69" x14ac:dyDescent="0.2">
      <c r="BN7533" s="192"/>
      <c r="BO7533" s="197"/>
      <c r="BP7533" s="197"/>
      <c r="BQ7533" s="197"/>
    </row>
    <row r="7534" spans="66:69" x14ac:dyDescent="0.2">
      <c r="BN7534" s="192"/>
      <c r="BO7534" s="197"/>
      <c r="BP7534" s="197"/>
      <c r="BQ7534" s="197"/>
    </row>
    <row r="7535" spans="66:69" x14ac:dyDescent="0.2">
      <c r="BN7535" s="192"/>
      <c r="BO7535" s="197"/>
      <c r="BP7535" s="197"/>
      <c r="BQ7535" s="197"/>
    </row>
    <row r="7536" spans="66:69" x14ac:dyDescent="0.2">
      <c r="BN7536" s="192"/>
      <c r="BO7536" s="197"/>
      <c r="BP7536" s="197"/>
      <c r="BQ7536" s="197"/>
    </row>
    <row r="7537" spans="66:69" x14ac:dyDescent="0.2">
      <c r="BN7537" s="192"/>
      <c r="BO7537" s="197"/>
      <c r="BP7537" s="197"/>
      <c r="BQ7537" s="197"/>
    </row>
    <row r="7538" spans="66:69" x14ac:dyDescent="0.2">
      <c r="BN7538" s="192"/>
      <c r="BO7538" s="197"/>
      <c r="BP7538" s="197"/>
      <c r="BQ7538" s="197"/>
    </row>
    <row r="7539" spans="66:69" x14ac:dyDescent="0.2">
      <c r="BN7539" s="192"/>
      <c r="BO7539" s="197"/>
      <c r="BP7539" s="197"/>
      <c r="BQ7539" s="197"/>
    </row>
    <row r="7540" spans="66:69" x14ac:dyDescent="0.2">
      <c r="BN7540" s="192"/>
      <c r="BO7540" s="197"/>
      <c r="BP7540" s="197"/>
      <c r="BQ7540" s="197"/>
    </row>
    <row r="7541" spans="66:69" x14ac:dyDescent="0.2">
      <c r="BN7541" s="192"/>
      <c r="BO7541" s="197"/>
      <c r="BP7541" s="197"/>
      <c r="BQ7541" s="197"/>
    </row>
    <row r="7542" spans="66:69" x14ac:dyDescent="0.2">
      <c r="BN7542" s="192"/>
      <c r="BO7542" s="197"/>
      <c r="BP7542" s="197"/>
      <c r="BQ7542" s="197"/>
    </row>
    <row r="7543" spans="66:69" x14ac:dyDescent="0.2">
      <c r="BN7543" s="192"/>
      <c r="BO7543" s="197"/>
      <c r="BP7543" s="197"/>
      <c r="BQ7543" s="197"/>
    </row>
    <row r="7544" spans="66:69" x14ac:dyDescent="0.2">
      <c r="BN7544" s="192"/>
      <c r="BO7544" s="197"/>
      <c r="BP7544" s="197"/>
      <c r="BQ7544" s="197"/>
    </row>
    <row r="7545" spans="66:69" x14ac:dyDescent="0.2">
      <c r="BN7545" s="192"/>
      <c r="BO7545" s="197"/>
      <c r="BP7545" s="197"/>
      <c r="BQ7545" s="197"/>
    </row>
    <row r="7546" spans="66:69" x14ac:dyDescent="0.2">
      <c r="BN7546" s="192"/>
      <c r="BO7546" s="197"/>
      <c r="BP7546" s="197"/>
      <c r="BQ7546" s="197"/>
    </row>
    <row r="7547" spans="66:69" x14ac:dyDescent="0.2">
      <c r="BN7547" s="192"/>
      <c r="BO7547" s="197"/>
      <c r="BP7547" s="197"/>
      <c r="BQ7547" s="197"/>
    </row>
    <row r="7548" spans="66:69" x14ac:dyDescent="0.2">
      <c r="BN7548" s="192"/>
      <c r="BO7548" s="197"/>
      <c r="BP7548" s="197"/>
      <c r="BQ7548" s="197"/>
    </row>
    <row r="7549" spans="66:69" x14ac:dyDescent="0.2">
      <c r="BN7549" s="192"/>
      <c r="BO7549" s="197"/>
      <c r="BP7549" s="197"/>
      <c r="BQ7549" s="197"/>
    </row>
    <row r="7550" spans="66:69" x14ac:dyDescent="0.2">
      <c r="BN7550" s="192"/>
      <c r="BO7550" s="197"/>
      <c r="BP7550" s="197"/>
      <c r="BQ7550" s="197"/>
    </row>
    <row r="7551" spans="66:69" x14ac:dyDescent="0.2">
      <c r="BN7551" s="192"/>
      <c r="BO7551" s="197"/>
      <c r="BP7551" s="197"/>
      <c r="BQ7551" s="197"/>
    </row>
    <row r="7552" spans="66:69" x14ac:dyDescent="0.2">
      <c r="BN7552" s="192"/>
      <c r="BO7552" s="197"/>
      <c r="BP7552" s="197"/>
      <c r="BQ7552" s="197"/>
    </row>
    <row r="7553" spans="66:69" x14ac:dyDescent="0.2">
      <c r="BN7553" s="192"/>
      <c r="BO7553" s="197"/>
      <c r="BP7553" s="197"/>
      <c r="BQ7553" s="197"/>
    </row>
    <row r="7554" spans="66:69" x14ac:dyDescent="0.2">
      <c r="BN7554" s="192"/>
      <c r="BO7554" s="197"/>
      <c r="BP7554" s="197"/>
      <c r="BQ7554" s="197"/>
    </row>
    <row r="7555" spans="66:69" x14ac:dyDescent="0.2">
      <c r="BN7555" s="192"/>
      <c r="BO7555" s="197"/>
      <c r="BP7555" s="197"/>
      <c r="BQ7555" s="197"/>
    </row>
    <row r="7556" spans="66:69" x14ac:dyDescent="0.2">
      <c r="BN7556" s="192"/>
      <c r="BO7556" s="197"/>
      <c r="BP7556" s="197"/>
      <c r="BQ7556" s="197"/>
    </row>
    <row r="7557" spans="66:69" x14ac:dyDescent="0.2">
      <c r="BN7557" s="192"/>
      <c r="BO7557" s="197"/>
      <c r="BP7557" s="197"/>
      <c r="BQ7557" s="197"/>
    </row>
    <row r="7558" spans="66:69" x14ac:dyDescent="0.2">
      <c r="BN7558" s="192"/>
      <c r="BO7558" s="197"/>
      <c r="BP7558" s="197"/>
      <c r="BQ7558" s="197"/>
    </row>
    <row r="7559" spans="66:69" x14ac:dyDescent="0.2">
      <c r="BN7559" s="192"/>
      <c r="BO7559" s="197"/>
      <c r="BP7559" s="197"/>
      <c r="BQ7559" s="197"/>
    </row>
    <row r="7560" spans="66:69" x14ac:dyDescent="0.2">
      <c r="BN7560" s="192"/>
      <c r="BO7560" s="197"/>
      <c r="BP7560" s="197"/>
      <c r="BQ7560" s="197"/>
    </row>
    <row r="7561" spans="66:69" x14ac:dyDescent="0.2">
      <c r="BN7561" s="192"/>
      <c r="BO7561" s="197"/>
      <c r="BP7561" s="197"/>
      <c r="BQ7561" s="197"/>
    </row>
    <row r="7562" spans="66:69" x14ac:dyDescent="0.2">
      <c r="BN7562" s="192"/>
      <c r="BO7562" s="197"/>
      <c r="BP7562" s="197"/>
      <c r="BQ7562" s="197"/>
    </row>
    <row r="7563" spans="66:69" x14ac:dyDescent="0.2">
      <c r="BN7563" s="192"/>
      <c r="BO7563" s="197"/>
      <c r="BP7563" s="197"/>
      <c r="BQ7563" s="197"/>
    </row>
    <row r="7564" spans="66:69" x14ac:dyDescent="0.2">
      <c r="BN7564" s="192"/>
      <c r="BO7564" s="197"/>
      <c r="BP7564" s="197"/>
      <c r="BQ7564" s="197"/>
    </row>
    <row r="7565" spans="66:69" x14ac:dyDescent="0.2">
      <c r="BN7565" s="192"/>
      <c r="BO7565" s="197"/>
      <c r="BP7565" s="197"/>
      <c r="BQ7565" s="197"/>
    </row>
    <row r="7566" spans="66:69" x14ac:dyDescent="0.2">
      <c r="BN7566" s="192"/>
      <c r="BO7566" s="197"/>
      <c r="BP7566" s="197"/>
      <c r="BQ7566" s="197"/>
    </row>
    <row r="7567" spans="66:69" x14ac:dyDescent="0.2">
      <c r="BN7567" s="192"/>
      <c r="BO7567" s="197"/>
      <c r="BP7567" s="197"/>
      <c r="BQ7567" s="197"/>
    </row>
    <row r="7568" spans="66:69" x14ac:dyDescent="0.2">
      <c r="BN7568" s="192"/>
      <c r="BO7568" s="197"/>
      <c r="BP7568" s="197"/>
      <c r="BQ7568" s="197"/>
    </row>
    <row r="7569" spans="66:69" x14ac:dyDescent="0.2">
      <c r="BN7569" s="192"/>
      <c r="BO7569" s="197"/>
      <c r="BP7569" s="197"/>
      <c r="BQ7569" s="197"/>
    </row>
    <row r="7570" spans="66:69" x14ac:dyDescent="0.2">
      <c r="BN7570" s="192"/>
      <c r="BO7570" s="197"/>
      <c r="BP7570" s="197"/>
      <c r="BQ7570" s="197"/>
    </row>
    <row r="7571" spans="66:69" x14ac:dyDescent="0.2">
      <c r="BN7571" s="192"/>
      <c r="BO7571" s="197"/>
      <c r="BP7571" s="197"/>
      <c r="BQ7571" s="197"/>
    </row>
    <row r="7572" spans="66:69" x14ac:dyDescent="0.2">
      <c r="BN7572" s="192"/>
      <c r="BO7572" s="197"/>
      <c r="BP7572" s="197"/>
      <c r="BQ7572" s="197"/>
    </row>
    <row r="7573" spans="66:69" x14ac:dyDescent="0.2">
      <c r="BN7573" s="192"/>
      <c r="BO7573" s="197"/>
      <c r="BP7573" s="197"/>
      <c r="BQ7573" s="197"/>
    </row>
    <row r="7574" spans="66:69" x14ac:dyDescent="0.2">
      <c r="BN7574" s="192"/>
      <c r="BO7574" s="197"/>
      <c r="BP7574" s="197"/>
      <c r="BQ7574" s="197"/>
    </row>
    <row r="7575" spans="66:69" x14ac:dyDescent="0.2">
      <c r="BN7575" s="192"/>
      <c r="BO7575" s="197"/>
      <c r="BP7575" s="197"/>
      <c r="BQ7575" s="197"/>
    </row>
    <row r="7576" spans="66:69" x14ac:dyDescent="0.2">
      <c r="BN7576" s="192"/>
      <c r="BO7576" s="197"/>
      <c r="BP7576" s="197"/>
      <c r="BQ7576" s="197"/>
    </row>
    <row r="7577" spans="66:69" x14ac:dyDescent="0.2">
      <c r="BN7577" s="192"/>
      <c r="BO7577" s="197"/>
      <c r="BP7577" s="197"/>
      <c r="BQ7577" s="197"/>
    </row>
    <row r="7578" spans="66:69" x14ac:dyDescent="0.2">
      <c r="BN7578" s="192"/>
      <c r="BO7578" s="197"/>
      <c r="BP7578" s="197"/>
      <c r="BQ7578" s="197"/>
    </row>
    <row r="7579" spans="66:69" x14ac:dyDescent="0.2">
      <c r="BN7579" s="192"/>
      <c r="BO7579" s="197"/>
      <c r="BP7579" s="197"/>
      <c r="BQ7579" s="197"/>
    </row>
    <row r="7580" spans="66:69" x14ac:dyDescent="0.2">
      <c r="BN7580" s="192"/>
      <c r="BO7580" s="197"/>
      <c r="BP7580" s="197"/>
      <c r="BQ7580" s="197"/>
    </row>
    <row r="7581" spans="66:69" x14ac:dyDescent="0.2">
      <c r="BN7581" s="192"/>
      <c r="BO7581" s="197"/>
      <c r="BP7581" s="197"/>
      <c r="BQ7581" s="197"/>
    </row>
    <row r="7582" spans="66:69" x14ac:dyDescent="0.2">
      <c r="BN7582" s="192"/>
      <c r="BO7582" s="197"/>
      <c r="BP7582" s="197"/>
      <c r="BQ7582" s="197"/>
    </row>
    <row r="7583" spans="66:69" x14ac:dyDescent="0.2">
      <c r="BN7583" s="192"/>
      <c r="BO7583" s="197"/>
      <c r="BP7583" s="197"/>
      <c r="BQ7583" s="197"/>
    </row>
    <row r="7584" spans="66:69" x14ac:dyDescent="0.2">
      <c r="BN7584" s="192"/>
      <c r="BO7584" s="197"/>
      <c r="BP7584" s="197"/>
      <c r="BQ7584" s="197"/>
    </row>
    <row r="7585" spans="66:69" x14ac:dyDescent="0.2">
      <c r="BN7585" s="192"/>
      <c r="BO7585" s="197"/>
      <c r="BP7585" s="197"/>
      <c r="BQ7585" s="197"/>
    </row>
    <row r="7586" spans="66:69" x14ac:dyDescent="0.2">
      <c r="BN7586" s="192"/>
      <c r="BO7586" s="197"/>
      <c r="BP7586" s="197"/>
      <c r="BQ7586" s="197"/>
    </row>
    <row r="7587" spans="66:69" x14ac:dyDescent="0.2">
      <c r="BN7587" s="192"/>
      <c r="BO7587" s="197"/>
      <c r="BP7587" s="197"/>
      <c r="BQ7587" s="197"/>
    </row>
    <row r="7588" spans="66:69" x14ac:dyDescent="0.2">
      <c r="BN7588" s="192"/>
      <c r="BO7588" s="197"/>
      <c r="BP7588" s="197"/>
      <c r="BQ7588" s="197"/>
    </row>
    <row r="7589" spans="66:69" x14ac:dyDescent="0.2">
      <c r="BN7589" s="192"/>
      <c r="BO7589" s="197"/>
      <c r="BP7589" s="197"/>
      <c r="BQ7589" s="197"/>
    </row>
    <row r="7590" spans="66:69" x14ac:dyDescent="0.2">
      <c r="BN7590" s="192"/>
      <c r="BO7590" s="197"/>
      <c r="BP7590" s="197"/>
      <c r="BQ7590" s="197"/>
    </row>
    <row r="7591" spans="66:69" x14ac:dyDescent="0.2">
      <c r="BN7591" s="192"/>
      <c r="BO7591" s="197"/>
      <c r="BP7591" s="197"/>
      <c r="BQ7591" s="197"/>
    </row>
    <row r="7592" spans="66:69" x14ac:dyDescent="0.2">
      <c r="BN7592" s="192"/>
      <c r="BO7592" s="197"/>
      <c r="BP7592" s="197"/>
      <c r="BQ7592" s="197"/>
    </row>
    <row r="7593" spans="66:69" x14ac:dyDescent="0.2">
      <c r="BN7593" s="192"/>
      <c r="BO7593" s="197"/>
      <c r="BP7593" s="197"/>
      <c r="BQ7593" s="197"/>
    </row>
    <row r="7594" spans="66:69" x14ac:dyDescent="0.2">
      <c r="BN7594" s="192"/>
      <c r="BO7594" s="197"/>
      <c r="BP7594" s="197"/>
      <c r="BQ7594" s="197"/>
    </row>
    <row r="7595" spans="66:69" x14ac:dyDescent="0.2">
      <c r="BN7595" s="192"/>
      <c r="BO7595" s="197"/>
      <c r="BP7595" s="197"/>
      <c r="BQ7595" s="197"/>
    </row>
    <row r="7596" spans="66:69" x14ac:dyDescent="0.2">
      <c r="BN7596" s="192"/>
      <c r="BO7596" s="197"/>
      <c r="BP7596" s="197"/>
      <c r="BQ7596" s="197"/>
    </row>
    <row r="7597" spans="66:69" x14ac:dyDescent="0.2">
      <c r="BN7597" s="192"/>
      <c r="BO7597" s="197"/>
      <c r="BP7597" s="197"/>
      <c r="BQ7597" s="197"/>
    </row>
    <row r="7598" spans="66:69" x14ac:dyDescent="0.2">
      <c r="BN7598" s="192"/>
      <c r="BO7598" s="197"/>
      <c r="BP7598" s="197"/>
      <c r="BQ7598" s="197"/>
    </row>
    <row r="7599" spans="66:69" x14ac:dyDescent="0.2">
      <c r="BN7599" s="192"/>
      <c r="BO7599" s="197"/>
      <c r="BP7599" s="197"/>
      <c r="BQ7599" s="197"/>
    </row>
    <row r="7600" spans="66:69" x14ac:dyDescent="0.2">
      <c r="BN7600" s="192"/>
      <c r="BO7600" s="197"/>
      <c r="BP7600" s="197"/>
      <c r="BQ7600" s="197"/>
    </row>
    <row r="7601" spans="66:69" x14ac:dyDescent="0.2">
      <c r="BN7601" s="192"/>
      <c r="BO7601" s="197"/>
      <c r="BP7601" s="197"/>
      <c r="BQ7601" s="197"/>
    </row>
    <row r="7602" spans="66:69" x14ac:dyDescent="0.2">
      <c r="BN7602" s="192"/>
      <c r="BO7602" s="197"/>
      <c r="BP7602" s="197"/>
      <c r="BQ7602" s="197"/>
    </row>
    <row r="7603" spans="66:69" x14ac:dyDescent="0.2">
      <c r="BN7603" s="192"/>
      <c r="BO7603" s="197"/>
      <c r="BP7603" s="197"/>
      <c r="BQ7603" s="197"/>
    </row>
    <row r="7604" spans="66:69" x14ac:dyDescent="0.2">
      <c r="BN7604" s="192"/>
      <c r="BO7604" s="197"/>
      <c r="BP7604" s="197"/>
      <c r="BQ7604" s="197"/>
    </row>
    <row r="7605" spans="66:69" x14ac:dyDescent="0.2">
      <c r="BN7605" s="192"/>
      <c r="BO7605" s="197"/>
      <c r="BP7605" s="197"/>
      <c r="BQ7605" s="197"/>
    </row>
    <row r="7606" spans="66:69" x14ac:dyDescent="0.2">
      <c r="BN7606" s="192"/>
      <c r="BO7606" s="197"/>
      <c r="BP7606" s="197"/>
      <c r="BQ7606" s="197"/>
    </row>
    <row r="7607" spans="66:69" x14ac:dyDescent="0.2">
      <c r="BN7607" s="192"/>
      <c r="BO7607" s="197"/>
      <c r="BP7607" s="197"/>
      <c r="BQ7607" s="197"/>
    </row>
    <row r="7608" spans="66:69" x14ac:dyDescent="0.2">
      <c r="BN7608" s="192"/>
      <c r="BO7608" s="197"/>
      <c r="BP7608" s="197"/>
      <c r="BQ7608" s="197"/>
    </row>
    <row r="7609" spans="66:69" x14ac:dyDescent="0.2">
      <c r="BN7609" s="192"/>
      <c r="BO7609" s="197"/>
      <c r="BP7609" s="197"/>
      <c r="BQ7609" s="197"/>
    </row>
    <row r="7610" spans="66:69" x14ac:dyDescent="0.2">
      <c r="BN7610" s="192"/>
      <c r="BO7610" s="197"/>
      <c r="BP7610" s="197"/>
      <c r="BQ7610" s="197"/>
    </row>
    <row r="7611" spans="66:69" x14ac:dyDescent="0.2">
      <c r="BN7611" s="192"/>
      <c r="BO7611" s="197"/>
      <c r="BP7611" s="197"/>
      <c r="BQ7611" s="197"/>
    </row>
    <row r="7612" spans="66:69" x14ac:dyDescent="0.2">
      <c r="BN7612" s="192"/>
      <c r="BO7612" s="197"/>
      <c r="BP7612" s="197"/>
      <c r="BQ7612" s="197"/>
    </row>
    <row r="7613" spans="66:69" x14ac:dyDescent="0.2">
      <c r="BN7613" s="192"/>
      <c r="BO7613" s="197"/>
      <c r="BP7613" s="197"/>
      <c r="BQ7613" s="197"/>
    </row>
    <row r="7614" spans="66:69" x14ac:dyDescent="0.2">
      <c r="BN7614" s="192"/>
      <c r="BO7614" s="197"/>
      <c r="BP7614" s="197"/>
      <c r="BQ7614" s="197"/>
    </row>
    <row r="7615" spans="66:69" x14ac:dyDescent="0.2">
      <c r="BN7615" s="192"/>
      <c r="BO7615" s="197"/>
      <c r="BP7615" s="197"/>
      <c r="BQ7615" s="197"/>
    </row>
    <row r="7616" spans="66:69" x14ac:dyDescent="0.2">
      <c r="BN7616" s="192"/>
      <c r="BO7616" s="197"/>
      <c r="BP7616" s="197"/>
      <c r="BQ7616" s="197"/>
    </row>
    <row r="7617" spans="66:69" x14ac:dyDescent="0.2">
      <c r="BN7617" s="192"/>
      <c r="BO7617" s="197"/>
      <c r="BP7617" s="197"/>
      <c r="BQ7617" s="197"/>
    </row>
    <row r="7618" spans="66:69" x14ac:dyDescent="0.2">
      <c r="BN7618" s="192"/>
      <c r="BO7618" s="197"/>
      <c r="BP7618" s="197"/>
      <c r="BQ7618" s="197"/>
    </row>
    <row r="7619" spans="66:69" x14ac:dyDescent="0.2">
      <c r="BN7619" s="192"/>
      <c r="BO7619" s="197"/>
      <c r="BP7619" s="197"/>
      <c r="BQ7619" s="197"/>
    </row>
    <row r="7620" spans="66:69" x14ac:dyDescent="0.2">
      <c r="BN7620" s="192"/>
      <c r="BO7620" s="197"/>
      <c r="BP7620" s="197"/>
      <c r="BQ7620" s="197"/>
    </row>
    <row r="7621" spans="66:69" x14ac:dyDescent="0.2">
      <c r="BN7621" s="192"/>
      <c r="BO7621" s="197"/>
      <c r="BP7621" s="197"/>
      <c r="BQ7621" s="197"/>
    </row>
    <row r="7622" spans="66:69" x14ac:dyDescent="0.2">
      <c r="BN7622" s="192"/>
      <c r="BO7622" s="197"/>
      <c r="BP7622" s="197"/>
      <c r="BQ7622" s="197"/>
    </row>
    <row r="7623" spans="66:69" x14ac:dyDescent="0.2">
      <c r="BN7623" s="192"/>
      <c r="BO7623" s="197"/>
      <c r="BP7623" s="197"/>
      <c r="BQ7623" s="197"/>
    </row>
    <row r="7624" spans="66:69" x14ac:dyDescent="0.2">
      <c r="BN7624" s="192"/>
      <c r="BO7624" s="197"/>
      <c r="BP7624" s="197"/>
      <c r="BQ7624" s="197"/>
    </row>
    <row r="7625" spans="66:69" x14ac:dyDescent="0.2">
      <c r="BN7625" s="192"/>
      <c r="BO7625" s="197"/>
      <c r="BP7625" s="197"/>
      <c r="BQ7625" s="197"/>
    </row>
    <row r="7626" spans="66:69" x14ac:dyDescent="0.2">
      <c r="BN7626" s="192"/>
      <c r="BO7626" s="197"/>
      <c r="BP7626" s="197"/>
      <c r="BQ7626" s="197"/>
    </row>
    <row r="7627" spans="66:69" x14ac:dyDescent="0.2">
      <c r="BN7627" s="192"/>
      <c r="BO7627" s="197"/>
      <c r="BP7627" s="197"/>
      <c r="BQ7627" s="197"/>
    </row>
    <row r="7628" spans="66:69" x14ac:dyDescent="0.2">
      <c r="BN7628" s="192"/>
      <c r="BO7628" s="197"/>
      <c r="BP7628" s="197"/>
      <c r="BQ7628" s="197"/>
    </row>
    <row r="7629" spans="66:69" x14ac:dyDescent="0.2">
      <c r="BN7629" s="192"/>
      <c r="BO7629" s="197"/>
      <c r="BP7629" s="197"/>
      <c r="BQ7629" s="197"/>
    </row>
    <row r="7630" spans="66:69" x14ac:dyDescent="0.2">
      <c r="BN7630" s="192"/>
      <c r="BO7630" s="197"/>
      <c r="BP7630" s="197"/>
      <c r="BQ7630" s="197"/>
    </row>
    <row r="7631" spans="66:69" x14ac:dyDescent="0.2">
      <c r="BN7631" s="192"/>
      <c r="BO7631" s="197"/>
      <c r="BP7631" s="197"/>
      <c r="BQ7631" s="197"/>
    </row>
    <row r="7632" spans="66:69" x14ac:dyDescent="0.2">
      <c r="BN7632" s="192"/>
      <c r="BO7632" s="197"/>
      <c r="BP7632" s="197"/>
      <c r="BQ7632" s="197"/>
    </row>
    <row r="7633" spans="66:69" x14ac:dyDescent="0.2">
      <c r="BN7633" s="192"/>
      <c r="BO7633" s="197"/>
      <c r="BP7633" s="197"/>
      <c r="BQ7633" s="197"/>
    </row>
    <row r="7634" spans="66:69" x14ac:dyDescent="0.2">
      <c r="BN7634" s="192"/>
      <c r="BO7634" s="197"/>
      <c r="BP7634" s="197"/>
      <c r="BQ7634" s="197"/>
    </row>
    <row r="7635" spans="66:69" x14ac:dyDescent="0.2">
      <c r="BN7635" s="192"/>
      <c r="BO7635" s="197"/>
      <c r="BP7635" s="197"/>
      <c r="BQ7635" s="197"/>
    </row>
    <row r="7636" spans="66:69" x14ac:dyDescent="0.2">
      <c r="BN7636" s="192"/>
      <c r="BO7636" s="197"/>
      <c r="BP7636" s="197"/>
      <c r="BQ7636" s="197"/>
    </row>
    <row r="7637" spans="66:69" x14ac:dyDescent="0.2">
      <c r="BN7637" s="192"/>
      <c r="BO7637" s="197"/>
      <c r="BP7637" s="197"/>
      <c r="BQ7637" s="197"/>
    </row>
    <row r="7638" spans="66:69" x14ac:dyDescent="0.2">
      <c r="BN7638" s="192"/>
      <c r="BO7638" s="197"/>
      <c r="BP7638" s="197"/>
      <c r="BQ7638" s="197"/>
    </row>
    <row r="7639" spans="66:69" x14ac:dyDescent="0.2">
      <c r="BN7639" s="192"/>
      <c r="BO7639" s="197"/>
      <c r="BP7639" s="197"/>
      <c r="BQ7639" s="197"/>
    </row>
    <row r="7640" spans="66:69" x14ac:dyDescent="0.2">
      <c r="BN7640" s="192"/>
      <c r="BO7640" s="197"/>
      <c r="BP7640" s="197"/>
      <c r="BQ7640" s="197"/>
    </row>
    <row r="7641" spans="66:69" x14ac:dyDescent="0.2">
      <c r="BN7641" s="192"/>
      <c r="BO7641" s="197"/>
      <c r="BP7641" s="197"/>
      <c r="BQ7641" s="197"/>
    </row>
    <row r="7642" spans="66:69" x14ac:dyDescent="0.2">
      <c r="BN7642" s="192"/>
      <c r="BO7642" s="197"/>
      <c r="BP7642" s="197"/>
      <c r="BQ7642" s="197"/>
    </row>
    <row r="7643" spans="66:69" x14ac:dyDescent="0.2">
      <c r="BN7643" s="192"/>
      <c r="BO7643" s="197"/>
      <c r="BP7643" s="197"/>
      <c r="BQ7643" s="197"/>
    </row>
    <row r="7644" spans="66:69" x14ac:dyDescent="0.2">
      <c r="BN7644" s="192"/>
      <c r="BO7644" s="197"/>
      <c r="BP7644" s="197"/>
      <c r="BQ7644" s="197"/>
    </row>
    <row r="7645" spans="66:69" x14ac:dyDescent="0.2">
      <c r="BN7645" s="192"/>
      <c r="BO7645" s="197"/>
      <c r="BP7645" s="197"/>
      <c r="BQ7645" s="197"/>
    </row>
    <row r="7646" spans="66:69" x14ac:dyDescent="0.2">
      <c r="BN7646" s="192"/>
      <c r="BO7646" s="197"/>
      <c r="BP7646" s="197"/>
      <c r="BQ7646" s="197"/>
    </row>
    <row r="7647" spans="66:69" x14ac:dyDescent="0.2">
      <c r="BN7647" s="192"/>
      <c r="BO7647" s="197"/>
      <c r="BP7647" s="197"/>
      <c r="BQ7647" s="197"/>
    </row>
    <row r="7648" spans="66:69" x14ac:dyDescent="0.2">
      <c r="BN7648" s="192"/>
      <c r="BO7648" s="197"/>
      <c r="BP7648" s="197"/>
      <c r="BQ7648" s="197"/>
    </row>
    <row r="7649" spans="66:69" x14ac:dyDescent="0.2">
      <c r="BN7649" s="192"/>
      <c r="BO7649" s="197"/>
      <c r="BP7649" s="197"/>
      <c r="BQ7649" s="197"/>
    </row>
    <row r="7650" spans="66:69" x14ac:dyDescent="0.2">
      <c r="BN7650" s="192"/>
      <c r="BO7650" s="197"/>
      <c r="BP7650" s="197"/>
      <c r="BQ7650" s="197"/>
    </row>
    <row r="7651" spans="66:69" x14ac:dyDescent="0.2">
      <c r="BN7651" s="192"/>
      <c r="BO7651" s="197"/>
      <c r="BP7651" s="197"/>
      <c r="BQ7651" s="197"/>
    </row>
    <row r="7652" spans="66:69" x14ac:dyDescent="0.2">
      <c r="BN7652" s="192"/>
      <c r="BO7652" s="197"/>
      <c r="BP7652" s="197"/>
      <c r="BQ7652" s="197"/>
    </row>
    <row r="7653" spans="66:69" x14ac:dyDescent="0.2">
      <c r="BN7653" s="192"/>
      <c r="BO7653" s="197"/>
      <c r="BP7653" s="197"/>
      <c r="BQ7653" s="197"/>
    </row>
    <row r="7654" spans="66:69" x14ac:dyDescent="0.2">
      <c r="BN7654" s="192"/>
      <c r="BO7654" s="197"/>
      <c r="BP7654" s="197"/>
      <c r="BQ7654" s="197"/>
    </row>
    <row r="7655" spans="66:69" x14ac:dyDescent="0.2">
      <c r="BN7655" s="192"/>
      <c r="BO7655" s="197"/>
      <c r="BP7655" s="197"/>
      <c r="BQ7655" s="197"/>
    </row>
    <row r="7656" spans="66:69" x14ac:dyDescent="0.2">
      <c r="BN7656" s="192"/>
      <c r="BO7656" s="197"/>
      <c r="BP7656" s="197"/>
      <c r="BQ7656" s="197"/>
    </row>
    <row r="7657" spans="66:69" x14ac:dyDescent="0.2">
      <c r="BN7657" s="192"/>
      <c r="BO7657" s="197"/>
      <c r="BP7657" s="197"/>
      <c r="BQ7657" s="197"/>
    </row>
    <row r="7658" spans="66:69" x14ac:dyDescent="0.2">
      <c r="BN7658" s="192"/>
      <c r="BO7658" s="197"/>
      <c r="BP7658" s="197"/>
      <c r="BQ7658" s="197"/>
    </row>
    <row r="7659" spans="66:69" x14ac:dyDescent="0.2">
      <c r="BN7659" s="192"/>
      <c r="BO7659" s="197"/>
      <c r="BP7659" s="197"/>
      <c r="BQ7659" s="197"/>
    </row>
    <row r="7660" spans="66:69" x14ac:dyDescent="0.2">
      <c r="BN7660" s="192"/>
      <c r="BO7660" s="197"/>
      <c r="BP7660" s="197"/>
      <c r="BQ7660" s="197"/>
    </row>
    <row r="7661" spans="66:69" x14ac:dyDescent="0.2">
      <c r="BN7661" s="192"/>
      <c r="BO7661" s="197"/>
      <c r="BP7661" s="197"/>
      <c r="BQ7661" s="197"/>
    </row>
    <row r="7662" spans="66:69" x14ac:dyDescent="0.2">
      <c r="BN7662" s="192"/>
      <c r="BO7662" s="197"/>
      <c r="BP7662" s="197"/>
      <c r="BQ7662" s="197"/>
    </row>
    <row r="7663" spans="66:69" x14ac:dyDescent="0.2">
      <c r="BN7663" s="192"/>
      <c r="BO7663" s="197"/>
      <c r="BP7663" s="197"/>
      <c r="BQ7663" s="197"/>
    </row>
    <row r="7664" spans="66:69" x14ac:dyDescent="0.2">
      <c r="BN7664" s="192"/>
      <c r="BO7664" s="197"/>
      <c r="BP7664" s="197"/>
      <c r="BQ7664" s="197"/>
    </row>
    <row r="7665" spans="66:69" x14ac:dyDescent="0.2">
      <c r="BN7665" s="192"/>
      <c r="BO7665" s="197"/>
      <c r="BP7665" s="197"/>
      <c r="BQ7665" s="197"/>
    </row>
    <row r="7666" spans="66:69" x14ac:dyDescent="0.2">
      <c r="BN7666" s="192"/>
      <c r="BO7666" s="197"/>
      <c r="BP7666" s="197"/>
      <c r="BQ7666" s="197"/>
    </row>
    <row r="7667" spans="66:69" x14ac:dyDescent="0.2">
      <c r="BN7667" s="192"/>
      <c r="BO7667" s="197"/>
      <c r="BP7667" s="197"/>
      <c r="BQ7667" s="197"/>
    </row>
    <row r="7668" spans="66:69" x14ac:dyDescent="0.2">
      <c r="BN7668" s="192"/>
      <c r="BO7668" s="197"/>
      <c r="BP7668" s="197"/>
      <c r="BQ7668" s="197"/>
    </row>
    <row r="7669" spans="66:69" x14ac:dyDescent="0.2">
      <c r="BN7669" s="192"/>
      <c r="BO7669" s="197"/>
      <c r="BP7669" s="197"/>
      <c r="BQ7669" s="197"/>
    </row>
    <row r="7670" spans="66:69" x14ac:dyDescent="0.2">
      <c r="BN7670" s="192"/>
      <c r="BO7670" s="197"/>
      <c r="BP7670" s="197"/>
      <c r="BQ7670" s="197"/>
    </row>
    <row r="7671" spans="66:69" x14ac:dyDescent="0.2">
      <c r="BN7671" s="192"/>
      <c r="BO7671" s="197"/>
      <c r="BP7671" s="197"/>
      <c r="BQ7671" s="197"/>
    </row>
    <row r="7672" spans="66:69" x14ac:dyDescent="0.2">
      <c r="BN7672" s="192"/>
      <c r="BO7672" s="197"/>
      <c r="BP7672" s="197"/>
      <c r="BQ7672" s="197"/>
    </row>
    <row r="7673" spans="66:69" x14ac:dyDescent="0.2">
      <c r="BN7673" s="192"/>
      <c r="BO7673" s="197"/>
      <c r="BP7673" s="197"/>
      <c r="BQ7673" s="197"/>
    </row>
    <row r="7674" spans="66:69" x14ac:dyDescent="0.2">
      <c r="BN7674" s="192"/>
      <c r="BO7674" s="197"/>
      <c r="BP7674" s="197"/>
      <c r="BQ7674" s="197"/>
    </row>
    <row r="7675" spans="66:69" x14ac:dyDescent="0.2">
      <c r="BN7675" s="192"/>
      <c r="BO7675" s="197"/>
      <c r="BP7675" s="197"/>
      <c r="BQ7675" s="197"/>
    </row>
    <row r="7676" spans="66:69" x14ac:dyDescent="0.2">
      <c r="BN7676" s="192"/>
      <c r="BO7676" s="197"/>
      <c r="BP7676" s="197"/>
      <c r="BQ7676" s="197"/>
    </row>
    <row r="7677" spans="66:69" x14ac:dyDescent="0.2">
      <c r="BN7677" s="192"/>
      <c r="BO7677" s="197"/>
      <c r="BP7677" s="197"/>
      <c r="BQ7677" s="197"/>
    </row>
    <row r="7678" spans="66:69" x14ac:dyDescent="0.2">
      <c r="BN7678" s="192"/>
      <c r="BO7678" s="197"/>
      <c r="BP7678" s="197"/>
      <c r="BQ7678" s="197"/>
    </row>
    <row r="7679" spans="66:69" x14ac:dyDescent="0.2">
      <c r="BN7679" s="192"/>
      <c r="BO7679" s="197"/>
      <c r="BP7679" s="197"/>
      <c r="BQ7679" s="197"/>
    </row>
    <row r="7680" spans="66:69" x14ac:dyDescent="0.2">
      <c r="BN7680" s="192"/>
      <c r="BO7680" s="197"/>
      <c r="BP7680" s="197"/>
      <c r="BQ7680" s="197"/>
    </row>
    <row r="7681" spans="66:69" x14ac:dyDescent="0.2">
      <c r="BN7681" s="192"/>
      <c r="BO7681" s="197"/>
      <c r="BP7681" s="197"/>
      <c r="BQ7681" s="197"/>
    </row>
    <row r="7682" spans="66:69" x14ac:dyDescent="0.2">
      <c r="BN7682" s="192"/>
      <c r="BO7682" s="197"/>
      <c r="BP7682" s="197"/>
      <c r="BQ7682" s="197"/>
    </row>
    <row r="7683" spans="66:69" x14ac:dyDescent="0.2">
      <c r="BN7683" s="192"/>
      <c r="BO7683" s="197"/>
      <c r="BP7683" s="197"/>
      <c r="BQ7683" s="197"/>
    </row>
    <row r="7684" spans="66:69" x14ac:dyDescent="0.2">
      <c r="BN7684" s="192"/>
      <c r="BO7684" s="197"/>
      <c r="BP7684" s="197"/>
      <c r="BQ7684" s="197"/>
    </row>
    <row r="7685" spans="66:69" x14ac:dyDescent="0.2">
      <c r="BN7685" s="192"/>
      <c r="BO7685" s="197"/>
      <c r="BP7685" s="197"/>
      <c r="BQ7685" s="197"/>
    </row>
    <row r="7686" spans="66:69" x14ac:dyDescent="0.2">
      <c r="BN7686" s="192"/>
      <c r="BO7686" s="197"/>
      <c r="BP7686" s="197"/>
      <c r="BQ7686" s="197"/>
    </row>
    <row r="7687" spans="66:69" x14ac:dyDescent="0.2">
      <c r="BN7687" s="192"/>
      <c r="BO7687" s="197"/>
      <c r="BP7687" s="197"/>
      <c r="BQ7687" s="197"/>
    </row>
    <row r="7688" spans="66:69" x14ac:dyDescent="0.2">
      <c r="BN7688" s="192"/>
      <c r="BO7688" s="197"/>
      <c r="BP7688" s="197"/>
      <c r="BQ7688" s="197"/>
    </row>
    <row r="7689" spans="66:69" x14ac:dyDescent="0.2">
      <c r="BN7689" s="192"/>
      <c r="BO7689" s="197"/>
      <c r="BP7689" s="197"/>
      <c r="BQ7689" s="197"/>
    </row>
    <row r="7690" spans="66:69" x14ac:dyDescent="0.2">
      <c r="BN7690" s="192"/>
      <c r="BO7690" s="197"/>
      <c r="BP7690" s="197"/>
      <c r="BQ7690" s="197"/>
    </row>
    <row r="7691" spans="66:69" x14ac:dyDescent="0.2">
      <c r="BN7691" s="192"/>
      <c r="BO7691" s="197"/>
      <c r="BP7691" s="197"/>
      <c r="BQ7691" s="197"/>
    </row>
    <row r="7692" spans="66:69" x14ac:dyDescent="0.2">
      <c r="BN7692" s="192"/>
      <c r="BO7692" s="197"/>
      <c r="BP7692" s="197"/>
      <c r="BQ7692" s="197"/>
    </row>
    <row r="7693" spans="66:69" x14ac:dyDescent="0.2">
      <c r="BN7693" s="192"/>
      <c r="BO7693" s="197"/>
      <c r="BP7693" s="197"/>
      <c r="BQ7693" s="197"/>
    </row>
    <row r="7694" spans="66:69" x14ac:dyDescent="0.2">
      <c r="BN7694" s="192"/>
      <c r="BO7694" s="197"/>
      <c r="BP7694" s="197"/>
      <c r="BQ7694" s="197"/>
    </row>
    <row r="7695" spans="66:69" x14ac:dyDescent="0.2">
      <c r="BN7695" s="192"/>
      <c r="BO7695" s="197"/>
      <c r="BP7695" s="197"/>
      <c r="BQ7695" s="197"/>
    </row>
    <row r="7696" spans="66:69" x14ac:dyDescent="0.2">
      <c r="BN7696" s="192"/>
      <c r="BO7696" s="197"/>
      <c r="BP7696" s="197"/>
      <c r="BQ7696" s="197"/>
    </row>
    <row r="7697" spans="66:69" x14ac:dyDescent="0.2">
      <c r="BN7697" s="192"/>
      <c r="BO7697" s="197"/>
      <c r="BP7697" s="197"/>
      <c r="BQ7697" s="197"/>
    </row>
    <row r="7698" spans="66:69" x14ac:dyDescent="0.2">
      <c r="BN7698" s="192"/>
      <c r="BO7698" s="197"/>
      <c r="BP7698" s="197"/>
      <c r="BQ7698" s="197"/>
    </row>
    <row r="7699" spans="66:69" x14ac:dyDescent="0.2">
      <c r="BN7699" s="192"/>
      <c r="BO7699" s="197"/>
      <c r="BP7699" s="197"/>
      <c r="BQ7699" s="197"/>
    </row>
    <row r="7700" spans="66:69" x14ac:dyDescent="0.2">
      <c r="BN7700" s="192"/>
      <c r="BO7700" s="197"/>
      <c r="BP7700" s="197"/>
      <c r="BQ7700" s="197"/>
    </row>
    <row r="7701" spans="66:69" x14ac:dyDescent="0.2">
      <c r="BN7701" s="192"/>
      <c r="BO7701" s="197"/>
      <c r="BP7701" s="197"/>
      <c r="BQ7701" s="197"/>
    </row>
    <row r="7702" spans="66:69" x14ac:dyDescent="0.2">
      <c r="BN7702" s="192"/>
      <c r="BO7702" s="197"/>
      <c r="BP7702" s="197"/>
      <c r="BQ7702" s="197"/>
    </row>
    <row r="7703" spans="66:69" x14ac:dyDescent="0.2">
      <c r="BN7703" s="192"/>
      <c r="BO7703" s="197"/>
      <c r="BP7703" s="197"/>
      <c r="BQ7703" s="197"/>
    </row>
    <row r="7704" spans="66:69" x14ac:dyDescent="0.2">
      <c r="BN7704" s="192"/>
      <c r="BO7704" s="197"/>
      <c r="BP7704" s="197"/>
      <c r="BQ7704" s="197"/>
    </row>
    <row r="7705" spans="66:69" x14ac:dyDescent="0.2">
      <c r="BN7705" s="192"/>
      <c r="BO7705" s="197"/>
      <c r="BP7705" s="197"/>
      <c r="BQ7705" s="197"/>
    </row>
    <row r="7706" spans="66:69" x14ac:dyDescent="0.2">
      <c r="BN7706" s="192"/>
      <c r="BO7706" s="197"/>
      <c r="BP7706" s="197"/>
      <c r="BQ7706" s="197"/>
    </row>
    <row r="7707" spans="66:69" x14ac:dyDescent="0.2">
      <c r="BN7707" s="192"/>
      <c r="BO7707" s="197"/>
      <c r="BP7707" s="197"/>
      <c r="BQ7707" s="197"/>
    </row>
    <row r="7708" spans="66:69" x14ac:dyDescent="0.2">
      <c r="BN7708" s="192"/>
      <c r="BO7708" s="197"/>
      <c r="BP7708" s="197"/>
      <c r="BQ7708" s="197"/>
    </row>
    <row r="7709" spans="66:69" x14ac:dyDescent="0.2">
      <c r="BN7709" s="192"/>
      <c r="BO7709" s="197"/>
      <c r="BP7709" s="197"/>
      <c r="BQ7709" s="197"/>
    </row>
    <row r="7710" spans="66:69" x14ac:dyDescent="0.2">
      <c r="BN7710" s="192"/>
      <c r="BO7710" s="197"/>
      <c r="BP7710" s="197"/>
      <c r="BQ7710" s="197"/>
    </row>
    <row r="7711" spans="66:69" x14ac:dyDescent="0.2">
      <c r="BN7711" s="192"/>
      <c r="BO7711" s="197"/>
      <c r="BP7711" s="197"/>
      <c r="BQ7711" s="197"/>
    </row>
    <row r="7712" spans="66:69" x14ac:dyDescent="0.2">
      <c r="BN7712" s="192"/>
      <c r="BO7712" s="197"/>
      <c r="BP7712" s="197"/>
      <c r="BQ7712" s="197"/>
    </row>
    <row r="7713" spans="66:69" x14ac:dyDescent="0.2">
      <c r="BN7713" s="192"/>
      <c r="BO7713" s="197"/>
      <c r="BP7713" s="197"/>
      <c r="BQ7713" s="197"/>
    </row>
    <row r="7714" spans="66:69" x14ac:dyDescent="0.2">
      <c r="BN7714" s="192"/>
      <c r="BO7714" s="197"/>
      <c r="BP7714" s="197"/>
      <c r="BQ7714" s="197"/>
    </row>
    <row r="7715" spans="66:69" x14ac:dyDescent="0.2">
      <c r="BN7715" s="192"/>
      <c r="BO7715" s="197"/>
      <c r="BP7715" s="197"/>
      <c r="BQ7715" s="197"/>
    </row>
    <row r="7716" spans="66:69" x14ac:dyDescent="0.2">
      <c r="BN7716" s="192"/>
      <c r="BO7716" s="197"/>
      <c r="BP7716" s="197"/>
      <c r="BQ7716" s="197"/>
    </row>
    <row r="7717" spans="66:69" x14ac:dyDescent="0.2">
      <c r="BN7717" s="192"/>
      <c r="BO7717" s="197"/>
      <c r="BP7717" s="197"/>
      <c r="BQ7717" s="197"/>
    </row>
    <row r="7718" spans="66:69" x14ac:dyDescent="0.2">
      <c r="BN7718" s="192"/>
      <c r="BO7718" s="197"/>
      <c r="BP7718" s="197"/>
      <c r="BQ7718" s="197"/>
    </row>
    <row r="7719" spans="66:69" x14ac:dyDescent="0.2">
      <c r="BN7719" s="192"/>
      <c r="BO7719" s="197"/>
      <c r="BP7719" s="197"/>
      <c r="BQ7719" s="197"/>
    </row>
    <row r="7720" spans="66:69" x14ac:dyDescent="0.2">
      <c r="BN7720" s="192"/>
      <c r="BO7720" s="197"/>
      <c r="BP7720" s="197"/>
      <c r="BQ7720" s="197"/>
    </row>
    <row r="7721" spans="66:69" x14ac:dyDescent="0.2">
      <c r="BN7721" s="192"/>
      <c r="BO7721" s="197"/>
      <c r="BP7721" s="197"/>
      <c r="BQ7721" s="197"/>
    </row>
    <row r="7722" spans="66:69" x14ac:dyDescent="0.2">
      <c r="BN7722" s="192"/>
      <c r="BO7722" s="197"/>
      <c r="BP7722" s="197"/>
      <c r="BQ7722" s="197"/>
    </row>
    <row r="7723" spans="66:69" x14ac:dyDescent="0.2">
      <c r="BN7723" s="192"/>
      <c r="BO7723" s="197"/>
      <c r="BP7723" s="197"/>
      <c r="BQ7723" s="197"/>
    </row>
    <row r="7724" spans="66:69" x14ac:dyDescent="0.2">
      <c r="BN7724" s="192"/>
      <c r="BO7724" s="197"/>
      <c r="BP7724" s="197"/>
      <c r="BQ7724" s="197"/>
    </row>
    <row r="7725" spans="66:69" x14ac:dyDescent="0.2">
      <c r="BN7725" s="192"/>
      <c r="BO7725" s="197"/>
      <c r="BP7725" s="197"/>
      <c r="BQ7725" s="197"/>
    </row>
    <row r="7726" spans="66:69" x14ac:dyDescent="0.2">
      <c r="BN7726" s="192"/>
      <c r="BO7726" s="197"/>
      <c r="BP7726" s="197"/>
      <c r="BQ7726" s="197"/>
    </row>
    <row r="7727" spans="66:69" x14ac:dyDescent="0.2">
      <c r="BN7727" s="192"/>
      <c r="BO7727" s="197"/>
      <c r="BP7727" s="197"/>
      <c r="BQ7727" s="197"/>
    </row>
    <row r="7728" spans="66:69" x14ac:dyDescent="0.2">
      <c r="BN7728" s="192"/>
      <c r="BO7728" s="197"/>
      <c r="BP7728" s="197"/>
      <c r="BQ7728" s="197"/>
    </row>
    <row r="7729" spans="66:69" x14ac:dyDescent="0.2">
      <c r="BN7729" s="192"/>
      <c r="BO7729" s="197"/>
      <c r="BP7729" s="197"/>
      <c r="BQ7729" s="197"/>
    </row>
    <row r="7730" spans="66:69" x14ac:dyDescent="0.2">
      <c r="BN7730" s="192"/>
      <c r="BO7730" s="197"/>
      <c r="BP7730" s="197"/>
      <c r="BQ7730" s="197"/>
    </row>
    <row r="7731" spans="66:69" x14ac:dyDescent="0.2">
      <c r="BN7731" s="192"/>
      <c r="BO7731" s="197"/>
      <c r="BP7731" s="197"/>
      <c r="BQ7731" s="197"/>
    </row>
    <row r="7732" spans="66:69" x14ac:dyDescent="0.2">
      <c r="BN7732" s="192"/>
      <c r="BO7732" s="197"/>
      <c r="BP7732" s="197"/>
      <c r="BQ7732" s="197"/>
    </row>
    <row r="7733" spans="66:69" x14ac:dyDescent="0.2">
      <c r="BN7733" s="192"/>
      <c r="BO7733" s="197"/>
      <c r="BP7733" s="197"/>
      <c r="BQ7733" s="197"/>
    </row>
    <row r="7734" spans="66:69" x14ac:dyDescent="0.2">
      <c r="BN7734" s="192"/>
      <c r="BO7734" s="197"/>
      <c r="BP7734" s="197"/>
      <c r="BQ7734" s="197"/>
    </row>
    <row r="7735" spans="66:69" x14ac:dyDescent="0.2">
      <c r="BN7735" s="192"/>
      <c r="BO7735" s="197"/>
      <c r="BP7735" s="197"/>
      <c r="BQ7735" s="197"/>
    </row>
    <row r="7736" spans="66:69" x14ac:dyDescent="0.2">
      <c r="BN7736" s="192"/>
      <c r="BO7736" s="197"/>
      <c r="BP7736" s="197"/>
      <c r="BQ7736" s="197"/>
    </row>
    <row r="7737" spans="66:69" x14ac:dyDescent="0.2">
      <c r="BN7737" s="192"/>
      <c r="BO7737" s="197"/>
      <c r="BP7737" s="197"/>
      <c r="BQ7737" s="197"/>
    </row>
    <row r="7738" spans="66:69" x14ac:dyDescent="0.2">
      <c r="BN7738" s="192"/>
      <c r="BO7738" s="197"/>
      <c r="BP7738" s="197"/>
      <c r="BQ7738" s="197"/>
    </row>
    <row r="7739" spans="66:69" x14ac:dyDescent="0.2">
      <c r="BN7739" s="192"/>
      <c r="BO7739" s="197"/>
      <c r="BP7739" s="197"/>
      <c r="BQ7739" s="197"/>
    </row>
    <row r="7740" spans="66:69" x14ac:dyDescent="0.2">
      <c r="BN7740" s="192"/>
      <c r="BO7740" s="197"/>
      <c r="BP7740" s="197"/>
      <c r="BQ7740" s="197"/>
    </row>
    <row r="7741" spans="66:69" x14ac:dyDescent="0.2">
      <c r="BN7741" s="192"/>
      <c r="BO7741" s="197"/>
      <c r="BP7741" s="197"/>
      <c r="BQ7741" s="197"/>
    </row>
    <row r="7742" spans="66:69" x14ac:dyDescent="0.2">
      <c r="BN7742" s="192"/>
      <c r="BO7742" s="197"/>
      <c r="BP7742" s="197"/>
      <c r="BQ7742" s="197"/>
    </row>
    <row r="7743" spans="66:69" x14ac:dyDescent="0.2">
      <c r="BN7743" s="192"/>
      <c r="BO7743" s="197"/>
      <c r="BP7743" s="197"/>
      <c r="BQ7743" s="197"/>
    </row>
    <row r="7744" spans="66:69" x14ac:dyDescent="0.2">
      <c r="BN7744" s="192"/>
      <c r="BO7744" s="197"/>
      <c r="BP7744" s="197"/>
      <c r="BQ7744" s="197"/>
    </row>
    <row r="7745" spans="66:69" x14ac:dyDescent="0.2">
      <c r="BN7745" s="192"/>
      <c r="BO7745" s="197"/>
      <c r="BP7745" s="197"/>
      <c r="BQ7745" s="197"/>
    </row>
    <row r="7746" spans="66:69" x14ac:dyDescent="0.2">
      <c r="BN7746" s="192"/>
      <c r="BO7746" s="197"/>
      <c r="BP7746" s="197"/>
      <c r="BQ7746" s="197"/>
    </row>
    <row r="7747" spans="66:69" x14ac:dyDescent="0.2">
      <c r="BN7747" s="192"/>
      <c r="BO7747" s="197"/>
      <c r="BP7747" s="197"/>
      <c r="BQ7747" s="197"/>
    </row>
    <row r="7748" spans="66:69" x14ac:dyDescent="0.2">
      <c r="BN7748" s="192"/>
      <c r="BO7748" s="197"/>
      <c r="BP7748" s="197"/>
      <c r="BQ7748" s="197"/>
    </row>
    <row r="7749" spans="66:69" x14ac:dyDescent="0.2">
      <c r="BN7749" s="192"/>
      <c r="BO7749" s="197"/>
      <c r="BP7749" s="197"/>
      <c r="BQ7749" s="197"/>
    </row>
    <row r="7750" spans="66:69" x14ac:dyDescent="0.2">
      <c r="BN7750" s="192"/>
      <c r="BO7750" s="197"/>
      <c r="BP7750" s="197"/>
      <c r="BQ7750" s="197"/>
    </row>
    <row r="7751" spans="66:69" x14ac:dyDescent="0.2">
      <c r="BN7751" s="192"/>
      <c r="BO7751" s="197"/>
      <c r="BP7751" s="197"/>
      <c r="BQ7751" s="197"/>
    </row>
    <row r="7752" spans="66:69" x14ac:dyDescent="0.2">
      <c r="BN7752" s="192"/>
      <c r="BO7752" s="197"/>
      <c r="BP7752" s="197"/>
      <c r="BQ7752" s="197"/>
    </row>
    <row r="7753" spans="66:69" x14ac:dyDescent="0.2">
      <c r="BN7753" s="192"/>
      <c r="BO7753" s="197"/>
      <c r="BP7753" s="197"/>
      <c r="BQ7753" s="197"/>
    </row>
    <row r="7754" spans="66:69" x14ac:dyDescent="0.2">
      <c r="BN7754" s="192"/>
      <c r="BO7754" s="197"/>
      <c r="BP7754" s="197"/>
      <c r="BQ7754" s="197"/>
    </row>
    <row r="7755" spans="66:69" x14ac:dyDescent="0.2">
      <c r="BN7755" s="192"/>
      <c r="BO7755" s="197"/>
      <c r="BP7755" s="197"/>
      <c r="BQ7755" s="197"/>
    </row>
    <row r="7756" spans="66:69" x14ac:dyDescent="0.2">
      <c r="BN7756" s="192"/>
      <c r="BO7756" s="197"/>
      <c r="BP7756" s="197"/>
      <c r="BQ7756" s="197"/>
    </row>
    <row r="7757" spans="66:69" x14ac:dyDescent="0.2">
      <c r="BN7757" s="192"/>
      <c r="BO7757" s="197"/>
      <c r="BP7757" s="197"/>
      <c r="BQ7757" s="197"/>
    </row>
    <row r="7758" spans="66:69" x14ac:dyDescent="0.2">
      <c r="BN7758" s="192"/>
      <c r="BO7758" s="197"/>
      <c r="BP7758" s="197"/>
      <c r="BQ7758" s="197"/>
    </row>
    <row r="7759" spans="66:69" x14ac:dyDescent="0.2">
      <c r="BN7759" s="192"/>
      <c r="BO7759" s="197"/>
      <c r="BP7759" s="197"/>
      <c r="BQ7759" s="197"/>
    </row>
    <row r="7760" spans="66:69" x14ac:dyDescent="0.2">
      <c r="BN7760" s="192"/>
      <c r="BO7760" s="197"/>
      <c r="BP7760" s="197"/>
      <c r="BQ7760" s="197"/>
    </row>
    <row r="7761" spans="66:69" x14ac:dyDescent="0.2">
      <c r="BN7761" s="192"/>
      <c r="BO7761" s="197"/>
      <c r="BP7761" s="197"/>
      <c r="BQ7761" s="197"/>
    </row>
    <row r="7762" spans="66:69" x14ac:dyDescent="0.2">
      <c r="BN7762" s="192"/>
      <c r="BO7762" s="197"/>
      <c r="BP7762" s="197"/>
      <c r="BQ7762" s="197"/>
    </row>
    <row r="7763" spans="66:69" x14ac:dyDescent="0.2">
      <c r="BN7763" s="192"/>
      <c r="BO7763" s="197"/>
      <c r="BP7763" s="197"/>
      <c r="BQ7763" s="197"/>
    </row>
    <row r="7764" spans="66:69" x14ac:dyDescent="0.2">
      <c r="BN7764" s="192"/>
      <c r="BO7764" s="197"/>
      <c r="BP7764" s="197"/>
      <c r="BQ7764" s="197"/>
    </row>
    <row r="7765" spans="66:69" x14ac:dyDescent="0.2">
      <c r="BN7765" s="192"/>
      <c r="BO7765" s="197"/>
      <c r="BP7765" s="197"/>
      <c r="BQ7765" s="197"/>
    </row>
    <row r="7766" spans="66:69" x14ac:dyDescent="0.2">
      <c r="BN7766" s="192"/>
      <c r="BO7766" s="197"/>
      <c r="BP7766" s="197"/>
      <c r="BQ7766" s="197"/>
    </row>
    <row r="7767" spans="66:69" x14ac:dyDescent="0.2">
      <c r="BN7767" s="192"/>
      <c r="BO7767" s="197"/>
      <c r="BP7767" s="197"/>
      <c r="BQ7767" s="197"/>
    </row>
    <row r="7768" spans="66:69" x14ac:dyDescent="0.2">
      <c r="BN7768" s="192"/>
      <c r="BO7768" s="197"/>
      <c r="BP7768" s="197"/>
      <c r="BQ7768" s="197"/>
    </row>
    <row r="7769" spans="66:69" x14ac:dyDescent="0.2">
      <c r="BN7769" s="192"/>
      <c r="BO7769" s="197"/>
      <c r="BP7769" s="197"/>
      <c r="BQ7769" s="197"/>
    </row>
    <row r="7770" spans="66:69" x14ac:dyDescent="0.2">
      <c r="BN7770" s="192"/>
      <c r="BO7770" s="197"/>
      <c r="BP7770" s="197"/>
      <c r="BQ7770" s="197"/>
    </row>
    <row r="7771" spans="66:69" x14ac:dyDescent="0.2">
      <c r="BN7771" s="192"/>
      <c r="BO7771" s="197"/>
      <c r="BP7771" s="197"/>
      <c r="BQ7771" s="197"/>
    </row>
    <row r="7772" spans="66:69" x14ac:dyDescent="0.2">
      <c r="BN7772" s="192"/>
      <c r="BO7772" s="197"/>
      <c r="BP7772" s="197"/>
      <c r="BQ7772" s="197"/>
    </row>
    <row r="7773" spans="66:69" x14ac:dyDescent="0.2">
      <c r="BN7773" s="192"/>
      <c r="BO7773" s="197"/>
      <c r="BP7773" s="197"/>
      <c r="BQ7773" s="197"/>
    </row>
    <row r="7774" spans="66:69" x14ac:dyDescent="0.2">
      <c r="BN7774" s="192"/>
      <c r="BO7774" s="197"/>
      <c r="BP7774" s="197"/>
      <c r="BQ7774" s="197"/>
    </row>
    <row r="7775" spans="66:69" x14ac:dyDescent="0.2">
      <c r="BN7775" s="192"/>
      <c r="BO7775" s="197"/>
      <c r="BP7775" s="197"/>
      <c r="BQ7775" s="197"/>
    </row>
    <row r="7776" spans="66:69" x14ac:dyDescent="0.2">
      <c r="BN7776" s="192"/>
      <c r="BO7776" s="197"/>
      <c r="BP7776" s="197"/>
      <c r="BQ7776" s="197"/>
    </row>
    <row r="7777" spans="66:69" x14ac:dyDescent="0.2">
      <c r="BN7777" s="192"/>
      <c r="BO7777" s="197"/>
      <c r="BP7777" s="197"/>
      <c r="BQ7777" s="197"/>
    </row>
    <row r="7778" spans="66:69" x14ac:dyDescent="0.2">
      <c r="BN7778" s="192"/>
      <c r="BO7778" s="197"/>
      <c r="BP7778" s="197"/>
      <c r="BQ7778" s="197"/>
    </row>
    <row r="7779" spans="66:69" x14ac:dyDescent="0.2">
      <c r="BN7779" s="192"/>
      <c r="BO7779" s="197"/>
      <c r="BP7779" s="197"/>
      <c r="BQ7779" s="197"/>
    </row>
    <row r="7780" spans="66:69" x14ac:dyDescent="0.2">
      <c r="BN7780" s="192"/>
      <c r="BO7780" s="197"/>
      <c r="BP7780" s="197"/>
      <c r="BQ7780" s="197"/>
    </row>
    <row r="7781" spans="66:69" x14ac:dyDescent="0.2">
      <c r="BN7781" s="192"/>
      <c r="BO7781" s="197"/>
      <c r="BP7781" s="197"/>
      <c r="BQ7781" s="197"/>
    </row>
    <row r="7782" spans="66:69" x14ac:dyDescent="0.2">
      <c r="BN7782" s="192"/>
      <c r="BO7782" s="197"/>
      <c r="BP7782" s="197"/>
      <c r="BQ7782" s="197"/>
    </row>
    <row r="7783" spans="66:69" x14ac:dyDescent="0.2">
      <c r="BN7783" s="192"/>
      <c r="BO7783" s="197"/>
      <c r="BP7783" s="197"/>
      <c r="BQ7783" s="197"/>
    </row>
    <row r="7784" spans="66:69" x14ac:dyDescent="0.2">
      <c r="BN7784" s="192"/>
      <c r="BO7784" s="197"/>
      <c r="BP7784" s="197"/>
      <c r="BQ7784" s="197"/>
    </row>
    <row r="7785" spans="66:69" x14ac:dyDescent="0.2">
      <c r="BN7785" s="192"/>
      <c r="BO7785" s="197"/>
      <c r="BP7785" s="197"/>
      <c r="BQ7785" s="197"/>
    </row>
    <row r="7786" spans="66:69" x14ac:dyDescent="0.2">
      <c r="BN7786" s="192"/>
      <c r="BO7786" s="197"/>
      <c r="BP7786" s="197"/>
      <c r="BQ7786" s="197"/>
    </row>
    <row r="7787" spans="66:69" x14ac:dyDescent="0.2">
      <c r="BN7787" s="192"/>
      <c r="BO7787" s="197"/>
      <c r="BP7787" s="197"/>
      <c r="BQ7787" s="197"/>
    </row>
    <row r="7788" spans="66:69" x14ac:dyDescent="0.2">
      <c r="BN7788" s="192"/>
      <c r="BO7788" s="197"/>
      <c r="BP7788" s="197"/>
      <c r="BQ7788" s="197"/>
    </row>
    <row r="7789" spans="66:69" x14ac:dyDescent="0.2">
      <c r="BN7789" s="192"/>
      <c r="BO7789" s="197"/>
      <c r="BP7789" s="197"/>
      <c r="BQ7789" s="197"/>
    </row>
    <row r="7790" spans="66:69" x14ac:dyDescent="0.2">
      <c r="BN7790" s="192"/>
      <c r="BO7790" s="197"/>
      <c r="BP7790" s="197"/>
      <c r="BQ7790" s="197"/>
    </row>
    <row r="7791" spans="66:69" x14ac:dyDescent="0.2">
      <c r="BN7791" s="192"/>
      <c r="BO7791" s="197"/>
      <c r="BP7791" s="197"/>
      <c r="BQ7791" s="197"/>
    </row>
    <row r="7792" spans="66:69" x14ac:dyDescent="0.2">
      <c r="BN7792" s="192"/>
      <c r="BO7792" s="197"/>
      <c r="BP7792" s="197"/>
      <c r="BQ7792" s="197"/>
    </row>
    <row r="7793" spans="66:69" x14ac:dyDescent="0.2">
      <c r="BN7793" s="192"/>
      <c r="BO7793" s="197"/>
      <c r="BP7793" s="197"/>
      <c r="BQ7793" s="197"/>
    </row>
    <row r="7794" spans="66:69" x14ac:dyDescent="0.2">
      <c r="BN7794" s="192"/>
      <c r="BO7794" s="197"/>
      <c r="BP7794" s="197"/>
      <c r="BQ7794" s="197"/>
    </row>
    <row r="7795" spans="66:69" x14ac:dyDescent="0.2">
      <c r="BN7795" s="192"/>
      <c r="BO7795" s="197"/>
      <c r="BP7795" s="197"/>
      <c r="BQ7795" s="197"/>
    </row>
    <row r="7796" spans="66:69" x14ac:dyDescent="0.2">
      <c r="BN7796" s="192"/>
      <c r="BO7796" s="197"/>
      <c r="BP7796" s="197"/>
      <c r="BQ7796" s="197"/>
    </row>
    <row r="7797" spans="66:69" x14ac:dyDescent="0.2">
      <c r="BN7797" s="192"/>
      <c r="BO7797" s="197"/>
      <c r="BP7797" s="197"/>
      <c r="BQ7797" s="197"/>
    </row>
    <row r="7798" spans="66:69" x14ac:dyDescent="0.2">
      <c r="BN7798" s="192"/>
      <c r="BO7798" s="197"/>
      <c r="BP7798" s="197"/>
      <c r="BQ7798" s="197"/>
    </row>
    <row r="7799" spans="66:69" x14ac:dyDescent="0.2">
      <c r="BN7799" s="192"/>
      <c r="BO7799" s="197"/>
      <c r="BP7799" s="197"/>
      <c r="BQ7799" s="197"/>
    </row>
    <row r="7800" spans="66:69" x14ac:dyDescent="0.2">
      <c r="BN7800" s="192"/>
      <c r="BO7800" s="197"/>
      <c r="BP7800" s="197"/>
      <c r="BQ7800" s="197"/>
    </row>
    <row r="7801" spans="66:69" x14ac:dyDescent="0.2">
      <c r="BN7801" s="192"/>
      <c r="BO7801" s="197"/>
      <c r="BP7801" s="197"/>
      <c r="BQ7801" s="197"/>
    </row>
    <row r="7802" spans="66:69" x14ac:dyDescent="0.2">
      <c r="BN7802" s="192"/>
      <c r="BO7802" s="197"/>
      <c r="BP7802" s="197"/>
      <c r="BQ7802" s="197"/>
    </row>
    <row r="7803" spans="66:69" x14ac:dyDescent="0.2">
      <c r="BN7803" s="192"/>
      <c r="BO7803" s="197"/>
      <c r="BP7803" s="197"/>
      <c r="BQ7803" s="197"/>
    </row>
    <row r="7804" spans="66:69" x14ac:dyDescent="0.2">
      <c r="BN7804" s="192"/>
      <c r="BO7804" s="197"/>
      <c r="BP7804" s="197"/>
      <c r="BQ7804" s="197"/>
    </row>
    <row r="7805" spans="66:69" x14ac:dyDescent="0.2">
      <c r="BN7805" s="192"/>
      <c r="BO7805" s="197"/>
      <c r="BP7805" s="197"/>
      <c r="BQ7805" s="197"/>
    </row>
    <row r="7806" spans="66:69" x14ac:dyDescent="0.2">
      <c r="BN7806" s="192"/>
      <c r="BO7806" s="197"/>
      <c r="BP7806" s="197"/>
      <c r="BQ7806" s="197"/>
    </row>
    <row r="7807" spans="66:69" x14ac:dyDescent="0.2">
      <c r="BN7807" s="192"/>
      <c r="BO7807" s="197"/>
      <c r="BP7807" s="197"/>
      <c r="BQ7807" s="197"/>
    </row>
    <row r="7808" spans="66:69" x14ac:dyDescent="0.2">
      <c r="BN7808" s="192"/>
      <c r="BO7808" s="197"/>
      <c r="BP7808" s="197"/>
      <c r="BQ7808" s="197"/>
    </row>
    <row r="7809" spans="66:69" x14ac:dyDescent="0.2">
      <c r="BN7809" s="192"/>
      <c r="BO7809" s="197"/>
      <c r="BP7809" s="197"/>
      <c r="BQ7809" s="197"/>
    </row>
    <row r="7810" spans="66:69" x14ac:dyDescent="0.2">
      <c r="BN7810" s="192"/>
      <c r="BO7810" s="197"/>
      <c r="BP7810" s="197"/>
      <c r="BQ7810" s="197"/>
    </row>
    <row r="7811" spans="66:69" x14ac:dyDescent="0.2">
      <c r="BN7811" s="192"/>
      <c r="BO7811" s="197"/>
      <c r="BP7811" s="197"/>
      <c r="BQ7811" s="197"/>
    </row>
    <row r="7812" spans="66:69" x14ac:dyDescent="0.2">
      <c r="BN7812" s="192"/>
      <c r="BO7812" s="197"/>
      <c r="BP7812" s="197"/>
      <c r="BQ7812" s="197"/>
    </row>
    <row r="7813" spans="66:69" x14ac:dyDescent="0.2">
      <c r="BN7813" s="192"/>
      <c r="BO7813" s="197"/>
      <c r="BP7813" s="197"/>
      <c r="BQ7813" s="197"/>
    </row>
    <row r="7814" spans="66:69" x14ac:dyDescent="0.2">
      <c r="BN7814" s="192"/>
      <c r="BO7814" s="197"/>
      <c r="BP7814" s="197"/>
      <c r="BQ7814" s="197"/>
    </row>
    <row r="7815" spans="66:69" x14ac:dyDescent="0.2">
      <c r="BN7815" s="192"/>
      <c r="BO7815" s="197"/>
      <c r="BP7815" s="197"/>
      <c r="BQ7815" s="197"/>
    </row>
    <row r="7816" spans="66:69" x14ac:dyDescent="0.2">
      <c r="BN7816" s="192"/>
      <c r="BO7816" s="197"/>
      <c r="BP7816" s="197"/>
      <c r="BQ7816" s="197"/>
    </row>
    <row r="7817" spans="66:69" x14ac:dyDescent="0.2">
      <c r="BN7817" s="192"/>
      <c r="BO7817" s="197"/>
      <c r="BP7817" s="197"/>
      <c r="BQ7817" s="197"/>
    </row>
    <row r="7818" spans="66:69" x14ac:dyDescent="0.2">
      <c r="BN7818" s="192"/>
      <c r="BO7818" s="197"/>
      <c r="BP7818" s="197"/>
      <c r="BQ7818" s="197"/>
    </row>
    <row r="7819" spans="66:69" x14ac:dyDescent="0.2">
      <c r="BN7819" s="192"/>
      <c r="BO7819" s="197"/>
      <c r="BP7819" s="197"/>
      <c r="BQ7819" s="197"/>
    </row>
    <row r="7820" spans="66:69" x14ac:dyDescent="0.2">
      <c r="BN7820" s="192"/>
      <c r="BO7820" s="197"/>
      <c r="BP7820" s="197"/>
      <c r="BQ7820" s="197"/>
    </row>
    <row r="7821" spans="66:69" x14ac:dyDescent="0.2">
      <c r="BN7821" s="192"/>
      <c r="BO7821" s="197"/>
      <c r="BP7821" s="197"/>
      <c r="BQ7821" s="197"/>
    </row>
    <row r="7822" spans="66:69" x14ac:dyDescent="0.2">
      <c r="BN7822" s="192"/>
      <c r="BO7822" s="197"/>
      <c r="BP7822" s="197"/>
      <c r="BQ7822" s="197"/>
    </row>
    <row r="7823" spans="66:69" x14ac:dyDescent="0.2">
      <c r="BN7823" s="192"/>
      <c r="BO7823" s="197"/>
      <c r="BP7823" s="197"/>
      <c r="BQ7823" s="197"/>
    </row>
    <row r="7824" spans="66:69" x14ac:dyDescent="0.2">
      <c r="BN7824" s="192"/>
      <c r="BO7824" s="197"/>
      <c r="BP7824" s="197"/>
      <c r="BQ7824" s="197"/>
    </row>
    <row r="7825" spans="66:69" x14ac:dyDescent="0.2">
      <c r="BN7825" s="192"/>
      <c r="BO7825" s="197"/>
      <c r="BP7825" s="197"/>
      <c r="BQ7825" s="197"/>
    </row>
    <row r="7826" spans="66:69" x14ac:dyDescent="0.2">
      <c r="BN7826" s="192"/>
      <c r="BO7826" s="197"/>
      <c r="BP7826" s="197"/>
      <c r="BQ7826" s="197"/>
    </row>
    <row r="7827" spans="66:69" x14ac:dyDescent="0.2">
      <c r="BN7827" s="192"/>
      <c r="BO7827" s="197"/>
      <c r="BP7827" s="197"/>
      <c r="BQ7827" s="197"/>
    </row>
    <row r="7828" spans="66:69" x14ac:dyDescent="0.2">
      <c r="BN7828" s="192"/>
      <c r="BO7828" s="197"/>
      <c r="BP7828" s="197"/>
      <c r="BQ7828" s="197"/>
    </row>
    <row r="7829" spans="66:69" x14ac:dyDescent="0.2">
      <c r="BN7829" s="192"/>
      <c r="BO7829" s="197"/>
      <c r="BP7829" s="197"/>
      <c r="BQ7829" s="197"/>
    </row>
    <row r="7830" spans="66:69" x14ac:dyDescent="0.2">
      <c r="BN7830" s="192"/>
      <c r="BO7830" s="197"/>
      <c r="BP7830" s="197"/>
      <c r="BQ7830" s="197"/>
    </row>
    <row r="7831" spans="66:69" x14ac:dyDescent="0.2">
      <c r="BN7831" s="192"/>
      <c r="BO7831" s="197"/>
      <c r="BP7831" s="197"/>
      <c r="BQ7831" s="197"/>
    </row>
    <row r="7832" spans="66:69" x14ac:dyDescent="0.2">
      <c r="BN7832" s="192"/>
      <c r="BO7832" s="197"/>
      <c r="BP7832" s="197"/>
      <c r="BQ7832" s="197"/>
    </row>
    <row r="7833" spans="66:69" x14ac:dyDescent="0.2">
      <c r="BN7833" s="192"/>
      <c r="BO7833" s="197"/>
      <c r="BP7833" s="197"/>
      <c r="BQ7833" s="197"/>
    </row>
    <row r="7834" spans="66:69" x14ac:dyDescent="0.2">
      <c r="BN7834" s="192"/>
      <c r="BO7834" s="197"/>
      <c r="BP7834" s="197"/>
      <c r="BQ7834" s="197"/>
    </row>
    <row r="7835" spans="66:69" x14ac:dyDescent="0.2">
      <c r="BN7835" s="192"/>
      <c r="BO7835" s="197"/>
      <c r="BP7835" s="197"/>
      <c r="BQ7835" s="197"/>
    </row>
    <row r="7836" spans="66:69" x14ac:dyDescent="0.2">
      <c r="BN7836" s="192"/>
      <c r="BO7836" s="197"/>
      <c r="BP7836" s="197"/>
      <c r="BQ7836" s="197"/>
    </row>
    <row r="7837" spans="66:69" x14ac:dyDescent="0.2">
      <c r="BN7837" s="192"/>
      <c r="BO7837" s="197"/>
      <c r="BP7837" s="197"/>
      <c r="BQ7837" s="197"/>
    </row>
    <row r="7838" spans="66:69" x14ac:dyDescent="0.2">
      <c r="BN7838" s="192"/>
      <c r="BO7838" s="197"/>
      <c r="BP7838" s="197"/>
      <c r="BQ7838" s="197"/>
    </row>
    <row r="7839" spans="66:69" x14ac:dyDescent="0.2">
      <c r="BN7839" s="192"/>
      <c r="BO7839" s="197"/>
      <c r="BP7839" s="197"/>
      <c r="BQ7839" s="197"/>
    </row>
    <row r="7840" spans="66:69" x14ac:dyDescent="0.2">
      <c r="BN7840" s="192"/>
      <c r="BO7840" s="197"/>
      <c r="BP7840" s="197"/>
      <c r="BQ7840" s="197"/>
    </row>
    <row r="7841" spans="66:69" x14ac:dyDescent="0.2">
      <c r="BN7841" s="192"/>
      <c r="BO7841" s="197"/>
      <c r="BP7841" s="197"/>
      <c r="BQ7841" s="197"/>
    </row>
    <row r="7842" spans="66:69" x14ac:dyDescent="0.2">
      <c r="BN7842" s="192"/>
      <c r="BO7842" s="197"/>
      <c r="BP7842" s="197"/>
      <c r="BQ7842" s="197"/>
    </row>
    <row r="7843" spans="66:69" x14ac:dyDescent="0.2">
      <c r="BN7843" s="192"/>
      <c r="BO7843" s="197"/>
      <c r="BP7843" s="197"/>
      <c r="BQ7843" s="197"/>
    </row>
    <row r="7844" spans="66:69" x14ac:dyDescent="0.2">
      <c r="BN7844" s="192"/>
      <c r="BO7844" s="197"/>
      <c r="BP7844" s="197"/>
      <c r="BQ7844" s="197"/>
    </row>
    <row r="7845" spans="66:69" x14ac:dyDescent="0.2">
      <c r="BN7845" s="192"/>
      <c r="BO7845" s="197"/>
      <c r="BP7845" s="197"/>
      <c r="BQ7845" s="197"/>
    </row>
    <row r="7846" spans="66:69" x14ac:dyDescent="0.2">
      <c r="BN7846" s="192"/>
      <c r="BO7846" s="197"/>
      <c r="BP7846" s="197"/>
      <c r="BQ7846" s="197"/>
    </row>
    <row r="7847" spans="66:69" x14ac:dyDescent="0.2">
      <c r="BN7847" s="192"/>
      <c r="BO7847" s="197"/>
      <c r="BP7847" s="197"/>
      <c r="BQ7847" s="197"/>
    </row>
    <row r="7848" spans="66:69" x14ac:dyDescent="0.2">
      <c r="BN7848" s="192"/>
      <c r="BO7848" s="197"/>
      <c r="BP7848" s="197"/>
      <c r="BQ7848" s="197"/>
    </row>
    <row r="7849" spans="66:69" x14ac:dyDescent="0.2">
      <c r="BN7849" s="192"/>
      <c r="BO7849" s="197"/>
      <c r="BP7849" s="197"/>
      <c r="BQ7849" s="197"/>
    </row>
    <row r="7850" spans="66:69" x14ac:dyDescent="0.2">
      <c r="BN7850" s="192"/>
      <c r="BO7850" s="197"/>
      <c r="BP7850" s="197"/>
      <c r="BQ7850" s="197"/>
    </row>
    <row r="7851" spans="66:69" x14ac:dyDescent="0.2">
      <c r="BN7851" s="192"/>
      <c r="BO7851" s="197"/>
      <c r="BP7851" s="197"/>
      <c r="BQ7851" s="197"/>
    </row>
    <row r="7852" spans="66:69" x14ac:dyDescent="0.2">
      <c r="BN7852" s="192"/>
      <c r="BO7852" s="197"/>
      <c r="BP7852" s="197"/>
      <c r="BQ7852" s="197"/>
    </row>
    <row r="7853" spans="66:69" x14ac:dyDescent="0.2">
      <c r="BN7853" s="192"/>
      <c r="BO7853" s="197"/>
      <c r="BP7853" s="197"/>
      <c r="BQ7853" s="197"/>
    </row>
    <row r="7854" spans="66:69" x14ac:dyDescent="0.2">
      <c r="BN7854" s="192"/>
      <c r="BO7854" s="197"/>
      <c r="BP7854" s="197"/>
      <c r="BQ7854" s="197"/>
    </row>
    <row r="7855" spans="66:69" x14ac:dyDescent="0.2">
      <c r="BN7855" s="192"/>
      <c r="BO7855" s="197"/>
      <c r="BP7855" s="197"/>
      <c r="BQ7855" s="197"/>
    </row>
    <row r="7856" spans="66:69" x14ac:dyDescent="0.2">
      <c r="BN7856" s="192"/>
      <c r="BO7856" s="197"/>
      <c r="BP7856" s="197"/>
      <c r="BQ7856" s="197"/>
    </row>
    <row r="7857" spans="66:69" x14ac:dyDescent="0.2">
      <c r="BN7857" s="192"/>
      <c r="BO7857" s="197"/>
      <c r="BP7857" s="197"/>
      <c r="BQ7857" s="197"/>
    </row>
    <row r="7858" spans="66:69" x14ac:dyDescent="0.2">
      <c r="BN7858" s="192"/>
      <c r="BO7858" s="197"/>
      <c r="BP7858" s="197"/>
      <c r="BQ7858" s="197"/>
    </row>
    <row r="7859" spans="66:69" x14ac:dyDescent="0.2">
      <c r="BN7859" s="192"/>
      <c r="BO7859" s="197"/>
      <c r="BP7859" s="197"/>
      <c r="BQ7859" s="197"/>
    </row>
    <row r="7860" spans="66:69" x14ac:dyDescent="0.2">
      <c r="BN7860" s="192"/>
      <c r="BO7860" s="197"/>
      <c r="BP7860" s="197"/>
      <c r="BQ7860" s="197"/>
    </row>
    <row r="7861" spans="66:69" x14ac:dyDescent="0.2">
      <c r="BN7861" s="192"/>
      <c r="BO7861" s="197"/>
      <c r="BP7861" s="197"/>
      <c r="BQ7861" s="197"/>
    </row>
    <row r="7862" spans="66:69" x14ac:dyDescent="0.2">
      <c r="BN7862" s="192"/>
      <c r="BO7862" s="197"/>
      <c r="BP7862" s="197"/>
      <c r="BQ7862" s="197"/>
    </row>
    <row r="7863" spans="66:69" x14ac:dyDescent="0.2">
      <c r="BN7863" s="192"/>
      <c r="BO7863" s="197"/>
      <c r="BP7863" s="197"/>
      <c r="BQ7863" s="197"/>
    </row>
    <row r="7864" spans="66:69" x14ac:dyDescent="0.2">
      <c r="BN7864" s="192"/>
      <c r="BO7864" s="197"/>
      <c r="BP7864" s="197"/>
      <c r="BQ7864" s="197"/>
    </row>
    <row r="7865" spans="66:69" x14ac:dyDescent="0.2">
      <c r="BN7865" s="192"/>
      <c r="BO7865" s="197"/>
      <c r="BP7865" s="197"/>
      <c r="BQ7865" s="197"/>
    </row>
    <row r="7866" spans="66:69" x14ac:dyDescent="0.2">
      <c r="BN7866" s="192"/>
      <c r="BO7866" s="197"/>
      <c r="BP7866" s="197"/>
      <c r="BQ7866" s="197"/>
    </row>
    <row r="7867" spans="66:69" x14ac:dyDescent="0.2">
      <c r="BN7867" s="192"/>
      <c r="BO7867" s="197"/>
      <c r="BP7867" s="197"/>
      <c r="BQ7867" s="197"/>
    </row>
    <row r="7868" spans="66:69" x14ac:dyDescent="0.2">
      <c r="BN7868" s="192"/>
      <c r="BO7868" s="197"/>
      <c r="BP7868" s="197"/>
      <c r="BQ7868" s="197"/>
    </row>
    <row r="7869" spans="66:69" x14ac:dyDescent="0.2">
      <c r="BN7869" s="192"/>
      <c r="BO7869" s="197"/>
      <c r="BP7869" s="197"/>
      <c r="BQ7869" s="197"/>
    </row>
    <row r="7870" spans="66:69" x14ac:dyDescent="0.2">
      <c r="BN7870" s="192"/>
      <c r="BO7870" s="197"/>
      <c r="BP7870" s="197"/>
      <c r="BQ7870" s="197"/>
    </row>
    <row r="7871" spans="66:69" x14ac:dyDescent="0.2">
      <c r="BN7871" s="192"/>
      <c r="BO7871" s="197"/>
      <c r="BP7871" s="197"/>
      <c r="BQ7871" s="197"/>
    </row>
    <row r="7872" spans="66:69" x14ac:dyDescent="0.2">
      <c r="BN7872" s="192"/>
      <c r="BO7872" s="197"/>
      <c r="BP7872" s="197"/>
      <c r="BQ7872" s="197"/>
    </row>
    <row r="7873" spans="66:69" x14ac:dyDescent="0.2">
      <c r="BN7873" s="192"/>
      <c r="BO7873" s="197"/>
      <c r="BP7873" s="197"/>
      <c r="BQ7873" s="197"/>
    </row>
    <row r="7874" spans="66:69" x14ac:dyDescent="0.2">
      <c r="BN7874" s="192"/>
      <c r="BO7874" s="197"/>
      <c r="BP7874" s="197"/>
      <c r="BQ7874" s="197"/>
    </row>
    <row r="7875" spans="66:69" x14ac:dyDescent="0.2">
      <c r="BN7875" s="192"/>
      <c r="BO7875" s="197"/>
      <c r="BP7875" s="197"/>
      <c r="BQ7875" s="197"/>
    </row>
    <row r="7876" spans="66:69" x14ac:dyDescent="0.2">
      <c r="BN7876" s="192"/>
      <c r="BO7876" s="197"/>
      <c r="BP7876" s="197"/>
      <c r="BQ7876" s="197"/>
    </row>
    <row r="7877" spans="66:69" x14ac:dyDescent="0.2">
      <c r="BN7877" s="192"/>
      <c r="BO7877" s="197"/>
      <c r="BP7877" s="197"/>
      <c r="BQ7877" s="197"/>
    </row>
    <row r="7878" spans="66:69" x14ac:dyDescent="0.2">
      <c r="BN7878" s="192"/>
      <c r="BO7878" s="197"/>
      <c r="BP7878" s="197"/>
      <c r="BQ7878" s="197"/>
    </row>
    <row r="7879" spans="66:69" x14ac:dyDescent="0.2">
      <c r="BN7879" s="192"/>
      <c r="BO7879" s="197"/>
      <c r="BP7879" s="197"/>
      <c r="BQ7879" s="197"/>
    </row>
    <row r="7880" spans="66:69" x14ac:dyDescent="0.2">
      <c r="BN7880" s="192"/>
      <c r="BO7880" s="197"/>
      <c r="BP7880" s="197"/>
      <c r="BQ7880" s="197"/>
    </row>
    <row r="7881" spans="66:69" x14ac:dyDescent="0.2">
      <c r="BN7881" s="192"/>
      <c r="BO7881" s="197"/>
      <c r="BP7881" s="197"/>
      <c r="BQ7881" s="197"/>
    </row>
    <row r="7882" spans="66:69" x14ac:dyDescent="0.2">
      <c r="BN7882" s="192"/>
      <c r="BO7882" s="197"/>
      <c r="BP7882" s="197"/>
      <c r="BQ7882" s="197"/>
    </row>
    <row r="7883" spans="66:69" x14ac:dyDescent="0.2">
      <c r="BN7883" s="192"/>
      <c r="BO7883" s="197"/>
      <c r="BP7883" s="197"/>
      <c r="BQ7883" s="197"/>
    </row>
    <row r="7884" spans="66:69" x14ac:dyDescent="0.2">
      <c r="BN7884" s="192"/>
      <c r="BO7884" s="197"/>
      <c r="BP7884" s="197"/>
      <c r="BQ7884" s="197"/>
    </row>
    <row r="7885" spans="66:69" x14ac:dyDescent="0.2">
      <c r="BN7885" s="192"/>
      <c r="BO7885" s="197"/>
      <c r="BP7885" s="197"/>
      <c r="BQ7885" s="197"/>
    </row>
    <row r="7886" spans="66:69" x14ac:dyDescent="0.2">
      <c r="BN7886" s="192"/>
      <c r="BO7886" s="197"/>
      <c r="BP7886" s="197"/>
      <c r="BQ7886" s="197"/>
    </row>
    <row r="7887" spans="66:69" x14ac:dyDescent="0.2">
      <c r="BN7887" s="192"/>
      <c r="BO7887" s="197"/>
      <c r="BP7887" s="197"/>
      <c r="BQ7887" s="197"/>
    </row>
    <row r="7888" spans="66:69" x14ac:dyDescent="0.2">
      <c r="BN7888" s="192"/>
      <c r="BO7888" s="197"/>
      <c r="BP7888" s="197"/>
      <c r="BQ7888" s="197"/>
    </row>
    <row r="7889" spans="66:69" x14ac:dyDescent="0.2">
      <c r="BN7889" s="192"/>
      <c r="BO7889" s="197"/>
      <c r="BP7889" s="197"/>
      <c r="BQ7889" s="197"/>
    </row>
    <row r="7890" spans="66:69" x14ac:dyDescent="0.2">
      <c r="BN7890" s="192"/>
      <c r="BO7890" s="197"/>
      <c r="BP7890" s="197"/>
      <c r="BQ7890" s="197"/>
    </row>
    <row r="7891" spans="66:69" x14ac:dyDescent="0.2">
      <c r="BN7891" s="192"/>
      <c r="BO7891" s="197"/>
      <c r="BP7891" s="197"/>
      <c r="BQ7891" s="197"/>
    </row>
    <row r="7892" spans="66:69" x14ac:dyDescent="0.2">
      <c r="BN7892" s="192"/>
      <c r="BO7892" s="197"/>
      <c r="BP7892" s="197"/>
      <c r="BQ7892" s="197"/>
    </row>
    <row r="7893" spans="66:69" x14ac:dyDescent="0.2">
      <c r="BN7893" s="192"/>
      <c r="BO7893" s="197"/>
      <c r="BP7893" s="197"/>
      <c r="BQ7893" s="197"/>
    </row>
    <row r="7894" spans="66:69" x14ac:dyDescent="0.2">
      <c r="BN7894" s="192"/>
      <c r="BO7894" s="197"/>
      <c r="BP7894" s="197"/>
      <c r="BQ7894" s="197"/>
    </row>
    <row r="7895" spans="66:69" x14ac:dyDescent="0.2">
      <c r="BN7895" s="192"/>
      <c r="BO7895" s="197"/>
      <c r="BP7895" s="197"/>
      <c r="BQ7895" s="197"/>
    </row>
    <row r="7896" spans="66:69" x14ac:dyDescent="0.2">
      <c r="BN7896" s="192"/>
      <c r="BO7896" s="197"/>
      <c r="BP7896" s="197"/>
      <c r="BQ7896" s="197"/>
    </row>
    <row r="7897" spans="66:69" x14ac:dyDescent="0.2">
      <c r="BN7897" s="192"/>
      <c r="BO7897" s="197"/>
      <c r="BP7897" s="197"/>
      <c r="BQ7897" s="197"/>
    </row>
    <row r="7898" spans="66:69" x14ac:dyDescent="0.2">
      <c r="BN7898" s="192"/>
      <c r="BO7898" s="197"/>
      <c r="BP7898" s="197"/>
      <c r="BQ7898" s="197"/>
    </row>
    <row r="7899" spans="66:69" x14ac:dyDescent="0.2">
      <c r="BN7899" s="192"/>
      <c r="BO7899" s="197"/>
      <c r="BP7899" s="197"/>
      <c r="BQ7899" s="197"/>
    </row>
    <row r="7900" spans="66:69" x14ac:dyDescent="0.2">
      <c r="BN7900" s="192"/>
      <c r="BO7900" s="197"/>
      <c r="BP7900" s="197"/>
      <c r="BQ7900" s="197"/>
    </row>
    <row r="7901" spans="66:69" x14ac:dyDescent="0.2">
      <c r="BN7901" s="192"/>
      <c r="BO7901" s="197"/>
      <c r="BP7901" s="197"/>
      <c r="BQ7901" s="197"/>
    </row>
    <row r="7902" spans="66:69" x14ac:dyDescent="0.2">
      <c r="BN7902" s="192"/>
      <c r="BO7902" s="197"/>
      <c r="BP7902" s="197"/>
      <c r="BQ7902" s="197"/>
    </row>
    <row r="7903" spans="66:69" x14ac:dyDescent="0.2">
      <c r="BN7903" s="192"/>
      <c r="BO7903" s="197"/>
      <c r="BP7903" s="197"/>
      <c r="BQ7903" s="197"/>
    </row>
    <row r="7904" spans="66:69" x14ac:dyDescent="0.2">
      <c r="BN7904" s="192"/>
      <c r="BO7904" s="197"/>
      <c r="BP7904" s="197"/>
      <c r="BQ7904" s="197"/>
    </row>
    <row r="7905" spans="66:69" x14ac:dyDescent="0.2">
      <c r="BN7905" s="192"/>
      <c r="BO7905" s="197"/>
      <c r="BP7905" s="197"/>
      <c r="BQ7905" s="197"/>
    </row>
    <row r="7906" spans="66:69" x14ac:dyDescent="0.2">
      <c r="BN7906" s="192"/>
      <c r="BO7906" s="197"/>
      <c r="BP7906" s="197"/>
      <c r="BQ7906" s="197"/>
    </row>
    <row r="7907" spans="66:69" x14ac:dyDescent="0.2">
      <c r="BN7907" s="192"/>
      <c r="BO7907" s="197"/>
      <c r="BP7907" s="197"/>
      <c r="BQ7907" s="197"/>
    </row>
    <row r="7908" spans="66:69" x14ac:dyDescent="0.2">
      <c r="BN7908" s="192"/>
      <c r="BO7908" s="197"/>
      <c r="BP7908" s="197"/>
      <c r="BQ7908" s="197"/>
    </row>
    <row r="7909" spans="66:69" x14ac:dyDescent="0.2">
      <c r="BN7909" s="192"/>
      <c r="BO7909" s="197"/>
      <c r="BP7909" s="197"/>
      <c r="BQ7909" s="197"/>
    </row>
    <row r="7910" spans="66:69" x14ac:dyDescent="0.2">
      <c r="BN7910" s="192"/>
      <c r="BO7910" s="197"/>
      <c r="BP7910" s="197"/>
      <c r="BQ7910" s="197"/>
    </row>
    <row r="7911" spans="66:69" x14ac:dyDescent="0.2">
      <c r="BN7911" s="192"/>
      <c r="BO7911" s="197"/>
      <c r="BP7911" s="197"/>
      <c r="BQ7911" s="197"/>
    </row>
    <row r="7912" spans="66:69" x14ac:dyDescent="0.2">
      <c r="BN7912" s="192"/>
      <c r="BO7912" s="197"/>
      <c r="BP7912" s="197"/>
      <c r="BQ7912" s="197"/>
    </row>
    <row r="7913" spans="66:69" x14ac:dyDescent="0.2">
      <c r="BN7913" s="192"/>
      <c r="BO7913" s="197"/>
      <c r="BP7913" s="197"/>
      <c r="BQ7913" s="197"/>
    </row>
    <row r="7914" spans="66:69" x14ac:dyDescent="0.2">
      <c r="BN7914" s="192"/>
      <c r="BO7914" s="197"/>
      <c r="BP7914" s="197"/>
      <c r="BQ7914" s="197"/>
    </row>
    <row r="7915" spans="66:69" x14ac:dyDescent="0.2">
      <c r="BN7915" s="192"/>
      <c r="BO7915" s="197"/>
      <c r="BP7915" s="197"/>
      <c r="BQ7915" s="197"/>
    </row>
    <row r="7916" spans="66:69" x14ac:dyDescent="0.2">
      <c r="BN7916" s="192"/>
      <c r="BO7916" s="197"/>
      <c r="BP7916" s="197"/>
      <c r="BQ7916" s="197"/>
    </row>
    <row r="7917" spans="66:69" x14ac:dyDescent="0.2">
      <c r="BN7917" s="192"/>
      <c r="BO7917" s="197"/>
      <c r="BP7917" s="197"/>
      <c r="BQ7917" s="197"/>
    </row>
    <row r="7918" spans="66:69" x14ac:dyDescent="0.2">
      <c r="BN7918" s="192"/>
      <c r="BO7918" s="197"/>
      <c r="BP7918" s="197"/>
      <c r="BQ7918" s="197"/>
    </row>
    <row r="7919" spans="66:69" x14ac:dyDescent="0.2">
      <c r="BN7919" s="192"/>
      <c r="BO7919" s="197"/>
      <c r="BP7919" s="197"/>
      <c r="BQ7919" s="197"/>
    </row>
    <row r="7920" spans="66:69" x14ac:dyDescent="0.2">
      <c r="BN7920" s="192"/>
      <c r="BO7920" s="197"/>
      <c r="BP7920" s="197"/>
      <c r="BQ7920" s="197"/>
    </row>
    <row r="7921" spans="66:69" x14ac:dyDescent="0.2">
      <c r="BN7921" s="192"/>
      <c r="BO7921" s="197"/>
      <c r="BP7921" s="197"/>
      <c r="BQ7921" s="197"/>
    </row>
    <row r="7922" spans="66:69" x14ac:dyDescent="0.2">
      <c r="BN7922" s="192"/>
      <c r="BO7922" s="197"/>
      <c r="BP7922" s="197"/>
      <c r="BQ7922" s="197"/>
    </row>
    <row r="7923" spans="66:69" x14ac:dyDescent="0.2">
      <c r="BN7923" s="192"/>
      <c r="BO7923" s="197"/>
      <c r="BP7923" s="197"/>
      <c r="BQ7923" s="197"/>
    </row>
    <row r="7924" spans="66:69" x14ac:dyDescent="0.2">
      <c r="BN7924" s="192"/>
      <c r="BO7924" s="197"/>
      <c r="BP7924" s="197"/>
      <c r="BQ7924" s="197"/>
    </row>
    <row r="7925" spans="66:69" x14ac:dyDescent="0.2">
      <c r="BN7925" s="192"/>
      <c r="BO7925" s="197"/>
      <c r="BP7925" s="197"/>
      <c r="BQ7925" s="197"/>
    </row>
    <row r="7926" spans="66:69" x14ac:dyDescent="0.2">
      <c r="BN7926" s="192"/>
      <c r="BO7926" s="197"/>
      <c r="BP7926" s="197"/>
      <c r="BQ7926" s="197"/>
    </row>
    <row r="7927" spans="66:69" x14ac:dyDescent="0.2">
      <c r="BN7927" s="192"/>
      <c r="BO7927" s="197"/>
      <c r="BP7927" s="197"/>
      <c r="BQ7927" s="197"/>
    </row>
    <row r="7928" spans="66:69" x14ac:dyDescent="0.2">
      <c r="BN7928" s="192"/>
      <c r="BO7928" s="197"/>
      <c r="BP7928" s="197"/>
      <c r="BQ7928" s="197"/>
    </row>
    <row r="7929" spans="66:69" x14ac:dyDescent="0.2">
      <c r="BN7929" s="192"/>
      <c r="BO7929" s="197"/>
      <c r="BP7929" s="197"/>
      <c r="BQ7929" s="197"/>
    </row>
    <row r="7930" spans="66:69" x14ac:dyDescent="0.2">
      <c r="BN7930" s="192"/>
      <c r="BO7930" s="197"/>
      <c r="BP7930" s="197"/>
      <c r="BQ7930" s="197"/>
    </row>
    <row r="7931" spans="66:69" x14ac:dyDescent="0.2">
      <c r="BN7931" s="192"/>
      <c r="BO7931" s="197"/>
      <c r="BP7931" s="197"/>
      <c r="BQ7931" s="197"/>
    </row>
    <row r="7932" spans="66:69" x14ac:dyDescent="0.2">
      <c r="BN7932" s="192"/>
      <c r="BO7932" s="197"/>
      <c r="BP7932" s="197"/>
      <c r="BQ7932" s="197"/>
    </row>
    <row r="7933" spans="66:69" x14ac:dyDescent="0.2">
      <c r="BN7933" s="192"/>
      <c r="BO7933" s="197"/>
      <c r="BP7933" s="197"/>
      <c r="BQ7933" s="197"/>
    </row>
    <row r="7934" spans="66:69" x14ac:dyDescent="0.2">
      <c r="BN7934" s="192"/>
      <c r="BO7934" s="197"/>
      <c r="BP7934" s="197"/>
      <c r="BQ7934" s="197"/>
    </row>
    <row r="7935" spans="66:69" x14ac:dyDescent="0.2">
      <c r="BN7935" s="192"/>
      <c r="BO7935" s="197"/>
      <c r="BP7935" s="197"/>
      <c r="BQ7935" s="197"/>
    </row>
    <row r="7936" spans="66:69" x14ac:dyDescent="0.2">
      <c r="BN7936" s="192"/>
      <c r="BO7936" s="197"/>
      <c r="BP7936" s="197"/>
      <c r="BQ7936" s="197"/>
    </row>
    <row r="7937" spans="66:69" x14ac:dyDescent="0.2">
      <c r="BN7937" s="192"/>
      <c r="BO7937" s="197"/>
      <c r="BP7937" s="197"/>
      <c r="BQ7937" s="197"/>
    </row>
    <row r="7938" spans="66:69" x14ac:dyDescent="0.2">
      <c r="BN7938" s="192"/>
      <c r="BO7938" s="197"/>
      <c r="BP7938" s="197"/>
      <c r="BQ7938" s="197"/>
    </row>
    <row r="7939" spans="66:69" x14ac:dyDescent="0.2">
      <c r="BN7939" s="192"/>
      <c r="BO7939" s="197"/>
      <c r="BP7939" s="197"/>
      <c r="BQ7939" s="197"/>
    </row>
    <row r="7940" spans="66:69" x14ac:dyDescent="0.2">
      <c r="BN7940" s="192"/>
      <c r="BO7940" s="197"/>
      <c r="BP7940" s="197"/>
      <c r="BQ7940" s="197"/>
    </row>
    <row r="7941" spans="66:69" x14ac:dyDescent="0.2">
      <c r="BN7941" s="192"/>
      <c r="BO7941" s="197"/>
      <c r="BP7941" s="197"/>
      <c r="BQ7941" s="197"/>
    </row>
    <row r="7942" spans="66:69" x14ac:dyDescent="0.2">
      <c r="BN7942" s="192"/>
      <c r="BO7942" s="197"/>
      <c r="BP7942" s="197"/>
      <c r="BQ7942" s="197"/>
    </row>
    <row r="7943" spans="66:69" x14ac:dyDescent="0.2">
      <c r="BN7943" s="192"/>
      <c r="BO7943" s="197"/>
      <c r="BP7943" s="197"/>
      <c r="BQ7943" s="197"/>
    </row>
    <row r="7944" spans="66:69" x14ac:dyDescent="0.2">
      <c r="BN7944" s="192"/>
      <c r="BO7944" s="197"/>
      <c r="BP7944" s="197"/>
      <c r="BQ7944" s="197"/>
    </row>
    <row r="7945" spans="66:69" x14ac:dyDescent="0.2">
      <c r="BN7945" s="192"/>
      <c r="BO7945" s="197"/>
      <c r="BP7945" s="197"/>
      <c r="BQ7945" s="197"/>
    </row>
    <row r="7946" spans="66:69" x14ac:dyDescent="0.2">
      <c r="BN7946" s="192"/>
      <c r="BO7946" s="197"/>
      <c r="BP7946" s="197"/>
      <c r="BQ7946" s="197"/>
    </row>
    <row r="7947" spans="66:69" x14ac:dyDescent="0.2">
      <c r="BN7947" s="192"/>
      <c r="BO7947" s="197"/>
      <c r="BP7947" s="197"/>
      <c r="BQ7947" s="197"/>
    </row>
    <row r="7948" spans="66:69" x14ac:dyDescent="0.2">
      <c r="BN7948" s="192"/>
      <c r="BO7948" s="197"/>
      <c r="BP7948" s="197"/>
      <c r="BQ7948" s="197"/>
    </row>
    <row r="7949" spans="66:69" x14ac:dyDescent="0.2">
      <c r="BN7949" s="192"/>
      <c r="BO7949" s="197"/>
      <c r="BP7949" s="197"/>
      <c r="BQ7949" s="197"/>
    </row>
    <row r="7950" spans="66:69" x14ac:dyDescent="0.2">
      <c r="BN7950" s="192"/>
      <c r="BO7950" s="197"/>
      <c r="BP7950" s="197"/>
      <c r="BQ7950" s="197"/>
    </row>
    <row r="7951" spans="66:69" x14ac:dyDescent="0.2">
      <c r="BN7951" s="192"/>
      <c r="BO7951" s="197"/>
      <c r="BP7951" s="197"/>
      <c r="BQ7951" s="197"/>
    </row>
    <row r="7952" spans="66:69" x14ac:dyDescent="0.2">
      <c r="BN7952" s="192"/>
      <c r="BO7952" s="197"/>
      <c r="BP7952" s="197"/>
      <c r="BQ7952" s="197"/>
    </row>
    <row r="7953" spans="66:69" x14ac:dyDescent="0.2">
      <c r="BN7953" s="192"/>
      <c r="BO7953" s="197"/>
      <c r="BP7953" s="197"/>
      <c r="BQ7953" s="197"/>
    </row>
    <row r="7954" spans="66:69" x14ac:dyDescent="0.2">
      <c r="BN7954" s="192"/>
      <c r="BO7954" s="197"/>
      <c r="BP7954" s="197"/>
      <c r="BQ7954" s="197"/>
    </row>
    <row r="7955" spans="66:69" x14ac:dyDescent="0.2">
      <c r="BN7955" s="192"/>
      <c r="BO7955" s="197"/>
      <c r="BP7955" s="197"/>
      <c r="BQ7955" s="197"/>
    </row>
    <row r="7956" spans="66:69" x14ac:dyDescent="0.2">
      <c r="BN7956" s="192"/>
      <c r="BO7956" s="197"/>
      <c r="BP7956" s="197"/>
      <c r="BQ7956" s="197"/>
    </row>
    <row r="7957" spans="66:69" x14ac:dyDescent="0.2">
      <c r="BN7957" s="192"/>
      <c r="BO7957" s="197"/>
      <c r="BP7957" s="197"/>
      <c r="BQ7957" s="197"/>
    </row>
    <row r="7958" spans="66:69" x14ac:dyDescent="0.2">
      <c r="BN7958" s="192"/>
      <c r="BO7958" s="197"/>
      <c r="BP7958" s="197"/>
      <c r="BQ7958" s="197"/>
    </row>
    <row r="7959" spans="66:69" x14ac:dyDescent="0.2">
      <c r="BN7959" s="192"/>
      <c r="BO7959" s="197"/>
      <c r="BP7959" s="197"/>
      <c r="BQ7959" s="197"/>
    </row>
    <row r="7960" spans="66:69" x14ac:dyDescent="0.2">
      <c r="BN7960" s="192"/>
      <c r="BO7960" s="197"/>
      <c r="BP7960" s="197"/>
      <c r="BQ7960" s="197"/>
    </row>
    <row r="7961" spans="66:69" x14ac:dyDescent="0.2">
      <c r="BN7961" s="192"/>
      <c r="BO7961" s="197"/>
      <c r="BP7961" s="197"/>
      <c r="BQ7961" s="197"/>
    </row>
    <row r="7962" spans="66:69" x14ac:dyDescent="0.2">
      <c r="BN7962" s="192"/>
      <c r="BO7962" s="197"/>
      <c r="BP7962" s="197"/>
      <c r="BQ7962" s="197"/>
    </row>
    <row r="7963" spans="66:69" x14ac:dyDescent="0.2">
      <c r="BN7963" s="192"/>
      <c r="BO7963" s="197"/>
      <c r="BP7963" s="197"/>
      <c r="BQ7963" s="197"/>
    </row>
    <row r="7964" spans="66:69" x14ac:dyDescent="0.2">
      <c r="BN7964" s="192"/>
      <c r="BO7964" s="197"/>
      <c r="BP7964" s="197"/>
      <c r="BQ7964" s="197"/>
    </row>
    <row r="7965" spans="66:69" x14ac:dyDescent="0.2">
      <c r="BN7965" s="192"/>
      <c r="BO7965" s="197"/>
      <c r="BP7965" s="197"/>
      <c r="BQ7965" s="197"/>
    </row>
    <row r="7966" spans="66:69" x14ac:dyDescent="0.2">
      <c r="BN7966" s="192"/>
      <c r="BO7966" s="197"/>
      <c r="BP7966" s="197"/>
      <c r="BQ7966" s="197"/>
    </row>
    <row r="7967" spans="66:69" x14ac:dyDescent="0.2">
      <c r="BN7967" s="192"/>
      <c r="BO7967" s="197"/>
      <c r="BP7967" s="197"/>
      <c r="BQ7967" s="197"/>
    </row>
    <row r="7968" spans="66:69" x14ac:dyDescent="0.2">
      <c r="BN7968" s="192"/>
      <c r="BO7968" s="197"/>
      <c r="BP7968" s="197"/>
      <c r="BQ7968" s="197"/>
    </row>
    <row r="7969" spans="66:69" x14ac:dyDescent="0.2">
      <c r="BN7969" s="192"/>
      <c r="BO7969" s="197"/>
      <c r="BP7969" s="197"/>
      <c r="BQ7969" s="197"/>
    </row>
    <row r="7970" spans="66:69" x14ac:dyDescent="0.2">
      <c r="BN7970" s="192"/>
      <c r="BO7970" s="197"/>
      <c r="BP7970" s="197"/>
      <c r="BQ7970" s="197"/>
    </row>
    <row r="7971" spans="66:69" x14ac:dyDescent="0.2">
      <c r="BN7971" s="192"/>
      <c r="BO7971" s="197"/>
      <c r="BP7971" s="197"/>
      <c r="BQ7971" s="197"/>
    </row>
    <row r="7972" spans="66:69" x14ac:dyDescent="0.2">
      <c r="BN7972" s="192"/>
      <c r="BO7972" s="197"/>
      <c r="BP7972" s="197"/>
      <c r="BQ7972" s="197"/>
    </row>
    <row r="7973" spans="66:69" x14ac:dyDescent="0.2">
      <c r="BN7973" s="192"/>
      <c r="BO7973" s="197"/>
      <c r="BP7973" s="197"/>
      <c r="BQ7973" s="197"/>
    </row>
    <row r="7974" spans="66:69" x14ac:dyDescent="0.2">
      <c r="BN7974" s="192"/>
      <c r="BO7974" s="197"/>
      <c r="BP7974" s="197"/>
      <c r="BQ7974" s="197"/>
    </row>
    <row r="7975" spans="66:69" x14ac:dyDescent="0.2">
      <c r="BN7975" s="192"/>
      <c r="BO7975" s="197"/>
      <c r="BP7975" s="197"/>
      <c r="BQ7975" s="197"/>
    </row>
    <row r="7976" spans="66:69" x14ac:dyDescent="0.2">
      <c r="BN7976" s="192"/>
      <c r="BO7976" s="197"/>
      <c r="BP7976" s="197"/>
      <c r="BQ7976" s="197"/>
    </row>
    <row r="7977" spans="66:69" x14ac:dyDescent="0.2">
      <c r="BN7977" s="192"/>
      <c r="BO7977" s="197"/>
      <c r="BP7977" s="197"/>
      <c r="BQ7977" s="197"/>
    </row>
    <row r="7978" spans="66:69" x14ac:dyDescent="0.2">
      <c r="BN7978" s="192"/>
      <c r="BO7978" s="197"/>
      <c r="BP7978" s="197"/>
      <c r="BQ7978" s="197"/>
    </row>
    <row r="7979" spans="66:69" x14ac:dyDescent="0.2">
      <c r="BN7979" s="192"/>
      <c r="BO7979" s="197"/>
      <c r="BP7979" s="197"/>
      <c r="BQ7979" s="197"/>
    </row>
    <row r="7980" spans="66:69" x14ac:dyDescent="0.2">
      <c r="BN7980" s="192"/>
      <c r="BO7980" s="197"/>
      <c r="BP7980" s="197"/>
      <c r="BQ7980" s="197"/>
    </row>
    <row r="7981" spans="66:69" x14ac:dyDescent="0.2">
      <c r="BN7981" s="192"/>
      <c r="BO7981" s="197"/>
      <c r="BP7981" s="197"/>
      <c r="BQ7981" s="197"/>
    </row>
    <row r="7982" spans="66:69" x14ac:dyDescent="0.2">
      <c r="BN7982" s="192"/>
      <c r="BO7982" s="197"/>
      <c r="BP7982" s="197"/>
      <c r="BQ7982" s="197"/>
    </row>
    <row r="7983" spans="66:69" x14ac:dyDescent="0.2">
      <c r="BN7983" s="192"/>
      <c r="BO7983" s="197"/>
      <c r="BP7983" s="197"/>
      <c r="BQ7983" s="197"/>
    </row>
    <row r="7984" spans="66:69" x14ac:dyDescent="0.2">
      <c r="BN7984" s="192"/>
      <c r="BO7984" s="197"/>
      <c r="BP7984" s="197"/>
      <c r="BQ7984" s="197"/>
    </row>
    <row r="7985" spans="66:69" x14ac:dyDescent="0.2">
      <c r="BN7985" s="192"/>
      <c r="BO7985" s="197"/>
      <c r="BP7985" s="197"/>
      <c r="BQ7985" s="197"/>
    </row>
    <row r="7986" spans="66:69" x14ac:dyDescent="0.2">
      <c r="BN7986" s="192"/>
      <c r="BO7986" s="197"/>
      <c r="BP7986" s="197"/>
      <c r="BQ7986" s="197"/>
    </row>
    <row r="7987" spans="66:69" x14ac:dyDescent="0.2">
      <c r="BN7987" s="192"/>
      <c r="BO7987" s="197"/>
      <c r="BP7987" s="197"/>
      <c r="BQ7987" s="197"/>
    </row>
    <row r="7988" spans="66:69" x14ac:dyDescent="0.2">
      <c r="BN7988" s="192"/>
      <c r="BO7988" s="197"/>
      <c r="BP7988" s="197"/>
      <c r="BQ7988" s="197"/>
    </row>
    <row r="7989" spans="66:69" x14ac:dyDescent="0.2">
      <c r="BN7989" s="192"/>
      <c r="BO7989" s="197"/>
      <c r="BP7989" s="197"/>
      <c r="BQ7989" s="197"/>
    </row>
    <row r="7990" spans="66:69" x14ac:dyDescent="0.2">
      <c r="BN7990" s="192"/>
      <c r="BO7990" s="197"/>
      <c r="BP7990" s="197"/>
      <c r="BQ7990" s="197"/>
    </row>
    <row r="7991" spans="66:69" x14ac:dyDescent="0.2">
      <c r="BN7991" s="192"/>
      <c r="BO7991" s="197"/>
      <c r="BP7991" s="197"/>
      <c r="BQ7991" s="197"/>
    </row>
    <row r="7992" spans="66:69" x14ac:dyDescent="0.2">
      <c r="BN7992" s="192"/>
      <c r="BO7992" s="197"/>
      <c r="BP7992" s="197"/>
      <c r="BQ7992" s="197"/>
    </row>
    <row r="7993" spans="66:69" x14ac:dyDescent="0.2">
      <c r="BN7993" s="192"/>
      <c r="BO7993" s="197"/>
      <c r="BP7993" s="197"/>
      <c r="BQ7993" s="197"/>
    </row>
    <row r="7994" spans="66:69" x14ac:dyDescent="0.2">
      <c r="BN7994" s="192"/>
      <c r="BO7994" s="197"/>
      <c r="BP7994" s="197"/>
      <c r="BQ7994" s="197"/>
    </row>
    <row r="7995" spans="66:69" x14ac:dyDescent="0.2">
      <c r="BN7995" s="192"/>
      <c r="BO7995" s="197"/>
      <c r="BP7995" s="197"/>
      <c r="BQ7995" s="197"/>
    </row>
    <row r="7996" spans="66:69" x14ac:dyDescent="0.2">
      <c r="BN7996" s="192"/>
      <c r="BO7996" s="197"/>
      <c r="BP7996" s="197"/>
      <c r="BQ7996" s="197"/>
    </row>
    <row r="7997" spans="66:69" x14ac:dyDescent="0.2">
      <c r="BN7997" s="192"/>
      <c r="BO7997" s="197"/>
      <c r="BP7997" s="197"/>
      <c r="BQ7997" s="197"/>
    </row>
    <row r="7998" spans="66:69" x14ac:dyDescent="0.2">
      <c r="BN7998" s="192"/>
      <c r="BO7998" s="197"/>
      <c r="BP7998" s="197"/>
      <c r="BQ7998" s="197"/>
    </row>
    <row r="7999" spans="66:69" x14ac:dyDescent="0.2">
      <c r="BN7999" s="192"/>
      <c r="BO7999" s="197"/>
      <c r="BP7999" s="197"/>
      <c r="BQ7999" s="197"/>
    </row>
    <row r="8000" spans="66:69" x14ac:dyDescent="0.2">
      <c r="BN8000" s="192"/>
      <c r="BO8000" s="197"/>
      <c r="BP8000" s="197"/>
      <c r="BQ8000" s="197"/>
    </row>
    <row r="8001" spans="66:69" x14ac:dyDescent="0.2">
      <c r="BN8001" s="192"/>
      <c r="BO8001" s="197"/>
      <c r="BP8001" s="197"/>
      <c r="BQ8001" s="197"/>
    </row>
    <row r="8002" spans="66:69" x14ac:dyDescent="0.2">
      <c r="BN8002" s="192"/>
      <c r="BO8002" s="197"/>
      <c r="BP8002" s="197"/>
      <c r="BQ8002" s="197"/>
    </row>
    <row r="8003" spans="66:69" x14ac:dyDescent="0.2">
      <c r="BN8003" s="192"/>
      <c r="BO8003" s="197"/>
      <c r="BP8003" s="197"/>
      <c r="BQ8003" s="197"/>
    </row>
    <row r="8004" spans="66:69" x14ac:dyDescent="0.2">
      <c r="BN8004" s="192"/>
      <c r="BO8004" s="197"/>
      <c r="BP8004" s="197"/>
      <c r="BQ8004" s="197"/>
    </row>
    <row r="8005" spans="66:69" x14ac:dyDescent="0.2">
      <c r="BN8005" s="192"/>
      <c r="BO8005" s="197"/>
      <c r="BP8005" s="197"/>
      <c r="BQ8005" s="197"/>
    </row>
    <row r="8006" spans="66:69" x14ac:dyDescent="0.2">
      <c r="BN8006" s="192"/>
      <c r="BO8006" s="197"/>
      <c r="BP8006" s="197"/>
      <c r="BQ8006" s="197"/>
    </row>
    <row r="8007" spans="66:69" x14ac:dyDescent="0.2">
      <c r="BN8007" s="192"/>
      <c r="BO8007" s="197"/>
      <c r="BP8007" s="197"/>
      <c r="BQ8007" s="197"/>
    </row>
    <row r="8008" spans="66:69" x14ac:dyDescent="0.2">
      <c r="BN8008" s="192"/>
      <c r="BO8008" s="197"/>
      <c r="BP8008" s="197"/>
      <c r="BQ8008" s="197"/>
    </row>
    <row r="8009" spans="66:69" x14ac:dyDescent="0.2">
      <c r="BN8009" s="192"/>
      <c r="BO8009" s="197"/>
      <c r="BP8009" s="197"/>
      <c r="BQ8009" s="197"/>
    </row>
    <row r="8010" spans="66:69" x14ac:dyDescent="0.2">
      <c r="BN8010" s="192"/>
      <c r="BO8010" s="197"/>
      <c r="BP8010" s="197"/>
      <c r="BQ8010" s="197"/>
    </row>
    <row r="8011" spans="66:69" x14ac:dyDescent="0.2">
      <c r="BN8011" s="192"/>
      <c r="BO8011" s="197"/>
      <c r="BP8011" s="197"/>
      <c r="BQ8011" s="197"/>
    </row>
    <row r="8012" spans="66:69" x14ac:dyDescent="0.2">
      <c r="BN8012" s="192"/>
      <c r="BO8012" s="197"/>
      <c r="BP8012" s="197"/>
      <c r="BQ8012" s="197"/>
    </row>
    <row r="8013" spans="66:69" x14ac:dyDescent="0.2">
      <c r="BN8013" s="192"/>
      <c r="BO8013" s="197"/>
      <c r="BP8013" s="197"/>
      <c r="BQ8013" s="197"/>
    </row>
    <row r="8014" spans="66:69" x14ac:dyDescent="0.2">
      <c r="BN8014" s="192"/>
      <c r="BO8014" s="197"/>
      <c r="BP8014" s="197"/>
      <c r="BQ8014" s="197"/>
    </row>
    <row r="8015" spans="66:69" x14ac:dyDescent="0.2">
      <c r="BN8015" s="192"/>
      <c r="BO8015" s="197"/>
      <c r="BP8015" s="197"/>
      <c r="BQ8015" s="197"/>
    </row>
    <row r="8016" spans="66:69" x14ac:dyDescent="0.2">
      <c r="BN8016" s="192"/>
      <c r="BO8016" s="197"/>
      <c r="BP8016" s="197"/>
      <c r="BQ8016" s="197"/>
    </row>
    <row r="8017" spans="66:69" x14ac:dyDescent="0.2">
      <c r="BN8017" s="192"/>
      <c r="BO8017" s="197"/>
      <c r="BP8017" s="197"/>
      <c r="BQ8017" s="197"/>
    </row>
    <row r="8018" spans="66:69" x14ac:dyDescent="0.2">
      <c r="BN8018" s="192"/>
      <c r="BO8018" s="197"/>
      <c r="BP8018" s="197"/>
      <c r="BQ8018" s="197"/>
    </row>
    <row r="8019" spans="66:69" x14ac:dyDescent="0.2">
      <c r="BN8019" s="192"/>
      <c r="BO8019" s="197"/>
      <c r="BP8019" s="197"/>
      <c r="BQ8019" s="197"/>
    </row>
    <row r="8020" spans="66:69" x14ac:dyDescent="0.2">
      <c r="BN8020" s="192"/>
      <c r="BO8020" s="197"/>
      <c r="BP8020" s="197"/>
      <c r="BQ8020" s="197"/>
    </row>
    <row r="8021" spans="66:69" x14ac:dyDescent="0.2">
      <c r="BN8021" s="192"/>
      <c r="BO8021" s="197"/>
      <c r="BP8021" s="197"/>
      <c r="BQ8021" s="197"/>
    </row>
    <row r="8022" spans="66:69" x14ac:dyDescent="0.2">
      <c r="BN8022" s="192"/>
      <c r="BO8022" s="197"/>
      <c r="BP8022" s="197"/>
      <c r="BQ8022" s="197"/>
    </row>
    <row r="8023" spans="66:69" x14ac:dyDescent="0.2">
      <c r="BN8023" s="192"/>
      <c r="BO8023" s="197"/>
      <c r="BP8023" s="197"/>
      <c r="BQ8023" s="197"/>
    </row>
    <row r="8024" spans="66:69" x14ac:dyDescent="0.2">
      <c r="BN8024" s="192"/>
      <c r="BO8024" s="197"/>
      <c r="BP8024" s="197"/>
      <c r="BQ8024" s="197"/>
    </row>
    <row r="8025" spans="66:69" x14ac:dyDescent="0.2">
      <c r="BN8025" s="192"/>
      <c r="BO8025" s="197"/>
      <c r="BP8025" s="197"/>
      <c r="BQ8025" s="197"/>
    </row>
    <row r="8026" spans="66:69" x14ac:dyDescent="0.2">
      <c r="BN8026" s="192"/>
      <c r="BO8026" s="197"/>
      <c r="BP8026" s="197"/>
      <c r="BQ8026" s="197"/>
    </row>
    <row r="8027" spans="66:69" x14ac:dyDescent="0.2">
      <c r="BN8027" s="192"/>
      <c r="BO8027" s="197"/>
      <c r="BP8027" s="197"/>
      <c r="BQ8027" s="197"/>
    </row>
    <row r="8028" spans="66:69" x14ac:dyDescent="0.2">
      <c r="BN8028" s="192"/>
      <c r="BO8028" s="197"/>
      <c r="BP8028" s="197"/>
      <c r="BQ8028" s="197"/>
    </row>
    <row r="8029" spans="66:69" x14ac:dyDescent="0.2">
      <c r="BN8029" s="192"/>
      <c r="BO8029" s="197"/>
      <c r="BP8029" s="197"/>
      <c r="BQ8029" s="197"/>
    </row>
    <row r="8030" spans="66:69" x14ac:dyDescent="0.2">
      <c r="BN8030" s="192"/>
      <c r="BO8030" s="197"/>
      <c r="BP8030" s="197"/>
      <c r="BQ8030" s="197"/>
    </row>
    <row r="8031" spans="66:69" x14ac:dyDescent="0.2">
      <c r="BN8031" s="192"/>
      <c r="BO8031" s="197"/>
      <c r="BP8031" s="197"/>
      <c r="BQ8031" s="197"/>
    </row>
    <row r="8032" spans="66:69" x14ac:dyDescent="0.2">
      <c r="BN8032" s="192"/>
      <c r="BO8032" s="197"/>
      <c r="BP8032" s="197"/>
      <c r="BQ8032" s="197"/>
    </row>
    <row r="8033" spans="66:69" x14ac:dyDescent="0.2">
      <c r="BN8033" s="192"/>
      <c r="BO8033" s="197"/>
      <c r="BP8033" s="197"/>
      <c r="BQ8033" s="197"/>
    </row>
    <row r="8034" spans="66:69" x14ac:dyDescent="0.2">
      <c r="BN8034" s="192"/>
      <c r="BO8034" s="197"/>
      <c r="BP8034" s="197"/>
      <c r="BQ8034" s="197"/>
    </row>
    <row r="8035" spans="66:69" x14ac:dyDescent="0.2">
      <c r="BN8035" s="192"/>
      <c r="BO8035" s="197"/>
      <c r="BP8035" s="197"/>
      <c r="BQ8035" s="197"/>
    </row>
    <row r="8036" spans="66:69" x14ac:dyDescent="0.2">
      <c r="BN8036" s="192"/>
      <c r="BO8036" s="197"/>
      <c r="BP8036" s="197"/>
      <c r="BQ8036" s="197"/>
    </row>
    <row r="8037" spans="66:69" x14ac:dyDescent="0.2">
      <c r="BN8037" s="192"/>
      <c r="BO8037" s="197"/>
      <c r="BP8037" s="197"/>
      <c r="BQ8037" s="197"/>
    </row>
    <row r="8038" spans="66:69" x14ac:dyDescent="0.2">
      <c r="BN8038" s="192"/>
      <c r="BO8038" s="197"/>
      <c r="BP8038" s="197"/>
      <c r="BQ8038" s="197"/>
    </row>
    <row r="8039" spans="66:69" x14ac:dyDescent="0.2">
      <c r="BN8039" s="192"/>
      <c r="BO8039" s="197"/>
      <c r="BP8039" s="197"/>
      <c r="BQ8039" s="197"/>
    </row>
    <row r="8040" spans="66:69" x14ac:dyDescent="0.2">
      <c r="BN8040" s="192"/>
      <c r="BO8040" s="197"/>
      <c r="BP8040" s="197"/>
      <c r="BQ8040" s="197"/>
    </row>
    <row r="8041" spans="66:69" x14ac:dyDescent="0.2">
      <c r="BN8041" s="192"/>
      <c r="BO8041" s="197"/>
      <c r="BP8041" s="197"/>
      <c r="BQ8041" s="197"/>
    </row>
    <row r="8042" spans="66:69" x14ac:dyDescent="0.2">
      <c r="BN8042" s="192"/>
      <c r="BO8042" s="197"/>
      <c r="BP8042" s="197"/>
      <c r="BQ8042" s="197"/>
    </row>
    <row r="8043" spans="66:69" x14ac:dyDescent="0.2">
      <c r="BN8043" s="192"/>
      <c r="BO8043" s="197"/>
      <c r="BP8043" s="197"/>
      <c r="BQ8043" s="197"/>
    </row>
    <row r="8044" spans="66:69" x14ac:dyDescent="0.2">
      <c r="BN8044" s="192"/>
      <c r="BO8044" s="197"/>
      <c r="BP8044" s="197"/>
      <c r="BQ8044" s="197"/>
    </row>
    <row r="8045" spans="66:69" x14ac:dyDescent="0.2">
      <c r="BN8045" s="192"/>
      <c r="BO8045" s="197"/>
      <c r="BP8045" s="197"/>
      <c r="BQ8045" s="197"/>
    </row>
    <row r="8046" spans="66:69" x14ac:dyDescent="0.2">
      <c r="BN8046" s="192"/>
      <c r="BO8046" s="197"/>
      <c r="BP8046" s="197"/>
      <c r="BQ8046" s="197"/>
    </row>
    <row r="8047" spans="66:69" x14ac:dyDescent="0.2">
      <c r="BN8047" s="192"/>
      <c r="BO8047" s="197"/>
      <c r="BP8047" s="197"/>
      <c r="BQ8047" s="197"/>
    </row>
    <row r="8048" spans="66:69" x14ac:dyDescent="0.2">
      <c r="BN8048" s="192"/>
      <c r="BO8048" s="197"/>
      <c r="BP8048" s="197"/>
      <c r="BQ8048" s="197"/>
    </row>
    <row r="8049" spans="66:69" x14ac:dyDescent="0.2">
      <c r="BN8049" s="192"/>
      <c r="BO8049" s="197"/>
      <c r="BP8049" s="197"/>
      <c r="BQ8049" s="197"/>
    </row>
    <row r="8050" spans="66:69" x14ac:dyDescent="0.2">
      <c r="BN8050" s="192"/>
      <c r="BO8050" s="197"/>
      <c r="BP8050" s="197"/>
      <c r="BQ8050" s="197"/>
    </row>
    <row r="8051" spans="66:69" x14ac:dyDescent="0.2">
      <c r="BN8051" s="192"/>
      <c r="BO8051" s="197"/>
      <c r="BP8051" s="197"/>
      <c r="BQ8051" s="197"/>
    </row>
    <row r="8052" spans="66:69" x14ac:dyDescent="0.2">
      <c r="BN8052" s="192"/>
      <c r="BO8052" s="197"/>
      <c r="BP8052" s="197"/>
      <c r="BQ8052" s="197"/>
    </row>
    <row r="8053" spans="66:69" x14ac:dyDescent="0.2">
      <c r="BN8053" s="192"/>
      <c r="BO8053" s="197"/>
      <c r="BP8053" s="197"/>
      <c r="BQ8053" s="197"/>
    </row>
    <row r="8054" spans="66:69" x14ac:dyDescent="0.2">
      <c r="BN8054" s="192"/>
      <c r="BO8054" s="197"/>
      <c r="BP8054" s="197"/>
      <c r="BQ8054" s="197"/>
    </row>
    <row r="8055" spans="66:69" x14ac:dyDescent="0.2">
      <c r="BN8055" s="192"/>
      <c r="BO8055" s="197"/>
      <c r="BP8055" s="197"/>
      <c r="BQ8055" s="197"/>
    </row>
    <row r="8056" spans="66:69" x14ac:dyDescent="0.2">
      <c r="BN8056" s="192"/>
      <c r="BO8056" s="197"/>
      <c r="BP8056" s="197"/>
      <c r="BQ8056" s="197"/>
    </row>
    <row r="8057" spans="66:69" x14ac:dyDescent="0.2">
      <c r="BN8057" s="192"/>
      <c r="BO8057" s="197"/>
      <c r="BP8057" s="197"/>
      <c r="BQ8057" s="197"/>
    </row>
    <row r="8058" spans="66:69" x14ac:dyDescent="0.2">
      <c r="BN8058" s="192"/>
      <c r="BO8058" s="197"/>
      <c r="BP8058" s="197"/>
      <c r="BQ8058" s="197"/>
    </row>
    <row r="8059" spans="66:69" x14ac:dyDescent="0.2">
      <c r="BN8059" s="192"/>
      <c r="BO8059" s="197"/>
      <c r="BP8059" s="197"/>
      <c r="BQ8059" s="197"/>
    </row>
    <row r="8060" spans="66:69" x14ac:dyDescent="0.2">
      <c r="BN8060" s="192"/>
      <c r="BO8060" s="197"/>
      <c r="BP8060" s="197"/>
      <c r="BQ8060" s="197"/>
    </row>
    <row r="8061" spans="66:69" x14ac:dyDescent="0.2">
      <c r="BN8061" s="192"/>
      <c r="BO8061" s="197"/>
      <c r="BP8061" s="197"/>
      <c r="BQ8061" s="197"/>
    </row>
    <row r="8062" spans="66:69" x14ac:dyDescent="0.2">
      <c r="BN8062" s="192"/>
      <c r="BO8062" s="197"/>
      <c r="BP8062" s="197"/>
      <c r="BQ8062" s="197"/>
    </row>
    <row r="8063" spans="66:69" x14ac:dyDescent="0.2">
      <c r="BN8063" s="192"/>
      <c r="BO8063" s="197"/>
      <c r="BP8063" s="197"/>
      <c r="BQ8063" s="197"/>
    </row>
    <row r="8064" spans="66:69" x14ac:dyDescent="0.2">
      <c r="BN8064" s="192"/>
      <c r="BO8064" s="197"/>
      <c r="BP8064" s="197"/>
      <c r="BQ8064" s="197"/>
    </row>
    <row r="8065" spans="66:69" x14ac:dyDescent="0.2">
      <c r="BN8065" s="192"/>
      <c r="BO8065" s="197"/>
      <c r="BP8065" s="197"/>
      <c r="BQ8065" s="197"/>
    </row>
    <row r="8066" spans="66:69" x14ac:dyDescent="0.2">
      <c r="BN8066" s="192"/>
      <c r="BO8066" s="197"/>
      <c r="BP8066" s="197"/>
      <c r="BQ8066" s="197"/>
    </row>
    <row r="8067" spans="66:69" x14ac:dyDescent="0.2">
      <c r="BN8067" s="192"/>
      <c r="BO8067" s="197"/>
      <c r="BP8067" s="197"/>
      <c r="BQ8067" s="197"/>
    </row>
    <row r="8068" spans="66:69" x14ac:dyDescent="0.2">
      <c r="BN8068" s="192"/>
      <c r="BO8068" s="197"/>
      <c r="BP8068" s="197"/>
      <c r="BQ8068" s="197"/>
    </row>
    <row r="8069" spans="66:69" x14ac:dyDescent="0.2">
      <c r="BN8069" s="192"/>
      <c r="BO8069" s="197"/>
      <c r="BP8069" s="197"/>
      <c r="BQ8069" s="197"/>
    </row>
    <row r="8070" spans="66:69" x14ac:dyDescent="0.2">
      <c r="BN8070" s="192"/>
      <c r="BO8070" s="197"/>
      <c r="BP8070" s="197"/>
      <c r="BQ8070" s="197"/>
    </row>
    <row r="8071" spans="66:69" x14ac:dyDescent="0.2">
      <c r="BN8071" s="192"/>
      <c r="BO8071" s="197"/>
      <c r="BP8071" s="197"/>
      <c r="BQ8071" s="197"/>
    </row>
    <row r="8072" spans="66:69" x14ac:dyDescent="0.2">
      <c r="BN8072" s="192"/>
      <c r="BO8072" s="197"/>
      <c r="BP8072" s="197"/>
      <c r="BQ8072" s="197"/>
    </row>
    <row r="8073" spans="66:69" x14ac:dyDescent="0.2">
      <c r="BN8073" s="192"/>
      <c r="BO8073" s="197"/>
      <c r="BP8073" s="197"/>
      <c r="BQ8073" s="197"/>
    </row>
    <row r="8074" spans="66:69" x14ac:dyDescent="0.2">
      <c r="BN8074" s="192"/>
      <c r="BO8074" s="197"/>
      <c r="BP8074" s="197"/>
      <c r="BQ8074" s="197"/>
    </row>
    <row r="8075" spans="66:69" x14ac:dyDescent="0.2">
      <c r="BN8075" s="192"/>
      <c r="BO8075" s="197"/>
      <c r="BP8075" s="197"/>
      <c r="BQ8075" s="197"/>
    </row>
    <row r="8076" spans="66:69" x14ac:dyDescent="0.2">
      <c r="BN8076" s="192"/>
      <c r="BO8076" s="197"/>
      <c r="BP8076" s="197"/>
      <c r="BQ8076" s="197"/>
    </row>
    <row r="8077" spans="66:69" x14ac:dyDescent="0.2">
      <c r="BN8077" s="192"/>
      <c r="BO8077" s="197"/>
      <c r="BP8077" s="197"/>
      <c r="BQ8077" s="197"/>
    </row>
    <row r="8078" spans="66:69" x14ac:dyDescent="0.2">
      <c r="BN8078" s="192"/>
      <c r="BO8078" s="197"/>
      <c r="BP8078" s="197"/>
      <c r="BQ8078" s="197"/>
    </row>
    <row r="8079" spans="66:69" x14ac:dyDescent="0.2">
      <c r="BN8079" s="192"/>
      <c r="BO8079" s="197"/>
      <c r="BP8079" s="197"/>
      <c r="BQ8079" s="197"/>
    </row>
    <row r="8080" spans="66:69" x14ac:dyDescent="0.2">
      <c r="BN8080" s="192"/>
      <c r="BO8080" s="197"/>
      <c r="BP8080" s="197"/>
      <c r="BQ8080" s="197"/>
    </row>
    <row r="8081" spans="66:69" x14ac:dyDescent="0.2">
      <c r="BN8081" s="192"/>
      <c r="BO8081" s="197"/>
      <c r="BP8081" s="197"/>
      <c r="BQ8081" s="197"/>
    </row>
    <row r="8082" spans="66:69" x14ac:dyDescent="0.2">
      <c r="BN8082" s="192"/>
      <c r="BO8082" s="197"/>
      <c r="BP8082" s="197"/>
      <c r="BQ8082" s="197"/>
    </row>
    <row r="8083" spans="66:69" x14ac:dyDescent="0.2">
      <c r="BN8083" s="192"/>
      <c r="BO8083" s="197"/>
      <c r="BP8083" s="197"/>
      <c r="BQ8083" s="197"/>
    </row>
    <row r="8084" spans="66:69" x14ac:dyDescent="0.2">
      <c r="BN8084" s="192"/>
      <c r="BO8084" s="197"/>
      <c r="BP8084" s="197"/>
      <c r="BQ8084" s="197"/>
    </row>
    <row r="8085" spans="66:69" x14ac:dyDescent="0.2">
      <c r="BN8085" s="192"/>
      <c r="BO8085" s="197"/>
      <c r="BP8085" s="197"/>
      <c r="BQ8085" s="197"/>
    </row>
    <row r="8086" spans="66:69" x14ac:dyDescent="0.2">
      <c r="BN8086" s="192"/>
      <c r="BO8086" s="197"/>
      <c r="BP8086" s="197"/>
      <c r="BQ8086" s="197"/>
    </row>
    <row r="8087" spans="66:69" x14ac:dyDescent="0.2">
      <c r="BN8087" s="192"/>
      <c r="BO8087" s="197"/>
      <c r="BP8087" s="197"/>
      <c r="BQ8087" s="197"/>
    </row>
    <row r="8088" spans="66:69" x14ac:dyDescent="0.2">
      <c r="BN8088" s="192"/>
      <c r="BO8088" s="197"/>
      <c r="BP8088" s="197"/>
      <c r="BQ8088" s="197"/>
    </row>
    <row r="8089" spans="66:69" x14ac:dyDescent="0.2">
      <c r="BN8089" s="192"/>
      <c r="BO8089" s="197"/>
      <c r="BP8089" s="197"/>
      <c r="BQ8089" s="197"/>
    </row>
    <row r="8090" spans="66:69" x14ac:dyDescent="0.2">
      <c r="BN8090" s="192"/>
      <c r="BO8090" s="197"/>
      <c r="BP8090" s="197"/>
      <c r="BQ8090" s="197"/>
    </row>
    <row r="8091" spans="66:69" x14ac:dyDescent="0.2">
      <c r="BN8091" s="192"/>
      <c r="BO8091" s="197"/>
      <c r="BP8091" s="197"/>
      <c r="BQ8091" s="197"/>
    </row>
    <row r="8092" spans="66:69" x14ac:dyDescent="0.2">
      <c r="BN8092" s="192"/>
      <c r="BO8092" s="197"/>
      <c r="BP8092" s="197"/>
      <c r="BQ8092" s="197"/>
    </row>
    <row r="8093" spans="66:69" x14ac:dyDescent="0.2">
      <c r="BN8093" s="192"/>
      <c r="BO8093" s="197"/>
      <c r="BP8093" s="197"/>
      <c r="BQ8093" s="197"/>
    </row>
    <row r="8094" spans="66:69" x14ac:dyDescent="0.2">
      <c r="BN8094" s="192"/>
      <c r="BO8094" s="197"/>
      <c r="BP8094" s="197"/>
      <c r="BQ8094" s="197"/>
    </row>
    <row r="8095" spans="66:69" x14ac:dyDescent="0.2">
      <c r="BN8095" s="192"/>
      <c r="BO8095" s="197"/>
      <c r="BP8095" s="197"/>
      <c r="BQ8095" s="197"/>
    </row>
    <row r="8096" spans="66:69" x14ac:dyDescent="0.2">
      <c r="BN8096" s="192"/>
      <c r="BO8096" s="197"/>
      <c r="BP8096" s="197"/>
      <c r="BQ8096" s="197"/>
    </row>
    <row r="8097" spans="66:69" x14ac:dyDescent="0.2">
      <c r="BN8097" s="192"/>
      <c r="BO8097" s="197"/>
      <c r="BP8097" s="197"/>
      <c r="BQ8097" s="197"/>
    </row>
    <row r="8098" spans="66:69" x14ac:dyDescent="0.2">
      <c r="BN8098" s="192"/>
      <c r="BO8098" s="197"/>
      <c r="BP8098" s="197"/>
      <c r="BQ8098" s="197"/>
    </row>
    <row r="8099" spans="66:69" x14ac:dyDescent="0.2">
      <c r="BN8099" s="192"/>
      <c r="BO8099" s="197"/>
      <c r="BP8099" s="197"/>
      <c r="BQ8099" s="197"/>
    </row>
    <row r="8100" spans="66:69" x14ac:dyDescent="0.2">
      <c r="BN8100" s="192"/>
      <c r="BO8100" s="197"/>
      <c r="BP8100" s="197"/>
      <c r="BQ8100" s="197"/>
    </row>
    <row r="8101" spans="66:69" x14ac:dyDescent="0.2">
      <c r="BN8101" s="192"/>
      <c r="BO8101" s="197"/>
      <c r="BP8101" s="197"/>
      <c r="BQ8101" s="197"/>
    </row>
    <row r="8102" spans="66:69" x14ac:dyDescent="0.2">
      <c r="BN8102" s="192"/>
      <c r="BO8102" s="197"/>
      <c r="BP8102" s="197"/>
      <c r="BQ8102" s="197"/>
    </row>
    <row r="8103" spans="66:69" x14ac:dyDescent="0.2">
      <c r="BN8103" s="192"/>
      <c r="BO8103" s="197"/>
      <c r="BP8103" s="197"/>
      <c r="BQ8103" s="197"/>
    </row>
    <row r="8104" spans="66:69" x14ac:dyDescent="0.2">
      <c r="BN8104" s="192"/>
      <c r="BO8104" s="197"/>
      <c r="BP8104" s="197"/>
      <c r="BQ8104" s="197"/>
    </row>
    <row r="8105" spans="66:69" x14ac:dyDescent="0.2">
      <c r="BN8105" s="192"/>
      <c r="BO8105" s="197"/>
      <c r="BP8105" s="197"/>
      <c r="BQ8105" s="197"/>
    </row>
    <row r="8106" spans="66:69" x14ac:dyDescent="0.2">
      <c r="BN8106" s="192"/>
      <c r="BO8106" s="197"/>
      <c r="BP8106" s="197"/>
      <c r="BQ8106" s="197"/>
    </row>
    <row r="8107" spans="66:69" x14ac:dyDescent="0.2">
      <c r="BN8107" s="192"/>
      <c r="BO8107" s="197"/>
      <c r="BP8107" s="197"/>
      <c r="BQ8107" s="197"/>
    </row>
    <row r="8108" spans="66:69" x14ac:dyDescent="0.2">
      <c r="BN8108" s="192"/>
      <c r="BO8108" s="197"/>
      <c r="BP8108" s="197"/>
      <c r="BQ8108" s="197"/>
    </row>
    <row r="8109" spans="66:69" x14ac:dyDescent="0.2">
      <c r="BN8109" s="192"/>
      <c r="BO8109" s="197"/>
      <c r="BP8109" s="197"/>
      <c r="BQ8109" s="197"/>
    </row>
    <row r="8110" spans="66:69" x14ac:dyDescent="0.2">
      <c r="BN8110" s="192"/>
      <c r="BO8110" s="197"/>
      <c r="BP8110" s="197"/>
      <c r="BQ8110" s="197"/>
    </row>
    <row r="8111" spans="66:69" x14ac:dyDescent="0.2">
      <c r="BN8111" s="192"/>
      <c r="BO8111" s="197"/>
      <c r="BP8111" s="197"/>
      <c r="BQ8111" s="197"/>
    </row>
    <row r="8112" spans="66:69" x14ac:dyDescent="0.2">
      <c r="BN8112" s="192"/>
      <c r="BO8112" s="197"/>
      <c r="BP8112" s="197"/>
      <c r="BQ8112" s="197"/>
    </row>
    <row r="8113" spans="66:69" x14ac:dyDescent="0.2">
      <c r="BN8113" s="192"/>
      <c r="BO8113" s="197"/>
      <c r="BP8113" s="197"/>
      <c r="BQ8113" s="197"/>
    </row>
    <row r="8114" spans="66:69" x14ac:dyDescent="0.2">
      <c r="BN8114" s="192"/>
      <c r="BO8114" s="197"/>
      <c r="BP8114" s="197"/>
      <c r="BQ8114" s="197"/>
    </row>
    <row r="8115" spans="66:69" x14ac:dyDescent="0.2">
      <c r="BN8115" s="192"/>
      <c r="BO8115" s="197"/>
      <c r="BP8115" s="197"/>
      <c r="BQ8115" s="197"/>
    </row>
    <row r="8116" spans="66:69" x14ac:dyDescent="0.2">
      <c r="BN8116" s="192"/>
      <c r="BO8116" s="197"/>
      <c r="BP8116" s="197"/>
      <c r="BQ8116" s="197"/>
    </row>
    <row r="8117" spans="66:69" x14ac:dyDescent="0.2">
      <c r="BN8117" s="192"/>
      <c r="BO8117" s="197"/>
      <c r="BP8117" s="197"/>
      <c r="BQ8117" s="197"/>
    </row>
    <row r="8118" spans="66:69" x14ac:dyDescent="0.2">
      <c r="BN8118" s="192"/>
      <c r="BO8118" s="197"/>
      <c r="BP8118" s="197"/>
      <c r="BQ8118" s="197"/>
    </row>
    <row r="8119" spans="66:69" x14ac:dyDescent="0.2">
      <c r="BN8119" s="192"/>
      <c r="BO8119" s="197"/>
      <c r="BP8119" s="197"/>
      <c r="BQ8119" s="197"/>
    </row>
    <row r="8120" spans="66:69" x14ac:dyDescent="0.2">
      <c r="BN8120" s="192"/>
      <c r="BO8120" s="197"/>
      <c r="BP8120" s="197"/>
      <c r="BQ8120" s="197"/>
    </row>
    <row r="8121" spans="66:69" x14ac:dyDescent="0.2">
      <c r="BN8121" s="192"/>
      <c r="BO8121" s="197"/>
      <c r="BP8121" s="197"/>
      <c r="BQ8121" s="197"/>
    </row>
    <row r="8122" spans="66:69" x14ac:dyDescent="0.2">
      <c r="BN8122" s="192"/>
      <c r="BO8122" s="197"/>
      <c r="BP8122" s="197"/>
      <c r="BQ8122" s="197"/>
    </row>
    <row r="8123" spans="66:69" x14ac:dyDescent="0.2">
      <c r="BN8123" s="192"/>
      <c r="BO8123" s="197"/>
      <c r="BP8123" s="197"/>
      <c r="BQ8123" s="197"/>
    </row>
    <row r="8124" spans="66:69" x14ac:dyDescent="0.2">
      <c r="BN8124" s="192"/>
      <c r="BO8124" s="197"/>
      <c r="BP8124" s="197"/>
      <c r="BQ8124" s="197"/>
    </row>
    <row r="8125" spans="66:69" x14ac:dyDescent="0.2">
      <c r="BN8125" s="192"/>
      <c r="BO8125" s="197"/>
      <c r="BP8125" s="197"/>
      <c r="BQ8125" s="197"/>
    </row>
    <row r="8126" spans="66:69" x14ac:dyDescent="0.2">
      <c r="BN8126" s="192"/>
      <c r="BO8126" s="197"/>
      <c r="BP8126" s="197"/>
      <c r="BQ8126" s="197"/>
    </row>
    <row r="8127" spans="66:69" x14ac:dyDescent="0.2">
      <c r="BN8127" s="192"/>
      <c r="BO8127" s="197"/>
      <c r="BP8127" s="197"/>
      <c r="BQ8127" s="197"/>
    </row>
    <row r="8128" spans="66:69" x14ac:dyDescent="0.2">
      <c r="BN8128" s="192"/>
      <c r="BO8128" s="197"/>
      <c r="BP8128" s="197"/>
      <c r="BQ8128" s="197"/>
    </row>
    <row r="8129" spans="66:69" x14ac:dyDescent="0.2">
      <c r="BN8129" s="192"/>
      <c r="BO8129" s="197"/>
      <c r="BP8129" s="197"/>
      <c r="BQ8129" s="197"/>
    </row>
    <row r="8130" spans="66:69" x14ac:dyDescent="0.2">
      <c r="BN8130" s="192"/>
      <c r="BO8130" s="197"/>
      <c r="BP8130" s="197"/>
      <c r="BQ8130" s="197"/>
    </row>
    <row r="8131" spans="66:69" x14ac:dyDescent="0.2">
      <c r="BN8131" s="192"/>
      <c r="BO8131" s="197"/>
      <c r="BP8131" s="197"/>
      <c r="BQ8131" s="197"/>
    </row>
    <row r="8132" spans="66:69" x14ac:dyDescent="0.2">
      <c r="BN8132" s="192"/>
      <c r="BO8132" s="197"/>
      <c r="BP8132" s="197"/>
      <c r="BQ8132" s="197"/>
    </row>
    <row r="8133" spans="66:69" x14ac:dyDescent="0.2">
      <c r="BN8133" s="192"/>
      <c r="BO8133" s="197"/>
      <c r="BP8133" s="197"/>
      <c r="BQ8133" s="197"/>
    </row>
    <row r="8134" spans="66:69" x14ac:dyDescent="0.2">
      <c r="BN8134" s="192"/>
      <c r="BO8134" s="197"/>
      <c r="BP8134" s="197"/>
      <c r="BQ8134" s="197"/>
    </row>
    <row r="8135" spans="66:69" x14ac:dyDescent="0.2">
      <c r="BN8135" s="192"/>
      <c r="BO8135" s="197"/>
      <c r="BP8135" s="197"/>
      <c r="BQ8135" s="197"/>
    </row>
    <row r="8136" spans="66:69" x14ac:dyDescent="0.2">
      <c r="BN8136" s="192"/>
      <c r="BO8136" s="197"/>
      <c r="BP8136" s="197"/>
      <c r="BQ8136" s="197"/>
    </row>
    <row r="8137" spans="66:69" x14ac:dyDescent="0.2">
      <c r="BN8137" s="192"/>
      <c r="BO8137" s="197"/>
      <c r="BP8137" s="197"/>
      <c r="BQ8137" s="197"/>
    </row>
    <row r="8138" spans="66:69" x14ac:dyDescent="0.2">
      <c r="BN8138" s="192"/>
      <c r="BO8138" s="197"/>
      <c r="BP8138" s="197"/>
      <c r="BQ8138" s="197"/>
    </row>
    <row r="8139" spans="66:69" x14ac:dyDescent="0.2">
      <c r="BN8139" s="192"/>
      <c r="BO8139" s="197"/>
      <c r="BP8139" s="197"/>
      <c r="BQ8139" s="197"/>
    </row>
    <row r="8140" spans="66:69" x14ac:dyDescent="0.2">
      <c r="BN8140" s="192"/>
      <c r="BO8140" s="197"/>
      <c r="BP8140" s="197"/>
      <c r="BQ8140" s="197"/>
    </row>
    <row r="8141" spans="66:69" x14ac:dyDescent="0.2">
      <c r="BN8141" s="192"/>
      <c r="BO8141" s="197"/>
      <c r="BP8141" s="197"/>
      <c r="BQ8141" s="197"/>
    </row>
    <row r="8142" spans="66:69" x14ac:dyDescent="0.2">
      <c r="BN8142" s="192"/>
      <c r="BO8142" s="197"/>
      <c r="BP8142" s="197"/>
      <c r="BQ8142" s="197"/>
    </row>
    <row r="8143" spans="66:69" x14ac:dyDescent="0.2">
      <c r="BN8143" s="192"/>
      <c r="BO8143" s="197"/>
      <c r="BP8143" s="197"/>
      <c r="BQ8143" s="197"/>
    </row>
    <row r="8144" spans="66:69" x14ac:dyDescent="0.2">
      <c r="BN8144" s="192"/>
      <c r="BO8144" s="197"/>
      <c r="BP8144" s="197"/>
      <c r="BQ8144" s="197"/>
    </row>
    <row r="8145" spans="66:69" x14ac:dyDescent="0.2">
      <c r="BN8145" s="192"/>
      <c r="BO8145" s="197"/>
      <c r="BP8145" s="197"/>
      <c r="BQ8145" s="197"/>
    </row>
    <row r="8146" spans="66:69" x14ac:dyDescent="0.2">
      <c r="BN8146" s="192"/>
      <c r="BO8146" s="197"/>
      <c r="BP8146" s="197"/>
      <c r="BQ8146" s="197"/>
    </row>
    <row r="8147" spans="66:69" x14ac:dyDescent="0.2">
      <c r="BN8147" s="192"/>
      <c r="BO8147" s="197"/>
      <c r="BP8147" s="197"/>
      <c r="BQ8147" s="197"/>
    </row>
    <row r="8148" spans="66:69" x14ac:dyDescent="0.2">
      <c r="BN8148" s="192"/>
      <c r="BO8148" s="197"/>
      <c r="BP8148" s="197"/>
      <c r="BQ8148" s="197"/>
    </row>
    <row r="8149" spans="66:69" x14ac:dyDescent="0.2">
      <c r="BN8149" s="192"/>
      <c r="BO8149" s="197"/>
      <c r="BP8149" s="197"/>
      <c r="BQ8149" s="197"/>
    </row>
    <row r="8150" spans="66:69" x14ac:dyDescent="0.2">
      <c r="BN8150" s="192"/>
      <c r="BO8150" s="197"/>
      <c r="BP8150" s="197"/>
      <c r="BQ8150" s="197"/>
    </row>
    <row r="8151" spans="66:69" x14ac:dyDescent="0.2">
      <c r="BN8151" s="192"/>
      <c r="BO8151" s="197"/>
      <c r="BP8151" s="197"/>
      <c r="BQ8151" s="197"/>
    </row>
    <row r="8152" spans="66:69" x14ac:dyDescent="0.2">
      <c r="BN8152" s="192"/>
      <c r="BO8152" s="197"/>
      <c r="BP8152" s="197"/>
      <c r="BQ8152" s="197"/>
    </row>
    <row r="8153" spans="66:69" x14ac:dyDescent="0.2">
      <c r="BN8153" s="192"/>
      <c r="BO8153" s="197"/>
      <c r="BP8153" s="197"/>
      <c r="BQ8153" s="197"/>
    </row>
    <row r="8154" spans="66:69" x14ac:dyDescent="0.2">
      <c r="BN8154" s="192"/>
      <c r="BO8154" s="197"/>
      <c r="BP8154" s="197"/>
      <c r="BQ8154" s="197"/>
    </row>
    <row r="8155" spans="66:69" x14ac:dyDescent="0.2">
      <c r="BN8155" s="192"/>
      <c r="BO8155" s="197"/>
      <c r="BP8155" s="197"/>
      <c r="BQ8155" s="197"/>
    </row>
    <row r="8156" spans="66:69" x14ac:dyDescent="0.2">
      <c r="BN8156" s="192"/>
      <c r="BO8156" s="197"/>
      <c r="BP8156" s="197"/>
      <c r="BQ8156" s="197"/>
    </row>
    <row r="8157" spans="66:69" x14ac:dyDescent="0.2">
      <c r="BN8157" s="192"/>
      <c r="BO8157" s="197"/>
      <c r="BP8157" s="197"/>
      <c r="BQ8157" s="197"/>
    </row>
    <row r="8158" spans="66:69" x14ac:dyDescent="0.2">
      <c r="BN8158" s="192"/>
      <c r="BO8158" s="197"/>
      <c r="BP8158" s="197"/>
      <c r="BQ8158" s="197"/>
    </row>
    <row r="8159" spans="66:69" x14ac:dyDescent="0.2">
      <c r="BN8159" s="192"/>
      <c r="BO8159" s="197"/>
      <c r="BP8159" s="197"/>
      <c r="BQ8159" s="197"/>
    </row>
    <row r="8160" spans="66:69" x14ac:dyDescent="0.2">
      <c r="BN8160" s="192"/>
      <c r="BO8160" s="197"/>
      <c r="BP8160" s="197"/>
      <c r="BQ8160" s="197"/>
    </row>
    <row r="8161" spans="66:69" x14ac:dyDescent="0.2">
      <c r="BN8161" s="192"/>
      <c r="BO8161" s="197"/>
      <c r="BP8161" s="197"/>
      <c r="BQ8161" s="197"/>
    </row>
    <row r="8162" spans="66:69" x14ac:dyDescent="0.2">
      <c r="BN8162" s="192"/>
      <c r="BO8162" s="197"/>
      <c r="BP8162" s="197"/>
      <c r="BQ8162" s="197"/>
    </row>
    <row r="8163" spans="66:69" x14ac:dyDescent="0.2">
      <c r="BN8163" s="192"/>
      <c r="BO8163" s="197"/>
      <c r="BP8163" s="197"/>
      <c r="BQ8163" s="197"/>
    </row>
    <row r="8164" spans="66:69" x14ac:dyDescent="0.2">
      <c r="BN8164" s="192"/>
      <c r="BO8164" s="197"/>
      <c r="BP8164" s="197"/>
      <c r="BQ8164" s="197"/>
    </row>
    <row r="8165" spans="66:69" x14ac:dyDescent="0.2">
      <c r="BN8165" s="192"/>
      <c r="BO8165" s="197"/>
      <c r="BP8165" s="197"/>
      <c r="BQ8165" s="197"/>
    </row>
    <row r="8166" spans="66:69" x14ac:dyDescent="0.2">
      <c r="BN8166" s="192"/>
      <c r="BO8166" s="197"/>
      <c r="BP8166" s="197"/>
      <c r="BQ8166" s="197"/>
    </row>
    <row r="8167" spans="66:69" x14ac:dyDescent="0.2">
      <c r="BN8167" s="192"/>
      <c r="BO8167" s="197"/>
      <c r="BP8167" s="197"/>
      <c r="BQ8167" s="197"/>
    </row>
    <row r="8168" spans="66:69" x14ac:dyDescent="0.2">
      <c r="BN8168" s="192"/>
      <c r="BO8168" s="197"/>
      <c r="BP8168" s="197"/>
      <c r="BQ8168" s="197"/>
    </row>
    <row r="8169" spans="66:69" x14ac:dyDescent="0.2">
      <c r="BN8169" s="192"/>
      <c r="BO8169" s="197"/>
      <c r="BP8169" s="197"/>
      <c r="BQ8169" s="197"/>
    </row>
    <row r="8170" spans="66:69" x14ac:dyDescent="0.2">
      <c r="BN8170" s="192"/>
      <c r="BO8170" s="197"/>
      <c r="BP8170" s="197"/>
      <c r="BQ8170" s="197"/>
    </row>
    <row r="8171" spans="66:69" x14ac:dyDescent="0.2">
      <c r="BN8171" s="192"/>
      <c r="BO8171" s="197"/>
      <c r="BP8171" s="197"/>
      <c r="BQ8171" s="197"/>
    </row>
    <row r="8172" spans="66:69" x14ac:dyDescent="0.2">
      <c r="BN8172" s="192"/>
      <c r="BO8172" s="197"/>
      <c r="BP8172" s="197"/>
      <c r="BQ8172" s="197"/>
    </row>
    <row r="8173" spans="66:69" x14ac:dyDescent="0.2">
      <c r="BN8173" s="192"/>
      <c r="BO8173" s="197"/>
      <c r="BP8173" s="197"/>
      <c r="BQ8173" s="197"/>
    </row>
    <row r="8174" spans="66:69" x14ac:dyDescent="0.2">
      <c r="BN8174" s="192"/>
      <c r="BO8174" s="197"/>
      <c r="BP8174" s="197"/>
      <c r="BQ8174" s="197"/>
    </row>
    <row r="8175" spans="66:69" x14ac:dyDescent="0.2">
      <c r="BN8175" s="192"/>
      <c r="BO8175" s="197"/>
      <c r="BP8175" s="197"/>
      <c r="BQ8175" s="197"/>
    </row>
    <row r="8176" spans="66:69" x14ac:dyDescent="0.2">
      <c r="BN8176" s="192"/>
      <c r="BO8176" s="197"/>
      <c r="BP8176" s="197"/>
      <c r="BQ8176" s="197"/>
    </row>
    <row r="8177" spans="66:69" x14ac:dyDescent="0.2">
      <c r="BN8177" s="192"/>
      <c r="BO8177" s="197"/>
      <c r="BP8177" s="197"/>
      <c r="BQ8177" s="197"/>
    </row>
    <row r="8178" spans="66:69" x14ac:dyDescent="0.2">
      <c r="BN8178" s="192"/>
      <c r="BO8178" s="197"/>
      <c r="BP8178" s="197"/>
      <c r="BQ8178" s="197"/>
    </row>
    <row r="8179" spans="66:69" x14ac:dyDescent="0.2">
      <c r="BN8179" s="192"/>
      <c r="BO8179" s="197"/>
      <c r="BP8179" s="197"/>
      <c r="BQ8179" s="197"/>
    </row>
    <row r="8180" spans="66:69" x14ac:dyDescent="0.2">
      <c r="BN8180" s="192"/>
      <c r="BO8180" s="197"/>
      <c r="BP8180" s="197"/>
      <c r="BQ8180" s="197"/>
    </row>
    <row r="8181" spans="66:69" x14ac:dyDescent="0.2">
      <c r="BN8181" s="192"/>
      <c r="BO8181" s="197"/>
      <c r="BP8181" s="197"/>
      <c r="BQ8181" s="197"/>
    </row>
    <row r="8182" spans="66:69" x14ac:dyDescent="0.2">
      <c r="BN8182" s="192"/>
      <c r="BO8182" s="197"/>
      <c r="BP8182" s="197"/>
      <c r="BQ8182" s="197"/>
    </row>
    <row r="8183" spans="66:69" x14ac:dyDescent="0.2">
      <c r="BN8183" s="192"/>
      <c r="BO8183" s="197"/>
      <c r="BP8183" s="197"/>
      <c r="BQ8183" s="197"/>
    </row>
    <row r="8184" spans="66:69" x14ac:dyDescent="0.2">
      <c r="BN8184" s="192"/>
      <c r="BO8184" s="197"/>
      <c r="BP8184" s="197"/>
      <c r="BQ8184" s="197"/>
    </row>
    <row r="8185" spans="66:69" x14ac:dyDescent="0.2">
      <c r="BN8185" s="192"/>
      <c r="BO8185" s="197"/>
      <c r="BP8185" s="197"/>
      <c r="BQ8185" s="197"/>
    </row>
    <row r="8186" spans="66:69" x14ac:dyDescent="0.2">
      <c r="BN8186" s="192"/>
      <c r="BO8186" s="197"/>
      <c r="BP8186" s="197"/>
      <c r="BQ8186" s="197"/>
    </row>
    <row r="8187" spans="66:69" x14ac:dyDescent="0.2">
      <c r="BN8187" s="192"/>
      <c r="BO8187" s="197"/>
      <c r="BP8187" s="197"/>
      <c r="BQ8187" s="197"/>
    </row>
    <row r="8188" spans="66:69" x14ac:dyDescent="0.2">
      <c r="BN8188" s="192"/>
      <c r="BO8188" s="197"/>
      <c r="BP8188" s="197"/>
      <c r="BQ8188" s="197"/>
    </row>
    <row r="8189" spans="66:69" x14ac:dyDescent="0.2">
      <c r="BN8189" s="192"/>
      <c r="BO8189" s="197"/>
      <c r="BP8189" s="197"/>
      <c r="BQ8189" s="197"/>
    </row>
    <row r="8190" spans="66:69" x14ac:dyDescent="0.2">
      <c r="BN8190" s="192"/>
      <c r="BO8190" s="197"/>
      <c r="BP8190" s="197"/>
      <c r="BQ8190" s="197"/>
    </row>
    <row r="8191" spans="66:69" x14ac:dyDescent="0.2">
      <c r="BN8191" s="192"/>
      <c r="BO8191" s="197"/>
      <c r="BP8191" s="197"/>
      <c r="BQ8191" s="197"/>
    </row>
    <row r="8192" spans="66:69" x14ac:dyDescent="0.2">
      <c r="BN8192" s="192"/>
      <c r="BO8192" s="197"/>
      <c r="BP8192" s="197"/>
      <c r="BQ8192" s="197"/>
    </row>
    <row r="8193" spans="66:69" x14ac:dyDescent="0.2">
      <c r="BN8193" s="192"/>
      <c r="BO8193" s="197"/>
      <c r="BP8193" s="197"/>
      <c r="BQ8193" s="197"/>
    </row>
    <row r="8194" spans="66:69" x14ac:dyDescent="0.2">
      <c r="BN8194" s="192"/>
      <c r="BO8194" s="197"/>
      <c r="BP8194" s="197"/>
      <c r="BQ8194" s="197"/>
    </row>
    <row r="8195" spans="66:69" x14ac:dyDescent="0.2">
      <c r="BN8195" s="192"/>
      <c r="BO8195" s="197"/>
      <c r="BP8195" s="197"/>
      <c r="BQ8195" s="197"/>
    </row>
    <row r="8196" spans="66:69" x14ac:dyDescent="0.2">
      <c r="BN8196" s="192"/>
      <c r="BO8196" s="197"/>
      <c r="BP8196" s="197"/>
      <c r="BQ8196" s="197"/>
    </row>
    <row r="8197" spans="66:69" x14ac:dyDescent="0.2">
      <c r="BN8197" s="192"/>
      <c r="BO8197" s="197"/>
      <c r="BP8197" s="197"/>
      <c r="BQ8197" s="197"/>
    </row>
    <row r="8198" spans="66:69" x14ac:dyDescent="0.2">
      <c r="BN8198" s="192"/>
      <c r="BO8198" s="197"/>
      <c r="BP8198" s="197"/>
      <c r="BQ8198" s="197"/>
    </row>
    <row r="8199" spans="66:69" x14ac:dyDescent="0.2">
      <c r="BN8199" s="192"/>
      <c r="BO8199" s="197"/>
      <c r="BP8199" s="197"/>
      <c r="BQ8199" s="197"/>
    </row>
    <row r="8200" spans="66:69" x14ac:dyDescent="0.2">
      <c r="BN8200" s="192"/>
      <c r="BO8200" s="197"/>
      <c r="BP8200" s="197"/>
      <c r="BQ8200" s="197"/>
    </row>
    <row r="8201" spans="66:69" x14ac:dyDescent="0.2">
      <c r="BN8201" s="192"/>
      <c r="BO8201" s="197"/>
      <c r="BP8201" s="197"/>
      <c r="BQ8201" s="197"/>
    </row>
    <row r="8202" spans="66:69" x14ac:dyDescent="0.2">
      <c r="BN8202" s="192"/>
      <c r="BO8202" s="197"/>
      <c r="BP8202" s="197"/>
      <c r="BQ8202" s="197"/>
    </row>
    <row r="8203" spans="66:69" x14ac:dyDescent="0.2">
      <c r="BN8203" s="192"/>
      <c r="BO8203" s="197"/>
      <c r="BP8203" s="197"/>
      <c r="BQ8203" s="197"/>
    </row>
    <row r="8204" spans="66:69" x14ac:dyDescent="0.2">
      <c r="BN8204" s="192"/>
      <c r="BO8204" s="197"/>
      <c r="BP8204" s="197"/>
      <c r="BQ8204" s="197"/>
    </row>
    <row r="8205" spans="66:69" x14ac:dyDescent="0.2">
      <c r="BN8205" s="192"/>
      <c r="BO8205" s="197"/>
      <c r="BP8205" s="197"/>
      <c r="BQ8205" s="197"/>
    </row>
    <row r="8206" spans="66:69" x14ac:dyDescent="0.2">
      <c r="BN8206" s="192"/>
      <c r="BO8206" s="197"/>
      <c r="BP8206" s="197"/>
      <c r="BQ8206" s="197"/>
    </row>
    <row r="8207" spans="66:69" x14ac:dyDescent="0.2">
      <c r="BN8207" s="192"/>
      <c r="BO8207" s="197"/>
      <c r="BP8207" s="197"/>
      <c r="BQ8207" s="197"/>
    </row>
    <row r="8208" spans="66:69" x14ac:dyDescent="0.2">
      <c r="BN8208" s="192"/>
      <c r="BO8208" s="197"/>
      <c r="BP8208" s="197"/>
      <c r="BQ8208" s="197"/>
    </row>
    <row r="8209" spans="66:69" x14ac:dyDescent="0.2">
      <c r="BN8209" s="192"/>
      <c r="BO8209" s="197"/>
      <c r="BP8209" s="197"/>
      <c r="BQ8209" s="197"/>
    </row>
    <row r="8210" spans="66:69" x14ac:dyDescent="0.2">
      <c r="BN8210" s="192"/>
      <c r="BO8210" s="197"/>
      <c r="BP8210" s="197"/>
      <c r="BQ8210" s="197"/>
    </row>
    <row r="8211" spans="66:69" x14ac:dyDescent="0.2">
      <c r="BN8211" s="192"/>
      <c r="BO8211" s="197"/>
      <c r="BP8211" s="197"/>
      <c r="BQ8211" s="197"/>
    </row>
    <row r="8212" spans="66:69" x14ac:dyDescent="0.2">
      <c r="BN8212" s="192"/>
      <c r="BO8212" s="197"/>
      <c r="BP8212" s="197"/>
      <c r="BQ8212" s="197"/>
    </row>
    <row r="8213" spans="66:69" x14ac:dyDescent="0.2">
      <c r="BN8213" s="192"/>
      <c r="BO8213" s="197"/>
      <c r="BP8213" s="197"/>
      <c r="BQ8213" s="197"/>
    </row>
    <row r="8214" spans="66:69" x14ac:dyDescent="0.2">
      <c r="BN8214" s="192"/>
      <c r="BO8214" s="197"/>
      <c r="BP8214" s="197"/>
      <c r="BQ8214" s="197"/>
    </row>
    <row r="8215" spans="66:69" x14ac:dyDescent="0.2">
      <c r="BN8215" s="192"/>
      <c r="BO8215" s="197"/>
      <c r="BP8215" s="197"/>
      <c r="BQ8215" s="197"/>
    </row>
    <row r="8216" spans="66:69" x14ac:dyDescent="0.2">
      <c r="BN8216" s="192"/>
      <c r="BO8216" s="197"/>
      <c r="BP8216" s="197"/>
      <c r="BQ8216" s="197"/>
    </row>
    <row r="8217" spans="66:69" x14ac:dyDescent="0.2">
      <c r="BN8217" s="192"/>
      <c r="BO8217" s="197"/>
      <c r="BP8217" s="197"/>
      <c r="BQ8217" s="197"/>
    </row>
    <row r="8218" spans="66:69" x14ac:dyDescent="0.2">
      <c r="BN8218" s="192"/>
      <c r="BO8218" s="197"/>
      <c r="BP8218" s="197"/>
      <c r="BQ8218" s="197"/>
    </row>
    <row r="8219" spans="66:69" x14ac:dyDescent="0.2">
      <c r="BN8219" s="192"/>
      <c r="BO8219" s="197"/>
      <c r="BP8219" s="197"/>
      <c r="BQ8219" s="197"/>
    </row>
    <row r="8220" spans="66:69" x14ac:dyDescent="0.2">
      <c r="BN8220" s="192"/>
      <c r="BO8220" s="197"/>
      <c r="BP8220" s="197"/>
      <c r="BQ8220" s="197"/>
    </row>
    <row r="8221" spans="66:69" x14ac:dyDescent="0.2">
      <c r="BN8221" s="192"/>
      <c r="BO8221" s="197"/>
      <c r="BP8221" s="197"/>
      <c r="BQ8221" s="197"/>
    </row>
    <row r="8222" spans="66:69" x14ac:dyDescent="0.2">
      <c r="BN8222" s="192"/>
      <c r="BO8222" s="197"/>
      <c r="BP8222" s="197"/>
      <c r="BQ8222" s="197"/>
    </row>
    <row r="8223" spans="66:69" x14ac:dyDescent="0.2">
      <c r="BN8223" s="192"/>
      <c r="BO8223" s="197"/>
      <c r="BP8223" s="197"/>
      <c r="BQ8223" s="197"/>
    </row>
    <row r="8224" spans="66:69" x14ac:dyDescent="0.2">
      <c r="BN8224" s="192"/>
      <c r="BO8224" s="197"/>
      <c r="BP8224" s="197"/>
      <c r="BQ8224" s="197"/>
    </row>
    <row r="8225" spans="66:69" x14ac:dyDescent="0.2">
      <c r="BN8225" s="192"/>
      <c r="BO8225" s="197"/>
      <c r="BP8225" s="197"/>
      <c r="BQ8225" s="197"/>
    </row>
    <row r="8226" spans="66:69" x14ac:dyDescent="0.2">
      <c r="BN8226" s="192"/>
      <c r="BO8226" s="197"/>
      <c r="BP8226" s="197"/>
      <c r="BQ8226" s="197"/>
    </row>
    <row r="8227" spans="66:69" x14ac:dyDescent="0.2">
      <c r="BN8227" s="192"/>
      <c r="BO8227" s="197"/>
      <c r="BP8227" s="197"/>
      <c r="BQ8227" s="197"/>
    </row>
    <row r="8228" spans="66:69" x14ac:dyDescent="0.2">
      <c r="BN8228" s="192"/>
      <c r="BO8228" s="197"/>
      <c r="BP8228" s="197"/>
      <c r="BQ8228" s="197"/>
    </row>
    <row r="8229" spans="66:69" x14ac:dyDescent="0.2">
      <c r="BN8229" s="192"/>
      <c r="BO8229" s="197"/>
      <c r="BP8229" s="197"/>
      <c r="BQ8229" s="197"/>
    </row>
    <row r="8230" spans="66:69" x14ac:dyDescent="0.2">
      <c r="BN8230" s="192"/>
      <c r="BO8230" s="197"/>
      <c r="BP8230" s="197"/>
      <c r="BQ8230" s="197"/>
    </row>
    <row r="8231" spans="66:69" x14ac:dyDescent="0.2">
      <c r="BN8231" s="192"/>
      <c r="BO8231" s="197"/>
      <c r="BP8231" s="197"/>
      <c r="BQ8231" s="197"/>
    </row>
    <row r="8232" spans="66:69" x14ac:dyDescent="0.2">
      <c r="BN8232" s="192"/>
      <c r="BO8232" s="197"/>
      <c r="BP8232" s="197"/>
      <c r="BQ8232" s="197"/>
    </row>
    <row r="8233" spans="66:69" x14ac:dyDescent="0.2">
      <c r="BN8233" s="192"/>
      <c r="BO8233" s="197"/>
      <c r="BP8233" s="197"/>
      <c r="BQ8233" s="197"/>
    </row>
    <row r="8234" spans="66:69" x14ac:dyDescent="0.2">
      <c r="BN8234" s="192"/>
      <c r="BO8234" s="197"/>
      <c r="BP8234" s="197"/>
      <c r="BQ8234" s="197"/>
    </row>
    <row r="8235" spans="66:69" x14ac:dyDescent="0.2">
      <c r="BN8235" s="192"/>
      <c r="BO8235" s="197"/>
      <c r="BP8235" s="197"/>
      <c r="BQ8235" s="197"/>
    </row>
    <row r="8236" spans="66:69" x14ac:dyDescent="0.2">
      <c r="BN8236" s="192"/>
      <c r="BO8236" s="197"/>
      <c r="BP8236" s="197"/>
      <c r="BQ8236" s="197"/>
    </row>
    <row r="8237" spans="66:69" x14ac:dyDescent="0.2">
      <c r="BN8237" s="192"/>
      <c r="BO8237" s="197"/>
      <c r="BP8237" s="197"/>
      <c r="BQ8237" s="197"/>
    </row>
    <row r="8238" spans="66:69" x14ac:dyDescent="0.2">
      <c r="BN8238" s="192"/>
      <c r="BO8238" s="197"/>
      <c r="BP8238" s="197"/>
      <c r="BQ8238" s="197"/>
    </row>
    <row r="8239" spans="66:69" x14ac:dyDescent="0.2">
      <c r="BN8239" s="192"/>
      <c r="BO8239" s="197"/>
      <c r="BP8239" s="197"/>
      <c r="BQ8239" s="197"/>
    </row>
    <row r="8240" spans="66:69" x14ac:dyDescent="0.2">
      <c r="BN8240" s="192"/>
      <c r="BO8240" s="197"/>
      <c r="BP8240" s="197"/>
      <c r="BQ8240" s="197"/>
    </row>
    <row r="8241" spans="66:69" x14ac:dyDescent="0.2">
      <c r="BN8241" s="192"/>
      <c r="BO8241" s="197"/>
      <c r="BP8241" s="197"/>
      <c r="BQ8241" s="197"/>
    </row>
    <row r="8242" spans="66:69" x14ac:dyDescent="0.2">
      <c r="BN8242" s="192"/>
      <c r="BO8242" s="197"/>
      <c r="BP8242" s="197"/>
      <c r="BQ8242" s="197"/>
    </row>
    <row r="8243" spans="66:69" x14ac:dyDescent="0.2">
      <c r="BN8243" s="192"/>
      <c r="BO8243" s="197"/>
      <c r="BP8243" s="197"/>
      <c r="BQ8243" s="197"/>
    </row>
    <row r="8244" spans="66:69" x14ac:dyDescent="0.2">
      <c r="BN8244" s="192"/>
      <c r="BO8244" s="197"/>
      <c r="BP8244" s="197"/>
      <c r="BQ8244" s="197"/>
    </row>
    <row r="8245" spans="66:69" x14ac:dyDescent="0.2">
      <c r="BN8245" s="192"/>
      <c r="BO8245" s="197"/>
      <c r="BP8245" s="197"/>
      <c r="BQ8245" s="197"/>
    </row>
    <row r="8246" spans="66:69" x14ac:dyDescent="0.2">
      <c r="BN8246" s="192"/>
      <c r="BO8246" s="197"/>
      <c r="BP8246" s="197"/>
      <c r="BQ8246" s="197"/>
    </row>
    <row r="8247" spans="66:69" x14ac:dyDescent="0.2">
      <c r="BN8247" s="192"/>
      <c r="BO8247" s="197"/>
      <c r="BP8247" s="197"/>
      <c r="BQ8247" s="197"/>
    </row>
    <row r="8248" spans="66:69" x14ac:dyDescent="0.2">
      <c r="BN8248" s="192"/>
      <c r="BO8248" s="197"/>
      <c r="BP8248" s="197"/>
      <c r="BQ8248" s="197"/>
    </row>
    <row r="8249" spans="66:69" x14ac:dyDescent="0.2">
      <c r="BN8249" s="192"/>
      <c r="BO8249" s="197"/>
      <c r="BP8249" s="197"/>
      <c r="BQ8249" s="197"/>
    </row>
    <row r="8250" spans="66:69" x14ac:dyDescent="0.2">
      <c r="BN8250" s="192"/>
      <c r="BO8250" s="197"/>
      <c r="BP8250" s="197"/>
      <c r="BQ8250" s="197"/>
    </row>
    <row r="8251" spans="66:69" x14ac:dyDescent="0.2">
      <c r="BN8251" s="192"/>
      <c r="BO8251" s="197"/>
      <c r="BP8251" s="197"/>
      <c r="BQ8251" s="197"/>
    </row>
    <row r="8252" spans="66:69" x14ac:dyDescent="0.2">
      <c r="BN8252" s="192"/>
      <c r="BO8252" s="197"/>
      <c r="BP8252" s="197"/>
      <c r="BQ8252" s="197"/>
    </row>
    <row r="8253" spans="66:69" x14ac:dyDescent="0.2">
      <c r="BN8253" s="192"/>
      <c r="BO8253" s="197"/>
      <c r="BP8253" s="197"/>
      <c r="BQ8253" s="197"/>
    </row>
    <row r="8254" spans="66:69" x14ac:dyDescent="0.2">
      <c r="BN8254" s="192"/>
      <c r="BO8254" s="197"/>
      <c r="BP8254" s="197"/>
      <c r="BQ8254" s="197"/>
    </row>
    <row r="8255" spans="66:69" x14ac:dyDescent="0.2">
      <c r="BN8255" s="192"/>
      <c r="BO8255" s="197"/>
      <c r="BP8255" s="197"/>
      <c r="BQ8255" s="197"/>
    </row>
    <row r="8256" spans="66:69" x14ac:dyDescent="0.2">
      <c r="BN8256" s="192"/>
      <c r="BO8256" s="197"/>
      <c r="BP8256" s="197"/>
      <c r="BQ8256" s="197"/>
    </row>
    <row r="8257" spans="66:69" x14ac:dyDescent="0.2">
      <c r="BN8257" s="192"/>
      <c r="BO8257" s="197"/>
      <c r="BP8257" s="197"/>
      <c r="BQ8257" s="197"/>
    </row>
    <row r="8258" spans="66:69" x14ac:dyDescent="0.2">
      <c r="BN8258" s="192"/>
      <c r="BO8258" s="197"/>
      <c r="BP8258" s="197"/>
      <c r="BQ8258" s="197"/>
    </row>
    <row r="8259" spans="66:69" x14ac:dyDescent="0.2">
      <c r="BN8259" s="192"/>
      <c r="BO8259" s="197"/>
      <c r="BP8259" s="197"/>
      <c r="BQ8259" s="197"/>
    </row>
    <row r="8260" spans="66:69" x14ac:dyDescent="0.2">
      <c r="BN8260" s="192"/>
      <c r="BO8260" s="197"/>
      <c r="BP8260" s="197"/>
      <c r="BQ8260" s="197"/>
    </row>
    <row r="8261" spans="66:69" x14ac:dyDescent="0.2">
      <c r="BN8261" s="192"/>
      <c r="BO8261" s="197"/>
      <c r="BP8261" s="197"/>
      <c r="BQ8261" s="197"/>
    </row>
    <row r="8262" spans="66:69" x14ac:dyDescent="0.2">
      <c r="BN8262" s="192"/>
      <c r="BO8262" s="197"/>
      <c r="BP8262" s="197"/>
      <c r="BQ8262" s="197"/>
    </row>
    <row r="8263" spans="66:69" x14ac:dyDescent="0.2">
      <c r="BN8263" s="192"/>
      <c r="BO8263" s="197"/>
      <c r="BP8263" s="197"/>
      <c r="BQ8263" s="197"/>
    </row>
    <row r="8264" spans="66:69" x14ac:dyDescent="0.2">
      <c r="BN8264" s="192"/>
      <c r="BO8264" s="197"/>
      <c r="BP8264" s="197"/>
      <c r="BQ8264" s="197"/>
    </row>
    <row r="8265" spans="66:69" x14ac:dyDescent="0.2">
      <c r="BN8265" s="192"/>
      <c r="BO8265" s="197"/>
      <c r="BP8265" s="197"/>
      <c r="BQ8265" s="197"/>
    </row>
    <row r="8266" spans="66:69" x14ac:dyDescent="0.2">
      <c r="BN8266" s="192"/>
      <c r="BO8266" s="197"/>
      <c r="BP8266" s="197"/>
      <c r="BQ8266" s="197"/>
    </row>
    <row r="8267" spans="66:69" x14ac:dyDescent="0.2">
      <c r="BN8267" s="192"/>
      <c r="BO8267" s="197"/>
      <c r="BP8267" s="197"/>
      <c r="BQ8267" s="197"/>
    </row>
    <row r="8268" spans="66:69" x14ac:dyDescent="0.2">
      <c r="BN8268" s="192"/>
      <c r="BO8268" s="197"/>
      <c r="BP8268" s="197"/>
      <c r="BQ8268" s="197"/>
    </row>
    <row r="8269" spans="66:69" x14ac:dyDescent="0.2">
      <c r="BN8269" s="192"/>
      <c r="BO8269" s="197"/>
      <c r="BP8269" s="197"/>
      <c r="BQ8269" s="197"/>
    </row>
    <row r="8270" spans="66:69" x14ac:dyDescent="0.2">
      <c r="BN8270" s="192"/>
      <c r="BO8270" s="197"/>
      <c r="BP8270" s="197"/>
      <c r="BQ8270" s="197"/>
    </row>
    <row r="8271" spans="66:69" x14ac:dyDescent="0.2">
      <c r="BN8271" s="192"/>
      <c r="BO8271" s="197"/>
      <c r="BP8271" s="197"/>
      <c r="BQ8271" s="197"/>
    </row>
    <row r="8272" spans="66:69" x14ac:dyDescent="0.2">
      <c r="BN8272" s="192"/>
      <c r="BO8272" s="197"/>
      <c r="BP8272" s="197"/>
      <c r="BQ8272" s="197"/>
    </row>
    <row r="8273" spans="66:69" x14ac:dyDescent="0.2">
      <c r="BN8273" s="192"/>
      <c r="BO8273" s="197"/>
      <c r="BP8273" s="197"/>
      <c r="BQ8273" s="197"/>
    </row>
    <row r="8274" spans="66:69" x14ac:dyDescent="0.2">
      <c r="BN8274" s="192"/>
      <c r="BO8274" s="197"/>
      <c r="BP8274" s="197"/>
      <c r="BQ8274" s="197"/>
    </row>
    <row r="8275" spans="66:69" x14ac:dyDescent="0.2">
      <c r="BN8275" s="192"/>
      <c r="BO8275" s="197"/>
      <c r="BP8275" s="197"/>
      <c r="BQ8275" s="197"/>
    </row>
    <row r="8276" spans="66:69" x14ac:dyDescent="0.2">
      <c r="BN8276" s="192"/>
      <c r="BO8276" s="197"/>
      <c r="BP8276" s="197"/>
      <c r="BQ8276" s="197"/>
    </row>
    <row r="8277" spans="66:69" x14ac:dyDescent="0.2">
      <c r="BN8277" s="192"/>
      <c r="BO8277" s="197"/>
      <c r="BP8277" s="197"/>
      <c r="BQ8277" s="197"/>
    </row>
    <row r="8278" spans="66:69" x14ac:dyDescent="0.2">
      <c r="BN8278" s="192"/>
      <c r="BO8278" s="197"/>
      <c r="BP8278" s="197"/>
      <c r="BQ8278" s="197"/>
    </row>
    <row r="8279" spans="66:69" x14ac:dyDescent="0.2">
      <c r="BN8279" s="192"/>
      <c r="BO8279" s="197"/>
      <c r="BP8279" s="197"/>
      <c r="BQ8279" s="197"/>
    </row>
    <row r="8280" spans="66:69" x14ac:dyDescent="0.2">
      <c r="BN8280" s="192"/>
      <c r="BO8280" s="197"/>
      <c r="BP8280" s="197"/>
      <c r="BQ8280" s="197"/>
    </row>
    <row r="8281" spans="66:69" x14ac:dyDescent="0.2">
      <c r="BN8281" s="192"/>
      <c r="BO8281" s="197"/>
      <c r="BP8281" s="197"/>
      <c r="BQ8281" s="197"/>
    </row>
    <row r="8282" spans="66:69" x14ac:dyDescent="0.2">
      <c r="BN8282" s="192"/>
      <c r="BO8282" s="197"/>
      <c r="BP8282" s="197"/>
      <c r="BQ8282" s="197"/>
    </row>
    <row r="8283" spans="66:69" x14ac:dyDescent="0.2">
      <c r="BN8283" s="192"/>
      <c r="BO8283" s="197"/>
      <c r="BP8283" s="197"/>
      <c r="BQ8283" s="197"/>
    </row>
    <row r="8284" spans="66:69" x14ac:dyDescent="0.2">
      <c r="BN8284" s="192"/>
      <c r="BO8284" s="197"/>
      <c r="BP8284" s="197"/>
      <c r="BQ8284" s="197"/>
    </row>
    <row r="8285" spans="66:69" x14ac:dyDescent="0.2">
      <c r="BN8285" s="192"/>
      <c r="BO8285" s="197"/>
      <c r="BP8285" s="197"/>
      <c r="BQ8285" s="197"/>
    </row>
    <row r="8286" spans="66:69" x14ac:dyDescent="0.2">
      <c r="BN8286" s="192"/>
      <c r="BO8286" s="197"/>
      <c r="BP8286" s="197"/>
      <c r="BQ8286" s="197"/>
    </row>
    <row r="8287" spans="66:69" x14ac:dyDescent="0.2">
      <c r="BN8287" s="192"/>
      <c r="BO8287" s="197"/>
      <c r="BP8287" s="197"/>
      <c r="BQ8287" s="197"/>
    </row>
    <row r="8288" spans="66:69" x14ac:dyDescent="0.2">
      <c r="BN8288" s="192"/>
      <c r="BO8288" s="197"/>
      <c r="BP8288" s="197"/>
      <c r="BQ8288" s="197"/>
    </row>
    <row r="8289" spans="66:69" x14ac:dyDescent="0.2">
      <c r="BN8289" s="192"/>
      <c r="BO8289" s="197"/>
      <c r="BP8289" s="197"/>
      <c r="BQ8289" s="197"/>
    </row>
    <row r="8290" spans="66:69" x14ac:dyDescent="0.2">
      <c r="BN8290" s="192"/>
      <c r="BO8290" s="197"/>
      <c r="BP8290" s="197"/>
      <c r="BQ8290" s="197"/>
    </row>
    <row r="8291" spans="66:69" x14ac:dyDescent="0.2">
      <c r="BN8291" s="192"/>
      <c r="BO8291" s="197"/>
      <c r="BP8291" s="197"/>
      <c r="BQ8291" s="197"/>
    </row>
    <row r="8292" spans="66:69" x14ac:dyDescent="0.2">
      <c r="BN8292" s="192"/>
      <c r="BO8292" s="197"/>
      <c r="BP8292" s="197"/>
      <c r="BQ8292" s="197"/>
    </row>
    <row r="8293" spans="66:69" x14ac:dyDescent="0.2">
      <c r="BN8293" s="192"/>
      <c r="BO8293" s="197"/>
      <c r="BP8293" s="197"/>
      <c r="BQ8293" s="197"/>
    </row>
    <row r="8294" spans="66:69" x14ac:dyDescent="0.2">
      <c r="BN8294" s="192"/>
      <c r="BO8294" s="197"/>
      <c r="BP8294" s="197"/>
      <c r="BQ8294" s="197"/>
    </row>
    <row r="8295" spans="66:69" x14ac:dyDescent="0.2">
      <c r="BN8295" s="192"/>
      <c r="BO8295" s="197"/>
      <c r="BP8295" s="197"/>
      <c r="BQ8295" s="197"/>
    </row>
    <row r="8296" spans="66:69" x14ac:dyDescent="0.2">
      <c r="BN8296" s="192"/>
      <c r="BO8296" s="197"/>
      <c r="BP8296" s="197"/>
      <c r="BQ8296" s="197"/>
    </row>
    <row r="8297" spans="66:69" x14ac:dyDescent="0.2">
      <c r="BN8297" s="192"/>
      <c r="BO8297" s="197"/>
      <c r="BP8297" s="197"/>
      <c r="BQ8297" s="197"/>
    </row>
    <row r="8298" spans="66:69" x14ac:dyDescent="0.2">
      <c r="BN8298" s="192"/>
      <c r="BO8298" s="197"/>
      <c r="BP8298" s="197"/>
      <c r="BQ8298" s="197"/>
    </row>
    <row r="8299" spans="66:69" x14ac:dyDescent="0.2">
      <c r="BN8299" s="192"/>
      <c r="BO8299" s="197"/>
      <c r="BP8299" s="197"/>
      <c r="BQ8299" s="197"/>
    </row>
    <row r="8300" spans="66:69" x14ac:dyDescent="0.2">
      <c r="BN8300" s="192"/>
      <c r="BO8300" s="197"/>
      <c r="BP8300" s="197"/>
      <c r="BQ8300" s="197"/>
    </row>
    <row r="8301" spans="66:69" x14ac:dyDescent="0.2">
      <c r="BN8301" s="192"/>
      <c r="BO8301" s="197"/>
      <c r="BP8301" s="197"/>
      <c r="BQ8301" s="197"/>
    </row>
    <row r="8302" spans="66:69" x14ac:dyDescent="0.2">
      <c r="BN8302" s="192"/>
      <c r="BO8302" s="197"/>
      <c r="BP8302" s="197"/>
      <c r="BQ8302" s="197"/>
    </row>
    <row r="8303" spans="66:69" x14ac:dyDescent="0.2">
      <c r="BN8303" s="192"/>
      <c r="BO8303" s="197"/>
      <c r="BP8303" s="197"/>
      <c r="BQ8303" s="197"/>
    </row>
    <row r="8304" spans="66:69" x14ac:dyDescent="0.2">
      <c r="BN8304" s="192"/>
      <c r="BO8304" s="197"/>
      <c r="BP8304" s="197"/>
      <c r="BQ8304" s="197"/>
    </row>
    <row r="8305" spans="66:69" x14ac:dyDescent="0.2">
      <c r="BN8305" s="192"/>
      <c r="BO8305" s="197"/>
      <c r="BP8305" s="197"/>
      <c r="BQ8305" s="197"/>
    </row>
    <row r="8306" spans="66:69" x14ac:dyDescent="0.2">
      <c r="BN8306" s="192"/>
      <c r="BO8306" s="197"/>
      <c r="BP8306" s="197"/>
      <c r="BQ8306" s="197"/>
    </row>
    <row r="8307" spans="66:69" x14ac:dyDescent="0.2">
      <c r="BN8307" s="192"/>
      <c r="BO8307" s="197"/>
      <c r="BP8307" s="197"/>
      <c r="BQ8307" s="197"/>
    </row>
    <row r="8308" spans="66:69" x14ac:dyDescent="0.2">
      <c r="BN8308" s="192"/>
      <c r="BO8308" s="197"/>
      <c r="BP8308" s="197"/>
      <c r="BQ8308" s="197"/>
    </row>
    <row r="8309" spans="66:69" x14ac:dyDescent="0.2">
      <c r="BN8309" s="192"/>
      <c r="BO8309" s="197"/>
      <c r="BP8309" s="197"/>
      <c r="BQ8309" s="197"/>
    </row>
    <row r="8310" spans="66:69" x14ac:dyDescent="0.2">
      <c r="BN8310" s="192"/>
      <c r="BO8310" s="197"/>
      <c r="BP8310" s="197"/>
      <c r="BQ8310" s="197"/>
    </row>
    <row r="8311" spans="66:69" x14ac:dyDescent="0.2">
      <c r="BN8311" s="192"/>
      <c r="BO8311" s="197"/>
      <c r="BP8311" s="197"/>
      <c r="BQ8311" s="197"/>
    </row>
    <row r="8312" spans="66:69" x14ac:dyDescent="0.2">
      <c r="BN8312" s="192"/>
      <c r="BO8312" s="197"/>
      <c r="BP8312" s="197"/>
      <c r="BQ8312" s="197"/>
    </row>
    <row r="8313" spans="66:69" x14ac:dyDescent="0.2">
      <c r="BN8313" s="192"/>
      <c r="BO8313" s="197"/>
      <c r="BP8313" s="197"/>
      <c r="BQ8313" s="197"/>
    </row>
    <row r="8314" spans="66:69" x14ac:dyDescent="0.2">
      <c r="BN8314" s="192"/>
      <c r="BO8314" s="197"/>
      <c r="BP8314" s="197"/>
      <c r="BQ8314" s="197"/>
    </row>
    <row r="8315" spans="66:69" x14ac:dyDescent="0.2">
      <c r="BN8315" s="192"/>
      <c r="BO8315" s="197"/>
      <c r="BP8315" s="197"/>
      <c r="BQ8315" s="197"/>
    </row>
    <row r="8316" spans="66:69" x14ac:dyDescent="0.2">
      <c r="BN8316" s="192"/>
      <c r="BO8316" s="197"/>
      <c r="BP8316" s="197"/>
      <c r="BQ8316" s="197"/>
    </row>
    <row r="8317" spans="66:69" x14ac:dyDescent="0.2">
      <c r="BN8317" s="192"/>
      <c r="BO8317" s="197"/>
      <c r="BP8317" s="197"/>
      <c r="BQ8317" s="197"/>
    </row>
    <row r="8318" spans="66:69" x14ac:dyDescent="0.2">
      <c r="BN8318" s="192"/>
      <c r="BO8318" s="197"/>
      <c r="BP8318" s="197"/>
      <c r="BQ8318" s="197"/>
    </row>
    <row r="8319" spans="66:69" x14ac:dyDescent="0.2">
      <c r="BN8319" s="192"/>
      <c r="BO8319" s="197"/>
      <c r="BP8319" s="197"/>
      <c r="BQ8319" s="197"/>
    </row>
    <row r="8320" spans="66:69" x14ac:dyDescent="0.2">
      <c r="BN8320" s="192"/>
      <c r="BO8320" s="197"/>
      <c r="BP8320" s="197"/>
      <c r="BQ8320" s="197"/>
    </row>
    <row r="8321" spans="66:69" x14ac:dyDescent="0.2">
      <c r="BN8321" s="192"/>
      <c r="BO8321" s="197"/>
      <c r="BP8321" s="197"/>
      <c r="BQ8321" s="197"/>
    </row>
    <row r="8322" spans="66:69" x14ac:dyDescent="0.2">
      <c r="BN8322" s="192"/>
      <c r="BO8322" s="197"/>
      <c r="BP8322" s="197"/>
      <c r="BQ8322" s="197"/>
    </row>
    <row r="8323" spans="66:69" x14ac:dyDescent="0.2">
      <c r="BN8323" s="192"/>
      <c r="BO8323" s="197"/>
      <c r="BP8323" s="197"/>
      <c r="BQ8323" s="197"/>
    </row>
    <row r="8324" spans="66:69" x14ac:dyDescent="0.2">
      <c r="BN8324" s="192"/>
      <c r="BO8324" s="197"/>
      <c r="BP8324" s="197"/>
      <c r="BQ8324" s="197"/>
    </row>
    <row r="8325" spans="66:69" x14ac:dyDescent="0.2">
      <c r="BN8325" s="192"/>
      <c r="BO8325" s="197"/>
      <c r="BP8325" s="197"/>
      <c r="BQ8325" s="197"/>
    </row>
    <row r="8326" spans="66:69" x14ac:dyDescent="0.2">
      <c r="BN8326" s="192"/>
      <c r="BO8326" s="197"/>
      <c r="BP8326" s="197"/>
      <c r="BQ8326" s="197"/>
    </row>
    <row r="8327" spans="66:69" x14ac:dyDescent="0.2">
      <c r="BN8327" s="192"/>
      <c r="BO8327" s="197"/>
      <c r="BP8327" s="197"/>
      <c r="BQ8327" s="197"/>
    </row>
    <row r="8328" spans="66:69" x14ac:dyDescent="0.2">
      <c r="BN8328" s="192"/>
      <c r="BO8328" s="197"/>
      <c r="BP8328" s="197"/>
      <c r="BQ8328" s="197"/>
    </row>
    <row r="8329" spans="66:69" x14ac:dyDescent="0.2">
      <c r="BN8329" s="192"/>
      <c r="BO8329" s="197"/>
      <c r="BP8329" s="197"/>
      <c r="BQ8329" s="197"/>
    </row>
    <row r="8330" spans="66:69" x14ac:dyDescent="0.2">
      <c r="BN8330" s="192"/>
      <c r="BO8330" s="197"/>
      <c r="BP8330" s="197"/>
      <c r="BQ8330" s="197"/>
    </row>
    <row r="8331" spans="66:69" x14ac:dyDescent="0.2">
      <c r="BN8331" s="192"/>
      <c r="BO8331" s="197"/>
      <c r="BP8331" s="197"/>
      <c r="BQ8331" s="197"/>
    </row>
    <row r="8332" spans="66:69" x14ac:dyDescent="0.2">
      <c r="BN8332" s="192"/>
      <c r="BO8332" s="197"/>
      <c r="BP8332" s="197"/>
      <c r="BQ8332" s="197"/>
    </row>
    <row r="8333" spans="66:69" x14ac:dyDescent="0.2">
      <c r="BN8333" s="192"/>
      <c r="BO8333" s="197"/>
      <c r="BP8333" s="197"/>
      <c r="BQ8333" s="197"/>
    </row>
    <row r="8334" spans="66:69" x14ac:dyDescent="0.2">
      <c r="BN8334" s="192"/>
      <c r="BO8334" s="197"/>
      <c r="BP8334" s="197"/>
      <c r="BQ8334" s="197"/>
    </row>
    <row r="8335" spans="66:69" x14ac:dyDescent="0.2">
      <c r="BN8335" s="192"/>
      <c r="BO8335" s="197"/>
      <c r="BP8335" s="197"/>
      <c r="BQ8335" s="197"/>
    </row>
    <row r="8336" spans="66:69" x14ac:dyDescent="0.2">
      <c r="BN8336" s="192"/>
      <c r="BO8336" s="197"/>
      <c r="BP8336" s="197"/>
      <c r="BQ8336" s="197"/>
    </row>
    <row r="8337" spans="66:69" x14ac:dyDescent="0.2">
      <c r="BN8337" s="192"/>
      <c r="BO8337" s="197"/>
      <c r="BP8337" s="197"/>
      <c r="BQ8337" s="197"/>
    </row>
    <row r="8338" spans="66:69" x14ac:dyDescent="0.2">
      <c r="BN8338" s="192"/>
      <c r="BO8338" s="197"/>
      <c r="BP8338" s="197"/>
      <c r="BQ8338" s="197"/>
    </row>
    <row r="8339" spans="66:69" x14ac:dyDescent="0.2">
      <c r="BN8339" s="192"/>
      <c r="BO8339" s="197"/>
      <c r="BP8339" s="197"/>
      <c r="BQ8339" s="197"/>
    </row>
    <row r="8340" spans="66:69" x14ac:dyDescent="0.2">
      <c r="BN8340" s="192"/>
      <c r="BO8340" s="197"/>
      <c r="BP8340" s="197"/>
      <c r="BQ8340" s="197"/>
    </row>
    <row r="8341" spans="66:69" x14ac:dyDescent="0.2">
      <c r="BN8341" s="192"/>
      <c r="BO8341" s="197"/>
      <c r="BP8341" s="197"/>
      <c r="BQ8341" s="197"/>
    </row>
    <row r="8342" spans="66:69" x14ac:dyDescent="0.2">
      <c r="BN8342" s="192"/>
      <c r="BO8342" s="197"/>
      <c r="BP8342" s="197"/>
      <c r="BQ8342" s="197"/>
    </row>
    <row r="8343" spans="66:69" x14ac:dyDescent="0.2">
      <c r="BN8343" s="192"/>
      <c r="BO8343" s="197"/>
      <c r="BP8343" s="197"/>
      <c r="BQ8343" s="197"/>
    </row>
    <row r="8344" spans="66:69" x14ac:dyDescent="0.2">
      <c r="BN8344" s="192"/>
      <c r="BO8344" s="197"/>
      <c r="BP8344" s="197"/>
      <c r="BQ8344" s="197"/>
    </row>
    <row r="8345" spans="66:69" x14ac:dyDescent="0.2">
      <c r="BN8345" s="192"/>
      <c r="BO8345" s="197"/>
      <c r="BP8345" s="197"/>
      <c r="BQ8345" s="197"/>
    </row>
    <row r="8346" spans="66:69" x14ac:dyDescent="0.2">
      <c r="BN8346" s="192"/>
      <c r="BO8346" s="197"/>
      <c r="BP8346" s="197"/>
      <c r="BQ8346" s="197"/>
    </row>
    <row r="8347" spans="66:69" x14ac:dyDescent="0.2">
      <c r="BN8347" s="192"/>
      <c r="BO8347" s="197"/>
      <c r="BP8347" s="197"/>
      <c r="BQ8347" s="197"/>
    </row>
    <row r="8348" spans="66:69" x14ac:dyDescent="0.2">
      <c r="BN8348" s="192"/>
      <c r="BO8348" s="197"/>
      <c r="BP8348" s="197"/>
      <c r="BQ8348" s="197"/>
    </row>
    <row r="8349" spans="66:69" x14ac:dyDescent="0.2">
      <c r="BN8349" s="192"/>
      <c r="BO8349" s="197"/>
      <c r="BP8349" s="197"/>
      <c r="BQ8349" s="197"/>
    </row>
    <row r="8350" spans="66:69" x14ac:dyDescent="0.2">
      <c r="BN8350" s="192"/>
      <c r="BO8350" s="197"/>
      <c r="BP8350" s="197"/>
      <c r="BQ8350" s="197"/>
    </row>
    <row r="8351" spans="66:69" x14ac:dyDescent="0.2">
      <c r="BN8351" s="192"/>
      <c r="BO8351" s="197"/>
      <c r="BP8351" s="197"/>
      <c r="BQ8351" s="197"/>
    </row>
    <row r="8352" spans="66:69" x14ac:dyDescent="0.2">
      <c r="BN8352" s="192"/>
      <c r="BO8352" s="197"/>
      <c r="BP8352" s="197"/>
      <c r="BQ8352" s="197"/>
    </row>
    <row r="8353" spans="66:69" x14ac:dyDescent="0.2">
      <c r="BN8353" s="192"/>
      <c r="BO8353" s="197"/>
      <c r="BP8353" s="197"/>
      <c r="BQ8353" s="197"/>
    </row>
    <row r="8354" spans="66:69" x14ac:dyDescent="0.2">
      <c r="BN8354" s="192"/>
      <c r="BO8354" s="197"/>
      <c r="BP8354" s="197"/>
      <c r="BQ8354" s="197"/>
    </row>
    <row r="8355" spans="66:69" x14ac:dyDescent="0.2">
      <c r="BN8355" s="192"/>
      <c r="BO8355" s="197"/>
      <c r="BP8355" s="197"/>
      <c r="BQ8355" s="197"/>
    </row>
    <row r="8356" spans="66:69" x14ac:dyDescent="0.2">
      <c r="BN8356" s="192"/>
      <c r="BO8356" s="197"/>
      <c r="BP8356" s="197"/>
      <c r="BQ8356" s="197"/>
    </row>
    <row r="8357" spans="66:69" x14ac:dyDescent="0.2">
      <c r="BN8357" s="192"/>
      <c r="BO8357" s="197"/>
      <c r="BP8357" s="197"/>
      <c r="BQ8357" s="197"/>
    </row>
    <row r="8358" spans="66:69" x14ac:dyDescent="0.2">
      <c r="BN8358" s="192"/>
      <c r="BO8358" s="197"/>
      <c r="BP8358" s="197"/>
      <c r="BQ8358" s="197"/>
    </row>
    <row r="8359" spans="66:69" x14ac:dyDescent="0.2">
      <c r="BN8359" s="192"/>
      <c r="BO8359" s="197"/>
      <c r="BP8359" s="197"/>
      <c r="BQ8359" s="197"/>
    </row>
    <row r="8360" spans="66:69" x14ac:dyDescent="0.2">
      <c r="BN8360" s="192"/>
      <c r="BO8360" s="197"/>
      <c r="BP8360" s="197"/>
      <c r="BQ8360" s="197"/>
    </row>
    <row r="8361" spans="66:69" x14ac:dyDescent="0.2">
      <c r="BN8361" s="192"/>
      <c r="BO8361" s="197"/>
      <c r="BP8361" s="197"/>
      <c r="BQ8361" s="197"/>
    </row>
    <row r="8362" spans="66:69" x14ac:dyDescent="0.2">
      <c r="BN8362" s="192"/>
      <c r="BO8362" s="197"/>
      <c r="BP8362" s="197"/>
      <c r="BQ8362" s="197"/>
    </row>
    <row r="8363" spans="66:69" x14ac:dyDescent="0.2">
      <c r="BN8363" s="192"/>
      <c r="BO8363" s="197"/>
      <c r="BP8363" s="197"/>
      <c r="BQ8363" s="197"/>
    </row>
    <row r="8364" spans="66:69" x14ac:dyDescent="0.2">
      <c r="BN8364" s="192"/>
      <c r="BO8364" s="197"/>
      <c r="BP8364" s="197"/>
      <c r="BQ8364" s="197"/>
    </row>
    <row r="8365" spans="66:69" x14ac:dyDescent="0.2">
      <c r="BN8365" s="192"/>
      <c r="BO8365" s="197"/>
      <c r="BP8365" s="197"/>
      <c r="BQ8365" s="197"/>
    </row>
    <row r="8366" spans="66:69" x14ac:dyDescent="0.2">
      <c r="BN8366" s="192"/>
      <c r="BO8366" s="197"/>
      <c r="BP8366" s="197"/>
      <c r="BQ8366" s="197"/>
    </row>
    <row r="8367" spans="66:69" x14ac:dyDescent="0.2">
      <c r="BN8367" s="192"/>
      <c r="BO8367" s="197"/>
      <c r="BP8367" s="197"/>
      <c r="BQ8367" s="197"/>
    </row>
    <row r="8368" spans="66:69" x14ac:dyDescent="0.2">
      <c r="BN8368" s="192"/>
      <c r="BO8368" s="197"/>
      <c r="BP8368" s="197"/>
      <c r="BQ8368" s="197"/>
    </row>
    <row r="8369" spans="66:69" x14ac:dyDescent="0.2">
      <c r="BN8369" s="192"/>
      <c r="BO8369" s="197"/>
      <c r="BP8369" s="197"/>
      <c r="BQ8369" s="197"/>
    </row>
    <row r="8370" spans="66:69" x14ac:dyDescent="0.2">
      <c r="BN8370" s="192"/>
      <c r="BO8370" s="197"/>
      <c r="BP8370" s="197"/>
      <c r="BQ8370" s="197"/>
    </row>
    <row r="8371" spans="66:69" x14ac:dyDescent="0.2">
      <c r="BN8371" s="192"/>
      <c r="BO8371" s="197"/>
      <c r="BP8371" s="197"/>
      <c r="BQ8371" s="197"/>
    </row>
    <row r="8372" spans="66:69" x14ac:dyDescent="0.2">
      <c r="BN8372" s="192"/>
      <c r="BO8372" s="197"/>
      <c r="BP8372" s="197"/>
      <c r="BQ8372" s="197"/>
    </row>
    <row r="8373" spans="66:69" x14ac:dyDescent="0.2">
      <c r="BN8373" s="192"/>
      <c r="BO8373" s="197"/>
      <c r="BP8373" s="197"/>
      <c r="BQ8373" s="197"/>
    </row>
    <row r="8374" spans="66:69" x14ac:dyDescent="0.2">
      <c r="BN8374" s="192"/>
      <c r="BO8374" s="197"/>
      <c r="BP8374" s="197"/>
      <c r="BQ8374" s="197"/>
    </row>
    <row r="8375" spans="66:69" x14ac:dyDescent="0.2">
      <c r="BN8375" s="192"/>
      <c r="BO8375" s="197"/>
      <c r="BP8375" s="197"/>
      <c r="BQ8375" s="197"/>
    </row>
    <row r="8376" spans="66:69" x14ac:dyDescent="0.2">
      <c r="BN8376" s="192"/>
      <c r="BO8376" s="197"/>
      <c r="BP8376" s="197"/>
      <c r="BQ8376" s="197"/>
    </row>
    <row r="8377" spans="66:69" x14ac:dyDescent="0.2">
      <c r="BN8377" s="192"/>
      <c r="BO8377" s="197"/>
      <c r="BP8377" s="197"/>
      <c r="BQ8377" s="197"/>
    </row>
    <row r="8378" spans="66:69" x14ac:dyDescent="0.2">
      <c r="BN8378" s="192"/>
      <c r="BO8378" s="197"/>
      <c r="BP8378" s="197"/>
      <c r="BQ8378" s="197"/>
    </row>
    <row r="8379" spans="66:69" x14ac:dyDescent="0.2">
      <c r="BN8379" s="192"/>
      <c r="BO8379" s="197"/>
      <c r="BP8379" s="197"/>
      <c r="BQ8379" s="197"/>
    </row>
    <row r="8380" spans="66:69" x14ac:dyDescent="0.2">
      <c r="BN8380" s="192"/>
      <c r="BO8380" s="197"/>
      <c r="BP8380" s="197"/>
      <c r="BQ8380" s="197"/>
    </row>
    <row r="8381" spans="66:69" x14ac:dyDescent="0.2">
      <c r="BN8381" s="192"/>
      <c r="BO8381" s="197"/>
      <c r="BP8381" s="197"/>
      <c r="BQ8381" s="197"/>
    </row>
    <row r="8382" spans="66:69" x14ac:dyDescent="0.2">
      <c r="BN8382" s="192"/>
      <c r="BO8382" s="197"/>
      <c r="BP8382" s="197"/>
      <c r="BQ8382" s="197"/>
    </row>
    <row r="8383" spans="66:69" x14ac:dyDescent="0.2">
      <c r="BN8383" s="192"/>
      <c r="BO8383" s="197"/>
      <c r="BP8383" s="197"/>
      <c r="BQ8383" s="197"/>
    </row>
    <row r="8384" spans="66:69" x14ac:dyDescent="0.2">
      <c r="BN8384" s="192"/>
      <c r="BO8384" s="197"/>
      <c r="BP8384" s="197"/>
      <c r="BQ8384" s="197"/>
    </row>
    <row r="8385" spans="66:69" x14ac:dyDescent="0.2">
      <c r="BN8385" s="192"/>
      <c r="BO8385" s="197"/>
      <c r="BP8385" s="197"/>
      <c r="BQ8385" s="197"/>
    </row>
    <row r="8386" spans="66:69" x14ac:dyDescent="0.2">
      <c r="BN8386" s="192"/>
      <c r="BO8386" s="197"/>
      <c r="BP8386" s="197"/>
      <c r="BQ8386" s="197"/>
    </row>
    <row r="8387" spans="66:69" x14ac:dyDescent="0.2">
      <c r="BN8387" s="192"/>
      <c r="BO8387" s="197"/>
      <c r="BP8387" s="197"/>
      <c r="BQ8387" s="197"/>
    </row>
    <row r="8388" spans="66:69" x14ac:dyDescent="0.2">
      <c r="BN8388" s="192"/>
      <c r="BO8388" s="197"/>
      <c r="BP8388" s="197"/>
      <c r="BQ8388" s="197"/>
    </row>
    <row r="8389" spans="66:69" x14ac:dyDescent="0.2">
      <c r="BN8389" s="192"/>
      <c r="BO8389" s="197"/>
      <c r="BP8389" s="197"/>
      <c r="BQ8389" s="197"/>
    </row>
    <row r="8390" spans="66:69" x14ac:dyDescent="0.2">
      <c r="BN8390" s="192"/>
      <c r="BO8390" s="197"/>
      <c r="BP8390" s="197"/>
      <c r="BQ8390" s="197"/>
    </row>
    <row r="8391" spans="66:69" x14ac:dyDescent="0.2">
      <c r="BN8391" s="192"/>
      <c r="BO8391" s="197"/>
      <c r="BP8391" s="197"/>
      <c r="BQ8391" s="197"/>
    </row>
    <row r="8392" spans="66:69" x14ac:dyDescent="0.2">
      <c r="BN8392" s="192"/>
      <c r="BO8392" s="197"/>
      <c r="BP8392" s="197"/>
      <c r="BQ8392" s="197"/>
    </row>
    <row r="8393" spans="66:69" x14ac:dyDescent="0.2">
      <c r="BN8393" s="192"/>
      <c r="BO8393" s="197"/>
      <c r="BP8393" s="197"/>
      <c r="BQ8393" s="197"/>
    </row>
    <row r="8394" spans="66:69" x14ac:dyDescent="0.2">
      <c r="BN8394" s="192"/>
      <c r="BO8394" s="197"/>
      <c r="BP8394" s="197"/>
      <c r="BQ8394" s="197"/>
    </row>
    <row r="8395" spans="66:69" x14ac:dyDescent="0.2">
      <c r="BN8395" s="192"/>
      <c r="BO8395" s="197"/>
      <c r="BP8395" s="197"/>
      <c r="BQ8395" s="197"/>
    </row>
    <row r="8396" spans="66:69" x14ac:dyDescent="0.2">
      <c r="BN8396" s="192"/>
      <c r="BO8396" s="197"/>
      <c r="BP8396" s="197"/>
      <c r="BQ8396" s="197"/>
    </row>
    <row r="8397" spans="66:69" x14ac:dyDescent="0.2">
      <c r="BN8397" s="192"/>
      <c r="BO8397" s="197"/>
      <c r="BP8397" s="197"/>
      <c r="BQ8397" s="197"/>
    </row>
    <row r="8398" spans="66:69" x14ac:dyDescent="0.2">
      <c r="BN8398" s="192"/>
      <c r="BO8398" s="197"/>
      <c r="BP8398" s="197"/>
      <c r="BQ8398" s="197"/>
    </row>
    <row r="8399" spans="66:69" x14ac:dyDescent="0.2">
      <c r="BN8399" s="192"/>
      <c r="BO8399" s="197"/>
      <c r="BP8399" s="197"/>
      <c r="BQ8399" s="197"/>
    </row>
    <row r="8400" spans="66:69" x14ac:dyDescent="0.2">
      <c r="BN8400" s="192"/>
      <c r="BO8400" s="197"/>
      <c r="BP8400" s="197"/>
      <c r="BQ8400" s="197"/>
    </row>
    <row r="8401" spans="66:69" x14ac:dyDescent="0.2">
      <c r="BN8401" s="192"/>
      <c r="BO8401" s="197"/>
      <c r="BP8401" s="197"/>
      <c r="BQ8401" s="197"/>
    </row>
    <row r="8402" spans="66:69" x14ac:dyDescent="0.2">
      <c r="BN8402" s="192"/>
      <c r="BO8402" s="197"/>
      <c r="BP8402" s="197"/>
      <c r="BQ8402" s="197"/>
    </row>
    <row r="8403" spans="66:69" x14ac:dyDescent="0.2">
      <c r="BN8403" s="192"/>
      <c r="BO8403" s="197"/>
      <c r="BP8403" s="197"/>
      <c r="BQ8403" s="197"/>
    </row>
    <row r="8404" spans="66:69" x14ac:dyDescent="0.2">
      <c r="BN8404" s="192"/>
      <c r="BO8404" s="197"/>
      <c r="BP8404" s="197"/>
      <c r="BQ8404" s="197"/>
    </row>
    <row r="8405" spans="66:69" x14ac:dyDescent="0.2">
      <c r="BN8405" s="192"/>
      <c r="BO8405" s="197"/>
      <c r="BP8405" s="197"/>
      <c r="BQ8405" s="197"/>
    </row>
    <row r="8406" spans="66:69" x14ac:dyDescent="0.2">
      <c r="BN8406" s="192"/>
      <c r="BO8406" s="197"/>
      <c r="BP8406" s="197"/>
      <c r="BQ8406" s="197"/>
    </row>
    <row r="8407" spans="66:69" x14ac:dyDescent="0.2">
      <c r="BN8407" s="192"/>
      <c r="BO8407" s="197"/>
      <c r="BP8407" s="197"/>
      <c r="BQ8407" s="197"/>
    </row>
    <row r="8408" spans="66:69" x14ac:dyDescent="0.2">
      <c r="BN8408" s="192"/>
      <c r="BO8408" s="197"/>
      <c r="BP8408" s="197"/>
      <c r="BQ8408" s="197"/>
    </row>
    <row r="8409" spans="66:69" x14ac:dyDescent="0.2">
      <c r="BN8409" s="192"/>
      <c r="BO8409" s="197"/>
      <c r="BP8409" s="197"/>
      <c r="BQ8409" s="197"/>
    </row>
    <row r="8410" spans="66:69" x14ac:dyDescent="0.2">
      <c r="BN8410" s="192"/>
      <c r="BO8410" s="197"/>
      <c r="BP8410" s="197"/>
      <c r="BQ8410" s="197"/>
    </row>
    <row r="8411" spans="66:69" x14ac:dyDescent="0.2">
      <c r="BN8411" s="192"/>
      <c r="BO8411" s="197"/>
      <c r="BP8411" s="197"/>
      <c r="BQ8411" s="197"/>
    </row>
    <row r="8412" spans="66:69" x14ac:dyDescent="0.2">
      <c r="BN8412" s="192"/>
      <c r="BO8412" s="197"/>
      <c r="BP8412" s="197"/>
      <c r="BQ8412" s="197"/>
    </row>
    <row r="8413" spans="66:69" x14ac:dyDescent="0.2">
      <c r="BN8413" s="192"/>
      <c r="BO8413" s="197"/>
      <c r="BP8413" s="197"/>
      <c r="BQ8413" s="197"/>
    </row>
    <row r="8414" spans="66:69" x14ac:dyDescent="0.2">
      <c r="BN8414" s="192"/>
      <c r="BO8414" s="197"/>
      <c r="BP8414" s="197"/>
      <c r="BQ8414" s="197"/>
    </row>
    <row r="8415" spans="66:69" x14ac:dyDescent="0.2">
      <c r="BN8415" s="192"/>
      <c r="BO8415" s="197"/>
      <c r="BP8415" s="197"/>
      <c r="BQ8415" s="197"/>
    </row>
    <row r="8416" spans="66:69" x14ac:dyDescent="0.2">
      <c r="BN8416" s="192"/>
      <c r="BO8416" s="197"/>
      <c r="BP8416" s="197"/>
      <c r="BQ8416" s="197"/>
    </row>
    <row r="8417" spans="66:69" x14ac:dyDescent="0.2">
      <c r="BN8417" s="192"/>
      <c r="BO8417" s="197"/>
      <c r="BP8417" s="197"/>
      <c r="BQ8417" s="197"/>
    </row>
    <row r="8418" spans="66:69" x14ac:dyDescent="0.2">
      <c r="BN8418" s="192"/>
      <c r="BO8418" s="197"/>
      <c r="BP8418" s="197"/>
      <c r="BQ8418" s="197"/>
    </row>
    <row r="8419" spans="66:69" x14ac:dyDescent="0.2">
      <c r="BN8419" s="192"/>
      <c r="BO8419" s="197"/>
      <c r="BP8419" s="197"/>
      <c r="BQ8419" s="197"/>
    </row>
    <row r="8420" spans="66:69" x14ac:dyDescent="0.2">
      <c r="BN8420" s="192"/>
      <c r="BO8420" s="197"/>
      <c r="BP8420" s="197"/>
      <c r="BQ8420" s="197"/>
    </row>
    <row r="8421" spans="66:69" x14ac:dyDescent="0.2">
      <c r="BN8421" s="192"/>
      <c r="BO8421" s="197"/>
      <c r="BP8421" s="197"/>
      <c r="BQ8421" s="197"/>
    </row>
    <row r="8422" spans="66:69" x14ac:dyDescent="0.2">
      <c r="BN8422" s="192"/>
      <c r="BO8422" s="197"/>
      <c r="BP8422" s="197"/>
      <c r="BQ8422" s="197"/>
    </row>
    <row r="8423" spans="66:69" x14ac:dyDescent="0.2">
      <c r="BN8423" s="192"/>
      <c r="BO8423" s="197"/>
      <c r="BP8423" s="197"/>
      <c r="BQ8423" s="197"/>
    </row>
    <row r="8424" spans="66:69" x14ac:dyDescent="0.2">
      <c r="BN8424" s="192"/>
      <c r="BO8424" s="197"/>
      <c r="BP8424" s="197"/>
      <c r="BQ8424" s="197"/>
    </row>
    <row r="8425" spans="66:69" x14ac:dyDescent="0.2">
      <c r="BN8425" s="192"/>
      <c r="BO8425" s="197"/>
      <c r="BP8425" s="197"/>
      <c r="BQ8425" s="197"/>
    </row>
    <row r="8426" spans="66:69" x14ac:dyDescent="0.2">
      <c r="BN8426" s="192"/>
      <c r="BO8426" s="197"/>
      <c r="BP8426" s="197"/>
      <c r="BQ8426" s="197"/>
    </row>
    <row r="8427" spans="66:69" x14ac:dyDescent="0.2">
      <c r="BN8427" s="192"/>
      <c r="BO8427" s="197"/>
      <c r="BP8427" s="197"/>
      <c r="BQ8427" s="197"/>
    </row>
    <row r="8428" spans="66:69" x14ac:dyDescent="0.2">
      <c r="BN8428" s="192"/>
      <c r="BO8428" s="197"/>
      <c r="BP8428" s="197"/>
      <c r="BQ8428" s="197"/>
    </row>
    <row r="8429" spans="66:69" x14ac:dyDescent="0.2">
      <c r="BN8429" s="192"/>
      <c r="BO8429" s="197"/>
      <c r="BP8429" s="197"/>
      <c r="BQ8429" s="197"/>
    </row>
    <row r="8430" spans="66:69" x14ac:dyDescent="0.2">
      <c r="BN8430" s="192"/>
      <c r="BO8430" s="197"/>
      <c r="BP8430" s="197"/>
      <c r="BQ8430" s="197"/>
    </row>
    <row r="8431" spans="66:69" x14ac:dyDescent="0.2">
      <c r="BN8431" s="192"/>
      <c r="BO8431" s="197"/>
      <c r="BP8431" s="197"/>
      <c r="BQ8431" s="197"/>
    </row>
    <row r="8432" spans="66:69" x14ac:dyDescent="0.2">
      <c r="BN8432" s="192"/>
      <c r="BO8432" s="197"/>
      <c r="BP8432" s="197"/>
      <c r="BQ8432" s="197"/>
    </row>
    <row r="8433" spans="66:69" x14ac:dyDescent="0.2">
      <c r="BN8433" s="192"/>
      <c r="BO8433" s="197"/>
      <c r="BP8433" s="197"/>
      <c r="BQ8433" s="197"/>
    </row>
    <row r="8434" spans="66:69" x14ac:dyDescent="0.2">
      <c r="BN8434" s="192"/>
      <c r="BO8434" s="197"/>
      <c r="BP8434" s="197"/>
      <c r="BQ8434" s="197"/>
    </row>
    <row r="8435" spans="66:69" x14ac:dyDescent="0.2">
      <c r="BN8435" s="192"/>
      <c r="BO8435" s="197"/>
      <c r="BP8435" s="197"/>
      <c r="BQ8435" s="197"/>
    </row>
    <row r="8436" spans="66:69" x14ac:dyDescent="0.2">
      <c r="BN8436" s="192"/>
      <c r="BO8436" s="197"/>
      <c r="BP8436" s="197"/>
      <c r="BQ8436" s="197"/>
    </row>
    <row r="8437" spans="66:69" x14ac:dyDescent="0.2">
      <c r="BN8437" s="192"/>
      <c r="BO8437" s="197"/>
      <c r="BP8437" s="197"/>
      <c r="BQ8437" s="197"/>
    </row>
    <row r="8438" spans="66:69" x14ac:dyDescent="0.2">
      <c r="BN8438" s="192"/>
      <c r="BO8438" s="197"/>
      <c r="BP8438" s="197"/>
      <c r="BQ8438" s="197"/>
    </row>
    <row r="8439" spans="66:69" x14ac:dyDescent="0.2">
      <c r="BN8439" s="192"/>
      <c r="BO8439" s="197"/>
      <c r="BP8439" s="197"/>
      <c r="BQ8439" s="197"/>
    </row>
    <row r="8440" spans="66:69" x14ac:dyDescent="0.2">
      <c r="BN8440" s="192"/>
      <c r="BO8440" s="197"/>
      <c r="BP8440" s="197"/>
      <c r="BQ8440" s="197"/>
    </row>
    <row r="8441" spans="66:69" x14ac:dyDescent="0.2">
      <c r="BN8441" s="192"/>
      <c r="BO8441" s="197"/>
      <c r="BP8441" s="197"/>
      <c r="BQ8441" s="197"/>
    </row>
    <row r="8442" spans="66:69" x14ac:dyDescent="0.2">
      <c r="BN8442" s="192"/>
      <c r="BO8442" s="197"/>
      <c r="BP8442" s="197"/>
      <c r="BQ8442" s="197"/>
    </row>
    <row r="8443" spans="66:69" x14ac:dyDescent="0.2">
      <c r="BN8443" s="192"/>
      <c r="BO8443" s="197"/>
      <c r="BP8443" s="197"/>
      <c r="BQ8443" s="197"/>
    </row>
    <row r="8444" spans="66:69" x14ac:dyDescent="0.2">
      <c r="BN8444" s="192"/>
      <c r="BO8444" s="197"/>
      <c r="BP8444" s="197"/>
      <c r="BQ8444" s="197"/>
    </row>
    <row r="8445" spans="66:69" x14ac:dyDescent="0.2">
      <c r="BN8445" s="192"/>
      <c r="BO8445" s="197"/>
      <c r="BP8445" s="197"/>
      <c r="BQ8445" s="197"/>
    </row>
    <row r="8446" spans="66:69" x14ac:dyDescent="0.2">
      <c r="BN8446" s="192"/>
      <c r="BO8446" s="197"/>
      <c r="BP8446" s="197"/>
      <c r="BQ8446" s="197"/>
    </row>
    <row r="8447" spans="66:69" x14ac:dyDescent="0.2">
      <c r="BN8447" s="192"/>
      <c r="BO8447" s="197"/>
      <c r="BP8447" s="197"/>
      <c r="BQ8447" s="197"/>
    </row>
    <row r="8448" spans="66:69" x14ac:dyDescent="0.2">
      <c r="BN8448" s="192"/>
      <c r="BO8448" s="197"/>
      <c r="BP8448" s="197"/>
      <c r="BQ8448" s="197"/>
    </row>
    <row r="8449" spans="66:69" x14ac:dyDescent="0.2">
      <c r="BN8449" s="192"/>
      <c r="BO8449" s="197"/>
      <c r="BP8449" s="197"/>
      <c r="BQ8449" s="197"/>
    </row>
    <row r="8450" spans="66:69" x14ac:dyDescent="0.2">
      <c r="BN8450" s="192"/>
      <c r="BO8450" s="197"/>
      <c r="BP8450" s="197"/>
      <c r="BQ8450" s="197"/>
    </row>
    <row r="8451" spans="66:69" x14ac:dyDescent="0.2">
      <c r="BN8451" s="192"/>
      <c r="BO8451" s="197"/>
      <c r="BP8451" s="197"/>
      <c r="BQ8451" s="197"/>
    </row>
    <row r="8452" spans="66:69" x14ac:dyDescent="0.2">
      <c r="BN8452" s="192"/>
      <c r="BO8452" s="197"/>
      <c r="BP8452" s="197"/>
      <c r="BQ8452" s="197"/>
    </row>
    <row r="8453" spans="66:69" x14ac:dyDescent="0.2">
      <c r="BN8453" s="192"/>
      <c r="BO8453" s="197"/>
      <c r="BP8453" s="197"/>
      <c r="BQ8453" s="197"/>
    </row>
    <row r="8454" spans="66:69" x14ac:dyDescent="0.2">
      <c r="BN8454" s="192"/>
      <c r="BO8454" s="197"/>
      <c r="BP8454" s="197"/>
      <c r="BQ8454" s="197"/>
    </row>
    <row r="8455" spans="66:69" x14ac:dyDescent="0.2">
      <c r="BN8455" s="192"/>
      <c r="BO8455" s="197"/>
      <c r="BP8455" s="197"/>
      <c r="BQ8455" s="197"/>
    </row>
    <row r="8456" spans="66:69" x14ac:dyDescent="0.2">
      <c r="BN8456" s="192"/>
      <c r="BO8456" s="197"/>
      <c r="BP8456" s="197"/>
      <c r="BQ8456" s="197"/>
    </row>
    <row r="8457" spans="66:69" x14ac:dyDescent="0.2">
      <c r="BN8457" s="192"/>
      <c r="BO8457" s="197"/>
      <c r="BP8457" s="197"/>
      <c r="BQ8457" s="197"/>
    </row>
    <row r="8458" spans="66:69" x14ac:dyDescent="0.2">
      <c r="BN8458" s="192"/>
      <c r="BO8458" s="197"/>
      <c r="BP8458" s="197"/>
      <c r="BQ8458" s="197"/>
    </row>
    <row r="8459" spans="66:69" x14ac:dyDescent="0.2">
      <c r="BN8459" s="192"/>
      <c r="BO8459" s="197"/>
      <c r="BP8459" s="197"/>
      <c r="BQ8459" s="197"/>
    </row>
    <row r="8460" spans="66:69" x14ac:dyDescent="0.2">
      <c r="BN8460" s="192"/>
      <c r="BO8460" s="197"/>
      <c r="BP8460" s="197"/>
      <c r="BQ8460" s="197"/>
    </row>
    <row r="8461" spans="66:69" x14ac:dyDescent="0.2">
      <c r="BN8461" s="192"/>
      <c r="BO8461" s="197"/>
      <c r="BP8461" s="197"/>
      <c r="BQ8461" s="197"/>
    </row>
    <row r="8462" spans="66:69" x14ac:dyDescent="0.2">
      <c r="BN8462" s="192"/>
      <c r="BO8462" s="197"/>
      <c r="BP8462" s="197"/>
      <c r="BQ8462" s="197"/>
    </row>
    <row r="8463" spans="66:69" x14ac:dyDescent="0.2">
      <c r="BN8463" s="192"/>
      <c r="BO8463" s="197"/>
      <c r="BP8463" s="197"/>
      <c r="BQ8463" s="197"/>
    </row>
    <row r="8464" spans="66:69" x14ac:dyDescent="0.2">
      <c r="BN8464" s="192"/>
      <c r="BO8464" s="197"/>
      <c r="BP8464" s="197"/>
      <c r="BQ8464" s="197"/>
    </row>
    <row r="8465" spans="66:69" x14ac:dyDescent="0.2">
      <c r="BN8465" s="192"/>
      <c r="BO8465" s="197"/>
      <c r="BP8465" s="197"/>
      <c r="BQ8465" s="197"/>
    </row>
    <row r="8466" spans="66:69" x14ac:dyDescent="0.2">
      <c r="BN8466" s="192"/>
      <c r="BO8466" s="197"/>
      <c r="BP8466" s="197"/>
      <c r="BQ8466" s="197"/>
    </row>
    <row r="8467" spans="66:69" x14ac:dyDescent="0.2">
      <c r="BN8467" s="192"/>
      <c r="BO8467" s="197"/>
      <c r="BP8467" s="197"/>
      <c r="BQ8467" s="197"/>
    </row>
    <row r="8468" spans="66:69" x14ac:dyDescent="0.2">
      <c r="BN8468" s="192"/>
      <c r="BO8468" s="197"/>
      <c r="BP8468" s="197"/>
      <c r="BQ8468" s="197"/>
    </row>
    <row r="8469" spans="66:69" x14ac:dyDescent="0.2">
      <c r="BN8469" s="192"/>
      <c r="BO8469" s="197"/>
      <c r="BP8469" s="197"/>
      <c r="BQ8469" s="197"/>
    </row>
    <row r="8470" spans="66:69" x14ac:dyDescent="0.2">
      <c r="BN8470" s="192"/>
      <c r="BO8470" s="197"/>
      <c r="BP8470" s="197"/>
      <c r="BQ8470" s="197"/>
    </row>
    <row r="8471" spans="66:69" x14ac:dyDescent="0.2">
      <c r="BN8471" s="192"/>
      <c r="BO8471" s="197"/>
      <c r="BP8471" s="197"/>
      <c r="BQ8471" s="197"/>
    </row>
    <row r="8472" spans="66:69" x14ac:dyDescent="0.2">
      <c r="BN8472" s="192"/>
      <c r="BO8472" s="197"/>
      <c r="BP8472" s="197"/>
      <c r="BQ8472" s="197"/>
    </row>
    <row r="8473" spans="66:69" x14ac:dyDescent="0.2">
      <c r="BN8473" s="192"/>
      <c r="BO8473" s="197"/>
      <c r="BP8473" s="197"/>
      <c r="BQ8473" s="197"/>
    </row>
    <row r="8474" spans="66:69" x14ac:dyDescent="0.2">
      <c r="BN8474" s="192"/>
      <c r="BO8474" s="197"/>
      <c r="BP8474" s="197"/>
      <c r="BQ8474" s="197"/>
    </row>
    <row r="8475" spans="66:69" x14ac:dyDescent="0.2">
      <c r="BN8475" s="192"/>
      <c r="BO8475" s="197"/>
      <c r="BP8475" s="197"/>
      <c r="BQ8475" s="197"/>
    </row>
    <row r="8476" spans="66:69" x14ac:dyDescent="0.2">
      <c r="BN8476" s="192"/>
      <c r="BO8476" s="197"/>
      <c r="BP8476" s="197"/>
      <c r="BQ8476" s="197"/>
    </row>
    <row r="8477" spans="66:69" x14ac:dyDescent="0.2">
      <c r="BN8477" s="192"/>
      <c r="BO8477" s="197"/>
      <c r="BP8477" s="197"/>
      <c r="BQ8477" s="197"/>
    </row>
    <row r="8478" spans="66:69" x14ac:dyDescent="0.2">
      <c r="BN8478" s="192"/>
      <c r="BO8478" s="197"/>
      <c r="BP8478" s="197"/>
      <c r="BQ8478" s="197"/>
    </row>
    <row r="8479" spans="66:69" x14ac:dyDescent="0.2">
      <c r="BN8479" s="192"/>
      <c r="BO8479" s="197"/>
      <c r="BP8479" s="197"/>
      <c r="BQ8479" s="197"/>
    </row>
    <row r="8480" spans="66:69" x14ac:dyDescent="0.2">
      <c r="BN8480" s="192"/>
      <c r="BO8480" s="197"/>
      <c r="BP8480" s="197"/>
      <c r="BQ8480" s="197"/>
    </row>
    <row r="8481" spans="66:69" x14ac:dyDescent="0.2">
      <c r="BN8481" s="192"/>
      <c r="BO8481" s="197"/>
      <c r="BP8481" s="197"/>
      <c r="BQ8481" s="197"/>
    </row>
    <row r="8482" spans="66:69" x14ac:dyDescent="0.2">
      <c r="BN8482" s="192"/>
      <c r="BO8482" s="197"/>
      <c r="BP8482" s="197"/>
      <c r="BQ8482" s="197"/>
    </row>
    <row r="8483" spans="66:69" x14ac:dyDescent="0.2">
      <c r="BN8483" s="192"/>
      <c r="BO8483" s="197"/>
      <c r="BP8483" s="197"/>
      <c r="BQ8483" s="197"/>
    </row>
    <row r="8484" spans="66:69" x14ac:dyDescent="0.2">
      <c r="BN8484" s="192"/>
      <c r="BO8484" s="197"/>
      <c r="BP8484" s="197"/>
      <c r="BQ8484" s="197"/>
    </row>
    <row r="8485" spans="66:69" x14ac:dyDescent="0.2">
      <c r="BN8485" s="192"/>
      <c r="BO8485" s="197"/>
      <c r="BP8485" s="197"/>
      <c r="BQ8485" s="197"/>
    </row>
    <row r="8486" spans="66:69" x14ac:dyDescent="0.2">
      <c r="BN8486" s="192"/>
      <c r="BO8486" s="197"/>
      <c r="BP8486" s="197"/>
      <c r="BQ8486" s="197"/>
    </row>
    <row r="8487" spans="66:69" x14ac:dyDescent="0.2">
      <c r="BN8487" s="192"/>
      <c r="BO8487" s="197"/>
      <c r="BP8487" s="197"/>
      <c r="BQ8487" s="197"/>
    </row>
    <row r="8488" spans="66:69" x14ac:dyDescent="0.2">
      <c r="BN8488" s="192"/>
      <c r="BO8488" s="197"/>
      <c r="BP8488" s="197"/>
      <c r="BQ8488" s="197"/>
    </row>
    <row r="8489" spans="66:69" x14ac:dyDescent="0.2">
      <c r="BN8489" s="192"/>
      <c r="BO8489" s="197"/>
      <c r="BP8489" s="197"/>
      <c r="BQ8489" s="197"/>
    </row>
    <row r="8490" spans="66:69" x14ac:dyDescent="0.2">
      <c r="BN8490" s="192"/>
      <c r="BO8490" s="197"/>
      <c r="BP8490" s="197"/>
      <c r="BQ8490" s="197"/>
    </row>
    <row r="8491" spans="66:69" x14ac:dyDescent="0.2">
      <c r="BN8491" s="192"/>
      <c r="BO8491" s="197"/>
      <c r="BP8491" s="197"/>
      <c r="BQ8491" s="197"/>
    </row>
    <row r="8492" spans="66:69" x14ac:dyDescent="0.2">
      <c r="BN8492" s="192"/>
      <c r="BO8492" s="197"/>
      <c r="BP8492" s="197"/>
      <c r="BQ8492" s="197"/>
    </row>
    <row r="8493" spans="66:69" x14ac:dyDescent="0.2">
      <c r="BN8493" s="192"/>
      <c r="BO8493" s="197"/>
      <c r="BP8493" s="197"/>
      <c r="BQ8493" s="197"/>
    </row>
    <row r="8494" spans="66:69" x14ac:dyDescent="0.2">
      <c r="BN8494" s="192"/>
      <c r="BO8494" s="197"/>
      <c r="BP8494" s="197"/>
      <c r="BQ8494" s="197"/>
    </row>
    <row r="8495" spans="66:69" x14ac:dyDescent="0.2">
      <c r="BN8495" s="192"/>
      <c r="BO8495" s="197"/>
      <c r="BP8495" s="197"/>
      <c r="BQ8495" s="197"/>
    </row>
    <row r="8496" spans="66:69" x14ac:dyDescent="0.2">
      <c r="BN8496" s="192"/>
      <c r="BO8496" s="197"/>
      <c r="BP8496" s="197"/>
      <c r="BQ8496" s="197"/>
    </row>
    <row r="8497" spans="66:69" x14ac:dyDescent="0.2">
      <c r="BN8497" s="192"/>
      <c r="BO8497" s="197"/>
      <c r="BP8497" s="197"/>
      <c r="BQ8497" s="197"/>
    </row>
    <row r="8498" spans="66:69" x14ac:dyDescent="0.2">
      <c r="BN8498" s="192"/>
      <c r="BO8498" s="197"/>
      <c r="BP8498" s="197"/>
      <c r="BQ8498" s="197"/>
    </row>
    <row r="8499" spans="66:69" x14ac:dyDescent="0.2">
      <c r="BN8499" s="192"/>
      <c r="BO8499" s="197"/>
      <c r="BP8499" s="197"/>
      <c r="BQ8499" s="197"/>
    </row>
    <row r="8500" spans="66:69" x14ac:dyDescent="0.2">
      <c r="BN8500" s="192"/>
      <c r="BO8500" s="197"/>
      <c r="BP8500" s="197"/>
      <c r="BQ8500" s="197"/>
    </row>
    <row r="8501" spans="66:69" x14ac:dyDescent="0.2">
      <c r="BN8501" s="192"/>
      <c r="BO8501" s="197"/>
      <c r="BP8501" s="197"/>
      <c r="BQ8501" s="197"/>
    </row>
    <row r="8502" spans="66:69" x14ac:dyDescent="0.2">
      <c r="BN8502" s="192"/>
      <c r="BO8502" s="197"/>
      <c r="BP8502" s="197"/>
      <c r="BQ8502" s="197"/>
    </row>
    <row r="8503" spans="66:69" x14ac:dyDescent="0.2">
      <c r="BN8503" s="192"/>
      <c r="BO8503" s="197"/>
      <c r="BP8503" s="197"/>
      <c r="BQ8503" s="197"/>
    </row>
    <row r="8504" spans="66:69" x14ac:dyDescent="0.2">
      <c r="BN8504" s="192"/>
      <c r="BO8504" s="197"/>
      <c r="BP8504" s="197"/>
      <c r="BQ8504" s="197"/>
    </row>
    <row r="8505" spans="66:69" x14ac:dyDescent="0.2">
      <c r="BN8505" s="192"/>
      <c r="BO8505" s="197"/>
      <c r="BP8505" s="197"/>
      <c r="BQ8505" s="197"/>
    </row>
    <row r="8506" spans="66:69" x14ac:dyDescent="0.2">
      <c r="BN8506" s="192"/>
      <c r="BO8506" s="197"/>
      <c r="BP8506" s="197"/>
      <c r="BQ8506" s="197"/>
    </row>
    <row r="8507" spans="66:69" x14ac:dyDescent="0.2">
      <c r="BN8507" s="192"/>
      <c r="BO8507" s="197"/>
      <c r="BP8507" s="197"/>
      <c r="BQ8507" s="197"/>
    </row>
    <row r="8508" spans="66:69" x14ac:dyDescent="0.2">
      <c r="BN8508" s="192"/>
      <c r="BO8508" s="197"/>
      <c r="BP8508" s="197"/>
      <c r="BQ8508" s="197"/>
    </row>
    <row r="8509" spans="66:69" x14ac:dyDescent="0.2">
      <c r="BN8509" s="192"/>
      <c r="BO8509" s="197"/>
      <c r="BP8509" s="197"/>
      <c r="BQ8509" s="197"/>
    </row>
    <row r="8510" spans="66:69" x14ac:dyDescent="0.2">
      <c r="BN8510" s="192"/>
      <c r="BO8510" s="197"/>
      <c r="BP8510" s="197"/>
      <c r="BQ8510" s="197"/>
    </row>
    <row r="8511" spans="66:69" x14ac:dyDescent="0.2">
      <c r="BN8511" s="192"/>
      <c r="BO8511" s="197"/>
      <c r="BP8511" s="197"/>
      <c r="BQ8511" s="197"/>
    </row>
    <row r="8512" spans="66:69" x14ac:dyDescent="0.2">
      <c r="BN8512" s="192"/>
      <c r="BO8512" s="197"/>
      <c r="BP8512" s="197"/>
      <c r="BQ8512" s="197"/>
    </row>
    <row r="8513" spans="66:69" x14ac:dyDescent="0.2">
      <c r="BN8513" s="192"/>
      <c r="BO8513" s="197"/>
      <c r="BP8513" s="197"/>
      <c r="BQ8513" s="197"/>
    </row>
    <row r="8514" spans="66:69" x14ac:dyDescent="0.2">
      <c r="BN8514" s="192"/>
      <c r="BO8514" s="197"/>
      <c r="BP8514" s="197"/>
      <c r="BQ8514" s="197"/>
    </row>
    <row r="8515" spans="66:69" x14ac:dyDescent="0.2">
      <c r="BN8515" s="192"/>
      <c r="BO8515" s="197"/>
      <c r="BP8515" s="197"/>
      <c r="BQ8515" s="197"/>
    </row>
    <row r="8516" spans="66:69" x14ac:dyDescent="0.2">
      <c r="BN8516" s="192"/>
      <c r="BO8516" s="197"/>
      <c r="BP8516" s="197"/>
      <c r="BQ8516" s="197"/>
    </row>
    <row r="8517" spans="66:69" x14ac:dyDescent="0.2">
      <c r="BN8517" s="192"/>
      <c r="BO8517" s="197"/>
      <c r="BP8517" s="197"/>
      <c r="BQ8517" s="197"/>
    </row>
    <row r="8518" spans="66:69" x14ac:dyDescent="0.2">
      <c r="BN8518" s="192"/>
      <c r="BO8518" s="197"/>
      <c r="BP8518" s="197"/>
      <c r="BQ8518" s="197"/>
    </row>
    <row r="8519" spans="66:69" x14ac:dyDescent="0.2">
      <c r="BN8519" s="192"/>
      <c r="BO8519" s="197"/>
      <c r="BP8519" s="197"/>
      <c r="BQ8519" s="197"/>
    </row>
    <row r="8520" spans="66:69" x14ac:dyDescent="0.2">
      <c r="BN8520" s="192"/>
      <c r="BO8520" s="197"/>
      <c r="BP8520" s="197"/>
      <c r="BQ8520" s="197"/>
    </row>
    <row r="8521" spans="66:69" x14ac:dyDescent="0.2">
      <c r="BN8521" s="192"/>
      <c r="BO8521" s="197"/>
      <c r="BP8521" s="197"/>
      <c r="BQ8521" s="197"/>
    </row>
    <row r="8522" spans="66:69" x14ac:dyDescent="0.2">
      <c r="BN8522" s="192"/>
      <c r="BO8522" s="197"/>
      <c r="BP8522" s="197"/>
      <c r="BQ8522" s="197"/>
    </row>
    <row r="8523" spans="66:69" x14ac:dyDescent="0.2">
      <c r="BN8523" s="192"/>
      <c r="BO8523" s="197"/>
      <c r="BP8523" s="197"/>
      <c r="BQ8523" s="197"/>
    </row>
    <row r="8524" spans="66:69" x14ac:dyDescent="0.2">
      <c r="BN8524" s="192"/>
      <c r="BO8524" s="197"/>
      <c r="BP8524" s="197"/>
      <c r="BQ8524" s="197"/>
    </row>
    <row r="8525" spans="66:69" x14ac:dyDescent="0.2">
      <c r="BN8525" s="192"/>
      <c r="BO8525" s="197"/>
      <c r="BP8525" s="197"/>
      <c r="BQ8525" s="197"/>
    </row>
    <row r="8526" spans="66:69" x14ac:dyDescent="0.2">
      <c r="BN8526" s="192"/>
      <c r="BO8526" s="197"/>
      <c r="BP8526" s="197"/>
      <c r="BQ8526" s="197"/>
    </row>
    <row r="8527" spans="66:69" x14ac:dyDescent="0.2">
      <c r="BN8527" s="192"/>
      <c r="BO8527" s="197"/>
      <c r="BP8527" s="197"/>
      <c r="BQ8527" s="197"/>
    </row>
    <row r="8528" spans="66:69" x14ac:dyDescent="0.2">
      <c r="BN8528" s="192"/>
      <c r="BO8528" s="197"/>
      <c r="BP8528" s="197"/>
      <c r="BQ8528" s="197"/>
    </row>
    <row r="8529" spans="66:69" x14ac:dyDescent="0.2">
      <c r="BN8529" s="192"/>
      <c r="BO8529" s="197"/>
      <c r="BP8529" s="197"/>
      <c r="BQ8529" s="197"/>
    </row>
    <row r="8530" spans="66:69" x14ac:dyDescent="0.2">
      <c r="BN8530" s="192"/>
      <c r="BO8530" s="197"/>
      <c r="BP8530" s="197"/>
      <c r="BQ8530" s="197"/>
    </row>
    <row r="8531" spans="66:69" x14ac:dyDescent="0.2">
      <c r="BN8531" s="192"/>
      <c r="BO8531" s="197"/>
      <c r="BP8531" s="197"/>
      <c r="BQ8531" s="197"/>
    </row>
    <row r="8532" spans="66:69" x14ac:dyDescent="0.2">
      <c r="BN8532" s="192"/>
      <c r="BO8532" s="197"/>
      <c r="BP8532" s="197"/>
      <c r="BQ8532" s="197"/>
    </row>
    <row r="8533" spans="66:69" x14ac:dyDescent="0.2">
      <c r="BN8533" s="192"/>
      <c r="BO8533" s="197"/>
      <c r="BP8533" s="197"/>
      <c r="BQ8533" s="197"/>
    </row>
    <row r="8534" spans="66:69" x14ac:dyDescent="0.2">
      <c r="BN8534" s="192"/>
      <c r="BO8534" s="197"/>
      <c r="BP8534" s="197"/>
      <c r="BQ8534" s="197"/>
    </row>
    <row r="8535" spans="66:69" x14ac:dyDescent="0.2">
      <c r="BN8535" s="192"/>
      <c r="BO8535" s="197"/>
      <c r="BP8535" s="197"/>
      <c r="BQ8535" s="197"/>
    </row>
    <row r="8536" spans="66:69" x14ac:dyDescent="0.2">
      <c r="BN8536" s="192"/>
      <c r="BO8536" s="197"/>
      <c r="BP8536" s="197"/>
      <c r="BQ8536" s="197"/>
    </row>
    <row r="8537" spans="66:69" x14ac:dyDescent="0.2">
      <c r="BN8537" s="192"/>
      <c r="BO8537" s="197"/>
      <c r="BP8537" s="197"/>
      <c r="BQ8537" s="197"/>
    </row>
    <row r="8538" spans="66:69" x14ac:dyDescent="0.2">
      <c r="BN8538" s="192"/>
      <c r="BO8538" s="197"/>
      <c r="BP8538" s="197"/>
      <c r="BQ8538" s="197"/>
    </row>
    <row r="8539" spans="66:69" x14ac:dyDescent="0.2">
      <c r="BN8539" s="192"/>
      <c r="BO8539" s="197"/>
      <c r="BP8539" s="197"/>
      <c r="BQ8539" s="197"/>
    </row>
    <row r="8540" spans="66:69" x14ac:dyDescent="0.2">
      <c r="BN8540" s="192"/>
      <c r="BO8540" s="197"/>
      <c r="BP8540" s="197"/>
      <c r="BQ8540" s="197"/>
    </row>
    <row r="8541" spans="66:69" x14ac:dyDescent="0.2">
      <c r="BN8541" s="192"/>
      <c r="BO8541" s="197"/>
      <c r="BP8541" s="197"/>
      <c r="BQ8541" s="197"/>
    </row>
    <row r="8542" spans="66:69" x14ac:dyDescent="0.2">
      <c r="BN8542" s="192"/>
      <c r="BO8542" s="197"/>
      <c r="BP8542" s="197"/>
      <c r="BQ8542" s="197"/>
    </row>
    <row r="8543" spans="66:69" x14ac:dyDescent="0.2">
      <c r="BN8543" s="192"/>
      <c r="BO8543" s="197"/>
      <c r="BP8543" s="197"/>
      <c r="BQ8543" s="197"/>
    </row>
    <row r="8544" spans="66:69" x14ac:dyDescent="0.2">
      <c r="BN8544" s="192"/>
      <c r="BO8544" s="197"/>
      <c r="BP8544" s="197"/>
      <c r="BQ8544" s="197"/>
    </row>
    <row r="8545" spans="66:69" x14ac:dyDescent="0.2">
      <c r="BN8545" s="192"/>
      <c r="BO8545" s="197"/>
      <c r="BP8545" s="197"/>
      <c r="BQ8545" s="197"/>
    </row>
    <row r="8546" spans="66:69" x14ac:dyDescent="0.2">
      <c r="BN8546" s="192"/>
      <c r="BO8546" s="197"/>
      <c r="BP8546" s="197"/>
      <c r="BQ8546" s="197"/>
    </row>
    <row r="8547" spans="66:69" x14ac:dyDescent="0.2">
      <c r="BN8547" s="192"/>
      <c r="BO8547" s="197"/>
      <c r="BP8547" s="197"/>
      <c r="BQ8547" s="197"/>
    </row>
    <row r="8548" spans="66:69" x14ac:dyDescent="0.2">
      <c r="BN8548" s="192"/>
      <c r="BO8548" s="197"/>
      <c r="BP8548" s="197"/>
      <c r="BQ8548" s="197"/>
    </row>
    <row r="8549" spans="66:69" x14ac:dyDescent="0.2">
      <c r="BN8549" s="192"/>
      <c r="BO8549" s="197"/>
      <c r="BP8549" s="197"/>
      <c r="BQ8549" s="197"/>
    </row>
    <row r="8550" spans="66:69" x14ac:dyDescent="0.2">
      <c r="BN8550" s="192"/>
      <c r="BO8550" s="197"/>
      <c r="BP8550" s="197"/>
      <c r="BQ8550" s="197"/>
    </row>
    <row r="8551" spans="66:69" x14ac:dyDescent="0.2">
      <c r="BN8551" s="192"/>
      <c r="BO8551" s="197"/>
      <c r="BP8551" s="197"/>
      <c r="BQ8551" s="197"/>
    </row>
    <row r="8552" spans="66:69" x14ac:dyDescent="0.2">
      <c r="BN8552" s="192"/>
      <c r="BO8552" s="197"/>
      <c r="BP8552" s="197"/>
      <c r="BQ8552" s="197"/>
    </row>
    <row r="8553" spans="66:69" x14ac:dyDescent="0.2">
      <c r="BN8553" s="192"/>
      <c r="BO8553" s="197"/>
      <c r="BP8553" s="197"/>
      <c r="BQ8553" s="197"/>
    </row>
    <row r="8554" spans="66:69" x14ac:dyDescent="0.2">
      <c r="BN8554" s="192"/>
      <c r="BO8554" s="197"/>
      <c r="BP8554" s="197"/>
      <c r="BQ8554" s="197"/>
    </row>
    <row r="8555" spans="66:69" x14ac:dyDescent="0.2">
      <c r="BN8555" s="192"/>
      <c r="BO8555" s="197"/>
      <c r="BP8555" s="197"/>
      <c r="BQ8555" s="197"/>
    </row>
    <row r="8556" spans="66:69" x14ac:dyDescent="0.2">
      <c r="BN8556" s="192"/>
      <c r="BO8556" s="197"/>
      <c r="BP8556" s="197"/>
      <c r="BQ8556" s="197"/>
    </row>
    <row r="8557" spans="66:69" x14ac:dyDescent="0.2">
      <c r="BN8557" s="192"/>
      <c r="BO8557" s="197"/>
      <c r="BP8557" s="197"/>
      <c r="BQ8557" s="197"/>
    </row>
    <row r="8558" spans="66:69" x14ac:dyDescent="0.2">
      <c r="BN8558" s="192"/>
      <c r="BO8558" s="197"/>
      <c r="BP8558" s="197"/>
      <c r="BQ8558" s="197"/>
    </row>
    <row r="8559" spans="66:69" x14ac:dyDescent="0.2">
      <c r="BN8559" s="192"/>
      <c r="BO8559" s="197"/>
      <c r="BP8559" s="197"/>
      <c r="BQ8559" s="197"/>
    </row>
    <row r="8560" spans="66:69" x14ac:dyDescent="0.2">
      <c r="BN8560" s="192"/>
      <c r="BO8560" s="197"/>
      <c r="BP8560" s="197"/>
      <c r="BQ8560" s="197"/>
    </row>
    <row r="8561" spans="66:69" x14ac:dyDescent="0.2">
      <c r="BN8561" s="192"/>
      <c r="BO8561" s="197"/>
      <c r="BP8561" s="197"/>
      <c r="BQ8561" s="197"/>
    </row>
    <row r="8562" spans="66:69" x14ac:dyDescent="0.2">
      <c r="BN8562" s="192"/>
      <c r="BO8562" s="197"/>
      <c r="BP8562" s="197"/>
      <c r="BQ8562" s="197"/>
    </row>
    <row r="8563" spans="66:69" x14ac:dyDescent="0.2">
      <c r="BN8563" s="192"/>
      <c r="BO8563" s="197"/>
      <c r="BP8563" s="197"/>
      <c r="BQ8563" s="197"/>
    </row>
    <row r="8564" spans="66:69" x14ac:dyDescent="0.2">
      <c r="BN8564" s="192"/>
      <c r="BO8564" s="197"/>
      <c r="BP8564" s="197"/>
      <c r="BQ8564" s="197"/>
    </row>
    <row r="8565" spans="66:69" x14ac:dyDescent="0.2">
      <c r="BN8565" s="192"/>
      <c r="BO8565" s="197"/>
      <c r="BP8565" s="197"/>
      <c r="BQ8565" s="197"/>
    </row>
    <row r="8566" spans="66:69" x14ac:dyDescent="0.2">
      <c r="BN8566" s="192"/>
      <c r="BO8566" s="197"/>
      <c r="BP8566" s="197"/>
      <c r="BQ8566" s="197"/>
    </row>
    <row r="8567" spans="66:69" x14ac:dyDescent="0.2">
      <c r="BN8567" s="192"/>
      <c r="BO8567" s="197"/>
      <c r="BP8567" s="197"/>
      <c r="BQ8567" s="197"/>
    </row>
    <row r="8568" spans="66:69" x14ac:dyDescent="0.2">
      <c r="BN8568" s="192"/>
      <c r="BO8568" s="197"/>
      <c r="BP8568" s="197"/>
      <c r="BQ8568" s="197"/>
    </row>
    <row r="8569" spans="66:69" x14ac:dyDescent="0.2">
      <c r="BN8569" s="192"/>
      <c r="BO8569" s="197"/>
      <c r="BP8569" s="197"/>
      <c r="BQ8569" s="197"/>
    </row>
    <row r="8570" spans="66:69" x14ac:dyDescent="0.2">
      <c r="BN8570" s="192"/>
      <c r="BO8570" s="197"/>
      <c r="BP8570" s="197"/>
      <c r="BQ8570" s="197"/>
    </row>
    <row r="8571" spans="66:69" x14ac:dyDescent="0.2">
      <c r="BN8571" s="192"/>
      <c r="BO8571" s="197"/>
      <c r="BP8571" s="197"/>
      <c r="BQ8571" s="197"/>
    </row>
    <row r="8572" spans="66:69" x14ac:dyDescent="0.2">
      <c r="BN8572" s="192"/>
      <c r="BO8572" s="197"/>
      <c r="BP8572" s="197"/>
      <c r="BQ8572" s="197"/>
    </row>
    <row r="8573" spans="66:69" x14ac:dyDescent="0.2">
      <c r="BN8573" s="192"/>
      <c r="BO8573" s="197"/>
      <c r="BP8573" s="197"/>
      <c r="BQ8573" s="197"/>
    </row>
    <row r="8574" spans="66:69" x14ac:dyDescent="0.2">
      <c r="BN8574" s="192"/>
      <c r="BO8574" s="197"/>
      <c r="BP8574" s="197"/>
      <c r="BQ8574" s="197"/>
    </row>
    <row r="8575" spans="66:69" x14ac:dyDescent="0.2">
      <c r="BN8575" s="192"/>
      <c r="BO8575" s="197"/>
      <c r="BP8575" s="197"/>
      <c r="BQ8575" s="197"/>
    </row>
    <row r="8576" spans="66:69" x14ac:dyDescent="0.2">
      <c r="BN8576" s="192"/>
      <c r="BO8576" s="197"/>
      <c r="BP8576" s="197"/>
      <c r="BQ8576" s="197"/>
    </row>
    <row r="8577" spans="66:69" x14ac:dyDescent="0.2">
      <c r="BN8577" s="192"/>
      <c r="BO8577" s="197"/>
      <c r="BP8577" s="197"/>
      <c r="BQ8577" s="197"/>
    </row>
    <row r="8578" spans="66:69" x14ac:dyDescent="0.2">
      <c r="BN8578" s="192"/>
      <c r="BO8578" s="197"/>
      <c r="BP8578" s="197"/>
      <c r="BQ8578" s="197"/>
    </row>
    <row r="8579" spans="66:69" x14ac:dyDescent="0.2">
      <c r="BN8579" s="192"/>
      <c r="BO8579" s="197"/>
      <c r="BP8579" s="197"/>
      <c r="BQ8579" s="197"/>
    </row>
    <row r="8580" spans="66:69" x14ac:dyDescent="0.2">
      <c r="BN8580" s="192"/>
      <c r="BO8580" s="197"/>
      <c r="BP8580" s="197"/>
      <c r="BQ8580" s="197"/>
    </row>
    <row r="8581" spans="66:69" x14ac:dyDescent="0.2">
      <c r="BN8581" s="192"/>
      <c r="BO8581" s="197"/>
      <c r="BP8581" s="197"/>
      <c r="BQ8581" s="197"/>
    </row>
    <row r="8582" spans="66:69" x14ac:dyDescent="0.2">
      <c r="BN8582" s="192"/>
      <c r="BO8582" s="197"/>
      <c r="BP8582" s="197"/>
      <c r="BQ8582" s="197"/>
    </row>
    <row r="8583" spans="66:69" x14ac:dyDescent="0.2">
      <c r="BN8583" s="192"/>
      <c r="BO8583" s="197"/>
      <c r="BP8583" s="197"/>
      <c r="BQ8583" s="197"/>
    </row>
    <row r="8584" spans="66:69" x14ac:dyDescent="0.2">
      <c r="BN8584" s="192"/>
      <c r="BO8584" s="197"/>
      <c r="BP8584" s="197"/>
      <c r="BQ8584" s="197"/>
    </row>
    <row r="8585" spans="66:69" x14ac:dyDescent="0.2">
      <c r="BN8585" s="192"/>
      <c r="BO8585" s="197"/>
      <c r="BP8585" s="197"/>
      <c r="BQ8585" s="197"/>
    </row>
    <row r="8586" spans="66:69" x14ac:dyDescent="0.2">
      <c r="BN8586" s="192"/>
      <c r="BO8586" s="197"/>
      <c r="BP8586" s="197"/>
      <c r="BQ8586" s="197"/>
    </row>
    <row r="8587" spans="66:69" x14ac:dyDescent="0.2">
      <c r="BN8587" s="192"/>
      <c r="BO8587" s="197"/>
      <c r="BP8587" s="197"/>
      <c r="BQ8587" s="197"/>
    </row>
    <row r="8588" spans="66:69" x14ac:dyDescent="0.2">
      <c r="BN8588" s="192"/>
      <c r="BO8588" s="197"/>
      <c r="BP8588" s="197"/>
      <c r="BQ8588" s="197"/>
    </row>
    <row r="8589" spans="66:69" x14ac:dyDescent="0.2">
      <c r="BN8589" s="192"/>
      <c r="BO8589" s="197"/>
      <c r="BP8589" s="197"/>
      <c r="BQ8589" s="197"/>
    </row>
    <row r="8590" spans="66:69" x14ac:dyDescent="0.2">
      <c r="BN8590" s="192"/>
      <c r="BO8590" s="197"/>
      <c r="BP8590" s="197"/>
      <c r="BQ8590" s="197"/>
    </row>
    <row r="8591" spans="66:69" x14ac:dyDescent="0.2">
      <c r="BN8591" s="192"/>
      <c r="BO8591" s="197"/>
      <c r="BP8591" s="197"/>
      <c r="BQ8591" s="197"/>
    </row>
    <row r="8592" spans="66:69" x14ac:dyDescent="0.2">
      <c r="BN8592" s="192"/>
      <c r="BO8592" s="197"/>
      <c r="BP8592" s="197"/>
      <c r="BQ8592" s="197"/>
    </row>
    <row r="8593" spans="66:69" x14ac:dyDescent="0.2">
      <c r="BN8593" s="192"/>
      <c r="BO8593" s="197"/>
      <c r="BP8593" s="197"/>
      <c r="BQ8593" s="197"/>
    </row>
    <row r="8594" spans="66:69" x14ac:dyDescent="0.2">
      <c r="BN8594" s="192"/>
      <c r="BO8594" s="197"/>
      <c r="BP8594" s="197"/>
      <c r="BQ8594" s="197"/>
    </row>
    <row r="8595" spans="66:69" x14ac:dyDescent="0.2">
      <c r="BN8595" s="192"/>
      <c r="BO8595" s="197"/>
      <c r="BP8595" s="197"/>
      <c r="BQ8595" s="197"/>
    </row>
    <row r="8596" spans="66:69" x14ac:dyDescent="0.2">
      <c r="BN8596" s="192"/>
      <c r="BO8596" s="197"/>
      <c r="BP8596" s="197"/>
      <c r="BQ8596" s="197"/>
    </row>
    <row r="8597" spans="66:69" x14ac:dyDescent="0.2">
      <c r="BN8597" s="192"/>
      <c r="BO8597" s="197"/>
      <c r="BP8597" s="197"/>
      <c r="BQ8597" s="197"/>
    </row>
    <row r="8598" spans="66:69" x14ac:dyDescent="0.2">
      <c r="BN8598" s="192"/>
      <c r="BO8598" s="197"/>
      <c r="BP8598" s="197"/>
      <c r="BQ8598" s="197"/>
    </row>
    <row r="8599" spans="66:69" x14ac:dyDescent="0.2">
      <c r="BN8599" s="192"/>
      <c r="BO8599" s="197"/>
      <c r="BP8599" s="197"/>
      <c r="BQ8599" s="197"/>
    </row>
    <row r="8600" spans="66:69" x14ac:dyDescent="0.2">
      <c r="BN8600" s="192"/>
      <c r="BO8600" s="197"/>
      <c r="BP8600" s="197"/>
      <c r="BQ8600" s="197"/>
    </row>
    <row r="8601" spans="66:69" x14ac:dyDescent="0.2">
      <c r="BN8601" s="192"/>
      <c r="BO8601" s="197"/>
      <c r="BP8601" s="197"/>
      <c r="BQ8601" s="197"/>
    </row>
    <row r="8602" spans="66:69" x14ac:dyDescent="0.2">
      <c r="BN8602" s="192"/>
      <c r="BO8602" s="197"/>
      <c r="BP8602" s="197"/>
      <c r="BQ8602" s="197"/>
    </row>
    <row r="8603" spans="66:69" x14ac:dyDescent="0.2">
      <c r="BN8603" s="192"/>
      <c r="BO8603" s="197"/>
      <c r="BP8603" s="197"/>
      <c r="BQ8603" s="197"/>
    </row>
    <row r="8604" spans="66:69" x14ac:dyDescent="0.2">
      <c r="BN8604" s="192"/>
      <c r="BO8604" s="197"/>
      <c r="BP8604" s="197"/>
      <c r="BQ8604" s="197"/>
    </row>
    <row r="8605" spans="66:69" x14ac:dyDescent="0.2">
      <c r="BN8605" s="192"/>
      <c r="BO8605" s="197"/>
      <c r="BP8605" s="197"/>
      <c r="BQ8605" s="197"/>
    </row>
    <row r="8606" spans="66:69" x14ac:dyDescent="0.2">
      <c r="BN8606" s="192"/>
      <c r="BO8606" s="197"/>
      <c r="BP8606" s="197"/>
      <c r="BQ8606" s="197"/>
    </row>
    <row r="8607" spans="66:69" x14ac:dyDescent="0.2">
      <c r="BN8607" s="192"/>
      <c r="BO8607" s="197"/>
      <c r="BP8607" s="197"/>
      <c r="BQ8607" s="197"/>
    </row>
    <row r="8608" spans="66:69" x14ac:dyDescent="0.2">
      <c r="BN8608" s="192"/>
      <c r="BO8608" s="197"/>
      <c r="BP8608" s="197"/>
      <c r="BQ8608" s="197"/>
    </row>
    <row r="8609" spans="66:69" x14ac:dyDescent="0.2">
      <c r="BN8609" s="192"/>
      <c r="BO8609" s="197"/>
      <c r="BP8609" s="197"/>
      <c r="BQ8609" s="197"/>
    </row>
    <row r="8610" spans="66:69" x14ac:dyDescent="0.2">
      <c r="BN8610" s="192"/>
      <c r="BO8610" s="197"/>
      <c r="BP8610" s="197"/>
      <c r="BQ8610" s="197"/>
    </row>
    <row r="8611" spans="66:69" x14ac:dyDescent="0.2">
      <c r="BN8611" s="192"/>
      <c r="BO8611" s="197"/>
      <c r="BP8611" s="197"/>
      <c r="BQ8611" s="197"/>
    </row>
    <row r="8612" spans="66:69" x14ac:dyDescent="0.2">
      <c r="BN8612" s="192"/>
      <c r="BO8612" s="197"/>
      <c r="BP8612" s="197"/>
      <c r="BQ8612" s="197"/>
    </row>
    <row r="8613" spans="66:69" x14ac:dyDescent="0.2">
      <c r="BN8613" s="192"/>
      <c r="BO8613" s="197"/>
      <c r="BP8613" s="197"/>
      <c r="BQ8613" s="197"/>
    </row>
    <row r="8614" spans="66:69" x14ac:dyDescent="0.2">
      <c r="BN8614" s="192"/>
      <c r="BO8614" s="197"/>
      <c r="BP8614" s="197"/>
      <c r="BQ8614" s="197"/>
    </row>
    <row r="8615" spans="66:69" x14ac:dyDescent="0.2">
      <c r="BN8615" s="192"/>
      <c r="BO8615" s="197"/>
      <c r="BP8615" s="197"/>
      <c r="BQ8615" s="197"/>
    </row>
    <row r="8616" spans="66:69" x14ac:dyDescent="0.2">
      <c r="BN8616" s="192"/>
      <c r="BO8616" s="197"/>
      <c r="BP8616" s="197"/>
      <c r="BQ8616" s="197"/>
    </row>
    <row r="8617" spans="66:69" x14ac:dyDescent="0.2">
      <c r="BN8617" s="192"/>
      <c r="BO8617" s="197"/>
      <c r="BP8617" s="197"/>
      <c r="BQ8617" s="197"/>
    </row>
    <row r="8618" spans="66:69" x14ac:dyDescent="0.2">
      <c r="BN8618" s="192"/>
      <c r="BO8618" s="197"/>
      <c r="BP8618" s="197"/>
      <c r="BQ8618" s="197"/>
    </row>
    <row r="8619" spans="66:69" x14ac:dyDescent="0.2">
      <c r="BN8619" s="192"/>
      <c r="BO8619" s="197"/>
      <c r="BP8619" s="197"/>
      <c r="BQ8619" s="197"/>
    </row>
    <row r="8620" spans="66:69" x14ac:dyDescent="0.2">
      <c r="BN8620" s="192"/>
      <c r="BO8620" s="197"/>
      <c r="BP8620" s="197"/>
      <c r="BQ8620" s="197"/>
    </row>
    <row r="8621" spans="66:69" x14ac:dyDescent="0.2">
      <c r="BN8621" s="192"/>
      <c r="BO8621" s="197"/>
      <c r="BP8621" s="197"/>
      <c r="BQ8621" s="197"/>
    </row>
    <row r="8622" spans="66:69" x14ac:dyDescent="0.2">
      <c r="BN8622" s="192"/>
      <c r="BO8622" s="197"/>
      <c r="BP8622" s="197"/>
      <c r="BQ8622" s="197"/>
    </row>
    <row r="8623" spans="66:69" x14ac:dyDescent="0.2">
      <c r="BN8623" s="192"/>
      <c r="BO8623" s="197"/>
      <c r="BP8623" s="197"/>
      <c r="BQ8623" s="197"/>
    </row>
    <row r="8624" spans="66:69" x14ac:dyDescent="0.2">
      <c r="BN8624" s="192"/>
      <c r="BO8624" s="197"/>
      <c r="BP8624" s="197"/>
      <c r="BQ8624" s="197"/>
    </row>
    <row r="8625" spans="66:69" x14ac:dyDescent="0.2">
      <c r="BN8625" s="192"/>
      <c r="BO8625" s="197"/>
      <c r="BP8625" s="197"/>
      <c r="BQ8625" s="197"/>
    </row>
    <row r="8626" spans="66:69" x14ac:dyDescent="0.2">
      <c r="BN8626" s="192"/>
      <c r="BO8626" s="197"/>
      <c r="BP8626" s="197"/>
      <c r="BQ8626" s="197"/>
    </row>
    <row r="8627" spans="66:69" x14ac:dyDescent="0.2">
      <c r="BN8627" s="192"/>
      <c r="BO8627" s="197"/>
      <c r="BP8627" s="197"/>
      <c r="BQ8627" s="197"/>
    </row>
    <row r="8628" spans="66:69" x14ac:dyDescent="0.2">
      <c r="BN8628" s="192"/>
      <c r="BO8628" s="197"/>
      <c r="BP8628" s="197"/>
      <c r="BQ8628" s="197"/>
    </row>
    <row r="8629" spans="66:69" x14ac:dyDescent="0.2">
      <c r="BN8629" s="192"/>
      <c r="BO8629" s="197"/>
      <c r="BP8629" s="197"/>
      <c r="BQ8629" s="197"/>
    </row>
    <row r="8630" spans="66:69" x14ac:dyDescent="0.2">
      <c r="BN8630" s="192"/>
      <c r="BO8630" s="197"/>
      <c r="BP8630" s="197"/>
      <c r="BQ8630" s="197"/>
    </row>
    <row r="8631" spans="66:69" x14ac:dyDescent="0.2">
      <c r="BN8631" s="192"/>
      <c r="BO8631" s="197"/>
      <c r="BP8631" s="197"/>
      <c r="BQ8631" s="197"/>
    </row>
    <row r="8632" spans="66:69" x14ac:dyDescent="0.2">
      <c r="BN8632" s="192"/>
      <c r="BO8632" s="197"/>
      <c r="BP8632" s="197"/>
      <c r="BQ8632" s="197"/>
    </row>
    <row r="8633" spans="66:69" x14ac:dyDescent="0.2">
      <c r="BN8633" s="192"/>
      <c r="BO8633" s="197"/>
      <c r="BP8633" s="197"/>
      <c r="BQ8633" s="197"/>
    </row>
    <row r="8634" spans="66:69" x14ac:dyDescent="0.2">
      <c r="BN8634" s="192"/>
      <c r="BO8634" s="197"/>
      <c r="BP8634" s="197"/>
      <c r="BQ8634" s="197"/>
    </row>
    <row r="8635" spans="66:69" x14ac:dyDescent="0.2">
      <c r="BN8635" s="192"/>
      <c r="BO8635" s="197"/>
      <c r="BP8635" s="197"/>
      <c r="BQ8635" s="197"/>
    </row>
    <row r="8636" spans="66:69" x14ac:dyDescent="0.2">
      <c r="BN8636" s="192"/>
      <c r="BO8636" s="197"/>
      <c r="BP8636" s="197"/>
      <c r="BQ8636" s="197"/>
    </row>
    <row r="8637" spans="66:69" x14ac:dyDescent="0.2">
      <c r="BN8637" s="192"/>
      <c r="BO8637" s="197"/>
      <c r="BP8637" s="197"/>
      <c r="BQ8637" s="197"/>
    </row>
    <row r="8638" spans="66:69" x14ac:dyDescent="0.2">
      <c r="BN8638" s="192"/>
      <c r="BO8638" s="197"/>
      <c r="BP8638" s="197"/>
      <c r="BQ8638" s="197"/>
    </row>
    <row r="8639" spans="66:69" x14ac:dyDescent="0.2">
      <c r="BN8639" s="192"/>
      <c r="BO8639" s="197"/>
      <c r="BP8639" s="197"/>
      <c r="BQ8639" s="197"/>
    </row>
    <row r="8640" spans="66:69" x14ac:dyDescent="0.2">
      <c r="BN8640" s="192"/>
      <c r="BO8640" s="197"/>
      <c r="BP8640" s="197"/>
      <c r="BQ8640" s="197"/>
    </row>
    <row r="8641" spans="66:69" x14ac:dyDescent="0.2">
      <c r="BN8641" s="192"/>
      <c r="BO8641" s="197"/>
      <c r="BP8641" s="197"/>
      <c r="BQ8641" s="197"/>
    </row>
    <row r="8642" spans="66:69" x14ac:dyDescent="0.2">
      <c r="BN8642" s="192"/>
      <c r="BO8642" s="197"/>
      <c r="BP8642" s="197"/>
      <c r="BQ8642" s="197"/>
    </row>
    <row r="8643" spans="66:69" x14ac:dyDescent="0.2">
      <c r="BN8643" s="192"/>
      <c r="BO8643" s="197"/>
      <c r="BP8643" s="197"/>
      <c r="BQ8643" s="197"/>
    </row>
    <row r="8644" spans="66:69" x14ac:dyDescent="0.2">
      <c r="BN8644" s="192"/>
      <c r="BO8644" s="197"/>
      <c r="BP8644" s="197"/>
      <c r="BQ8644" s="197"/>
    </row>
    <row r="8645" spans="66:69" x14ac:dyDescent="0.2">
      <c r="BN8645" s="192"/>
      <c r="BO8645" s="197"/>
      <c r="BP8645" s="197"/>
      <c r="BQ8645" s="197"/>
    </row>
    <row r="8646" spans="66:69" x14ac:dyDescent="0.2">
      <c r="BN8646" s="192"/>
      <c r="BO8646" s="197"/>
      <c r="BP8646" s="197"/>
      <c r="BQ8646" s="197"/>
    </row>
    <row r="8647" spans="66:69" x14ac:dyDescent="0.2">
      <c r="BN8647" s="192"/>
      <c r="BO8647" s="197"/>
      <c r="BP8647" s="197"/>
      <c r="BQ8647" s="197"/>
    </row>
    <row r="8648" spans="66:69" x14ac:dyDescent="0.2">
      <c r="BN8648" s="192"/>
      <c r="BO8648" s="197"/>
      <c r="BP8648" s="197"/>
      <c r="BQ8648" s="197"/>
    </row>
    <row r="8649" spans="66:69" x14ac:dyDescent="0.2">
      <c r="BN8649" s="192"/>
      <c r="BO8649" s="197"/>
      <c r="BP8649" s="197"/>
      <c r="BQ8649" s="197"/>
    </row>
    <row r="8650" spans="66:69" x14ac:dyDescent="0.2">
      <c r="BN8650" s="192"/>
      <c r="BO8650" s="197"/>
      <c r="BP8650" s="197"/>
      <c r="BQ8650" s="197"/>
    </row>
    <row r="8651" spans="66:69" x14ac:dyDescent="0.2">
      <c r="BN8651" s="192"/>
      <c r="BO8651" s="197"/>
      <c r="BP8651" s="197"/>
      <c r="BQ8651" s="197"/>
    </row>
    <row r="8652" spans="66:69" x14ac:dyDescent="0.2">
      <c r="BN8652" s="192"/>
      <c r="BO8652" s="197"/>
      <c r="BP8652" s="197"/>
      <c r="BQ8652" s="197"/>
    </row>
    <row r="8653" spans="66:69" x14ac:dyDescent="0.2">
      <c r="BN8653" s="192"/>
      <c r="BO8653" s="197"/>
      <c r="BP8653" s="197"/>
      <c r="BQ8653" s="197"/>
    </row>
    <row r="8654" spans="66:69" x14ac:dyDescent="0.2">
      <c r="BN8654" s="192"/>
      <c r="BO8654" s="197"/>
      <c r="BP8654" s="197"/>
      <c r="BQ8654" s="197"/>
    </row>
    <row r="8655" spans="66:69" x14ac:dyDescent="0.2">
      <c r="BN8655" s="192"/>
      <c r="BO8655" s="197"/>
      <c r="BP8655" s="197"/>
      <c r="BQ8655" s="197"/>
    </row>
    <row r="8656" spans="66:69" x14ac:dyDescent="0.2">
      <c r="BN8656" s="192"/>
      <c r="BO8656" s="197"/>
      <c r="BP8656" s="197"/>
      <c r="BQ8656" s="197"/>
    </row>
    <row r="8657" spans="66:69" x14ac:dyDescent="0.2">
      <c r="BN8657" s="192"/>
      <c r="BO8657" s="197"/>
      <c r="BP8657" s="197"/>
      <c r="BQ8657" s="197"/>
    </row>
    <row r="8658" spans="66:69" x14ac:dyDescent="0.2">
      <c r="BN8658" s="192"/>
      <c r="BO8658" s="197"/>
      <c r="BP8658" s="197"/>
      <c r="BQ8658" s="197"/>
    </row>
    <row r="8659" spans="66:69" x14ac:dyDescent="0.2">
      <c r="BN8659" s="192"/>
      <c r="BO8659" s="197"/>
      <c r="BP8659" s="197"/>
      <c r="BQ8659" s="197"/>
    </row>
    <row r="8660" spans="66:69" x14ac:dyDescent="0.2">
      <c r="BN8660" s="192"/>
      <c r="BO8660" s="197"/>
      <c r="BP8660" s="197"/>
      <c r="BQ8660" s="197"/>
    </row>
    <row r="8661" spans="66:69" x14ac:dyDescent="0.2">
      <c r="BN8661" s="192"/>
      <c r="BO8661" s="197"/>
      <c r="BP8661" s="197"/>
      <c r="BQ8661" s="197"/>
    </row>
    <row r="8662" spans="66:69" x14ac:dyDescent="0.2">
      <c r="BN8662" s="192"/>
      <c r="BO8662" s="197"/>
      <c r="BP8662" s="197"/>
      <c r="BQ8662" s="197"/>
    </row>
    <row r="8663" spans="66:69" x14ac:dyDescent="0.2">
      <c r="BN8663" s="192"/>
      <c r="BO8663" s="197"/>
      <c r="BP8663" s="197"/>
      <c r="BQ8663" s="197"/>
    </row>
    <row r="8664" spans="66:69" x14ac:dyDescent="0.2">
      <c r="BN8664" s="192"/>
      <c r="BO8664" s="197"/>
      <c r="BP8664" s="197"/>
      <c r="BQ8664" s="197"/>
    </row>
    <row r="8665" spans="66:69" x14ac:dyDescent="0.2">
      <c r="BN8665" s="192"/>
      <c r="BO8665" s="197"/>
      <c r="BP8665" s="197"/>
      <c r="BQ8665" s="197"/>
    </row>
    <row r="8666" spans="66:69" x14ac:dyDescent="0.2">
      <c r="BN8666" s="192"/>
      <c r="BO8666" s="197"/>
      <c r="BP8666" s="197"/>
      <c r="BQ8666" s="197"/>
    </row>
    <row r="8667" spans="66:69" x14ac:dyDescent="0.2">
      <c r="BN8667" s="192"/>
      <c r="BO8667" s="197"/>
      <c r="BP8667" s="197"/>
      <c r="BQ8667" s="197"/>
    </row>
    <row r="8668" spans="66:69" x14ac:dyDescent="0.2">
      <c r="BN8668" s="192"/>
      <c r="BO8668" s="197"/>
      <c r="BP8668" s="197"/>
      <c r="BQ8668" s="197"/>
    </row>
    <row r="8669" spans="66:69" x14ac:dyDescent="0.2">
      <c r="BN8669" s="192"/>
      <c r="BO8669" s="197"/>
      <c r="BP8669" s="197"/>
      <c r="BQ8669" s="197"/>
    </row>
    <row r="8670" spans="66:69" x14ac:dyDescent="0.2">
      <c r="BN8670" s="192"/>
      <c r="BO8670" s="197"/>
      <c r="BP8670" s="197"/>
      <c r="BQ8670" s="197"/>
    </row>
    <row r="8671" spans="66:69" x14ac:dyDescent="0.2">
      <c r="BN8671" s="192"/>
      <c r="BO8671" s="197"/>
      <c r="BP8671" s="197"/>
      <c r="BQ8671" s="197"/>
    </row>
    <row r="8672" spans="66:69" x14ac:dyDescent="0.2">
      <c r="BN8672" s="192"/>
      <c r="BO8672" s="197"/>
      <c r="BP8672" s="197"/>
      <c r="BQ8672" s="197"/>
    </row>
    <row r="8673" spans="66:69" x14ac:dyDescent="0.2">
      <c r="BN8673" s="192"/>
      <c r="BO8673" s="197"/>
      <c r="BP8673" s="197"/>
      <c r="BQ8673" s="197"/>
    </row>
    <row r="8674" spans="66:69" x14ac:dyDescent="0.2">
      <c r="BN8674" s="192"/>
      <c r="BO8674" s="197"/>
      <c r="BP8674" s="197"/>
      <c r="BQ8674" s="197"/>
    </row>
    <row r="8675" spans="66:69" x14ac:dyDescent="0.2">
      <c r="BN8675" s="192"/>
      <c r="BO8675" s="197"/>
      <c r="BP8675" s="197"/>
      <c r="BQ8675" s="197"/>
    </row>
    <row r="8676" spans="66:69" x14ac:dyDescent="0.2">
      <c r="BN8676" s="192"/>
      <c r="BO8676" s="197"/>
      <c r="BP8676" s="197"/>
      <c r="BQ8676" s="197"/>
    </row>
    <row r="8677" spans="66:69" x14ac:dyDescent="0.2">
      <c r="BN8677" s="192"/>
      <c r="BO8677" s="197"/>
      <c r="BP8677" s="197"/>
      <c r="BQ8677" s="197"/>
    </row>
    <row r="8678" spans="66:69" x14ac:dyDescent="0.2">
      <c r="BN8678" s="192"/>
      <c r="BO8678" s="197"/>
      <c r="BP8678" s="197"/>
      <c r="BQ8678" s="197"/>
    </row>
    <row r="8679" spans="66:69" x14ac:dyDescent="0.2">
      <c r="BN8679" s="192"/>
      <c r="BO8679" s="197"/>
      <c r="BP8679" s="197"/>
      <c r="BQ8679" s="197"/>
    </row>
    <row r="8680" spans="66:69" x14ac:dyDescent="0.2">
      <c r="BN8680" s="192"/>
      <c r="BO8680" s="197"/>
      <c r="BP8680" s="197"/>
      <c r="BQ8680" s="197"/>
    </row>
    <row r="8681" spans="66:69" x14ac:dyDescent="0.2">
      <c r="BN8681" s="192"/>
      <c r="BO8681" s="197"/>
      <c r="BP8681" s="197"/>
      <c r="BQ8681" s="197"/>
    </row>
    <row r="8682" spans="66:69" x14ac:dyDescent="0.2">
      <c r="BN8682" s="192"/>
      <c r="BO8682" s="197"/>
      <c r="BP8682" s="197"/>
      <c r="BQ8682" s="197"/>
    </row>
    <row r="8683" spans="66:69" x14ac:dyDescent="0.2">
      <c r="BN8683" s="192"/>
      <c r="BO8683" s="197"/>
      <c r="BP8683" s="197"/>
      <c r="BQ8683" s="197"/>
    </row>
    <row r="8684" spans="66:69" x14ac:dyDescent="0.2">
      <c r="BN8684" s="192"/>
      <c r="BO8684" s="197"/>
      <c r="BP8684" s="197"/>
      <c r="BQ8684" s="197"/>
    </row>
    <row r="8685" spans="66:69" x14ac:dyDescent="0.2">
      <c r="BN8685" s="192"/>
      <c r="BO8685" s="197"/>
      <c r="BP8685" s="197"/>
      <c r="BQ8685" s="197"/>
    </row>
    <row r="8686" spans="66:69" x14ac:dyDescent="0.2">
      <c r="BN8686" s="192"/>
      <c r="BO8686" s="197"/>
      <c r="BP8686" s="197"/>
      <c r="BQ8686" s="197"/>
    </row>
    <row r="8687" spans="66:69" x14ac:dyDescent="0.2">
      <c r="BN8687" s="192"/>
      <c r="BO8687" s="197"/>
      <c r="BP8687" s="197"/>
      <c r="BQ8687" s="197"/>
    </row>
    <row r="8688" spans="66:69" x14ac:dyDescent="0.2">
      <c r="BN8688" s="192"/>
      <c r="BO8688" s="197"/>
      <c r="BP8688" s="197"/>
      <c r="BQ8688" s="197"/>
    </row>
    <row r="8689" spans="66:69" x14ac:dyDescent="0.2">
      <c r="BN8689" s="192"/>
      <c r="BO8689" s="197"/>
      <c r="BP8689" s="197"/>
      <c r="BQ8689" s="197"/>
    </row>
    <row r="8690" spans="66:69" x14ac:dyDescent="0.2">
      <c r="BN8690" s="192"/>
      <c r="BO8690" s="197"/>
      <c r="BP8690" s="197"/>
      <c r="BQ8690" s="197"/>
    </row>
    <row r="8691" spans="66:69" x14ac:dyDescent="0.2">
      <c r="BN8691" s="192"/>
      <c r="BO8691" s="197"/>
      <c r="BP8691" s="197"/>
      <c r="BQ8691" s="197"/>
    </row>
    <row r="8692" spans="66:69" x14ac:dyDescent="0.2">
      <c r="BN8692" s="192"/>
      <c r="BO8692" s="197"/>
      <c r="BP8692" s="197"/>
      <c r="BQ8692" s="197"/>
    </row>
    <row r="8693" spans="66:69" x14ac:dyDescent="0.2">
      <c r="BN8693" s="192"/>
      <c r="BO8693" s="197"/>
      <c r="BP8693" s="197"/>
      <c r="BQ8693" s="197"/>
    </row>
    <row r="8694" spans="66:69" x14ac:dyDescent="0.2">
      <c r="BN8694" s="192"/>
      <c r="BO8694" s="197"/>
      <c r="BP8694" s="197"/>
      <c r="BQ8694" s="197"/>
    </row>
    <row r="8695" spans="66:69" x14ac:dyDescent="0.2">
      <c r="BN8695" s="192"/>
      <c r="BO8695" s="197"/>
      <c r="BP8695" s="197"/>
      <c r="BQ8695" s="197"/>
    </row>
    <row r="8696" spans="66:69" x14ac:dyDescent="0.2">
      <c r="BN8696" s="192"/>
      <c r="BO8696" s="197"/>
      <c r="BP8696" s="197"/>
      <c r="BQ8696" s="197"/>
    </row>
    <row r="8697" spans="66:69" x14ac:dyDescent="0.2">
      <c r="BN8697" s="192"/>
      <c r="BO8697" s="197"/>
      <c r="BP8697" s="197"/>
      <c r="BQ8697" s="197"/>
    </row>
    <row r="8698" spans="66:69" x14ac:dyDescent="0.2">
      <c r="BN8698" s="192"/>
      <c r="BO8698" s="197"/>
      <c r="BP8698" s="197"/>
      <c r="BQ8698" s="197"/>
    </row>
    <row r="8699" spans="66:69" x14ac:dyDescent="0.2">
      <c r="BN8699" s="192"/>
      <c r="BO8699" s="197"/>
      <c r="BP8699" s="197"/>
      <c r="BQ8699" s="197"/>
    </row>
    <row r="8700" spans="66:69" x14ac:dyDescent="0.2">
      <c r="BN8700" s="192"/>
      <c r="BO8700" s="197"/>
      <c r="BP8700" s="197"/>
      <c r="BQ8700" s="197"/>
    </row>
    <row r="8701" spans="66:69" x14ac:dyDescent="0.2">
      <c r="BN8701" s="192"/>
      <c r="BO8701" s="197"/>
      <c r="BP8701" s="197"/>
      <c r="BQ8701" s="197"/>
    </row>
    <row r="8702" spans="66:69" x14ac:dyDescent="0.2">
      <c r="BN8702" s="192"/>
      <c r="BO8702" s="197"/>
      <c r="BP8702" s="197"/>
      <c r="BQ8702" s="197"/>
    </row>
    <row r="8703" spans="66:69" x14ac:dyDescent="0.2">
      <c r="BN8703" s="192"/>
      <c r="BO8703" s="197"/>
      <c r="BP8703" s="197"/>
      <c r="BQ8703" s="197"/>
    </row>
    <row r="8704" spans="66:69" x14ac:dyDescent="0.2">
      <c r="BN8704" s="192"/>
      <c r="BO8704" s="197"/>
      <c r="BP8704" s="197"/>
      <c r="BQ8704" s="197"/>
    </row>
    <row r="8705" spans="66:69" x14ac:dyDescent="0.2">
      <c r="BN8705" s="192"/>
      <c r="BO8705" s="197"/>
      <c r="BP8705" s="197"/>
      <c r="BQ8705" s="197"/>
    </row>
    <row r="8706" spans="66:69" x14ac:dyDescent="0.2">
      <c r="BN8706" s="192"/>
      <c r="BO8706" s="197"/>
      <c r="BP8706" s="197"/>
      <c r="BQ8706" s="197"/>
    </row>
    <row r="8707" spans="66:69" x14ac:dyDescent="0.2">
      <c r="BN8707" s="192"/>
      <c r="BO8707" s="197"/>
      <c r="BP8707" s="197"/>
      <c r="BQ8707" s="197"/>
    </row>
    <row r="8708" spans="66:69" x14ac:dyDescent="0.2">
      <c r="BN8708" s="192"/>
      <c r="BO8708" s="197"/>
      <c r="BP8708" s="197"/>
      <c r="BQ8708" s="197"/>
    </row>
    <row r="8709" spans="66:69" x14ac:dyDescent="0.2">
      <c r="BN8709" s="192"/>
      <c r="BO8709" s="197"/>
      <c r="BP8709" s="197"/>
      <c r="BQ8709" s="197"/>
    </row>
    <row r="8710" spans="66:69" x14ac:dyDescent="0.2">
      <c r="BN8710" s="192"/>
      <c r="BO8710" s="197"/>
      <c r="BP8710" s="197"/>
      <c r="BQ8710" s="197"/>
    </row>
    <row r="8711" spans="66:69" x14ac:dyDescent="0.2">
      <c r="BN8711" s="192"/>
      <c r="BO8711" s="197"/>
      <c r="BP8711" s="197"/>
      <c r="BQ8711" s="197"/>
    </row>
    <row r="8712" spans="66:69" x14ac:dyDescent="0.2">
      <c r="BN8712" s="192"/>
      <c r="BO8712" s="197"/>
      <c r="BP8712" s="197"/>
      <c r="BQ8712" s="197"/>
    </row>
    <row r="8713" spans="66:69" x14ac:dyDescent="0.2">
      <c r="BN8713" s="192"/>
      <c r="BO8713" s="197"/>
      <c r="BP8713" s="197"/>
      <c r="BQ8713" s="197"/>
    </row>
    <row r="8714" spans="66:69" x14ac:dyDescent="0.2">
      <c r="BN8714" s="192"/>
      <c r="BO8714" s="197"/>
      <c r="BP8714" s="197"/>
      <c r="BQ8714" s="197"/>
    </row>
    <row r="8715" spans="66:69" x14ac:dyDescent="0.2">
      <c r="BN8715" s="192"/>
      <c r="BO8715" s="197"/>
      <c r="BP8715" s="197"/>
      <c r="BQ8715" s="197"/>
    </row>
    <row r="8716" spans="66:69" x14ac:dyDescent="0.2">
      <c r="BN8716" s="192"/>
      <c r="BO8716" s="197"/>
      <c r="BP8716" s="197"/>
      <c r="BQ8716" s="197"/>
    </row>
    <row r="8717" spans="66:69" x14ac:dyDescent="0.2">
      <c r="BN8717" s="192"/>
      <c r="BO8717" s="197"/>
      <c r="BP8717" s="197"/>
      <c r="BQ8717" s="197"/>
    </row>
    <row r="8718" spans="66:69" x14ac:dyDescent="0.2">
      <c r="BN8718" s="192"/>
      <c r="BO8718" s="197"/>
      <c r="BP8718" s="197"/>
      <c r="BQ8718" s="197"/>
    </row>
    <row r="8719" spans="66:69" x14ac:dyDescent="0.2">
      <c r="BN8719" s="192"/>
      <c r="BO8719" s="197"/>
      <c r="BP8719" s="197"/>
      <c r="BQ8719" s="197"/>
    </row>
    <row r="8720" spans="66:69" x14ac:dyDescent="0.2">
      <c r="BN8720" s="192"/>
      <c r="BO8720" s="197"/>
      <c r="BP8720" s="197"/>
      <c r="BQ8720" s="197"/>
    </row>
    <row r="8721" spans="66:69" x14ac:dyDescent="0.2">
      <c r="BN8721" s="192"/>
      <c r="BO8721" s="197"/>
      <c r="BP8721" s="197"/>
      <c r="BQ8721" s="197"/>
    </row>
    <row r="8722" spans="66:69" x14ac:dyDescent="0.2">
      <c r="BN8722" s="192"/>
      <c r="BO8722" s="197"/>
      <c r="BP8722" s="197"/>
      <c r="BQ8722" s="197"/>
    </row>
    <row r="8723" spans="66:69" x14ac:dyDescent="0.2">
      <c r="BN8723" s="192"/>
      <c r="BO8723" s="197"/>
      <c r="BP8723" s="197"/>
      <c r="BQ8723" s="197"/>
    </row>
    <row r="8724" spans="66:69" x14ac:dyDescent="0.2">
      <c r="BN8724" s="192"/>
      <c r="BO8724" s="197"/>
      <c r="BP8724" s="197"/>
      <c r="BQ8724" s="197"/>
    </row>
    <row r="8725" spans="66:69" x14ac:dyDescent="0.2">
      <c r="BN8725" s="192"/>
      <c r="BO8725" s="197"/>
      <c r="BP8725" s="197"/>
      <c r="BQ8725" s="197"/>
    </row>
    <row r="8726" spans="66:69" x14ac:dyDescent="0.2">
      <c r="BN8726" s="192"/>
      <c r="BO8726" s="197"/>
      <c r="BP8726" s="197"/>
      <c r="BQ8726" s="197"/>
    </row>
    <row r="8727" spans="66:69" x14ac:dyDescent="0.2">
      <c r="BN8727" s="192"/>
      <c r="BO8727" s="197"/>
      <c r="BP8727" s="197"/>
      <c r="BQ8727" s="197"/>
    </row>
    <row r="8728" spans="66:69" x14ac:dyDescent="0.2">
      <c r="BN8728" s="192"/>
      <c r="BO8728" s="197"/>
      <c r="BP8728" s="197"/>
      <c r="BQ8728" s="197"/>
    </row>
    <row r="8729" spans="66:69" x14ac:dyDescent="0.2">
      <c r="BN8729" s="192"/>
      <c r="BO8729" s="197"/>
      <c r="BP8729" s="197"/>
      <c r="BQ8729" s="197"/>
    </row>
    <row r="8730" spans="66:69" x14ac:dyDescent="0.2">
      <c r="BN8730" s="192"/>
      <c r="BO8730" s="197"/>
      <c r="BP8730" s="197"/>
      <c r="BQ8730" s="197"/>
    </row>
    <row r="8731" spans="66:69" x14ac:dyDescent="0.2">
      <c r="BN8731" s="192"/>
      <c r="BO8731" s="197"/>
      <c r="BP8731" s="197"/>
      <c r="BQ8731" s="197"/>
    </row>
    <row r="8732" spans="66:69" x14ac:dyDescent="0.2">
      <c r="BN8732" s="192"/>
      <c r="BO8732" s="197"/>
      <c r="BP8732" s="197"/>
      <c r="BQ8732" s="197"/>
    </row>
    <row r="8733" spans="66:69" x14ac:dyDescent="0.2">
      <c r="BN8733" s="192"/>
      <c r="BO8733" s="197"/>
      <c r="BP8733" s="197"/>
      <c r="BQ8733" s="197"/>
    </row>
    <row r="8734" spans="66:69" x14ac:dyDescent="0.2">
      <c r="BN8734" s="192"/>
      <c r="BO8734" s="197"/>
      <c r="BP8734" s="197"/>
      <c r="BQ8734" s="197"/>
    </row>
    <row r="8735" spans="66:69" x14ac:dyDescent="0.2">
      <c r="BN8735" s="192"/>
      <c r="BO8735" s="197"/>
      <c r="BP8735" s="197"/>
      <c r="BQ8735" s="197"/>
    </row>
    <row r="8736" spans="66:69" x14ac:dyDescent="0.2">
      <c r="BN8736" s="192"/>
      <c r="BO8736" s="197"/>
      <c r="BP8736" s="197"/>
      <c r="BQ8736" s="197"/>
    </row>
    <row r="8737" spans="66:69" x14ac:dyDescent="0.2">
      <c r="BN8737" s="192"/>
      <c r="BO8737" s="197"/>
      <c r="BP8737" s="197"/>
      <c r="BQ8737" s="197"/>
    </row>
    <row r="8738" spans="66:69" x14ac:dyDescent="0.2">
      <c r="BN8738" s="192"/>
      <c r="BO8738" s="197"/>
      <c r="BP8738" s="197"/>
      <c r="BQ8738" s="197"/>
    </row>
    <row r="8739" spans="66:69" x14ac:dyDescent="0.2">
      <c r="BN8739" s="192"/>
      <c r="BO8739" s="197"/>
      <c r="BP8739" s="197"/>
      <c r="BQ8739" s="197"/>
    </row>
    <row r="8740" spans="66:69" x14ac:dyDescent="0.2">
      <c r="BN8740" s="192"/>
      <c r="BO8740" s="197"/>
      <c r="BP8740" s="197"/>
      <c r="BQ8740" s="197"/>
    </row>
    <row r="8741" spans="66:69" x14ac:dyDescent="0.2">
      <c r="BN8741" s="192"/>
      <c r="BO8741" s="197"/>
      <c r="BP8741" s="197"/>
      <c r="BQ8741" s="197"/>
    </row>
    <row r="8742" spans="66:69" x14ac:dyDescent="0.2">
      <c r="BN8742" s="192"/>
      <c r="BO8742" s="197"/>
      <c r="BP8742" s="197"/>
      <c r="BQ8742" s="197"/>
    </row>
    <row r="8743" spans="66:69" x14ac:dyDescent="0.2">
      <c r="BN8743" s="192"/>
      <c r="BO8743" s="197"/>
      <c r="BP8743" s="197"/>
      <c r="BQ8743" s="197"/>
    </row>
    <row r="8744" spans="66:69" x14ac:dyDescent="0.2">
      <c r="BN8744" s="192"/>
      <c r="BO8744" s="197"/>
      <c r="BP8744" s="197"/>
      <c r="BQ8744" s="197"/>
    </row>
    <row r="8745" spans="66:69" x14ac:dyDescent="0.2">
      <c r="BN8745" s="192"/>
      <c r="BO8745" s="197"/>
      <c r="BP8745" s="197"/>
      <c r="BQ8745" s="197"/>
    </row>
    <row r="8746" spans="66:69" x14ac:dyDescent="0.2">
      <c r="BN8746" s="192"/>
      <c r="BO8746" s="197"/>
      <c r="BP8746" s="197"/>
      <c r="BQ8746" s="197"/>
    </row>
    <row r="8747" spans="66:69" x14ac:dyDescent="0.2">
      <c r="BN8747" s="192"/>
      <c r="BO8747" s="197"/>
      <c r="BP8747" s="197"/>
      <c r="BQ8747" s="197"/>
    </row>
    <row r="8748" spans="66:69" x14ac:dyDescent="0.2">
      <c r="BN8748" s="192"/>
      <c r="BO8748" s="197"/>
      <c r="BP8748" s="197"/>
      <c r="BQ8748" s="197"/>
    </row>
    <row r="8749" spans="66:69" x14ac:dyDescent="0.2">
      <c r="BN8749" s="192"/>
      <c r="BO8749" s="197"/>
      <c r="BP8749" s="197"/>
      <c r="BQ8749" s="197"/>
    </row>
    <row r="8750" spans="66:69" x14ac:dyDescent="0.2">
      <c r="BN8750" s="192"/>
      <c r="BO8750" s="197"/>
      <c r="BP8750" s="197"/>
      <c r="BQ8750" s="197"/>
    </row>
    <row r="8751" spans="66:69" x14ac:dyDescent="0.2">
      <c r="BN8751" s="192"/>
      <c r="BO8751" s="197"/>
      <c r="BP8751" s="197"/>
      <c r="BQ8751" s="197"/>
    </row>
    <row r="8752" spans="66:69" x14ac:dyDescent="0.2">
      <c r="BN8752" s="192"/>
      <c r="BO8752" s="197"/>
      <c r="BP8752" s="197"/>
      <c r="BQ8752" s="197"/>
    </row>
    <row r="8753" spans="66:69" x14ac:dyDescent="0.2">
      <c r="BN8753" s="192"/>
      <c r="BO8753" s="197"/>
      <c r="BP8753" s="197"/>
      <c r="BQ8753" s="197"/>
    </row>
    <row r="8754" spans="66:69" x14ac:dyDescent="0.2">
      <c r="BN8754" s="192"/>
      <c r="BO8754" s="197"/>
      <c r="BP8754" s="197"/>
      <c r="BQ8754" s="197"/>
    </row>
    <row r="8755" spans="66:69" x14ac:dyDescent="0.2">
      <c r="BN8755" s="192"/>
      <c r="BO8755" s="197"/>
      <c r="BP8755" s="197"/>
      <c r="BQ8755" s="197"/>
    </row>
    <row r="8756" spans="66:69" x14ac:dyDescent="0.2">
      <c r="BN8756" s="192"/>
      <c r="BO8756" s="197"/>
      <c r="BP8756" s="197"/>
      <c r="BQ8756" s="197"/>
    </row>
    <row r="8757" spans="66:69" x14ac:dyDescent="0.2">
      <c r="BN8757" s="192"/>
      <c r="BO8757" s="197"/>
      <c r="BP8757" s="197"/>
      <c r="BQ8757" s="197"/>
    </row>
    <row r="8758" spans="66:69" x14ac:dyDescent="0.2">
      <c r="BN8758" s="192"/>
      <c r="BO8758" s="197"/>
      <c r="BP8758" s="197"/>
      <c r="BQ8758" s="197"/>
    </row>
    <row r="8759" spans="66:69" x14ac:dyDescent="0.2">
      <c r="BN8759" s="192"/>
      <c r="BO8759" s="197"/>
      <c r="BP8759" s="197"/>
      <c r="BQ8759" s="197"/>
    </row>
    <row r="8760" spans="66:69" x14ac:dyDescent="0.2">
      <c r="BN8760" s="192"/>
      <c r="BO8760" s="197"/>
      <c r="BP8760" s="197"/>
      <c r="BQ8760" s="197"/>
    </row>
    <row r="8761" spans="66:69" x14ac:dyDescent="0.2">
      <c r="BN8761" s="192"/>
      <c r="BO8761" s="197"/>
      <c r="BP8761" s="197"/>
      <c r="BQ8761" s="197"/>
    </row>
    <row r="8762" spans="66:69" x14ac:dyDescent="0.2">
      <c r="BN8762" s="192"/>
      <c r="BO8762" s="197"/>
      <c r="BP8762" s="197"/>
      <c r="BQ8762" s="197"/>
    </row>
    <row r="8763" spans="66:69" x14ac:dyDescent="0.2">
      <c r="BN8763" s="192"/>
      <c r="BO8763" s="197"/>
      <c r="BP8763" s="197"/>
      <c r="BQ8763" s="197"/>
    </row>
    <row r="8764" spans="66:69" x14ac:dyDescent="0.2">
      <c r="BN8764" s="192"/>
      <c r="BO8764" s="197"/>
      <c r="BP8764" s="197"/>
      <c r="BQ8764" s="197"/>
    </row>
    <row r="8765" spans="66:69" x14ac:dyDescent="0.2">
      <c r="BN8765" s="192"/>
      <c r="BO8765" s="197"/>
      <c r="BP8765" s="197"/>
      <c r="BQ8765" s="197"/>
    </row>
    <row r="8766" spans="66:69" x14ac:dyDescent="0.2">
      <c r="BN8766" s="192"/>
      <c r="BO8766" s="197"/>
      <c r="BP8766" s="197"/>
      <c r="BQ8766" s="197"/>
    </row>
    <row r="8767" spans="66:69" x14ac:dyDescent="0.2">
      <c r="BN8767" s="192"/>
      <c r="BO8767" s="197"/>
      <c r="BP8767" s="197"/>
      <c r="BQ8767" s="197"/>
    </row>
    <row r="8768" spans="66:69" x14ac:dyDescent="0.2">
      <c r="BN8768" s="192"/>
      <c r="BO8768" s="197"/>
      <c r="BP8768" s="197"/>
      <c r="BQ8768" s="197"/>
    </row>
    <row r="8769" spans="66:69" x14ac:dyDescent="0.2">
      <c r="BN8769" s="192"/>
      <c r="BO8769" s="197"/>
      <c r="BP8769" s="197"/>
      <c r="BQ8769" s="197"/>
    </row>
    <row r="8770" spans="66:69" x14ac:dyDescent="0.2">
      <c r="BN8770" s="192"/>
      <c r="BO8770" s="197"/>
      <c r="BP8770" s="197"/>
      <c r="BQ8770" s="197"/>
    </row>
    <row r="8771" spans="66:69" x14ac:dyDescent="0.2">
      <c r="BN8771" s="192"/>
      <c r="BO8771" s="197"/>
      <c r="BP8771" s="197"/>
      <c r="BQ8771" s="197"/>
    </row>
    <row r="8772" spans="66:69" x14ac:dyDescent="0.2">
      <c r="BN8772" s="192"/>
      <c r="BO8772" s="197"/>
      <c r="BP8772" s="197"/>
      <c r="BQ8772" s="197"/>
    </row>
    <row r="8773" spans="66:69" x14ac:dyDescent="0.2">
      <c r="BN8773" s="192"/>
      <c r="BO8773" s="197"/>
      <c r="BP8773" s="197"/>
      <c r="BQ8773" s="197"/>
    </row>
    <row r="8774" spans="66:69" x14ac:dyDescent="0.2">
      <c r="BN8774" s="192"/>
      <c r="BO8774" s="197"/>
      <c r="BP8774" s="197"/>
      <c r="BQ8774" s="197"/>
    </row>
    <row r="8775" spans="66:69" x14ac:dyDescent="0.2">
      <c r="BN8775" s="192"/>
      <c r="BO8775" s="197"/>
      <c r="BP8775" s="197"/>
      <c r="BQ8775" s="197"/>
    </row>
    <row r="8776" spans="66:69" x14ac:dyDescent="0.2">
      <c r="BN8776" s="192"/>
      <c r="BO8776" s="197"/>
      <c r="BP8776" s="197"/>
      <c r="BQ8776" s="197"/>
    </row>
    <row r="8777" spans="66:69" x14ac:dyDescent="0.2">
      <c r="BN8777" s="192"/>
      <c r="BO8777" s="197"/>
      <c r="BP8777" s="197"/>
      <c r="BQ8777" s="197"/>
    </row>
    <row r="8778" spans="66:69" x14ac:dyDescent="0.2">
      <c r="BN8778" s="192"/>
      <c r="BO8778" s="197"/>
      <c r="BP8778" s="197"/>
      <c r="BQ8778" s="197"/>
    </row>
    <row r="8779" spans="66:69" x14ac:dyDescent="0.2">
      <c r="BN8779" s="192"/>
      <c r="BO8779" s="197"/>
      <c r="BP8779" s="197"/>
      <c r="BQ8779" s="197"/>
    </row>
    <row r="8780" spans="66:69" x14ac:dyDescent="0.2">
      <c r="BN8780" s="192"/>
      <c r="BO8780" s="197"/>
      <c r="BP8780" s="197"/>
      <c r="BQ8780" s="197"/>
    </row>
    <row r="8781" spans="66:69" x14ac:dyDescent="0.2">
      <c r="BN8781" s="192"/>
      <c r="BO8781" s="197"/>
      <c r="BP8781" s="197"/>
      <c r="BQ8781" s="197"/>
    </row>
    <row r="8782" spans="66:69" x14ac:dyDescent="0.2">
      <c r="BN8782" s="192"/>
      <c r="BO8782" s="197"/>
      <c r="BP8782" s="197"/>
      <c r="BQ8782" s="197"/>
    </row>
    <row r="8783" spans="66:69" x14ac:dyDescent="0.2">
      <c r="BN8783" s="192"/>
      <c r="BO8783" s="197"/>
      <c r="BP8783" s="197"/>
      <c r="BQ8783" s="197"/>
    </row>
    <row r="8784" spans="66:69" x14ac:dyDescent="0.2">
      <c r="BN8784" s="192"/>
      <c r="BO8784" s="197"/>
      <c r="BP8784" s="197"/>
      <c r="BQ8784" s="197"/>
    </row>
    <row r="8785" spans="66:69" x14ac:dyDescent="0.2">
      <c r="BN8785" s="192"/>
      <c r="BO8785" s="197"/>
      <c r="BP8785" s="197"/>
      <c r="BQ8785" s="197"/>
    </row>
    <row r="8786" spans="66:69" x14ac:dyDescent="0.2">
      <c r="BN8786" s="192"/>
      <c r="BO8786" s="197"/>
      <c r="BP8786" s="197"/>
      <c r="BQ8786" s="197"/>
    </row>
    <row r="8787" spans="66:69" x14ac:dyDescent="0.2">
      <c r="BN8787" s="192"/>
      <c r="BO8787" s="197"/>
      <c r="BP8787" s="197"/>
      <c r="BQ8787" s="197"/>
    </row>
    <row r="8788" spans="66:69" x14ac:dyDescent="0.2">
      <c r="BN8788" s="192"/>
      <c r="BO8788" s="197"/>
      <c r="BP8788" s="197"/>
      <c r="BQ8788" s="197"/>
    </row>
    <row r="8789" spans="66:69" x14ac:dyDescent="0.2">
      <c r="BN8789" s="192"/>
      <c r="BO8789" s="197"/>
      <c r="BP8789" s="197"/>
      <c r="BQ8789" s="197"/>
    </row>
    <row r="8790" spans="66:69" x14ac:dyDescent="0.2">
      <c r="BN8790" s="192"/>
      <c r="BO8790" s="197"/>
      <c r="BP8790" s="197"/>
      <c r="BQ8790" s="197"/>
    </row>
    <row r="8791" spans="66:69" x14ac:dyDescent="0.2">
      <c r="BN8791" s="192"/>
      <c r="BO8791" s="197"/>
      <c r="BP8791" s="197"/>
      <c r="BQ8791" s="197"/>
    </row>
    <row r="8792" spans="66:69" x14ac:dyDescent="0.2">
      <c r="BN8792" s="192"/>
      <c r="BO8792" s="197"/>
      <c r="BP8792" s="197"/>
      <c r="BQ8792" s="197"/>
    </row>
    <row r="8793" spans="66:69" x14ac:dyDescent="0.2">
      <c r="BN8793" s="192"/>
      <c r="BO8793" s="197"/>
      <c r="BP8793" s="197"/>
      <c r="BQ8793" s="197"/>
    </row>
    <row r="8794" spans="66:69" x14ac:dyDescent="0.2">
      <c r="BN8794" s="192"/>
      <c r="BO8794" s="197"/>
      <c r="BP8794" s="197"/>
      <c r="BQ8794" s="197"/>
    </row>
    <row r="8795" spans="66:69" x14ac:dyDescent="0.2">
      <c r="BN8795" s="192"/>
      <c r="BO8795" s="197"/>
      <c r="BP8795" s="197"/>
      <c r="BQ8795" s="197"/>
    </row>
    <row r="8796" spans="66:69" x14ac:dyDescent="0.2">
      <c r="BN8796" s="192"/>
      <c r="BO8796" s="197"/>
      <c r="BP8796" s="197"/>
      <c r="BQ8796" s="197"/>
    </row>
    <row r="8797" spans="66:69" x14ac:dyDescent="0.2">
      <c r="BN8797" s="192"/>
      <c r="BO8797" s="197"/>
      <c r="BP8797" s="197"/>
      <c r="BQ8797" s="197"/>
    </row>
    <row r="8798" spans="66:69" x14ac:dyDescent="0.2">
      <c r="BN8798" s="192"/>
      <c r="BO8798" s="197"/>
      <c r="BP8798" s="197"/>
      <c r="BQ8798" s="197"/>
    </row>
    <row r="8799" spans="66:69" x14ac:dyDescent="0.2">
      <c r="BN8799" s="192"/>
      <c r="BO8799" s="197"/>
      <c r="BP8799" s="197"/>
      <c r="BQ8799" s="197"/>
    </row>
    <row r="8800" spans="66:69" x14ac:dyDescent="0.2">
      <c r="BN8800" s="192"/>
      <c r="BO8800" s="197"/>
      <c r="BP8800" s="197"/>
      <c r="BQ8800" s="197"/>
    </row>
    <row r="8801" spans="66:69" x14ac:dyDescent="0.2">
      <c r="BN8801" s="192"/>
      <c r="BO8801" s="197"/>
      <c r="BP8801" s="197"/>
      <c r="BQ8801" s="197"/>
    </row>
    <row r="8802" spans="66:69" x14ac:dyDescent="0.2">
      <c r="BN8802" s="192"/>
      <c r="BO8802" s="197"/>
      <c r="BP8802" s="197"/>
      <c r="BQ8802" s="197"/>
    </row>
    <row r="8803" spans="66:69" x14ac:dyDescent="0.2">
      <c r="BN8803" s="192"/>
      <c r="BO8803" s="197"/>
      <c r="BP8803" s="197"/>
      <c r="BQ8803" s="197"/>
    </row>
    <row r="8804" spans="66:69" x14ac:dyDescent="0.2">
      <c r="BN8804" s="192"/>
      <c r="BO8804" s="197"/>
      <c r="BP8804" s="197"/>
      <c r="BQ8804" s="197"/>
    </row>
    <row r="8805" spans="66:69" x14ac:dyDescent="0.2">
      <c r="BN8805" s="192"/>
      <c r="BO8805" s="197"/>
      <c r="BP8805" s="197"/>
      <c r="BQ8805" s="197"/>
    </row>
    <row r="8806" spans="66:69" x14ac:dyDescent="0.2">
      <c r="BN8806" s="192"/>
      <c r="BO8806" s="197"/>
      <c r="BP8806" s="197"/>
      <c r="BQ8806" s="197"/>
    </row>
    <row r="8807" spans="66:69" x14ac:dyDescent="0.2">
      <c r="BN8807" s="192"/>
      <c r="BO8807" s="197"/>
      <c r="BP8807" s="197"/>
      <c r="BQ8807" s="197"/>
    </row>
    <row r="8808" spans="66:69" x14ac:dyDescent="0.2">
      <c r="BN8808" s="192"/>
      <c r="BO8808" s="197"/>
      <c r="BP8808" s="197"/>
      <c r="BQ8808" s="197"/>
    </row>
    <row r="8809" spans="66:69" x14ac:dyDescent="0.2">
      <c r="BN8809" s="192"/>
      <c r="BO8809" s="197"/>
      <c r="BP8809" s="197"/>
      <c r="BQ8809" s="197"/>
    </row>
    <row r="8810" spans="66:69" x14ac:dyDescent="0.2">
      <c r="BN8810" s="192"/>
      <c r="BO8810" s="197"/>
      <c r="BP8810" s="197"/>
      <c r="BQ8810" s="197"/>
    </row>
    <row r="8811" spans="66:69" x14ac:dyDescent="0.2">
      <c r="BN8811" s="192"/>
      <c r="BO8811" s="197"/>
      <c r="BP8811" s="197"/>
      <c r="BQ8811" s="197"/>
    </row>
    <row r="8812" spans="66:69" x14ac:dyDescent="0.2">
      <c r="BN8812" s="192"/>
      <c r="BO8812" s="197"/>
      <c r="BP8812" s="197"/>
      <c r="BQ8812" s="197"/>
    </row>
    <row r="8813" spans="66:69" x14ac:dyDescent="0.2">
      <c r="BN8813" s="192"/>
      <c r="BO8813" s="197"/>
      <c r="BP8813" s="197"/>
      <c r="BQ8813" s="197"/>
    </row>
    <row r="8814" spans="66:69" x14ac:dyDescent="0.2">
      <c r="BN8814" s="192"/>
      <c r="BO8814" s="197"/>
      <c r="BP8814" s="197"/>
      <c r="BQ8814" s="197"/>
    </row>
    <row r="8815" spans="66:69" x14ac:dyDescent="0.2">
      <c r="BN8815" s="192"/>
      <c r="BO8815" s="197"/>
      <c r="BP8815" s="197"/>
      <c r="BQ8815" s="197"/>
    </row>
    <row r="8816" spans="66:69" x14ac:dyDescent="0.2">
      <c r="BN8816" s="192"/>
      <c r="BO8816" s="197"/>
      <c r="BP8816" s="197"/>
      <c r="BQ8816" s="197"/>
    </row>
    <row r="8817" spans="66:69" x14ac:dyDescent="0.2">
      <c r="BN8817" s="192"/>
      <c r="BO8817" s="197"/>
      <c r="BP8817" s="197"/>
      <c r="BQ8817" s="197"/>
    </row>
    <row r="8818" spans="66:69" x14ac:dyDescent="0.2">
      <c r="BN8818" s="192"/>
      <c r="BO8818" s="197"/>
      <c r="BP8818" s="197"/>
      <c r="BQ8818" s="197"/>
    </row>
    <row r="8819" spans="66:69" x14ac:dyDescent="0.2">
      <c r="BN8819" s="192"/>
      <c r="BO8819" s="197"/>
      <c r="BP8819" s="197"/>
      <c r="BQ8819" s="197"/>
    </row>
    <row r="8820" spans="66:69" x14ac:dyDescent="0.2">
      <c r="BN8820" s="192"/>
      <c r="BO8820" s="197"/>
      <c r="BP8820" s="197"/>
      <c r="BQ8820" s="197"/>
    </row>
    <row r="8821" spans="66:69" x14ac:dyDescent="0.2">
      <c r="BN8821" s="192"/>
      <c r="BO8821" s="197"/>
      <c r="BP8821" s="197"/>
      <c r="BQ8821" s="197"/>
    </row>
    <row r="8822" spans="66:69" x14ac:dyDescent="0.2">
      <c r="BN8822" s="192"/>
      <c r="BO8822" s="197"/>
      <c r="BP8822" s="197"/>
      <c r="BQ8822" s="197"/>
    </row>
    <row r="8823" spans="66:69" x14ac:dyDescent="0.2">
      <c r="BN8823" s="192"/>
      <c r="BO8823" s="197"/>
      <c r="BP8823" s="197"/>
      <c r="BQ8823" s="197"/>
    </row>
    <row r="8824" spans="66:69" x14ac:dyDescent="0.2">
      <c r="BN8824" s="192"/>
      <c r="BO8824" s="197"/>
      <c r="BP8824" s="197"/>
      <c r="BQ8824" s="197"/>
    </row>
    <row r="8825" spans="66:69" x14ac:dyDescent="0.2">
      <c r="BN8825" s="192"/>
      <c r="BO8825" s="197"/>
      <c r="BP8825" s="197"/>
      <c r="BQ8825" s="197"/>
    </row>
    <row r="8826" spans="66:69" x14ac:dyDescent="0.2">
      <c r="BN8826" s="192"/>
      <c r="BO8826" s="197"/>
      <c r="BP8826" s="197"/>
      <c r="BQ8826" s="197"/>
    </row>
    <row r="8827" spans="66:69" x14ac:dyDescent="0.2">
      <c r="BN8827" s="192"/>
      <c r="BO8827" s="197"/>
      <c r="BP8827" s="197"/>
      <c r="BQ8827" s="197"/>
    </row>
    <row r="8828" spans="66:69" x14ac:dyDescent="0.2">
      <c r="BN8828" s="192"/>
      <c r="BO8828" s="197"/>
      <c r="BP8828" s="197"/>
      <c r="BQ8828" s="197"/>
    </row>
    <row r="8829" spans="66:69" x14ac:dyDescent="0.2">
      <c r="BN8829" s="192"/>
      <c r="BO8829" s="197"/>
      <c r="BP8829" s="197"/>
      <c r="BQ8829" s="197"/>
    </row>
    <row r="8830" spans="66:69" x14ac:dyDescent="0.2">
      <c r="BN8830" s="192"/>
      <c r="BO8830" s="197"/>
      <c r="BP8830" s="197"/>
      <c r="BQ8830" s="197"/>
    </row>
    <row r="8831" spans="66:69" x14ac:dyDescent="0.2">
      <c r="BN8831" s="192"/>
      <c r="BO8831" s="197"/>
      <c r="BP8831" s="197"/>
      <c r="BQ8831" s="197"/>
    </row>
    <row r="8832" spans="66:69" x14ac:dyDescent="0.2">
      <c r="BN8832" s="192"/>
      <c r="BO8832" s="197"/>
      <c r="BP8832" s="197"/>
      <c r="BQ8832" s="197"/>
    </row>
    <row r="8833" spans="66:69" x14ac:dyDescent="0.2">
      <c r="BN8833" s="192"/>
      <c r="BO8833" s="197"/>
      <c r="BP8833" s="197"/>
      <c r="BQ8833" s="197"/>
    </row>
    <row r="8834" spans="66:69" x14ac:dyDescent="0.2">
      <c r="BN8834" s="192"/>
      <c r="BO8834" s="197"/>
      <c r="BP8834" s="197"/>
      <c r="BQ8834" s="197"/>
    </row>
    <row r="8835" spans="66:69" x14ac:dyDescent="0.2">
      <c r="BN8835" s="192"/>
      <c r="BO8835" s="197"/>
      <c r="BP8835" s="197"/>
      <c r="BQ8835" s="197"/>
    </row>
    <row r="8836" spans="66:69" x14ac:dyDescent="0.2">
      <c r="BN8836" s="192"/>
      <c r="BO8836" s="197"/>
      <c r="BP8836" s="197"/>
      <c r="BQ8836" s="197"/>
    </row>
    <row r="8837" spans="66:69" x14ac:dyDescent="0.2">
      <c r="BN8837" s="192"/>
      <c r="BO8837" s="197"/>
      <c r="BP8837" s="197"/>
      <c r="BQ8837" s="197"/>
    </row>
    <row r="8838" spans="66:69" x14ac:dyDescent="0.2">
      <c r="BN8838" s="192"/>
      <c r="BO8838" s="197"/>
      <c r="BP8838" s="197"/>
      <c r="BQ8838" s="197"/>
    </row>
    <row r="8839" spans="66:69" x14ac:dyDescent="0.2">
      <c r="BN8839" s="192"/>
      <c r="BO8839" s="197"/>
      <c r="BP8839" s="197"/>
      <c r="BQ8839" s="197"/>
    </row>
    <row r="8840" spans="66:69" x14ac:dyDescent="0.2">
      <c r="BN8840" s="192"/>
      <c r="BO8840" s="197"/>
      <c r="BP8840" s="197"/>
      <c r="BQ8840" s="197"/>
    </row>
    <row r="8841" spans="66:69" x14ac:dyDescent="0.2">
      <c r="BN8841" s="192"/>
      <c r="BO8841" s="197"/>
      <c r="BP8841" s="197"/>
      <c r="BQ8841" s="197"/>
    </row>
    <row r="8842" spans="66:69" x14ac:dyDescent="0.2">
      <c r="BN8842" s="192"/>
      <c r="BO8842" s="197"/>
      <c r="BP8842" s="197"/>
      <c r="BQ8842" s="197"/>
    </row>
    <row r="8843" spans="66:69" x14ac:dyDescent="0.2">
      <c r="BN8843" s="192"/>
      <c r="BO8843" s="197"/>
      <c r="BP8843" s="197"/>
      <c r="BQ8843" s="197"/>
    </row>
    <row r="8844" spans="66:69" x14ac:dyDescent="0.2">
      <c r="BN8844" s="192"/>
      <c r="BO8844" s="197"/>
      <c r="BP8844" s="197"/>
      <c r="BQ8844" s="197"/>
    </row>
    <row r="8845" spans="66:69" x14ac:dyDescent="0.2">
      <c r="BN8845" s="192"/>
      <c r="BO8845" s="197"/>
      <c r="BP8845" s="197"/>
      <c r="BQ8845" s="197"/>
    </row>
    <row r="8846" spans="66:69" x14ac:dyDescent="0.2">
      <c r="BN8846" s="192"/>
      <c r="BO8846" s="197"/>
      <c r="BP8846" s="197"/>
      <c r="BQ8846" s="197"/>
    </row>
    <row r="8847" spans="66:69" x14ac:dyDescent="0.2">
      <c r="BN8847" s="192"/>
      <c r="BO8847" s="197"/>
      <c r="BP8847" s="197"/>
      <c r="BQ8847" s="197"/>
    </row>
    <row r="8848" spans="66:69" x14ac:dyDescent="0.2">
      <c r="BN8848" s="192"/>
      <c r="BO8848" s="197"/>
      <c r="BP8848" s="197"/>
      <c r="BQ8848" s="197"/>
    </row>
    <row r="8849" spans="66:69" x14ac:dyDescent="0.2">
      <c r="BN8849" s="192"/>
      <c r="BO8849" s="197"/>
      <c r="BP8849" s="197"/>
      <c r="BQ8849" s="197"/>
    </row>
    <row r="8850" spans="66:69" x14ac:dyDescent="0.2">
      <c r="BN8850" s="192"/>
      <c r="BO8850" s="197"/>
      <c r="BP8850" s="197"/>
      <c r="BQ8850" s="197"/>
    </row>
    <row r="8851" spans="66:69" x14ac:dyDescent="0.2">
      <c r="BN8851" s="192"/>
      <c r="BO8851" s="197"/>
      <c r="BP8851" s="197"/>
      <c r="BQ8851" s="197"/>
    </row>
    <row r="8852" spans="66:69" x14ac:dyDescent="0.2">
      <c r="BN8852" s="192"/>
      <c r="BO8852" s="197"/>
      <c r="BP8852" s="197"/>
      <c r="BQ8852" s="197"/>
    </row>
    <row r="8853" spans="66:69" x14ac:dyDescent="0.2">
      <c r="BN8853" s="192"/>
      <c r="BO8853" s="197"/>
      <c r="BP8853" s="197"/>
      <c r="BQ8853" s="197"/>
    </row>
    <row r="8854" spans="66:69" x14ac:dyDescent="0.2">
      <c r="BN8854" s="192"/>
      <c r="BO8854" s="197"/>
      <c r="BP8854" s="197"/>
      <c r="BQ8854" s="197"/>
    </row>
    <row r="8855" spans="66:69" x14ac:dyDescent="0.2">
      <c r="BN8855" s="192"/>
      <c r="BO8855" s="197"/>
      <c r="BP8855" s="197"/>
      <c r="BQ8855" s="197"/>
    </row>
    <row r="8856" spans="66:69" x14ac:dyDescent="0.2">
      <c r="BN8856" s="192"/>
      <c r="BO8856" s="197"/>
      <c r="BP8856" s="197"/>
      <c r="BQ8856" s="197"/>
    </row>
    <row r="8857" spans="66:69" x14ac:dyDescent="0.2">
      <c r="BN8857" s="192"/>
      <c r="BO8857" s="197"/>
      <c r="BP8857" s="197"/>
      <c r="BQ8857" s="197"/>
    </row>
    <row r="8858" spans="66:69" x14ac:dyDescent="0.2">
      <c r="BN8858" s="192"/>
      <c r="BO8858" s="197"/>
      <c r="BP8858" s="197"/>
      <c r="BQ8858" s="197"/>
    </row>
    <row r="8859" spans="66:69" x14ac:dyDescent="0.2">
      <c r="BN8859" s="192"/>
      <c r="BO8859" s="197"/>
      <c r="BP8859" s="197"/>
      <c r="BQ8859" s="197"/>
    </row>
    <row r="8860" spans="66:69" x14ac:dyDescent="0.2">
      <c r="BN8860" s="192"/>
      <c r="BO8860" s="197"/>
      <c r="BP8860" s="197"/>
      <c r="BQ8860" s="197"/>
    </row>
    <row r="8861" spans="66:69" x14ac:dyDescent="0.2">
      <c r="BN8861" s="192"/>
      <c r="BO8861" s="197"/>
      <c r="BP8861" s="197"/>
      <c r="BQ8861" s="197"/>
    </row>
    <row r="8862" spans="66:69" x14ac:dyDescent="0.2">
      <c r="BN8862" s="192"/>
      <c r="BO8862" s="197"/>
      <c r="BP8862" s="197"/>
      <c r="BQ8862" s="197"/>
    </row>
    <row r="8863" spans="66:69" x14ac:dyDescent="0.2">
      <c r="BN8863" s="192"/>
      <c r="BO8863" s="197"/>
      <c r="BP8863" s="197"/>
      <c r="BQ8863" s="197"/>
    </row>
    <row r="8864" spans="66:69" x14ac:dyDescent="0.2">
      <c r="BN8864" s="192"/>
      <c r="BO8864" s="197"/>
      <c r="BP8864" s="197"/>
      <c r="BQ8864" s="197"/>
    </row>
    <row r="8865" spans="66:69" x14ac:dyDescent="0.2">
      <c r="BN8865" s="192"/>
      <c r="BO8865" s="197"/>
      <c r="BP8865" s="197"/>
      <c r="BQ8865" s="197"/>
    </row>
    <row r="8866" spans="66:69" x14ac:dyDescent="0.2">
      <c r="BN8866" s="192"/>
      <c r="BO8866" s="197"/>
      <c r="BP8866" s="197"/>
      <c r="BQ8866" s="197"/>
    </row>
    <row r="8867" spans="66:69" x14ac:dyDescent="0.2">
      <c r="BN8867" s="192"/>
      <c r="BO8867" s="197"/>
      <c r="BP8867" s="197"/>
      <c r="BQ8867" s="197"/>
    </row>
    <row r="8868" spans="66:69" x14ac:dyDescent="0.2">
      <c r="BN8868" s="192"/>
      <c r="BO8868" s="197"/>
      <c r="BP8868" s="197"/>
      <c r="BQ8868" s="197"/>
    </row>
    <row r="8869" spans="66:69" x14ac:dyDescent="0.2">
      <c r="BN8869" s="192"/>
      <c r="BO8869" s="197"/>
      <c r="BP8869" s="197"/>
      <c r="BQ8869" s="197"/>
    </row>
    <row r="8870" spans="66:69" x14ac:dyDescent="0.2">
      <c r="BN8870" s="192"/>
      <c r="BO8870" s="197"/>
      <c r="BP8870" s="197"/>
      <c r="BQ8870" s="197"/>
    </row>
    <row r="8871" spans="66:69" x14ac:dyDescent="0.2">
      <c r="BN8871" s="192"/>
      <c r="BO8871" s="197"/>
      <c r="BP8871" s="197"/>
      <c r="BQ8871" s="197"/>
    </row>
    <row r="8872" spans="66:69" x14ac:dyDescent="0.2">
      <c r="BN8872" s="192"/>
      <c r="BO8872" s="197"/>
      <c r="BP8872" s="197"/>
      <c r="BQ8872" s="197"/>
    </row>
    <row r="8873" spans="66:69" x14ac:dyDescent="0.2">
      <c r="BN8873" s="192"/>
      <c r="BO8873" s="197"/>
      <c r="BP8873" s="197"/>
      <c r="BQ8873" s="197"/>
    </row>
    <row r="8874" spans="66:69" x14ac:dyDescent="0.2">
      <c r="BN8874" s="192"/>
      <c r="BO8874" s="197"/>
      <c r="BP8874" s="197"/>
      <c r="BQ8874" s="197"/>
    </row>
    <row r="8875" spans="66:69" x14ac:dyDescent="0.2">
      <c r="BN8875" s="192"/>
      <c r="BO8875" s="197"/>
      <c r="BP8875" s="197"/>
      <c r="BQ8875" s="197"/>
    </row>
    <row r="8876" spans="66:69" x14ac:dyDescent="0.2">
      <c r="BN8876" s="192"/>
      <c r="BO8876" s="197"/>
      <c r="BP8876" s="197"/>
      <c r="BQ8876" s="197"/>
    </row>
    <row r="8877" spans="66:69" x14ac:dyDescent="0.2">
      <c r="BN8877" s="192"/>
      <c r="BO8877" s="197"/>
      <c r="BP8877" s="197"/>
      <c r="BQ8877" s="197"/>
    </row>
    <row r="8878" spans="66:69" x14ac:dyDescent="0.2">
      <c r="BN8878" s="192"/>
      <c r="BO8878" s="197"/>
      <c r="BP8878" s="197"/>
      <c r="BQ8878" s="197"/>
    </row>
    <row r="8879" spans="66:69" x14ac:dyDescent="0.2">
      <c r="BN8879" s="192"/>
      <c r="BO8879" s="197"/>
      <c r="BP8879" s="197"/>
      <c r="BQ8879" s="197"/>
    </row>
    <row r="8880" spans="66:69" x14ac:dyDescent="0.2">
      <c r="BN8880" s="192"/>
      <c r="BO8880" s="197"/>
      <c r="BP8880" s="197"/>
      <c r="BQ8880" s="197"/>
    </row>
    <row r="8881" spans="66:69" x14ac:dyDescent="0.2">
      <c r="BN8881" s="192"/>
      <c r="BO8881" s="197"/>
      <c r="BP8881" s="197"/>
      <c r="BQ8881" s="197"/>
    </row>
    <row r="8882" spans="66:69" x14ac:dyDescent="0.2">
      <c r="BN8882" s="192"/>
      <c r="BO8882" s="197"/>
      <c r="BP8882" s="197"/>
      <c r="BQ8882" s="197"/>
    </row>
    <row r="8883" spans="66:69" x14ac:dyDescent="0.2">
      <c r="BN8883" s="192"/>
      <c r="BO8883" s="197"/>
      <c r="BP8883" s="197"/>
      <c r="BQ8883" s="197"/>
    </row>
    <row r="8884" spans="66:69" x14ac:dyDescent="0.2">
      <c r="BN8884" s="192"/>
      <c r="BO8884" s="197"/>
      <c r="BP8884" s="197"/>
      <c r="BQ8884" s="197"/>
    </row>
    <row r="8885" spans="66:69" x14ac:dyDescent="0.2">
      <c r="BN8885" s="192"/>
      <c r="BO8885" s="197"/>
      <c r="BP8885" s="197"/>
      <c r="BQ8885" s="197"/>
    </row>
    <row r="8886" spans="66:69" x14ac:dyDescent="0.2">
      <c r="BN8886" s="192"/>
      <c r="BO8886" s="197"/>
      <c r="BP8886" s="197"/>
      <c r="BQ8886" s="197"/>
    </row>
    <row r="8887" spans="66:69" x14ac:dyDescent="0.2">
      <c r="BN8887" s="192"/>
      <c r="BO8887" s="197"/>
      <c r="BP8887" s="197"/>
      <c r="BQ8887" s="197"/>
    </row>
    <row r="8888" spans="66:69" x14ac:dyDescent="0.2">
      <c r="BN8888" s="192"/>
      <c r="BO8888" s="197"/>
      <c r="BP8888" s="197"/>
      <c r="BQ8888" s="197"/>
    </row>
    <row r="8889" spans="66:69" x14ac:dyDescent="0.2">
      <c r="BN8889" s="192"/>
      <c r="BO8889" s="197"/>
      <c r="BP8889" s="197"/>
      <c r="BQ8889" s="197"/>
    </row>
    <row r="8890" spans="66:69" x14ac:dyDescent="0.2">
      <c r="BN8890" s="192"/>
      <c r="BO8890" s="197"/>
      <c r="BP8890" s="197"/>
      <c r="BQ8890" s="197"/>
    </row>
    <row r="8891" spans="66:69" x14ac:dyDescent="0.2">
      <c r="BN8891" s="192"/>
      <c r="BO8891" s="197"/>
      <c r="BP8891" s="197"/>
      <c r="BQ8891" s="197"/>
    </row>
    <row r="8892" spans="66:69" x14ac:dyDescent="0.2">
      <c r="BN8892" s="192"/>
      <c r="BO8892" s="197"/>
      <c r="BP8892" s="197"/>
      <c r="BQ8892" s="197"/>
    </row>
    <row r="8893" spans="66:69" x14ac:dyDescent="0.2">
      <c r="BN8893" s="192"/>
      <c r="BO8893" s="197"/>
      <c r="BP8893" s="197"/>
      <c r="BQ8893" s="197"/>
    </row>
    <row r="8894" spans="66:69" x14ac:dyDescent="0.2">
      <c r="BN8894" s="192"/>
      <c r="BO8894" s="197"/>
      <c r="BP8894" s="197"/>
      <c r="BQ8894" s="197"/>
    </row>
    <row r="8895" spans="66:69" x14ac:dyDescent="0.2">
      <c r="BN8895" s="192"/>
      <c r="BO8895" s="197"/>
      <c r="BP8895" s="197"/>
      <c r="BQ8895" s="197"/>
    </row>
    <row r="8896" spans="66:69" x14ac:dyDescent="0.2">
      <c r="BN8896" s="192"/>
      <c r="BO8896" s="197"/>
      <c r="BP8896" s="197"/>
      <c r="BQ8896" s="197"/>
    </row>
    <row r="8897" spans="66:69" x14ac:dyDescent="0.2">
      <c r="BN8897" s="192"/>
      <c r="BO8897" s="197"/>
      <c r="BP8897" s="197"/>
      <c r="BQ8897" s="197"/>
    </row>
    <row r="8898" spans="66:69" x14ac:dyDescent="0.2">
      <c r="BN8898" s="192"/>
      <c r="BO8898" s="197"/>
      <c r="BP8898" s="197"/>
      <c r="BQ8898" s="197"/>
    </row>
    <row r="8899" spans="66:69" x14ac:dyDescent="0.2">
      <c r="BN8899" s="192"/>
      <c r="BO8899" s="197"/>
      <c r="BP8899" s="197"/>
      <c r="BQ8899" s="197"/>
    </row>
    <row r="8900" spans="66:69" x14ac:dyDescent="0.2">
      <c r="BN8900" s="192"/>
      <c r="BO8900" s="197"/>
      <c r="BP8900" s="197"/>
      <c r="BQ8900" s="197"/>
    </row>
    <row r="8901" spans="66:69" x14ac:dyDescent="0.2">
      <c r="BN8901" s="192"/>
      <c r="BO8901" s="197"/>
      <c r="BP8901" s="197"/>
      <c r="BQ8901" s="197"/>
    </row>
    <row r="8902" spans="66:69" x14ac:dyDescent="0.2">
      <c r="BN8902" s="192"/>
      <c r="BO8902" s="197"/>
      <c r="BP8902" s="197"/>
      <c r="BQ8902" s="197"/>
    </row>
    <row r="8903" spans="66:69" x14ac:dyDescent="0.2">
      <c r="BN8903" s="192"/>
      <c r="BO8903" s="197"/>
      <c r="BP8903" s="197"/>
      <c r="BQ8903" s="197"/>
    </row>
    <row r="8904" spans="66:69" x14ac:dyDescent="0.2">
      <c r="BN8904" s="192"/>
      <c r="BO8904" s="197"/>
      <c r="BP8904" s="197"/>
      <c r="BQ8904" s="197"/>
    </row>
    <row r="8905" spans="66:69" x14ac:dyDescent="0.2">
      <c r="BN8905" s="192"/>
      <c r="BO8905" s="197"/>
      <c r="BP8905" s="197"/>
      <c r="BQ8905" s="197"/>
    </row>
    <row r="8906" spans="66:69" x14ac:dyDescent="0.2">
      <c r="BN8906" s="192"/>
      <c r="BO8906" s="197"/>
      <c r="BP8906" s="197"/>
      <c r="BQ8906" s="197"/>
    </row>
    <row r="8907" spans="66:69" x14ac:dyDescent="0.2">
      <c r="BN8907" s="192"/>
      <c r="BO8907" s="197"/>
      <c r="BP8907" s="197"/>
      <c r="BQ8907" s="197"/>
    </row>
    <row r="8908" spans="66:69" x14ac:dyDescent="0.2">
      <c r="BN8908" s="192"/>
      <c r="BO8908" s="197"/>
      <c r="BP8908" s="197"/>
      <c r="BQ8908" s="197"/>
    </row>
    <row r="8909" spans="66:69" x14ac:dyDescent="0.2">
      <c r="BN8909" s="192"/>
      <c r="BO8909" s="197"/>
      <c r="BP8909" s="197"/>
      <c r="BQ8909" s="197"/>
    </row>
    <row r="8910" spans="66:69" x14ac:dyDescent="0.2">
      <c r="BN8910" s="192"/>
      <c r="BO8910" s="197"/>
      <c r="BP8910" s="197"/>
      <c r="BQ8910" s="197"/>
    </row>
    <row r="8911" spans="66:69" x14ac:dyDescent="0.2">
      <c r="BN8911" s="192"/>
      <c r="BO8911" s="197"/>
      <c r="BP8911" s="197"/>
      <c r="BQ8911" s="197"/>
    </row>
    <row r="8912" spans="66:69" x14ac:dyDescent="0.2">
      <c r="BN8912" s="192"/>
      <c r="BO8912" s="197"/>
      <c r="BP8912" s="197"/>
      <c r="BQ8912" s="197"/>
    </row>
    <row r="8913" spans="66:69" x14ac:dyDescent="0.2">
      <c r="BN8913" s="192"/>
      <c r="BO8913" s="197"/>
      <c r="BP8913" s="197"/>
      <c r="BQ8913" s="197"/>
    </row>
    <row r="8914" spans="66:69" x14ac:dyDescent="0.2">
      <c r="BN8914" s="192"/>
      <c r="BO8914" s="197"/>
      <c r="BP8914" s="197"/>
      <c r="BQ8914" s="197"/>
    </row>
    <row r="8915" spans="66:69" x14ac:dyDescent="0.2">
      <c r="BN8915" s="192"/>
      <c r="BO8915" s="197"/>
      <c r="BP8915" s="197"/>
      <c r="BQ8915" s="197"/>
    </row>
    <row r="8916" spans="66:69" x14ac:dyDescent="0.2">
      <c r="BN8916" s="192"/>
      <c r="BO8916" s="197"/>
      <c r="BP8916" s="197"/>
      <c r="BQ8916" s="197"/>
    </row>
    <row r="8917" spans="66:69" x14ac:dyDescent="0.2">
      <c r="BN8917" s="192"/>
      <c r="BO8917" s="197"/>
      <c r="BP8917" s="197"/>
      <c r="BQ8917" s="197"/>
    </row>
    <row r="8918" spans="66:69" x14ac:dyDescent="0.2">
      <c r="BN8918" s="192"/>
      <c r="BO8918" s="197"/>
      <c r="BP8918" s="197"/>
      <c r="BQ8918" s="197"/>
    </row>
    <row r="8919" spans="66:69" x14ac:dyDescent="0.2">
      <c r="BN8919" s="192"/>
      <c r="BO8919" s="197"/>
      <c r="BP8919" s="197"/>
      <c r="BQ8919" s="197"/>
    </row>
    <row r="8920" spans="66:69" x14ac:dyDescent="0.2">
      <c r="BN8920" s="192"/>
      <c r="BO8920" s="197"/>
      <c r="BP8920" s="197"/>
      <c r="BQ8920" s="197"/>
    </row>
    <row r="8921" spans="66:69" x14ac:dyDescent="0.2">
      <c r="BN8921" s="192"/>
      <c r="BO8921" s="197"/>
      <c r="BP8921" s="197"/>
      <c r="BQ8921" s="197"/>
    </row>
    <row r="8922" spans="66:69" x14ac:dyDescent="0.2">
      <c r="BN8922" s="192"/>
      <c r="BO8922" s="197"/>
      <c r="BP8922" s="197"/>
      <c r="BQ8922" s="197"/>
    </row>
    <row r="8923" spans="66:69" x14ac:dyDescent="0.2">
      <c r="BN8923" s="192"/>
      <c r="BO8923" s="197"/>
      <c r="BP8923" s="197"/>
      <c r="BQ8923" s="197"/>
    </row>
    <row r="8924" spans="66:69" x14ac:dyDescent="0.2">
      <c r="BN8924" s="192"/>
      <c r="BO8924" s="197"/>
      <c r="BP8924" s="197"/>
      <c r="BQ8924" s="197"/>
    </row>
    <row r="8925" spans="66:69" x14ac:dyDescent="0.2">
      <c r="BN8925" s="192"/>
      <c r="BO8925" s="197"/>
      <c r="BP8925" s="197"/>
      <c r="BQ8925" s="197"/>
    </row>
    <row r="8926" spans="66:69" x14ac:dyDescent="0.2">
      <c r="BN8926" s="192"/>
      <c r="BO8926" s="197"/>
      <c r="BP8926" s="197"/>
      <c r="BQ8926" s="197"/>
    </row>
    <row r="8927" spans="66:69" x14ac:dyDescent="0.2">
      <c r="BN8927" s="192"/>
      <c r="BO8927" s="197"/>
      <c r="BP8927" s="197"/>
      <c r="BQ8927" s="197"/>
    </row>
    <row r="8928" spans="66:69" x14ac:dyDescent="0.2">
      <c r="BN8928" s="192"/>
      <c r="BO8928" s="197"/>
      <c r="BP8928" s="197"/>
      <c r="BQ8928" s="197"/>
    </row>
    <row r="8929" spans="66:69" x14ac:dyDescent="0.2">
      <c r="BN8929" s="192"/>
      <c r="BO8929" s="197"/>
      <c r="BP8929" s="197"/>
      <c r="BQ8929" s="197"/>
    </row>
    <row r="8930" spans="66:69" x14ac:dyDescent="0.2">
      <c r="BN8930" s="192"/>
      <c r="BO8930" s="197"/>
      <c r="BP8930" s="197"/>
      <c r="BQ8930" s="197"/>
    </row>
    <row r="8931" spans="66:69" x14ac:dyDescent="0.2">
      <c r="BN8931" s="192"/>
      <c r="BO8931" s="197"/>
      <c r="BP8931" s="197"/>
      <c r="BQ8931" s="197"/>
    </row>
    <row r="8932" spans="66:69" x14ac:dyDescent="0.2">
      <c r="BN8932" s="192"/>
      <c r="BO8932" s="197"/>
      <c r="BP8932" s="197"/>
      <c r="BQ8932" s="197"/>
    </row>
    <row r="8933" spans="66:69" x14ac:dyDescent="0.2">
      <c r="BN8933" s="192"/>
      <c r="BO8933" s="197"/>
      <c r="BP8933" s="197"/>
      <c r="BQ8933" s="197"/>
    </row>
    <row r="8934" spans="66:69" x14ac:dyDescent="0.2">
      <c r="BN8934" s="192"/>
      <c r="BO8934" s="197"/>
      <c r="BP8934" s="197"/>
      <c r="BQ8934" s="197"/>
    </row>
    <row r="8935" spans="66:69" x14ac:dyDescent="0.2">
      <c r="BN8935" s="192"/>
      <c r="BO8935" s="197"/>
      <c r="BP8935" s="197"/>
      <c r="BQ8935" s="197"/>
    </row>
    <row r="8936" spans="66:69" x14ac:dyDescent="0.2">
      <c r="BN8936" s="192"/>
      <c r="BO8936" s="197"/>
      <c r="BP8936" s="197"/>
      <c r="BQ8936" s="197"/>
    </row>
    <row r="8937" spans="66:69" x14ac:dyDescent="0.2">
      <c r="BN8937" s="192"/>
      <c r="BO8937" s="197"/>
      <c r="BP8937" s="197"/>
      <c r="BQ8937" s="197"/>
    </row>
    <row r="8938" spans="66:69" x14ac:dyDescent="0.2">
      <c r="BN8938" s="192"/>
      <c r="BO8938" s="197"/>
      <c r="BP8938" s="197"/>
      <c r="BQ8938" s="197"/>
    </row>
    <row r="8939" spans="66:69" x14ac:dyDescent="0.2">
      <c r="BN8939" s="192"/>
      <c r="BO8939" s="197"/>
      <c r="BP8939" s="197"/>
      <c r="BQ8939" s="197"/>
    </row>
    <row r="8940" spans="66:69" x14ac:dyDescent="0.2">
      <c r="BN8940" s="192"/>
      <c r="BO8940" s="197"/>
      <c r="BP8940" s="197"/>
      <c r="BQ8940" s="197"/>
    </row>
    <row r="8941" spans="66:69" x14ac:dyDescent="0.2">
      <c r="BN8941" s="192"/>
      <c r="BO8941" s="197"/>
      <c r="BP8941" s="197"/>
      <c r="BQ8941" s="197"/>
    </row>
    <row r="8942" spans="66:69" x14ac:dyDescent="0.2">
      <c r="BN8942" s="192"/>
      <c r="BO8942" s="197"/>
      <c r="BP8942" s="197"/>
      <c r="BQ8942" s="197"/>
    </row>
    <row r="8943" spans="66:69" x14ac:dyDescent="0.2">
      <c r="BN8943" s="192"/>
      <c r="BO8943" s="197"/>
      <c r="BP8943" s="197"/>
      <c r="BQ8943" s="197"/>
    </row>
    <row r="8944" spans="66:69" x14ac:dyDescent="0.2">
      <c r="BN8944" s="192"/>
      <c r="BO8944" s="197"/>
      <c r="BP8944" s="197"/>
      <c r="BQ8944" s="197"/>
    </row>
    <row r="8945" spans="66:69" x14ac:dyDescent="0.2">
      <c r="BN8945" s="192"/>
      <c r="BO8945" s="197"/>
      <c r="BP8945" s="197"/>
      <c r="BQ8945" s="197"/>
    </row>
    <row r="8946" spans="66:69" x14ac:dyDescent="0.2">
      <c r="BN8946" s="192"/>
      <c r="BO8946" s="197"/>
      <c r="BP8946" s="197"/>
      <c r="BQ8946" s="197"/>
    </row>
    <row r="8947" spans="66:69" x14ac:dyDescent="0.2">
      <c r="BN8947" s="192"/>
      <c r="BO8947" s="197"/>
      <c r="BP8947" s="197"/>
      <c r="BQ8947" s="197"/>
    </row>
    <row r="8948" spans="66:69" x14ac:dyDescent="0.2">
      <c r="BN8948" s="192"/>
      <c r="BO8948" s="197"/>
      <c r="BP8948" s="197"/>
      <c r="BQ8948" s="197"/>
    </row>
    <row r="8949" spans="66:69" x14ac:dyDescent="0.2">
      <c r="BN8949" s="192"/>
      <c r="BO8949" s="197"/>
      <c r="BP8949" s="197"/>
      <c r="BQ8949" s="197"/>
    </row>
    <row r="8950" spans="66:69" x14ac:dyDescent="0.2">
      <c r="BN8950" s="192"/>
      <c r="BO8950" s="197"/>
      <c r="BP8950" s="197"/>
      <c r="BQ8950" s="197"/>
    </row>
    <row r="8951" spans="66:69" x14ac:dyDescent="0.2">
      <c r="BN8951" s="192"/>
      <c r="BO8951" s="197"/>
      <c r="BP8951" s="197"/>
      <c r="BQ8951" s="197"/>
    </row>
    <row r="8952" spans="66:69" x14ac:dyDescent="0.2">
      <c r="BN8952" s="192"/>
      <c r="BO8952" s="197"/>
      <c r="BP8952" s="197"/>
      <c r="BQ8952" s="197"/>
    </row>
    <row r="8953" spans="66:69" x14ac:dyDescent="0.2">
      <c r="BN8953" s="192"/>
      <c r="BO8953" s="197"/>
      <c r="BP8953" s="197"/>
      <c r="BQ8953" s="197"/>
    </row>
    <row r="8954" spans="66:69" x14ac:dyDescent="0.2">
      <c r="BN8954" s="192"/>
      <c r="BO8954" s="197"/>
      <c r="BP8954" s="197"/>
      <c r="BQ8954" s="197"/>
    </row>
    <row r="8955" spans="66:69" x14ac:dyDescent="0.2">
      <c r="BN8955" s="192"/>
      <c r="BO8955" s="197"/>
      <c r="BP8955" s="197"/>
      <c r="BQ8955" s="197"/>
    </row>
    <row r="8956" spans="66:69" x14ac:dyDescent="0.2">
      <c r="BN8956" s="192"/>
      <c r="BO8956" s="197"/>
      <c r="BP8956" s="197"/>
      <c r="BQ8956" s="197"/>
    </row>
    <row r="8957" spans="66:69" x14ac:dyDescent="0.2">
      <c r="BN8957" s="192"/>
      <c r="BO8957" s="197"/>
      <c r="BP8957" s="197"/>
      <c r="BQ8957" s="197"/>
    </row>
    <row r="8958" spans="66:69" x14ac:dyDescent="0.2">
      <c r="BN8958" s="192"/>
      <c r="BO8958" s="197"/>
      <c r="BP8958" s="197"/>
      <c r="BQ8958" s="197"/>
    </row>
    <row r="8959" spans="66:69" x14ac:dyDescent="0.2">
      <c r="BN8959" s="192"/>
      <c r="BO8959" s="197"/>
      <c r="BP8959" s="197"/>
      <c r="BQ8959" s="197"/>
    </row>
    <row r="8960" spans="66:69" x14ac:dyDescent="0.2">
      <c r="BN8960" s="192"/>
      <c r="BO8960" s="197"/>
      <c r="BP8960" s="197"/>
      <c r="BQ8960" s="197"/>
    </row>
    <row r="8961" spans="66:69" x14ac:dyDescent="0.2">
      <c r="BN8961" s="192"/>
      <c r="BO8961" s="197"/>
      <c r="BP8961" s="197"/>
      <c r="BQ8961" s="197"/>
    </row>
    <row r="8962" spans="66:69" x14ac:dyDescent="0.2">
      <c r="BN8962" s="192"/>
      <c r="BO8962" s="197"/>
      <c r="BP8962" s="197"/>
      <c r="BQ8962" s="197"/>
    </row>
    <row r="8963" spans="66:69" x14ac:dyDescent="0.2">
      <c r="BN8963" s="192"/>
      <c r="BO8963" s="197"/>
      <c r="BP8963" s="197"/>
      <c r="BQ8963" s="197"/>
    </row>
    <row r="8964" spans="66:69" x14ac:dyDescent="0.2">
      <c r="BN8964" s="192"/>
      <c r="BO8964" s="197"/>
      <c r="BP8964" s="197"/>
      <c r="BQ8964" s="197"/>
    </row>
    <row r="8965" spans="66:69" x14ac:dyDescent="0.2">
      <c r="BN8965" s="192"/>
      <c r="BO8965" s="197"/>
      <c r="BP8965" s="197"/>
      <c r="BQ8965" s="197"/>
    </row>
    <row r="8966" spans="66:69" x14ac:dyDescent="0.2">
      <c r="BN8966" s="192"/>
      <c r="BO8966" s="197"/>
      <c r="BP8966" s="197"/>
      <c r="BQ8966" s="197"/>
    </row>
    <row r="8967" spans="66:69" x14ac:dyDescent="0.2">
      <c r="BN8967" s="192"/>
      <c r="BO8967" s="197"/>
      <c r="BP8967" s="197"/>
      <c r="BQ8967" s="197"/>
    </row>
    <row r="8968" spans="66:69" x14ac:dyDescent="0.2">
      <c r="BN8968" s="192"/>
      <c r="BO8968" s="197"/>
      <c r="BP8968" s="197"/>
      <c r="BQ8968" s="197"/>
    </row>
    <row r="8969" spans="66:69" x14ac:dyDescent="0.2">
      <c r="BN8969" s="192"/>
      <c r="BO8969" s="197"/>
      <c r="BP8969" s="197"/>
      <c r="BQ8969" s="197"/>
    </row>
    <row r="8970" spans="66:69" x14ac:dyDescent="0.2">
      <c r="BN8970" s="192"/>
      <c r="BO8970" s="197"/>
      <c r="BP8970" s="197"/>
      <c r="BQ8970" s="197"/>
    </row>
    <row r="8971" spans="66:69" x14ac:dyDescent="0.2">
      <c r="BN8971" s="192"/>
      <c r="BO8971" s="197"/>
      <c r="BP8971" s="197"/>
      <c r="BQ8971" s="197"/>
    </row>
    <row r="8972" spans="66:69" x14ac:dyDescent="0.2">
      <c r="BN8972" s="192"/>
      <c r="BO8972" s="197"/>
      <c r="BP8972" s="197"/>
      <c r="BQ8972" s="197"/>
    </row>
    <row r="8973" spans="66:69" x14ac:dyDescent="0.2">
      <c r="BN8973" s="192"/>
      <c r="BO8973" s="197"/>
      <c r="BP8973" s="197"/>
      <c r="BQ8973" s="197"/>
    </row>
    <row r="8974" spans="66:69" x14ac:dyDescent="0.2">
      <c r="BN8974" s="192"/>
      <c r="BO8974" s="197"/>
      <c r="BP8974" s="197"/>
      <c r="BQ8974" s="197"/>
    </row>
    <row r="8975" spans="66:69" x14ac:dyDescent="0.2">
      <c r="BN8975" s="192"/>
      <c r="BO8975" s="197"/>
      <c r="BP8975" s="197"/>
      <c r="BQ8975" s="197"/>
    </row>
    <row r="8976" spans="66:69" x14ac:dyDescent="0.2">
      <c r="BN8976" s="192"/>
      <c r="BO8976" s="197"/>
      <c r="BP8976" s="197"/>
      <c r="BQ8976" s="197"/>
    </row>
    <row r="8977" spans="66:69" x14ac:dyDescent="0.2">
      <c r="BN8977" s="192"/>
      <c r="BO8977" s="197"/>
      <c r="BP8977" s="197"/>
      <c r="BQ8977" s="197"/>
    </row>
    <row r="8978" spans="66:69" x14ac:dyDescent="0.2">
      <c r="BN8978" s="192"/>
      <c r="BO8978" s="197"/>
      <c r="BP8978" s="197"/>
      <c r="BQ8978" s="197"/>
    </row>
    <row r="8979" spans="66:69" x14ac:dyDescent="0.2">
      <c r="BN8979" s="192"/>
      <c r="BO8979" s="197"/>
      <c r="BP8979" s="197"/>
      <c r="BQ8979" s="197"/>
    </row>
    <row r="8980" spans="66:69" x14ac:dyDescent="0.2">
      <c r="BN8980" s="192"/>
      <c r="BO8980" s="197"/>
      <c r="BP8980" s="197"/>
      <c r="BQ8980" s="197"/>
    </row>
    <row r="8981" spans="66:69" x14ac:dyDescent="0.2">
      <c r="BN8981" s="192"/>
      <c r="BO8981" s="197"/>
      <c r="BP8981" s="197"/>
      <c r="BQ8981" s="197"/>
    </row>
    <row r="8982" spans="66:69" x14ac:dyDescent="0.2">
      <c r="BN8982" s="192"/>
      <c r="BO8982" s="197"/>
      <c r="BP8982" s="197"/>
      <c r="BQ8982" s="197"/>
    </row>
    <row r="8983" spans="66:69" x14ac:dyDescent="0.2">
      <c r="BN8983" s="192"/>
      <c r="BO8983" s="197"/>
      <c r="BP8983" s="197"/>
      <c r="BQ8983" s="197"/>
    </row>
    <row r="8984" spans="66:69" x14ac:dyDescent="0.2">
      <c r="BN8984" s="192"/>
      <c r="BO8984" s="197"/>
      <c r="BP8984" s="197"/>
      <c r="BQ8984" s="197"/>
    </row>
    <row r="8985" spans="66:69" x14ac:dyDescent="0.2">
      <c r="BN8985" s="192"/>
      <c r="BO8985" s="197"/>
      <c r="BP8985" s="197"/>
      <c r="BQ8985" s="197"/>
    </row>
    <row r="8986" spans="66:69" x14ac:dyDescent="0.2">
      <c r="BN8986" s="192"/>
      <c r="BO8986" s="197"/>
      <c r="BP8986" s="197"/>
      <c r="BQ8986" s="197"/>
    </row>
    <row r="8987" spans="66:69" x14ac:dyDescent="0.2">
      <c r="BN8987" s="192"/>
      <c r="BO8987" s="197"/>
      <c r="BP8987" s="197"/>
      <c r="BQ8987" s="197"/>
    </row>
    <row r="8988" spans="66:69" x14ac:dyDescent="0.2">
      <c r="BN8988" s="192"/>
      <c r="BO8988" s="197"/>
      <c r="BP8988" s="197"/>
      <c r="BQ8988" s="197"/>
    </row>
    <row r="8989" spans="66:69" x14ac:dyDescent="0.2">
      <c r="BN8989" s="192"/>
      <c r="BO8989" s="197"/>
      <c r="BP8989" s="197"/>
      <c r="BQ8989" s="197"/>
    </row>
    <row r="8990" spans="66:69" x14ac:dyDescent="0.2">
      <c r="BN8990" s="192"/>
      <c r="BO8990" s="197"/>
      <c r="BP8990" s="197"/>
      <c r="BQ8990" s="197"/>
    </row>
    <row r="8991" spans="66:69" x14ac:dyDescent="0.2">
      <c r="BN8991" s="192"/>
      <c r="BO8991" s="197"/>
      <c r="BP8991" s="197"/>
      <c r="BQ8991" s="197"/>
    </row>
    <row r="8992" spans="66:69" x14ac:dyDescent="0.2">
      <c r="BN8992" s="192"/>
      <c r="BO8992" s="197"/>
      <c r="BP8992" s="197"/>
      <c r="BQ8992" s="197"/>
    </row>
    <row r="8993" spans="66:69" x14ac:dyDescent="0.2">
      <c r="BN8993" s="192"/>
      <c r="BO8993" s="197"/>
      <c r="BP8993" s="197"/>
      <c r="BQ8993" s="197"/>
    </row>
    <row r="8994" spans="66:69" x14ac:dyDescent="0.2">
      <c r="BN8994" s="192"/>
      <c r="BO8994" s="197"/>
      <c r="BP8994" s="197"/>
      <c r="BQ8994" s="197"/>
    </row>
    <row r="8995" spans="66:69" x14ac:dyDescent="0.2">
      <c r="BN8995" s="192"/>
      <c r="BO8995" s="197"/>
      <c r="BP8995" s="197"/>
      <c r="BQ8995" s="197"/>
    </row>
    <row r="8996" spans="66:69" x14ac:dyDescent="0.2">
      <c r="BN8996" s="192"/>
      <c r="BO8996" s="197"/>
      <c r="BP8996" s="197"/>
      <c r="BQ8996" s="197"/>
    </row>
    <row r="8997" spans="66:69" x14ac:dyDescent="0.2">
      <c r="BN8997" s="192"/>
      <c r="BO8997" s="197"/>
      <c r="BP8997" s="197"/>
      <c r="BQ8997" s="197"/>
    </row>
    <row r="8998" spans="66:69" x14ac:dyDescent="0.2">
      <c r="BN8998" s="192"/>
      <c r="BO8998" s="197"/>
      <c r="BP8998" s="197"/>
      <c r="BQ8998" s="197"/>
    </row>
    <row r="8999" spans="66:69" x14ac:dyDescent="0.2">
      <c r="BN8999" s="192"/>
      <c r="BO8999" s="197"/>
      <c r="BP8999" s="197"/>
      <c r="BQ8999" s="197"/>
    </row>
    <row r="9000" spans="66:69" x14ac:dyDescent="0.2">
      <c r="BN9000" s="192"/>
      <c r="BO9000" s="197"/>
      <c r="BP9000" s="197"/>
      <c r="BQ9000" s="197"/>
    </row>
    <row r="9001" spans="66:69" x14ac:dyDescent="0.2">
      <c r="BN9001" s="192"/>
      <c r="BO9001" s="197"/>
      <c r="BP9001" s="197"/>
      <c r="BQ9001" s="197"/>
    </row>
    <row r="9002" spans="66:69" x14ac:dyDescent="0.2">
      <c r="BN9002" s="192"/>
      <c r="BO9002" s="197"/>
      <c r="BP9002" s="197"/>
      <c r="BQ9002" s="197"/>
    </row>
    <row r="9003" spans="66:69" x14ac:dyDescent="0.2">
      <c r="BN9003" s="192"/>
      <c r="BO9003" s="197"/>
      <c r="BP9003" s="197"/>
      <c r="BQ9003" s="197"/>
    </row>
    <row r="9004" spans="66:69" x14ac:dyDescent="0.2">
      <c r="BN9004" s="192"/>
      <c r="BO9004" s="197"/>
      <c r="BP9004" s="197"/>
      <c r="BQ9004" s="197"/>
    </row>
    <row r="9005" spans="66:69" x14ac:dyDescent="0.2">
      <c r="BN9005" s="192"/>
      <c r="BO9005" s="197"/>
      <c r="BP9005" s="197"/>
      <c r="BQ9005" s="197"/>
    </row>
    <row r="9006" spans="66:69" x14ac:dyDescent="0.2">
      <c r="BN9006" s="192"/>
      <c r="BO9006" s="197"/>
      <c r="BP9006" s="197"/>
      <c r="BQ9006" s="197"/>
    </row>
    <row r="9007" spans="66:69" x14ac:dyDescent="0.2">
      <c r="BN9007" s="192"/>
      <c r="BO9007" s="197"/>
      <c r="BP9007" s="197"/>
      <c r="BQ9007" s="197"/>
    </row>
    <row r="9008" spans="66:69" x14ac:dyDescent="0.2">
      <c r="BN9008" s="192"/>
      <c r="BO9008" s="197"/>
      <c r="BP9008" s="197"/>
      <c r="BQ9008" s="197"/>
    </row>
    <row r="9009" spans="66:69" x14ac:dyDescent="0.2">
      <c r="BN9009" s="192"/>
      <c r="BO9009" s="197"/>
      <c r="BP9009" s="197"/>
      <c r="BQ9009" s="197"/>
    </row>
    <row r="9010" spans="66:69" x14ac:dyDescent="0.2">
      <c r="BN9010" s="192"/>
      <c r="BO9010" s="197"/>
      <c r="BP9010" s="197"/>
      <c r="BQ9010" s="197"/>
    </row>
    <row r="9011" spans="66:69" x14ac:dyDescent="0.2">
      <c r="BN9011" s="192"/>
      <c r="BO9011" s="197"/>
      <c r="BP9011" s="197"/>
      <c r="BQ9011" s="197"/>
    </row>
    <row r="9012" spans="66:69" x14ac:dyDescent="0.2">
      <c r="BN9012" s="192"/>
      <c r="BO9012" s="197"/>
      <c r="BP9012" s="197"/>
      <c r="BQ9012" s="197"/>
    </row>
    <row r="9013" spans="66:69" x14ac:dyDescent="0.2">
      <c r="BN9013" s="192"/>
      <c r="BO9013" s="197"/>
      <c r="BP9013" s="197"/>
      <c r="BQ9013" s="197"/>
    </row>
    <row r="9014" spans="66:69" x14ac:dyDescent="0.2">
      <c r="BN9014" s="192"/>
      <c r="BO9014" s="197"/>
      <c r="BP9014" s="197"/>
      <c r="BQ9014" s="197"/>
    </row>
    <row r="9015" spans="66:69" x14ac:dyDescent="0.2">
      <c r="BN9015" s="192"/>
      <c r="BO9015" s="197"/>
      <c r="BP9015" s="197"/>
      <c r="BQ9015" s="197"/>
    </row>
    <row r="9016" spans="66:69" x14ac:dyDescent="0.2">
      <c r="BN9016" s="192"/>
      <c r="BO9016" s="197"/>
      <c r="BP9016" s="197"/>
      <c r="BQ9016" s="197"/>
    </row>
    <row r="9017" spans="66:69" x14ac:dyDescent="0.2">
      <c r="BN9017" s="192"/>
      <c r="BO9017" s="197"/>
      <c r="BP9017" s="197"/>
      <c r="BQ9017" s="197"/>
    </row>
    <row r="9018" spans="66:69" x14ac:dyDescent="0.2">
      <c r="BN9018" s="192"/>
      <c r="BO9018" s="197"/>
      <c r="BP9018" s="197"/>
      <c r="BQ9018" s="197"/>
    </row>
    <row r="9019" spans="66:69" x14ac:dyDescent="0.2">
      <c r="BN9019" s="192"/>
      <c r="BO9019" s="197"/>
      <c r="BP9019" s="197"/>
      <c r="BQ9019" s="197"/>
    </row>
    <row r="9020" spans="66:69" x14ac:dyDescent="0.2">
      <c r="BN9020" s="192"/>
      <c r="BO9020" s="197"/>
      <c r="BP9020" s="197"/>
      <c r="BQ9020" s="197"/>
    </row>
    <row r="9021" spans="66:69" x14ac:dyDescent="0.2">
      <c r="BN9021" s="192"/>
      <c r="BO9021" s="197"/>
      <c r="BP9021" s="197"/>
      <c r="BQ9021" s="197"/>
    </row>
    <row r="9022" spans="66:69" x14ac:dyDescent="0.2">
      <c r="BN9022" s="192"/>
      <c r="BO9022" s="197"/>
      <c r="BP9022" s="197"/>
      <c r="BQ9022" s="197"/>
    </row>
    <row r="9023" spans="66:69" x14ac:dyDescent="0.2">
      <c r="BN9023" s="192"/>
      <c r="BO9023" s="197"/>
      <c r="BP9023" s="197"/>
      <c r="BQ9023" s="197"/>
    </row>
    <row r="9024" spans="66:69" x14ac:dyDescent="0.2">
      <c r="BN9024" s="192"/>
      <c r="BO9024" s="197"/>
      <c r="BP9024" s="197"/>
      <c r="BQ9024" s="197"/>
    </row>
    <row r="9025" spans="66:69" x14ac:dyDescent="0.2">
      <c r="BN9025" s="192"/>
      <c r="BO9025" s="197"/>
      <c r="BP9025" s="197"/>
      <c r="BQ9025" s="197"/>
    </row>
    <row r="9026" spans="66:69" x14ac:dyDescent="0.2">
      <c r="BN9026" s="192"/>
      <c r="BO9026" s="197"/>
      <c r="BP9026" s="197"/>
      <c r="BQ9026" s="197"/>
    </row>
    <row r="9027" spans="66:69" x14ac:dyDescent="0.2">
      <c r="BN9027" s="192"/>
      <c r="BO9027" s="197"/>
      <c r="BP9027" s="197"/>
      <c r="BQ9027" s="197"/>
    </row>
    <row r="9028" spans="66:69" x14ac:dyDescent="0.2">
      <c r="BN9028" s="192"/>
      <c r="BO9028" s="197"/>
      <c r="BP9028" s="197"/>
      <c r="BQ9028" s="197"/>
    </row>
    <row r="9029" spans="66:69" x14ac:dyDescent="0.2">
      <c r="BN9029" s="192"/>
      <c r="BO9029" s="197"/>
      <c r="BP9029" s="197"/>
      <c r="BQ9029" s="197"/>
    </row>
    <row r="9030" spans="66:69" x14ac:dyDescent="0.2">
      <c r="BN9030" s="192"/>
      <c r="BO9030" s="197"/>
      <c r="BP9030" s="197"/>
      <c r="BQ9030" s="197"/>
    </row>
    <row r="9031" spans="66:69" x14ac:dyDescent="0.2">
      <c r="BN9031" s="192"/>
      <c r="BO9031" s="197"/>
      <c r="BP9031" s="197"/>
      <c r="BQ9031" s="197"/>
    </row>
    <row r="9032" spans="66:69" x14ac:dyDescent="0.2">
      <c r="BN9032" s="192"/>
      <c r="BO9032" s="197"/>
      <c r="BP9032" s="197"/>
      <c r="BQ9032" s="197"/>
    </row>
    <row r="9033" spans="66:69" x14ac:dyDescent="0.2">
      <c r="BN9033" s="192"/>
      <c r="BO9033" s="197"/>
      <c r="BP9033" s="197"/>
      <c r="BQ9033" s="197"/>
    </row>
    <row r="9034" spans="66:69" x14ac:dyDescent="0.2">
      <c r="BN9034" s="192"/>
      <c r="BO9034" s="197"/>
      <c r="BP9034" s="197"/>
      <c r="BQ9034" s="197"/>
    </row>
    <row r="9035" spans="66:69" x14ac:dyDescent="0.2">
      <c r="BN9035" s="192"/>
      <c r="BO9035" s="197"/>
      <c r="BP9035" s="197"/>
      <c r="BQ9035" s="197"/>
    </row>
    <row r="9036" spans="66:69" x14ac:dyDescent="0.2">
      <c r="BN9036" s="192"/>
      <c r="BO9036" s="197"/>
      <c r="BP9036" s="197"/>
      <c r="BQ9036" s="197"/>
    </row>
    <row r="9037" spans="66:69" x14ac:dyDescent="0.2">
      <c r="BN9037" s="192"/>
      <c r="BO9037" s="197"/>
      <c r="BP9037" s="197"/>
      <c r="BQ9037" s="197"/>
    </row>
    <row r="9038" spans="66:69" x14ac:dyDescent="0.2">
      <c r="BN9038" s="192"/>
      <c r="BO9038" s="197"/>
      <c r="BP9038" s="197"/>
      <c r="BQ9038" s="197"/>
    </row>
    <row r="9039" spans="66:69" x14ac:dyDescent="0.2">
      <c r="BN9039" s="192"/>
      <c r="BO9039" s="197"/>
      <c r="BP9039" s="197"/>
      <c r="BQ9039" s="197"/>
    </row>
    <row r="9040" spans="66:69" x14ac:dyDescent="0.2">
      <c r="BN9040" s="192"/>
      <c r="BO9040" s="197"/>
      <c r="BP9040" s="197"/>
      <c r="BQ9040" s="197"/>
    </row>
    <row r="9041" spans="66:69" x14ac:dyDescent="0.2">
      <c r="BN9041" s="192"/>
      <c r="BO9041" s="197"/>
      <c r="BP9041" s="197"/>
      <c r="BQ9041" s="197"/>
    </row>
    <row r="9042" spans="66:69" x14ac:dyDescent="0.2">
      <c r="BN9042" s="192"/>
      <c r="BO9042" s="197"/>
      <c r="BP9042" s="197"/>
      <c r="BQ9042" s="197"/>
    </row>
    <row r="9043" spans="66:69" x14ac:dyDescent="0.2">
      <c r="BN9043" s="192"/>
      <c r="BO9043" s="197"/>
      <c r="BP9043" s="197"/>
      <c r="BQ9043" s="197"/>
    </row>
    <row r="9044" spans="66:69" x14ac:dyDescent="0.2">
      <c r="BN9044" s="192"/>
      <c r="BO9044" s="197"/>
      <c r="BP9044" s="197"/>
      <c r="BQ9044" s="197"/>
    </row>
    <row r="9045" spans="66:69" x14ac:dyDescent="0.2">
      <c r="BN9045" s="192"/>
      <c r="BO9045" s="197"/>
      <c r="BP9045" s="197"/>
      <c r="BQ9045" s="197"/>
    </row>
    <row r="9046" spans="66:69" x14ac:dyDescent="0.2">
      <c r="BN9046" s="192"/>
      <c r="BO9046" s="197"/>
      <c r="BP9046" s="197"/>
      <c r="BQ9046" s="197"/>
    </row>
    <row r="9047" spans="66:69" x14ac:dyDescent="0.2">
      <c r="BN9047" s="192"/>
      <c r="BO9047" s="197"/>
      <c r="BP9047" s="197"/>
      <c r="BQ9047" s="197"/>
    </row>
    <row r="9048" spans="66:69" x14ac:dyDescent="0.2">
      <c r="BN9048" s="192"/>
      <c r="BO9048" s="197"/>
      <c r="BP9048" s="197"/>
      <c r="BQ9048" s="197"/>
    </row>
    <row r="9049" spans="66:69" x14ac:dyDescent="0.2">
      <c r="BN9049" s="192"/>
      <c r="BO9049" s="197"/>
      <c r="BP9049" s="197"/>
      <c r="BQ9049" s="197"/>
    </row>
    <row r="9050" spans="66:69" x14ac:dyDescent="0.2">
      <c r="BN9050" s="192"/>
      <c r="BO9050" s="197"/>
      <c r="BP9050" s="197"/>
      <c r="BQ9050" s="197"/>
    </row>
    <row r="9051" spans="66:69" x14ac:dyDescent="0.2">
      <c r="BN9051" s="192"/>
      <c r="BO9051" s="197"/>
      <c r="BP9051" s="197"/>
      <c r="BQ9051" s="197"/>
    </row>
    <row r="9052" spans="66:69" x14ac:dyDescent="0.2">
      <c r="BN9052" s="192"/>
      <c r="BO9052" s="197"/>
      <c r="BP9052" s="197"/>
      <c r="BQ9052" s="197"/>
    </row>
    <row r="9053" spans="66:69" x14ac:dyDescent="0.2">
      <c r="BN9053" s="192"/>
      <c r="BO9053" s="197"/>
      <c r="BP9053" s="197"/>
      <c r="BQ9053" s="197"/>
    </row>
    <row r="9054" spans="66:69" x14ac:dyDescent="0.2">
      <c r="BN9054" s="192"/>
      <c r="BO9054" s="197"/>
      <c r="BP9054" s="197"/>
      <c r="BQ9054" s="197"/>
    </row>
    <row r="9055" spans="66:69" x14ac:dyDescent="0.2">
      <c r="BN9055" s="192"/>
      <c r="BO9055" s="197"/>
      <c r="BP9055" s="197"/>
      <c r="BQ9055" s="197"/>
    </row>
    <row r="9056" spans="66:69" x14ac:dyDescent="0.2">
      <c r="BN9056" s="192"/>
      <c r="BO9056" s="197"/>
      <c r="BP9056" s="197"/>
      <c r="BQ9056" s="197"/>
    </row>
    <row r="9057" spans="66:69" x14ac:dyDescent="0.2">
      <c r="BN9057" s="192"/>
      <c r="BO9057" s="197"/>
      <c r="BP9057" s="197"/>
      <c r="BQ9057" s="197"/>
    </row>
    <row r="9058" spans="66:69" x14ac:dyDescent="0.2">
      <c r="BN9058" s="192"/>
      <c r="BO9058" s="197"/>
      <c r="BP9058" s="197"/>
      <c r="BQ9058" s="197"/>
    </row>
    <row r="9059" spans="66:69" x14ac:dyDescent="0.2">
      <c r="BN9059" s="192"/>
      <c r="BO9059" s="197"/>
      <c r="BP9059" s="197"/>
      <c r="BQ9059" s="197"/>
    </row>
    <row r="9060" spans="66:69" x14ac:dyDescent="0.2">
      <c r="BN9060" s="192"/>
      <c r="BO9060" s="197"/>
      <c r="BP9060" s="197"/>
      <c r="BQ9060" s="197"/>
    </row>
    <row r="9061" spans="66:69" x14ac:dyDescent="0.2">
      <c r="BN9061" s="192"/>
      <c r="BO9061" s="197"/>
      <c r="BP9061" s="197"/>
      <c r="BQ9061" s="197"/>
    </row>
    <row r="9062" spans="66:69" x14ac:dyDescent="0.2">
      <c r="BN9062" s="192"/>
      <c r="BO9062" s="197"/>
      <c r="BP9062" s="197"/>
      <c r="BQ9062" s="197"/>
    </row>
    <row r="9063" spans="66:69" x14ac:dyDescent="0.2">
      <c r="BN9063" s="192"/>
      <c r="BO9063" s="197"/>
      <c r="BP9063" s="197"/>
      <c r="BQ9063" s="197"/>
    </row>
    <row r="9064" spans="66:69" x14ac:dyDescent="0.2">
      <c r="BN9064" s="192"/>
      <c r="BO9064" s="197"/>
      <c r="BP9064" s="197"/>
      <c r="BQ9064" s="197"/>
    </row>
    <row r="9065" spans="66:69" x14ac:dyDescent="0.2">
      <c r="BN9065" s="192"/>
      <c r="BO9065" s="197"/>
      <c r="BP9065" s="197"/>
      <c r="BQ9065" s="197"/>
    </row>
    <row r="9066" spans="66:69" x14ac:dyDescent="0.2">
      <c r="BN9066" s="192"/>
      <c r="BO9066" s="197"/>
      <c r="BP9066" s="197"/>
      <c r="BQ9066" s="197"/>
    </row>
    <row r="9067" spans="66:69" x14ac:dyDescent="0.2">
      <c r="BN9067" s="192"/>
      <c r="BO9067" s="197"/>
      <c r="BP9067" s="197"/>
      <c r="BQ9067" s="197"/>
    </row>
    <row r="9068" spans="66:69" x14ac:dyDescent="0.2">
      <c r="BN9068" s="192"/>
      <c r="BO9068" s="197"/>
      <c r="BP9068" s="197"/>
      <c r="BQ9068" s="197"/>
    </row>
    <row r="9069" spans="66:69" x14ac:dyDescent="0.2">
      <c r="BN9069" s="192"/>
      <c r="BO9069" s="197"/>
      <c r="BP9069" s="197"/>
      <c r="BQ9069" s="197"/>
    </row>
    <row r="9070" spans="66:69" x14ac:dyDescent="0.2">
      <c r="BN9070" s="192"/>
      <c r="BO9070" s="197"/>
      <c r="BP9070" s="197"/>
      <c r="BQ9070" s="197"/>
    </row>
    <row r="9071" spans="66:69" x14ac:dyDescent="0.2">
      <c r="BN9071" s="192"/>
      <c r="BO9071" s="197"/>
      <c r="BP9071" s="197"/>
      <c r="BQ9071" s="197"/>
    </row>
    <row r="9072" spans="66:69" x14ac:dyDescent="0.2">
      <c r="BN9072" s="192"/>
      <c r="BO9072" s="197"/>
      <c r="BP9072" s="197"/>
      <c r="BQ9072" s="197"/>
    </row>
    <row r="9073" spans="66:69" x14ac:dyDescent="0.2">
      <c r="BN9073" s="192"/>
      <c r="BO9073" s="197"/>
      <c r="BP9073" s="197"/>
      <c r="BQ9073" s="197"/>
    </row>
    <row r="9074" spans="66:69" x14ac:dyDescent="0.2">
      <c r="BN9074" s="192"/>
      <c r="BO9074" s="197"/>
      <c r="BP9074" s="197"/>
      <c r="BQ9074" s="197"/>
    </row>
    <row r="9075" spans="66:69" x14ac:dyDescent="0.2">
      <c r="BN9075" s="192"/>
      <c r="BO9075" s="197"/>
      <c r="BP9075" s="197"/>
      <c r="BQ9075" s="197"/>
    </row>
    <row r="9076" spans="66:69" x14ac:dyDescent="0.2">
      <c r="BN9076" s="192"/>
      <c r="BO9076" s="197"/>
      <c r="BP9076" s="197"/>
      <c r="BQ9076" s="197"/>
    </row>
    <row r="9077" spans="66:69" x14ac:dyDescent="0.2">
      <c r="BN9077" s="192"/>
      <c r="BO9077" s="197"/>
      <c r="BP9077" s="197"/>
      <c r="BQ9077" s="197"/>
    </row>
    <row r="9078" spans="66:69" x14ac:dyDescent="0.2">
      <c r="BN9078" s="192"/>
      <c r="BO9078" s="197"/>
      <c r="BP9078" s="197"/>
      <c r="BQ9078" s="197"/>
    </row>
    <row r="9079" spans="66:69" x14ac:dyDescent="0.2">
      <c r="BN9079" s="192"/>
      <c r="BO9079" s="197"/>
      <c r="BP9079" s="197"/>
      <c r="BQ9079" s="197"/>
    </row>
    <row r="9080" spans="66:69" x14ac:dyDescent="0.2">
      <c r="BN9080" s="192"/>
      <c r="BO9080" s="197"/>
      <c r="BP9080" s="197"/>
      <c r="BQ9080" s="197"/>
    </row>
    <row r="9081" spans="66:69" x14ac:dyDescent="0.2">
      <c r="BN9081" s="192"/>
      <c r="BO9081" s="197"/>
      <c r="BP9081" s="197"/>
      <c r="BQ9081" s="197"/>
    </row>
    <row r="9082" spans="66:69" x14ac:dyDescent="0.2">
      <c r="BN9082" s="192"/>
      <c r="BO9082" s="197"/>
      <c r="BP9082" s="197"/>
      <c r="BQ9082" s="197"/>
    </row>
    <row r="9083" spans="66:69" x14ac:dyDescent="0.2">
      <c r="BN9083" s="192"/>
      <c r="BO9083" s="197"/>
      <c r="BP9083" s="197"/>
      <c r="BQ9083" s="197"/>
    </row>
    <row r="9084" spans="66:69" x14ac:dyDescent="0.2">
      <c r="BN9084" s="192"/>
      <c r="BO9084" s="197"/>
      <c r="BP9084" s="197"/>
      <c r="BQ9084" s="197"/>
    </row>
    <row r="9085" spans="66:69" x14ac:dyDescent="0.2">
      <c r="BN9085" s="192"/>
      <c r="BO9085" s="197"/>
      <c r="BP9085" s="197"/>
      <c r="BQ9085" s="197"/>
    </row>
    <row r="9086" spans="66:69" x14ac:dyDescent="0.2">
      <c r="BN9086" s="192"/>
      <c r="BO9086" s="197"/>
      <c r="BP9086" s="197"/>
      <c r="BQ9086" s="197"/>
    </row>
    <row r="9087" spans="66:69" x14ac:dyDescent="0.2">
      <c r="BN9087" s="192"/>
      <c r="BO9087" s="197"/>
      <c r="BP9087" s="197"/>
      <c r="BQ9087" s="197"/>
    </row>
    <row r="9088" spans="66:69" x14ac:dyDescent="0.2">
      <c r="BN9088" s="192"/>
      <c r="BO9088" s="197"/>
      <c r="BP9088" s="197"/>
      <c r="BQ9088" s="197"/>
    </row>
    <row r="9089" spans="66:69" x14ac:dyDescent="0.2">
      <c r="BN9089" s="192"/>
      <c r="BO9089" s="197"/>
      <c r="BP9089" s="197"/>
      <c r="BQ9089" s="197"/>
    </row>
    <row r="9090" spans="66:69" x14ac:dyDescent="0.2">
      <c r="BN9090" s="192"/>
      <c r="BO9090" s="197"/>
      <c r="BP9090" s="197"/>
      <c r="BQ9090" s="197"/>
    </row>
    <row r="9091" spans="66:69" x14ac:dyDescent="0.2">
      <c r="BN9091" s="192"/>
      <c r="BO9091" s="197"/>
      <c r="BP9091" s="197"/>
      <c r="BQ9091" s="197"/>
    </row>
    <row r="9092" spans="66:69" x14ac:dyDescent="0.2">
      <c r="BN9092" s="192"/>
      <c r="BO9092" s="197"/>
      <c r="BP9092" s="197"/>
      <c r="BQ9092" s="197"/>
    </row>
    <row r="9093" spans="66:69" x14ac:dyDescent="0.2">
      <c r="BN9093" s="192"/>
      <c r="BO9093" s="197"/>
      <c r="BP9093" s="197"/>
      <c r="BQ9093" s="197"/>
    </row>
    <row r="9094" spans="66:69" x14ac:dyDescent="0.2">
      <c r="BN9094" s="192"/>
      <c r="BO9094" s="197"/>
      <c r="BP9094" s="197"/>
      <c r="BQ9094" s="197"/>
    </row>
    <row r="9095" spans="66:69" x14ac:dyDescent="0.2">
      <c r="BN9095" s="192"/>
      <c r="BO9095" s="197"/>
      <c r="BP9095" s="197"/>
      <c r="BQ9095" s="197"/>
    </row>
    <row r="9096" spans="66:69" x14ac:dyDescent="0.2">
      <c r="BN9096" s="192"/>
      <c r="BO9096" s="197"/>
      <c r="BP9096" s="197"/>
      <c r="BQ9096" s="197"/>
    </row>
    <row r="9097" spans="66:69" x14ac:dyDescent="0.2">
      <c r="BN9097" s="192"/>
      <c r="BO9097" s="197"/>
      <c r="BP9097" s="197"/>
      <c r="BQ9097" s="197"/>
    </row>
    <row r="9098" spans="66:69" x14ac:dyDescent="0.2">
      <c r="BN9098" s="192"/>
      <c r="BO9098" s="197"/>
      <c r="BP9098" s="197"/>
      <c r="BQ9098" s="197"/>
    </row>
    <row r="9099" spans="66:69" x14ac:dyDescent="0.2">
      <c r="BN9099" s="192"/>
      <c r="BO9099" s="197"/>
      <c r="BP9099" s="197"/>
      <c r="BQ9099" s="197"/>
    </row>
    <row r="9100" spans="66:69" x14ac:dyDescent="0.2">
      <c r="BN9100" s="192"/>
      <c r="BO9100" s="197"/>
      <c r="BP9100" s="197"/>
      <c r="BQ9100" s="197"/>
    </row>
    <row r="9101" spans="66:69" x14ac:dyDescent="0.2">
      <c r="BN9101" s="192"/>
      <c r="BO9101" s="197"/>
      <c r="BP9101" s="197"/>
      <c r="BQ9101" s="197"/>
    </row>
    <row r="9102" spans="66:69" x14ac:dyDescent="0.2">
      <c r="BN9102" s="192"/>
      <c r="BO9102" s="197"/>
      <c r="BP9102" s="197"/>
      <c r="BQ9102" s="197"/>
    </row>
    <row r="9103" spans="66:69" x14ac:dyDescent="0.2">
      <c r="BN9103" s="192"/>
      <c r="BO9103" s="197"/>
      <c r="BP9103" s="197"/>
      <c r="BQ9103" s="197"/>
    </row>
    <row r="9104" spans="66:69" x14ac:dyDescent="0.2">
      <c r="BN9104" s="192"/>
      <c r="BO9104" s="197"/>
      <c r="BP9104" s="197"/>
      <c r="BQ9104" s="197"/>
    </row>
    <row r="9105" spans="66:69" x14ac:dyDescent="0.2">
      <c r="BN9105" s="192"/>
      <c r="BO9105" s="197"/>
      <c r="BP9105" s="197"/>
      <c r="BQ9105" s="197"/>
    </row>
    <row r="9106" spans="66:69" x14ac:dyDescent="0.2">
      <c r="BN9106" s="192"/>
      <c r="BO9106" s="197"/>
      <c r="BP9106" s="197"/>
      <c r="BQ9106" s="197"/>
    </row>
    <row r="9107" spans="66:69" x14ac:dyDescent="0.2">
      <c r="BN9107" s="192"/>
      <c r="BO9107" s="197"/>
      <c r="BP9107" s="197"/>
      <c r="BQ9107" s="197"/>
    </row>
    <row r="9108" spans="66:69" x14ac:dyDescent="0.2">
      <c r="BN9108" s="192"/>
      <c r="BO9108" s="197"/>
      <c r="BP9108" s="197"/>
      <c r="BQ9108" s="197"/>
    </row>
    <row r="9109" spans="66:69" x14ac:dyDescent="0.2">
      <c r="BN9109" s="192"/>
      <c r="BO9109" s="197"/>
      <c r="BP9109" s="197"/>
      <c r="BQ9109" s="197"/>
    </row>
    <row r="9110" spans="66:69" x14ac:dyDescent="0.2">
      <c r="BN9110" s="192"/>
      <c r="BO9110" s="197"/>
      <c r="BP9110" s="197"/>
      <c r="BQ9110" s="197"/>
    </row>
    <row r="9111" spans="66:69" x14ac:dyDescent="0.2">
      <c r="BN9111" s="192"/>
      <c r="BO9111" s="197"/>
      <c r="BP9111" s="197"/>
      <c r="BQ9111" s="197"/>
    </row>
    <row r="9112" spans="66:69" x14ac:dyDescent="0.2">
      <c r="BN9112" s="192"/>
      <c r="BO9112" s="197"/>
      <c r="BP9112" s="197"/>
      <c r="BQ9112" s="197"/>
    </row>
    <row r="9113" spans="66:69" x14ac:dyDescent="0.2">
      <c r="BN9113" s="192"/>
      <c r="BO9113" s="197"/>
      <c r="BP9113" s="197"/>
      <c r="BQ9113" s="197"/>
    </row>
    <row r="9114" spans="66:69" x14ac:dyDescent="0.2">
      <c r="BN9114" s="192"/>
      <c r="BO9114" s="197"/>
      <c r="BP9114" s="197"/>
      <c r="BQ9114" s="197"/>
    </row>
    <row r="9115" spans="66:69" x14ac:dyDescent="0.2">
      <c r="BN9115" s="192"/>
      <c r="BO9115" s="197"/>
      <c r="BP9115" s="197"/>
      <c r="BQ9115" s="197"/>
    </row>
    <row r="9116" spans="66:69" x14ac:dyDescent="0.2">
      <c r="BN9116" s="192"/>
      <c r="BO9116" s="197"/>
      <c r="BP9116" s="197"/>
      <c r="BQ9116" s="197"/>
    </row>
    <row r="9117" spans="66:69" x14ac:dyDescent="0.2">
      <c r="BN9117" s="192"/>
      <c r="BO9117" s="197"/>
      <c r="BP9117" s="197"/>
      <c r="BQ9117" s="197"/>
    </row>
    <row r="9118" spans="66:69" x14ac:dyDescent="0.2">
      <c r="BN9118" s="192"/>
      <c r="BO9118" s="197"/>
      <c r="BP9118" s="197"/>
      <c r="BQ9118" s="197"/>
    </row>
    <row r="9119" spans="66:69" x14ac:dyDescent="0.2">
      <c r="BN9119" s="192"/>
      <c r="BO9119" s="197"/>
      <c r="BP9119" s="197"/>
      <c r="BQ9119" s="197"/>
    </row>
    <row r="9120" spans="66:69" x14ac:dyDescent="0.2">
      <c r="BN9120" s="192"/>
      <c r="BO9120" s="197"/>
      <c r="BP9120" s="197"/>
      <c r="BQ9120" s="197"/>
    </row>
    <row r="9121" spans="66:69" x14ac:dyDescent="0.2">
      <c r="BN9121" s="192"/>
      <c r="BO9121" s="197"/>
      <c r="BP9121" s="197"/>
      <c r="BQ9121" s="197"/>
    </row>
    <row r="9122" spans="66:69" x14ac:dyDescent="0.2">
      <c r="BN9122" s="192"/>
      <c r="BO9122" s="197"/>
      <c r="BP9122" s="197"/>
      <c r="BQ9122" s="197"/>
    </row>
    <row r="9123" spans="66:69" x14ac:dyDescent="0.2">
      <c r="BN9123" s="192"/>
      <c r="BO9123" s="197"/>
      <c r="BP9123" s="197"/>
      <c r="BQ9123" s="197"/>
    </row>
    <row r="9124" spans="66:69" x14ac:dyDescent="0.2">
      <c r="BN9124" s="192"/>
      <c r="BO9124" s="197"/>
      <c r="BP9124" s="197"/>
      <c r="BQ9124" s="197"/>
    </row>
    <row r="9125" spans="66:69" x14ac:dyDescent="0.2">
      <c r="BN9125" s="192"/>
      <c r="BO9125" s="197"/>
      <c r="BP9125" s="197"/>
      <c r="BQ9125" s="197"/>
    </row>
    <row r="9126" spans="66:69" x14ac:dyDescent="0.2">
      <c r="BN9126" s="192"/>
      <c r="BO9126" s="197"/>
      <c r="BP9126" s="197"/>
      <c r="BQ9126" s="197"/>
    </row>
    <row r="9127" spans="66:69" x14ac:dyDescent="0.2">
      <c r="BN9127" s="192"/>
      <c r="BO9127" s="197"/>
      <c r="BP9127" s="197"/>
      <c r="BQ9127" s="197"/>
    </row>
    <row r="9128" spans="66:69" x14ac:dyDescent="0.2">
      <c r="BN9128" s="192"/>
      <c r="BO9128" s="197"/>
      <c r="BP9128" s="197"/>
      <c r="BQ9128" s="197"/>
    </row>
    <row r="9129" spans="66:69" x14ac:dyDescent="0.2">
      <c r="BN9129" s="192"/>
      <c r="BO9129" s="197"/>
      <c r="BP9129" s="197"/>
      <c r="BQ9129" s="197"/>
    </row>
    <row r="9130" spans="66:69" x14ac:dyDescent="0.2">
      <c r="BN9130" s="192"/>
      <c r="BO9130" s="197"/>
      <c r="BP9130" s="197"/>
      <c r="BQ9130" s="197"/>
    </row>
    <row r="9131" spans="66:69" x14ac:dyDescent="0.2">
      <c r="BN9131" s="192"/>
      <c r="BO9131" s="197"/>
      <c r="BP9131" s="197"/>
      <c r="BQ9131" s="197"/>
    </row>
    <row r="9132" spans="66:69" x14ac:dyDescent="0.2">
      <c r="BN9132" s="192"/>
      <c r="BO9132" s="197"/>
      <c r="BP9132" s="197"/>
      <c r="BQ9132" s="197"/>
    </row>
    <row r="9133" spans="66:69" x14ac:dyDescent="0.2">
      <c r="BN9133" s="192"/>
      <c r="BO9133" s="197"/>
      <c r="BP9133" s="197"/>
      <c r="BQ9133" s="197"/>
    </row>
    <row r="9134" spans="66:69" x14ac:dyDescent="0.2">
      <c r="BN9134" s="192"/>
      <c r="BO9134" s="197"/>
      <c r="BP9134" s="197"/>
      <c r="BQ9134" s="197"/>
    </row>
    <row r="9135" spans="66:69" x14ac:dyDescent="0.2">
      <c r="BN9135" s="192"/>
      <c r="BO9135" s="197"/>
      <c r="BP9135" s="197"/>
      <c r="BQ9135" s="197"/>
    </row>
    <row r="9136" spans="66:69" x14ac:dyDescent="0.2">
      <c r="BN9136" s="192"/>
      <c r="BO9136" s="197"/>
      <c r="BP9136" s="197"/>
      <c r="BQ9136" s="197"/>
    </row>
    <row r="9137" spans="66:69" x14ac:dyDescent="0.2">
      <c r="BN9137" s="192"/>
      <c r="BO9137" s="197"/>
      <c r="BP9137" s="197"/>
      <c r="BQ9137" s="197"/>
    </row>
    <row r="9138" spans="66:69" x14ac:dyDescent="0.2">
      <c r="BN9138" s="192"/>
      <c r="BO9138" s="197"/>
      <c r="BP9138" s="197"/>
      <c r="BQ9138" s="197"/>
    </row>
    <row r="9139" spans="66:69" x14ac:dyDescent="0.2">
      <c r="BN9139" s="192"/>
      <c r="BO9139" s="197"/>
      <c r="BP9139" s="197"/>
      <c r="BQ9139" s="197"/>
    </row>
    <row r="9140" spans="66:69" x14ac:dyDescent="0.2">
      <c r="BN9140" s="192"/>
      <c r="BO9140" s="197"/>
      <c r="BP9140" s="197"/>
      <c r="BQ9140" s="197"/>
    </row>
    <row r="9141" spans="66:69" x14ac:dyDescent="0.2">
      <c r="BN9141" s="192"/>
      <c r="BO9141" s="197"/>
      <c r="BP9141" s="197"/>
      <c r="BQ9141" s="197"/>
    </row>
    <row r="9142" spans="66:69" x14ac:dyDescent="0.2">
      <c r="BN9142" s="192"/>
      <c r="BO9142" s="197"/>
      <c r="BP9142" s="197"/>
      <c r="BQ9142" s="197"/>
    </row>
    <row r="9143" spans="66:69" x14ac:dyDescent="0.2">
      <c r="BN9143" s="192"/>
      <c r="BO9143" s="197"/>
      <c r="BP9143" s="197"/>
      <c r="BQ9143" s="197"/>
    </row>
    <row r="9144" spans="66:69" x14ac:dyDescent="0.2">
      <c r="BN9144" s="192"/>
      <c r="BO9144" s="197"/>
      <c r="BP9144" s="197"/>
      <c r="BQ9144" s="197"/>
    </row>
    <row r="9145" spans="66:69" x14ac:dyDescent="0.2">
      <c r="BN9145" s="192"/>
      <c r="BO9145" s="197"/>
      <c r="BP9145" s="197"/>
      <c r="BQ9145" s="197"/>
    </row>
    <row r="9146" spans="66:69" x14ac:dyDescent="0.2">
      <c r="BN9146" s="192"/>
      <c r="BO9146" s="197"/>
      <c r="BP9146" s="197"/>
      <c r="BQ9146" s="197"/>
    </row>
    <row r="9147" spans="66:69" x14ac:dyDescent="0.2">
      <c r="BN9147" s="192"/>
      <c r="BO9147" s="197"/>
      <c r="BP9147" s="197"/>
      <c r="BQ9147" s="197"/>
    </row>
    <row r="9148" spans="66:69" x14ac:dyDescent="0.2">
      <c r="BN9148" s="192"/>
      <c r="BO9148" s="197"/>
      <c r="BP9148" s="197"/>
      <c r="BQ9148" s="197"/>
    </row>
    <row r="9149" spans="66:69" x14ac:dyDescent="0.2">
      <c r="BN9149" s="192"/>
      <c r="BO9149" s="197"/>
      <c r="BP9149" s="197"/>
      <c r="BQ9149" s="197"/>
    </row>
    <row r="9150" spans="66:69" x14ac:dyDescent="0.2">
      <c r="BN9150" s="192"/>
      <c r="BO9150" s="197"/>
      <c r="BP9150" s="197"/>
      <c r="BQ9150" s="197"/>
    </row>
    <row r="9151" spans="66:69" x14ac:dyDescent="0.2">
      <c r="BN9151" s="192"/>
      <c r="BO9151" s="197"/>
      <c r="BP9151" s="197"/>
      <c r="BQ9151" s="197"/>
    </row>
    <row r="9152" spans="66:69" x14ac:dyDescent="0.2">
      <c r="BN9152" s="192"/>
      <c r="BO9152" s="197"/>
      <c r="BP9152" s="197"/>
      <c r="BQ9152" s="197"/>
    </row>
    <row r="9153" spans="66:69" x14ac:dyDescent="0.2">
      <c r="BN9153" s="192"/>
      <c r="BO9153" s="197"/>
      <c r="BP9153" s="197"/>
      <c r="BQ9153" s="197"/>
    </row>
    <row r="9154" spans="66:69" x14ac:dyDescent="0.2">
      <c r="BN9154" s="192"/>
      <c r="BO9154" s="197"/>
      <c r="BP9154" s="197"/>
      <c r="BQ9154" s="197"/>
    </row>
    <row r="9155" spans="66:69" x14ac:dyDescent="0.2">
      <c r="BN9155" s="192"/>
      <c r="BO9155" s="197"/>
      <c r="BP9155" s="197"/>
      <c r="BQ9155" s="197"/>
    </row>
    <row r="9156" spans="66:69" x14ac:dyDescent="0.2">
      <c r="BN9156" s="192"/>
      <c r="BO9156" s="197"/>
      <c r="BP9156" s="197"/>
      <c r="BQ9156" s="197"/>
    </row>
    <row r="9157" spans="66:69" x14ac:dyDescent="0.2">
      <c r="BN9157" s="192"/>
      <c r="BO9157" s="197"/>
      <c r="BP9157" s="197"/>
      <c r="BQ9157" s="197"/>
    </row>
    <row r="9158" spans="66:69" x14ac:dyDescent="0.2">
      <c r="BN9158" s="192"/>
      <c r="BO9158" s="197"/>
      <c r="BP9158" s="197"/>
      <c r="BQ9158" s="197"/>
    </row>
    <row r="9159" spans="66:69" x14ac:dyDescent="0.2">
      <c r="BN9159" s="192"/>
      <c r="BO9159" s="197"/>
      <c r="BP9159" s="197"/>
      <c r="BQ9159" s="197"/>
    </row>
    <row r="9160" spans="66:69" x14ac:dyDescent="0.2">
      <c r="BN9160" s="192"/>
      <c r="BO9160" s="197"/>
      <c r="BP9160" s="197"/>
      <c r="BQ9160" s="197"/>
    </row>
    <row r="9161" spans="66:69" x14ac:dyDescent="0.2">
      <c r="BN9161" s="192"/>
      <c r="BO9161" s="197"/>
      <c r="BP9161" s="197"/>
      <c r="BQ9161" s="197"/>
    </row>
    <row r="9162" spans="66:69" x14ac:dyDescent="0.2">
      <c r="BN9162" s="192"/>
      <c r="BO9162" s="197"/>
      <c r="BP9162" s="197"/>
      <c r="BQ9162" s="197"/>
    </row>
    <row r="9163" spans="66:69" x14ac:dyDescent="0.2">
      <c r="BN9163" s="192"/>
      <c r="BO9163" s="197"/>
      <c r="BP9163" s="197"/>
      <c r="BQ9163" s="197"/>
    </row>
    <row r="9164" spans="66:69" x14ac:dyDescent="0.2">
      <c r="BN9164" s="192"/>
      <c r="BO9164" s="197"/>
      <c r="BP9164" s="197"/>
      <c r="BQ9164" s="197"/>
    </row>
    <row r="9165" spans="66:69" x14ac:dyDescent="0.2">
      <c r="BN9165" s="192"/>
      <c r="BO9165" s="197"/>
      <c r="BP9165" s="197"/>
      <c r="BQ9165" s="197"/>
    </row>
    <row r="9166" spans="66:69" x14ac:dyDescent="0.2">
      <c r="BN9166" s="192"/>
      <c r="BO9166" s="197"/>
      <c r="BP9166" s="197"/>
      <c r="BQ9166" s="197"/>
    </row>
    <row r="9167" spans="66:69" x14ac:dyDescent="0.2">
      <c r="BN9167" s="192"/>
      <c r="BO9167" s="197"/>
      <c r="BP9167" s="197"/>
      <c r="BQ9167" s="197"/>
    </row>
    <row r="9168" spans="66:69" x14ac:dyDescent="0.2">
      <c r="BN9168" s="192"/>
      <c r="BO9168" s="197"/>
      <c r="BP9168" s="197"/>
      <c r="BQ9168" s="197"/>
    </row>
    <row r="9169" spans="66:69" x14ac:dyDescent="0.2">
      <c r="BN9169" s="192"/>
      <c r="BO9169" s="197"/>
      <c r="BP9169" s="197"/>
      <c r="BQ9169" s="197"/>
    </row>
    <row r="9170" spans="66:69" x14ac:dyDescent="0.2">
      <c r="BN9170" s="192"/>
      <c r="BO9170" s="197"/>
      <c r="BP9170" s="197"/>
      <c r="BQ9170" s="197"/>
    </row>
    <row r="9171" spans="66:69" x14ac:dyDescent="0.2">
      <c r="BN9171" s="192"/>
      <c r="BO9171" s="197"/>
      <c r="BP9171" s="197"/>
      <c r="BQ9171" s="197"/>
    </row>
    <row r="9172" spans="66:69" x14ac:dyDescent="0.2">
      <c r="BN9172" s="192"/>
      <c r="BO9172" s="197"/>
      <c r="BP9172" s="197"/>
      <c r="BQ9172" s="197"/>
    </row>
    <row r="9173" spans="66:69" x14ac:dyDescent="0.2">
      <c r="BN9173" s="192"/>
      <c r="BO9173" s="197"/>
      <c r="BP9173" s="197"/>
      <c r="BQ9173" s="197"/>
    </row>
    <row r="9174" spans="66:69" x14ac:dyDescent="0.2">
      <c r="BN9174" s="192"/>
      <c r="BO9174" s="197"/>
      <c r="BP9174" s="197"/>
      <c r="BQ9174" s="197"/>
    </row>
    <row r="9175" spans="66:69" x14ac:dyDescent="0.2">
      <c r="BN9175" s="192"/>
      <c r="BO9175" s="197"/>
      <c r="BP9175" s="197"/>
      <c r="BQ9175" s="197"/>
    </row>
    <row r="9176" spans="66:69" x14ac:dyDescent="0.2">
      <c r="BN9176" s="192"/>
      <c r="BO9176" s="197"/>
      <c r="BP9176" s="197"/>
      <c r="BQ9176" s="197"/>
    </row>
    <row r="9177" spans="66:69" x14ac:dyDescent="0.2">
      <c r="BN9177" s="192"/>
      <c r="BO9177" s="197"/>
      <c r="BP9177" s="197"/>
      <c r="BQ9177" s="197"/>
    </row>
    <row r="9178" spans="66:69" x14ac:dyDescent="0.2">
      <c r="BN9178" s="192"/>
      <c r="BO9178" s="197"/>
      <c r="BP9178" s="197"/>
      <c r="BQ9178" s="197"/>
    </row>
    <row r="9179" spans="66:69" x14ac:dyDescent="0.2">
      <c r="BN9179" s="192"/>
      <c r="BO9179" s="197"/>
      <c r="BP9179" s="197"/>
      <c r="BQ9179" s="197"/>
    </row>
    <row r="9180" spans="66:69" x14ac:dyDescent="0.2">
      <c r="BN9180" s="192"/>
      <c r="BO9180" s="197"/>
      <c r="BP9180" s="197"/>
      <c r="BQ9180" s="197"/>
    </row>
    <row r="9181" spans="66:69" x14ac:dyDescent="0.2">
      <c r="BN9181" s="192"/>
      <c r="BO9181" s="197"/>
      <c r="BP9181" s="197"/>
      <c r="BQ9181" s="197"/>
    </row>
    <row r="9182" spans="66:69" x14ac:dyDescent="0.2">
      <c r="BN9182" s="192"/>
      <c r="BO9182" s="197"/>
      <c r="BP9182" s="197"/>
      <c r="BQ9182" s="197"/>
    </row>
    <row r="9183" spans="66:69" x14ac:dyDescent="0.2">
      <c r="BN9183" s="192"/>
      <c r="BO9183" s="197"/>
      <c r="BP9183" s="197"/>
      <c r="BQ9183" s="197"/>
    </row>
    <row r="9184" spans="66:69" x14ac:dyDescent="0.2">
      <c r="BN9184" s="192"/>
      <c r="BO9184" s="197"/>
      <c r="BP9184" s="197"/>
      <c r="BQ9184" s="197"/>
    </row>
    <row r="9185" spans="66:69" x14ac:dyDescent="0.2">
      <c r="BN9185" s="192"/>
      <c r="BO9185" s="197"/>
      <c r="BP9185" s="197"/>
      <c r="BQ9185" s="197"/>
    </row>
    <row r="9186" spans="66:69" x14ac:dyDescent="0.2">
      <c r="BN9186" s="192"/>
      <c r="BO9186" s="197"/>
      <c r="BP9186" s="197"/>
      <c r="BQ9186" s="197"/>
    </row>
    <row r="9187" spans="66:69" x14ac:dyDescent="0.2">
      <c r="BN9187" s="192"/>
      <c r="BO9187" s="197"/>
      <c r="BP9187" s="197"/>
      <c r="BQ9187" s="197"/>
    </row>
    <row r="9188" spans="66:69" x14ac:dyDescent="0.2">
      <c r="BN9188" s="192"/>
      <c r="BO9188" s="197"/>
      <c r="BP9188" s="197"/>
      <c r="BQ9188" s="197"/>
    </row>
    <row r="9189" spans="66:69" x14ac:dyDescent="0.2">
      <c r="BN9189" s="192"/>
      <c r="BO9189" s="197"/>
      <c r="BP9189" s="197"/>
      <c r="BQ9189" s="197"/>
    </row>
    <row r="9190" spans="66:69" x14ac:dyDescent="0.2">
      <c r="BN9190" s="192"/>
      <c r="BO9190" s="197"/>
      <c r="BP9190" s="197"/>
      <c r="BQ9190" s="197"/>
    </row>
    <row r="9191" spans="66:69" x14ac:dyDescent="0.2">
      <c r="BN9191" s="192"/>
      <c r="BO9191" s="197"/>
      <c r="BP9191" s="197"/>
      <c r="BQ9191" s="197"/>
    </row>
    <row r="9192" spans="66:69" x14ac:dyDescent="0.2">
      <c r="BN9192" s="192"/>
      <c r="BO9192" s="197"/>
      <c r="BP9192" s="197"/>
      <c r="BQ9192" s="197"/>
    </row>
    <row r="9193" spans="66:69" x14ac:dyDescent="0.2">
      <c r="BN9193" s="192"/>
      <c r="BO9193" s="197"/>
      <c r="BP9193" s="197"/>
      <c r="BQ9193" s="197"/>
    </row>
    <row r="9194" spans="66:69" x14ac:dyDescent="0.2">
      <c r="BN9194" s="192"/>
      <c r="BO9194" s="197"/>
      <c r="BP9194" s="197"/>
      <c r="BQ9194" s="197"/>
    </row>
    <row r="9195" spans="66:69" x14ac:dyDescent="0.2">
      <c r="BN9195" s="192"/>
      <c r="BO9195" s="197"/>
      <c r="BP9195" s="197"/>
      <c r="BQ9195" s="197"/>
    </row>
    <row r="9196" spans="66:69" x14ac:dyDescent="0.2">
      <c r="BN9196" s="192"/>
      <c r="BO9196" s="197"/>
      <c r="BP9196" s="197"/>
      <c r="BQ9196" s="197"/>
    </row>
    <row r="9197" spans="66:69" x14ac:dyDescent="0.2">
      <c r="BN9197" s="192"/>
      <c r="BO9197" s="197"/>
      <c r="BP9197" s="197"/>
      <c r="BQ9197" s="197"/>
    </row>
    <row r="9198" spans="66:69" x14ac:dyDescent="0.2">
      <c r="BN9198" s="192"/>
      <c r="BO9198" s="197"/>
      <c r="BP9198" s="197"/>
      <c r="BQ9198" s="197"/>
    </row>
    <row r="9199" spans="66:69" x14ac:dyDescent="0.2">
      <c r="BN9199" s="192"/>
      <c r="BO9199" s="197"/>
      <c r="BP9199" s="197"/>
      <c r="BQ9199" s="197"/>
    </row>
    <row r="9200" spans="66:69" x14ac:dyDescent="0.2">
      <c r="BN9200" s="192"/>
      <c r="BO9200" s="197"/>
      <c r="BP9200" s="197"/>
      <c r="BQ9200" s="197"/>
    </row>
    <row r="9201" spans="66:69" x14ac:dyDescent="0.2">
      <c r="BN9201" s="192"/>
      <c r="BO9201" s="197"/>
      <c r="BP9201" s="197"/>
      <c r="BQ9201" s="197"/>
    </row>
    <row r="9202" spans="66:69" x14ac:dyDescent="0.2">
      <c r="BN9202" s="192"/>
      <c r="BO9202" s="197"/>
      <c r="BP9202" s="197"/>
      <c r="BQ9202" s="197"/>
    </row>
    <row r="9203" spans="66:69" x14ac:dyDescent="0.2">
      <c r="BN9203" s="192"/>
      <c r="BO9203" s="197"/>
      <c r="BP9203" s="197"/>
      <c r="BQ9203" s="197"/>
    </row>
    <row r="9204" spans="66:69" x14ac:dyDescent="0.2">
      <c r="BN9204" s="192"/>
      <c r="BO9204" s="197"/>
      <c r="BP9204" s="197"/>
      <c r="BQ9204" s="197"/>
    </row>
    <row r="9205" spans="66:69" x14ac:dyDescent="0.2">
      <c r="BN9205" s="192"/>
      <c r="BO9205" s="197"/>
      <c r="BP9205" s="197"/>
      <c r="BQ9205" s="197"/>
    </row>
    <row r="9206" spans="66:69" x14ac:dyDescent="0.2">
      <c r="BN9206" s="192"/>
      <c r="BO9206" s="197"/>
      <c r="BP9206" s="197"/>
      <c r="BQ9206" s="197"/>
    </row>
    <row r="9207" spans="66:69" x14ac:dyDescent="0.2">
      <c r="BN9207" s="192"/>
      <c r="BO9207" s="197"/>
      <c r="BP9207" s="197"/>
      <c r="BQ9207" s="197"/>
    </row>
    <row r="9208" spans="66:69" x14ac:dyDescent="0.2">
      <c r="BN9208" s="192"/>
      <c r="BO9208" s="197"/>
      <c r="BP9208" s="197"/>
      <c r="BQ9208" s="197"/>
    </row>
    <row r="9209" spans="66:69" x14ac:dyDescent="0.2">
      <c r="BN9209" s="192"/>
      <c r="BO9209" s="197"/>
      <c r="BP9209" s="197"/>
      <c r="BQ9209" s="197"/>
    </row>
    <row r="9210" spans="66:69" x14ac:dyDescent="0.2">
      <c r="BN9210" s="192"/>
      <c r="BO9210" s="197"/>
      <c r="BP9210" s="197"/>
      <c r="BQ9210" s="197"/>
    </row>
    <row r="9211" spans="66:69" x14ac:dyDescent="0.2">
      <c r="BN9211" s="192"/>
      <c r="BO9211" s="197"/>
      <c r="BP9211" s="197"/>
      <c r="BQ9211" s="197"/>
    </row>
    <row r="9212" spans="66:69" x14ac:dyDescent="0.2">
      <c r="BN9212" s="192"/>
      <c r="BO9212" s="197"/>
      <c r="BP9212" s="197"/>
      <c r="BQ9212" s="197"/>
    </row>
    <row r="9213" spans="66:69" x14ac:dyDescent="0.2">
      <c r="BN9213" s="192"/>
      <c r="BO9213" s="197"/>
      <c r="BP9213" s="197"/>
      <c r="BQ9213" s="197"/>
    </row>
    <row r="9214" spans="66:69" x14ac:dyDescent="0.2">
      <c r="BN9214" s="192"/>
      <c r="BO9214" s="197"/>
      <c r="BP9214" s="197"/>
      <c r="BQ9214" s="197"/>
    </row>
    <row r="9215" spans="66:69" x14ac:dyDescent="0.2">
      <c r="BN9215" s="192"/>
      <c r="BO9215" s="197"/>
      <c r="BP9215" s="197"/>
      <c r="BQ9215" s="197"/>
    </row>
    <row r="9216" spans="66:69" x14ac:dyDescent="0.2">
      <c r="BN9216" s="192"/>
      <c r="BO9216" s="197"/>
      <c r="BP9216" s="197"/>
      <c r="BQ9216" s="197"/>
    </row>
    <row r="9217" spans="66:69" x14ac:dyDescent="0.2">
      <c r="BN9217" s="192"/>
      <c r="BO9217" s="197"/>
      <c r="BP9217" s="197"/>
      <c r="BQ9217" s="197"/>
    </row>
    <row r="9218" spans="66:69" x14ac:dyDescent="0.2">
      <c r="BN9218" s="192"/>
      <c r="BO9218" s="197"/>
      <c r="BP9218" s="197"/>
      <c r="BQ9218" s="197"/>
    </row>
    <row r="9219" spans="66:69" x14ac:dyDescent="0.2">
      <c r="BN9219" s="192"/>
      <c r="BO9219" s="197"/>
      <c r="BP9219" s="197"/>
      <c r="BQ9219" s="197"/>
    </row>
    <row r="9220" spans="66:69" x14ac:dyDescent="0.2">
      <c r="BN9220" s="192"/>
      <c r="BO9220" s="197"/>
      <c r="BP9220" s="197"/>
      <c r="BQ9220" s="197"/>
    </row>
    <row r="9221" spans="66:69" x14ac:dyDescent="0.2">
      <c r="BN9221" s="192"/>
      <c r="BO9221" s="197"/>
      <c r="BP9221" s="197"/>
      <c r="BQ9221" s="197"/>
    </row>
    <row r="9222" spans="66:69" x14ac:dyDescent="0.2">
      <c r="BN9222" s="192"/>
      <c r="BO9222" s="197"/>
      <c r="BP9222" s="197"/>
      <c r="BQ9222" s="197"/>
    </row>
    <row r="9223" spans="66:69" x14ac:dyDescent="0.2">
      <c r="BN9223" s="192"/>
      <c r="BO9223" s="197"/>
      <c r="BP9223" s="197"/>
      <c r="BQ9223" s="197"/>
    </row>
    <row r="9224" spans="66:69" x14ac:dyDescent="0.2">
      <c r="BN9224" s="192"/>
      <c r="BO9224" s="197"/>
      <c r="BP9224" s="197"/>
      <c r="BQ9224" s="197"/>
    </row>
    <row r="9225" spans="66:69" x14ac:dyDescent="0.2">
      <c r="BN9225" s="192"/>
      <c r="BO9225" s="197"/>
      <c r="BP9225" s="197"/>
      <c r="BQ9225" s="197"/>
    </row>
    <row r="9226" spans="66:69" x14ac:dyDescent="0.2">
      <c r="BN9226" s="192"/>
      <c r="BO9226" s="197"/>
      <c r="BP9226" s="197"/>
      <c r="BQ9226" s="197"/>
    </row>
    <row r="9227" spans="66:69" x14ac:dyDescent="0.2">
      <c r="BN9227" s="192"/>
      <c r="BO9227" s="197"/>
      <c r="BP9227" s="197"/>
      <c r="BQ9227" s="197"/>
    </row>
    <row r="9228" spans="66:69" x14ac:dyDescent="0.2">
      <c r="BN9228" s="192"/>
      <c r="BO9228" s="197"/>
      <c r="BP9228" s="197"/>
      <c r="BQ9228" s="197"/>
    </row>
    <row r="9229" spans="66:69" x14ac:dyDescent="0.2">
      <c r="BN9229" s="192"/>
      <c r="BO9229" s="197"/>
      <c r="BP9229" s="197"/>
      <c r="BQ9229" s="197"/>
    </row>
    <row r="9230" spans="66:69" x14ac:dyDescent="0.2">
      <c r="BN9230" s="192"/>
      <c r="BO9230" s="197"/>
      <c r="BP9230" s="197"/>
      <c r="BQ9230" s="197"/>
    </row>
    <row r="9231" spans="66:69" x14ac:dyDescent="0.2">
      <c r="BN9231" s="192"/>
      <c r="BO9231" s="197"/>
      <c r="BP9231" s="197"/>
      <c r="BQ9231" s="197"/>
    </row>
    <row r="9232" spans="66:69" x14ac:dyDescent="0.2">
      <c r="BN9232" s="192"/>
      <c r="BO9232" s="197"/>
      <c r="BP9232" s="197"/>
      <c r="BQ9232" s="197"/>
    </row>
    <row r="9233" spans="66:69" x14ac:dyDescent="0.2">
      <c r="BN9233" s="192"/>
      <c r="BO9233" s="197"/>
      <c r="BP9233" s="197"/>
      <c r="BQ9233" s="197"/>
    </row>
    <row r="9234" spans="66:69" x14ac:dyDescent="0.2">
      <c r="BN9234" s="192"/>
      <c r="BO9234" s="197"/>
      <c r="BP9234" s="197"/>
      <c r="BQ9234" s="197"/>
    </row>
    <row r="9235" spans="66:69" x14ac:dyDescent="0.2">
      <c r="BN9235" s="192"/>
      <c r="BO9235" s="197"/>
      <c r="BP9235" s="197"/>
      <c r="BQ9235" s="197"/>
    </row>
    <row r="9236" spans="66:69" x14ac:dyDescent="0.2">
      <c r="BN9236" s="192"/>
      <c r="BO9236" s="197"/>
      <c r="BP9236" s="197"/>
      <c r="BQ9236" s="197"/>
    </row>
    <row r="9237" spans="66:69" x14ac:dyDescent="0.2">
      <c r="BN9237" s="192"/>
      <c r="BO9237" s="197"/>
      <c r="BP9237" s="197"/>
      <c r="BQ9237" s="197"/>
    </row>
    <row r="9238" spans="66:69" x14ac:dyDescent="0.2">
      <c r="BN9238" s="192"/>
      <c r="BO9238" s="197"/>
      <c r="BP9238" s="197"/>
      <c r="BQ9238" s="197"/>
    </row>
    <row r="9239" spans="66:69" x14ac:dyDescent="0.2">
      <c r="BN9239" s="192"/>
      <c r="BO9239" s="197"/>
      <c r="BP9239" s="197"/>
      <c r="BQ9239" s="197"/>
    </row>
    <row r="9240" spans="66:69" x14ac:dyDescent="0.2">
      <c r="BN9240" s="192"/>
      <c r="BO9240" s="197"/>
      <c r="BP9240" s="197"/>
      <c r="BQ9240" s="197"/>
    </row>
    <row r="9241" spans="66:69" x14ac:dyDescent="0.2">
      <c r="BN9241" s="192"/>
      <c r="BO9241" s="197"/>
      <c r="BP9241" s="197"/>
      <c r="BQ9241" s="197"/>
    </row>
    <row r="9242" spans="66:69" x14ac:dyDescent="0.2">
      <c r="BN9242" s="192"/>
      <c r="BO9242" s="197"/>
      <c r="BP9242" s="197"/>
      <c r="BQ9242" s="197"/>
    </row>
    <row r="9243" spans="66:69" x14ac:dyDescent="0.2">
      <c r="BN9243" s="192"/>
      <c r="BO9243" s="197"/>
      <c r="BP9243" s="197"/>
      <c r="BQ9243" s="197"/>
    </row>
    <row r="9244" spans="66:69" x14ac:dyDescent="0.2">
      <c r="BN9244" s="192"/>
      <c r="BO9244" s="197"/>
      <c r="BP9244" s="197"/>
      <c r="BQ9244" s="197"/>
    </row>
    <row r="9245" spans="66:69" x14ac:dyDescent="0.2">
      <c r="BN9245" s="192"/>
      <c r="BO9245" s="197"/>
      <c r="BP9245" s="197"/>
      <c r="BQ9245" s="197"/>
    </row>
    <row r="9246" spans="66:69" x14ac:dyDescent="0.2">
      <c r="BN9246" s="192"/>
      <c r="BO9246" s="197"/>
      <c r="BP9246" s="197"/>
      <c r="BQ9246" s="197"/>
    </row>
    <row r="9247" spans="66:69" x14ac:dyDescent="0.2">
      <c r="BN9247" s="192"/>
      <c r="BO9247" s="197"/>
      <c r="BP9247" s="197"/>
      <c r="BQ9247" s="197"/>
    </row>
    <row r="9248" spans="66:69" x14ac:dyDescent="0.2">
      <c r="BN9248" s="192"/>
      <c r="BO9248" s="197"/>
      <c r="BP9248" s="197"/>
      <c r="BQ9248" s="197"/>
    </row>
    <row r="9249" spans="66:69" x14ac:dyDescent="0.2">
      <c r="BN9249" s="192"/>
      <c r="BO9249" s="197"/>
      <c r="BP9249" s="197"/>
      <c r="BQ9249" s="197"/>
    </row>
    <row r="9250" spans="66:69" x14ac:dyDescent="0.2">
      <c r="BN9250" s="192"/>
      <c r="BO9250" s="197"/>
      <c r="BP9250" s="197"/>
      <c r="BQ9250" s="197"/>
    </row>
    <row r="9251" spans="66:69" x14ac:dyDescent="0.2">
      <c r="BN9251" s="192"/>
      <c r="BO9251" s="197"/>
      <c r="BP9251" s="197"/>
      <c r="BQ9251" s="197"/>
    </row>
    <row r="9252" spans="66:69" x14ac:dyDescent="0.2">
      <c r="BN9252" s="192"/>
      <c r="BO9252" s="197"/>
      <c r="BP9252" s="197"/>
      <c r="BQ9252" s="197"/>
    </row>
    <row r="9253" spans="66:69" x14ac:dyDescent="0.2">
      <c r="BN9253" s="192"/>
      <c r="BO9253" s="197"/>
      <c r="BP9253" s="197"/>
      <c r="BQ9253" s="197"/>
    </row>
    <row r="9254" spans="66:69" x14ac:dyDescent="0.2">
      <c r="BN9254" s="192"/>
      <c r="BO9254" s="197"/>
      <c r="BP9254" s="197"/>
      <c r="BQ9254" s="197"/>
    </row>
    <row r="9255" spans="66:69" x14ac:dyDescent="0.2">
      <c r="BN9255" s="192"/>
      <c r="BO9255" s="197"/>
      <c r="BP9255" s="197"/>
      <c r="BQ9255" s="197"/>
    </row>
    <row r="9256" spans="66:69" x14ac:dyDescent="0.2">
      <c r="BN9256" s="192"/>
      <c r="BO9256" s="197"/>
      <c r="BP9256" s="197"/>
      <c r="BQ9256" s="197"/>
    </row>
    <row r="9257" spans="66:69" x14ac:dyDescent="0.2">
      <c r="BN9257" s="192"/>
      <c r="BO9257" s="197"/>
      <c r="BP9257" s="197"/>
      <c r="BQ9257" s="197"/>
    </row>
    <row r="9258" spans="66:69" x14ac:dyDescent="0.2">
      <c r="BN9258" s="192"/>
      <c r="BO9258" s="197"/>
      <c r="BP9258" s="197"/>
      <c r="BQ9258" s="197"/>
    </row>
    <row r="9259" spans="66:69" x14ac:dyDescent="0.2">
      <c r="BN9259" s="192"/>
      <c r="BO9259" s="197"/>
      <c r="BP9259" s="197"/>
      <c r="BQ9259" s="197"/>
    </row>
    <row r="9260" spans="66:69" x14ac:dyDescent="0.2">
      <c r="BN9260" s="192"/>
      <c r="BO9260" s="197"/>
      <c r="BP9260" s="197"/>
      <c r="BQ9260" s="197"/>
    </row>
    <row r="9261" spans="66:69" x14ac:dyDescent="0.2">
      <c r="BN9261" s="192"/>
      <c r="BO9261" s="197"/>
      <c r="BP9261" s="197"/>
      <c r="BQ9261" s="197"/>
    </row>
    <row r="9262" spans="66:69" x14ac:dyDescent="0.2">
      <c r="BN9262" s="192"/>
      <c r="BO9262" s="197"/>
      <c r="BP9262" s="197"/>
      <c r="BQ9262" s="197"/>
    </row>
    <row r="9263" spans="66:69" x14ac:dyDescent="0.2">
      <c r="BN9263" s="192"/>
      <c r="BO9263" s="197"/>
      <c r="BP9263" s="197"/>
      <c r="BQ9263" s="197"/>
    </row>
    <row r="9264" spans="66:69" x14ac:dyDescent="0.2">
      <c r="BN9264" s="192"/>
      <c r="BO9264" s="197"/>
      <c r="BP9264" s="197"/>
      <c r="BQ9264" s="197"/>
    </row>
    <row r="9265" spans="66:69" x14ac:dyDescent="0.2">
      <c r="BN9265" s="192"/>
      <c r="BO9265" s="197"/>
      <c r="BP9265" s="197"/>
      <c r="BQ9265" s="197"/>
    </row>
    <row r="9266" spans="66:69" x14ac:dyDescent="0.2">
      <c r="BN9266" s="192"/>
      <c r="BO9266" s="197"/>
      <c r="BP9266" s="197"/>
      <c r="BQ9266" s="197"/>
    </row>
    <row r="9267" spans="66:69" x14ac:dyDescent="0.2">
      <c r="BN9267" s="192"/>
      <c r="BO9267" s="197"/>
      <c r="BP9267" s="197"/>
      <c r="BQ9267" s="197"/>
    </row>
    <row r="9268" spans="66:69" x14ac:dyDescent="0.2">
      <c r="BN9268" s="192"/>
      <c r="BO9268" s="197"/>
      <c r="BP9268" s="197"/>
      <c r="BQ9268" s="197"/>
    </row>
    <row r="9269" spans="66:69" x14ac:dyDescent="0.2">
      <c r="BN9269" s="192"/>
      <c r="BO9269" s="197"/>
      <c r="BP9269" s="197"/>
      <c r="BQ9269" s="197"/>
    </row>
    <row r="9270" spans="66:69" x14ac:dyDescent="0.2">
      <c r="BN9270" s="192"/>
      <c r="BO9270" s="197"/>
      <c r="BP9270" s="197"/>
      <c r="BQ9270" s="197"/>
    </row>
    <row r="9271" spans="66:69" x14ac:dyDescent="0.2">
      <c r="BN9271" s="192"/>
      <c r="BO9271" s="197"/>
      <c r="BP9271" s="197"/>
      <c r="BQ9271" s="197"/>
    </row>
    <row r="9272" spans="66:69" x14ac:dyDescent="0.2">
      <c r="BN9272" s="192"/>
      <c r="BO9272" s="197"/>
      <c r="BP9272" s="197"/>
      <c r="BQ9272" s="197"/>
    </row>
    <row r="9273" spans="66:69" x14ac:dyDescent="0.2">
      <c r="BN9273" s="192"/>
      <c r="BO9273" s="197"/>
      <c r="BP9273" s="197"/>
      <c r="BQ9273" s="197"/>
    </row>
    <row r="9274" spans="66:69" x14ac:dyDescent="0.2">
      <c r="BN9274" s="192"/>
      <c r="BO9274" s="197"/>
      <c r="BP9274" s="197"/>
      <c r="BQ9274" s="197"/>
    </row>
    <row r="9275" spans="66:69" x14ac:dyDescent="0.2">
      <c r="BN9275" s="192"/>
      <c r="BO9275" s="197"/>
      <c r="BP9275" s="197"/>
      <c r="BQ9275" s="197"/>
    </row>
    <row r="9276" spans="66:69" x14ac:dyDescent="0.2">
      <c r="BN9276" s="192"/>
      <c r="BO9276" s="197"/>
      <c r="BP9276" s="197"/>
      <c r="BQ9276" s="197"/>
    </row>
    <row r="9277" spans="66:69" x14ac:dyDescent="0.2">
      <c r="BN9277" s="192"/>
      <c r="BO9277" s="197"/>
      <c r="BP9277" s="197"/>
      <c r="BQ9277" s="197"/>
    </row>
    <row r="9278" spans="66:69" x14ac:dyDescent="0.2">
      <c r="BN9278" s="192"/>
      <c r="BO9278" s="197"/>
      <c r="BP9278" s="197"/>
      <c r="BQ9278" s="197"/>
    </row>
    <row r="9279" spans="66:69" x14ac:dyDescent="0.2">
      <c r="BN9279" s="192"/>
      <c r="BO9279" s="197"/>
      <c r="BP9279" s="197"/>
      <c r="BQ9279" s="197"/>
    </row>
    <row r="9280" spans="66:69" x14ac:dyDescent="0.2">
      <c r="BN9280" s="192"/>
      <c r="BO9280" s="197"/>
      <c r="BP9280" s="197"/>
      <c r="BQ9280" s="197"/>
    </row>
    <row r="9281" spans="66:69" x14ac:dyDescent="0.2">
      <c r="BN9281" s="192"/>
      <c r="BO9281" s="197"/>
      <c r="BP9281" s="197"/>
      <c r="BQ9281" s="197"/>
    </row>
    <row r="9282" spans="66:69" x14ac:dyDescent="0.2">
      <c r="BN9282" s="192"/>
      <c r="BO9282" s="197"/>
      <c r="BP9282" s="197"/>
      <c r="BQ9282" s="197"/>
    </row>
    <row r="9283" spans="66:69" x14ac:dyDescent="0.2">
      <c r="BN9283" s="192"/>
      <c r="BO9283" s="197"/>
      <c r="BP9283" s="197"/>
      <c r="BQ9283" s="197"/>
    </row>
    <row r="9284" spans="66:69" x14ac:dyDescent="0.2">
      <c r="BN9284" s="192"/>
      <c r="BO9284" s="197"/>
      <c r="BP9284" s="197"/>
      <c r="BQ9284" s="197"/>
    </row>
    <row r="9285" spans="66:69" x14ac:dyDescent="0.2">
      <c r="BN9285" s="192"/>
      <c r="BO9285" s="197"/>
      <c r="BP9285" s="197"/>
      <c r="BQ9285" s="197"/>
    </row>
    <row r="9286" spans="66:69" x14ac:dyDescent="0.2">
      <c r="BN9286" s="192"/>
      <c r="BO9286" s="197"/>
      <c r="BP9286" s="197"/>
      <c r="BQ9286" s="197"/>
    </row>
    <row r="9287" spans="66:69" x14ac:dyDescent="0.2">
      <c r="BN9287" s="192"/>
      <c r="BO9287" s="197"/>
      <c r="BP9287" s="197"/>
      <c r="BQ9287" s="197"/>
    </row>
    <row r="9288" spans="66:69" x14ac:dyDescent="0.2">
      <c r="BN9288" s="192"/>
      <c r="BO9288" s="197"/>
      <c r="BP9288" s="197"/>
      <c r="BQ9288" s="197"/>
    </row>
    <row r="9289" spans="66:69" x14ac:dyDescent="0.2">
      <c r="BN9289" s="192"/>
      <c r="BO9289" s="197"/>
      <c r="BP9289" s="197"/>
      <c r="BQ9289" s="197"/>
    </row>
    <row r="9290" spans="66:69" x14ac:dyDescent="0.2">
      <c r="BN9290" s="192"/>
      <c r="BO9290" s="197"/>
      <c r="BP9290" s="197"/>
      <c r="BQ9290" s="197"/>
    </row>
    <row r="9291" spans="66:69" x14ac:dyDescent="0.2">
      <c r="BN9291" s="192"/>
      <c r="BO9291" s="197"/>
      <c r="BP9291" s="197"/>
      <c r="BQ9291" s="197"/>
    </row>
    <row r="9292" spans="66:69" x14ac:dyDescent="0.2">
      <c r="BN9292" s="192"/>
      <c r="BO9292" s="197"/>
      <c r="BP9292" s="197"/>
      <c r="BQ9292" s="197"/>
    </row>
    <row r="9293" spans="66:69" x14ac:dyDescent="0.2">
      <c r="BN9293" s="192"/>
      <c r="BO9293" s="197"/>
      <c r="BP9293" s="197"/>
      <c r="BQ9293" s="197"/>
    </row>
    <row r="9294" spans="66:69" x14ac:dyDescent="0.2">
      <c r="BN9294" s="192"/>
      <c r="BO9294" s="197"/>
      <c r="BP9294" s="197"/>
      <c r="BQ9294" s="197"/>
    </row>
    <row r="9295" spans="66:69" x14ac:dyDescent="0.2">
      <c r="BN9295" s="192"/>
      <c r="BO9295" s="197"/>
      <c r="BP9295" s="197"/>
      <c r="BQ9295" s="197"/>
    </row>
    <row r="9296" spans="66:69" x14ac:dyDescent="0.2">
      <c r="BN9296" s="192"/>
      <c r="BO9296" s="197"/>
      <c r="BP9296" s="197"/>
      <c r="BQ9296" s="197"/>
    </row>
    <row r="9297" spans="66:69" x14ac:dyDescent="0.2">
      <c r="BN9297" s="192"/>
      <c r="BO9297" s="197"/>
      <c r="BP9297" s="197"/>
      <c r="BQ9297" s="197"/>
    </row>
    <row r="9298" spans="66:69" x14ac:dyDescent="0.2">
      <c r="BN9298" s="192"/>
      <c r="BO9298" s="197"/>
      <c r="BP9298" s="197"/>
      <c r="BQ9298" s="197"/>
    </row>
    <row r="9299" spans="66:69" x14ac:dyDescent="0.2">
      <c r="BN9299" s="192"/>
      <c r="BO9299" s="197"/>
      <c r="BP9299" s="197"/>
      <c r="BQ9299" s="197"/>
    </row>
    <row r="9300" spans="66:69" x14ac:dyDescent="0.2">
      <c r="BN9300" s="192"/>
      <c r="BO9300" s="197"/>
      <c r="BP9300" s="197"/>
      <c r="BQ9300" s="197"/>
    </row>
    <row r="9301" spans="66:69" x14ac:dyDescent="0.2">
      <c r="BN9301" s="192"/>
      <c r="BO9301" s="197"/>
      <c r="BP9301" s="197"/>
      <c r="BQ9301" s="197"/>
    </row>
    <row r="9302" spans="66:69" x14ac:dyDescent="0.2">
      <c r="BN9302" s="192"/>
      <c r="BO9302" s="197"/>
      <c r="BP9302" s="197"/>
      <c r="BQ9302" s="197"/>
    </row>
    <row r="9303" spans="66:69" x14ac:dyDescent="0.2">
      <c r="BN9303" s="192"/>
      <c r="BO9303" s="197"/>
      <c r="BP9303" s="197"/>
      <c r="BQ9303" s="197"/>
    </row>
    <row r="9304" spans="66:69" x14ac:dyDescent="0.2">
      <c r="BN9304" s="192"/>
      <c r="BO9304" s="197"/>
      <c r="BP9304" s="197"/>
      <c r="BQ9304" s="197"/>
    </row>
    <row r="9305" spans="66:69" x14ac:dyDescent="0.2">
      <c r="BN9305" s="192"/>
      <c r="BO9305" s="197"/>
      <c r="BP9305" s="197"/>
      <c r="BQ9305" s="197"/>
    </row>
    <row r="9306" spans="66:69" x14ac:dyDescent="0.2">
      <c r="BN9306" s="192"/>
      <c r="BO9306" s="197"/>
      <c r="BP9306" s="197"/>
      <c r="BQ9306" s="197"/>
    </row>
    <row r="9307" spans="66:69" x14ac:dyDescent="0.2">
      <c r="BN9307" s="192"/>
      <c r="BO9307" s="197"/>
      <c r="BP9307" s="197"/>
      <c r="BQ9307" s="197"/>
    </row>
    <row r="9308" spans="66:69" x14ac:dyDescent="0.2">
      <c r="BN9308" s="192"/>
      <c r="BO9308" s="197"/>
      <c r="BP9308" s="197"/>
      <c r="BQ9308" s="197"/>
    </row>
    <row r="9309" spans="66:69" x14ac:dyDescent="0.2">
      <c r="BN9309" s="192"/>
      <c r="BO9309" s="197"/>
      <c r="BP9309" s="197"/>
      <c r="BQ9309" s="197"/>
    </row>
    <row r="9310" spans="66:69" x14ac:dyDescent="0.2">
      <c r="BN9310" s="192"/>
      <c r="BO9310" s="197"/>
      <c r="BP9310" s="197"/>
      <c r="BQ9310" s="197"/>
    </row>
    <row r="9311" spans="66:69" x14ac:dyDescent="0.2">
      <c r="BN9311" s="192"/>
      <c r="BO9311" s="197"/>
      <c r="BP9311" s="197"/>
      <c r="BQ9311" s="197"/>
    </row>
    <row r="9312" spans="66:69" x14ac:dyDescent="0.2">
      <c r="BN9312" s="192"/>
      <c r="BO9312" s="197"/>
      <c r="BP9312" s="197"/>
      <c r="BQ9312" s="197"/>
    </row>
    <row r="9313" spans="66:69" x14ac:dyDescent="0.2">
      <c r="BN9313" s="192"/>
      <c r="BO9313" s="197"/>
      <c r="BP9313" s="197"/>
      <c r="BQ9313" s="197"/>
    </row>
    <row r="9314" spans="66:69" x14ac:dyDescent="0.2">
      <c r="BN9314" s="192"/>
      <c r="BO9314" s="197"/>
      <c r="BP9314" s="197"/>
      <c r="BQ9314" s="197"/>
    </row>
    <row r="9315" spans="66:69" x14ac:dyDescent="0.2">
      <c r="BN9315" s="192"/>
      <c r="BO9315" s="197"/>
      <c r="BP9315" s="197"/>
      <c r="BQ9315" s="197"/>
    </row>
    <row r="9316" spans="66:69" x14ac:dyDescent="0.2">
      <c r="BN9316" s="192"/>
      <c r="BO9316" s="197"/>
      <c r="BP9316" s="197"/>
      <c r="BQ9316" s="197"/>
    </row>
    <row r="9317" spans="66:69" x14ac:dyDescent="0.2">
      <c r="BN9317" s="192"/>
      <c r="BO9317" s="197"/>
      <c r="BP9317" s="197"/>
      <c r="BQ9317" s="197"/>
    </row>
    <row r="9318" spans="66:69" x14ac:dyDescent="0.2">
      <c r="BN9318" s="192"/>
      <c r="BO9318" s="197"/>
      <c r="BP9318" s="197"/>
      <c r="BQ9318" s="197"/>
    </row>
    <row r="9319" spans="66:69" x14ac:dyDescent="0.2">
      <c r="BN9319" s="192"/>
      <c r="BO9319" s="197"/>
      <c r="BP9319" s="197"/>
      <c r="BQ9319" s="197"/>
    </row>
    <row r="9320" spans="66:69" x14ac:dyDescent="0.2">
      <c r="BN9320" s="192"/>
      <c r="BO9320" s="197"/>
      <c r="BP9320" s="197"/>
      <c r="BQ9320" s="197"/>
    </row>
    <row r="9321" spans="66:69" x14ac:dyDescent="0.2">
      <c r="BN9321" s="192"/>
      <c r="BO9321" s="197"/>
      <c r="BP9321" s="197"/>
      <c r="BQ9321" s="197"/>
    </row>
    <row r="9322" spans="66:69" x14ac:dyDescent="0.2">
      <c r="BN9322" s="192"/>
      <c r="BO9322" s="197"/>
      <c r="BP9322" s="197"/>
      <c r="BQ9322" s="197"/>
    </row>
    <row r="9323" spans="66:69" x14ac:dyDescent="0.2">
      <c r="BN9323" s="192"/>
      <c r="BO9323" s="197"/>
      <c r="BP9323" s="197"/>
      <c r="BQ9323" s="197"/>
    </row>
    <row r="9324" spans="66:69" x14ac:dyDescent="0.2">
      <c r="BN9324" s="192"/>
      <c r="BO9324" s="197"/>
      <c r="BP9324" s="197"/>
      <c r="BQ9324" s="197"/>
    </row>
    <row r="9325" spans="66:69" x14ac:dyDescent="0.2">
      <c r="BN9325" s="192"/>
      <c r="BO9325" s="197"/>
      <c r="BP9325" s="197"/>
      <c r="BQ9325" s="197"/>
    </row>
    <row r="9326" spans="66:69" x14ac:dyDescent="0.2">
      <c r="BN9326" s="192"/>
      <c r="BO9326" s="197"/>
      <c r="BP9326" s="197"/>
      <c r="BQ9326" s="197"/>
    </row>
    <row r="9327" spans="66:69" x14ac:dyDescent="0.2">
      <c r="BN9327" s="192"/>
      <c r="BO9327" s="197"/>
      <c r="BP9327" s="197"/>
      <c r="BQ9327" s="197"/>
    </row>
    <row r="9328" spans="66:69" x14ac:dyDescent="0.2">
      <c r="BN9328" s="192"/>
      <c r="BO9328" s="197"/>
      <c r="BP9328" s="197"/>
      <c r="BQ9328" s="197"/>
    </row>
    <row r="9329" spans="66:69" x14ac:dyDescent="0.2">
      <c r="BN9329" s="192"/>
      <c r="BO9329" s="197"/>
      <c r="BP9329" s="197"/>
      <c r="BQ9329" s="197"/>
    </row>
    <row r="9330" spans="66:69" x14ac:dyDescent="0.2">
      <c r="BN9330" s="192"/>
      <c r="BO9330" s="197"/>
      <c r="BP9330" s="197"/>
      <c r="BQ9330" s="197"/>
    </row>
    <row r="9331" spans="66:69" x14ac:dyDescent="0.2">
      <c r="BN9331" s="192"/>
      <c r="BO9331" s="197"/>
      <c r="BP9331" s="197"/>
      <c r="BQ9331" s="197"/>
    </row>
    <row r="9332" spans="66:69" x14ac:dyDescent="0.2">
      <c r="BN9332" s="192"/>
      <c r="BO9332" s="197"/>
      <c r="BP9332" s="197"/>
      <c r="BQ9332" s="197"/>
    </row>
    <row r="9333" spans="66:69" x14ac:dyDescent="0.2">
      <c r="BN9333" s="192"/>
      <c r="BO9333" s="197"/>
      <c r="BP9333" s="197"/>
      <c r="BQ9333" s="197"/>
    </row>
    <row r="9334" spans="66:69" x14ac:dyDescent="0.2">
      <c r="BN9334" s="192"/>
      <c r="BO9334" s="197"/>
      <c r="BP9334" s="197"/>
      <c r="BQ9334" s="197"/>
    </row>
    <row r="9335" spans="66:69" x14ac:dyDescent="0.2">
      <c r="BN9335" s="192"/>
      <c r="BO9335" s="197"/>
      <c r="BP9335" s="197"/>
      <c r="BQ9335" s="197"/>
    </row>
    <row r="9336" spans="66:69" x14ac:dyDescent="0.2">
      <c r="BN9336" s="192"/>
      <c r="BO9336" s="197"/>
      <c r="BP9336" s="197"/>
      <c r="BQ9336" s="197"/>
    </row>
    <row r="9337" spans="66:69" x14ac:dyDescent="0.2">
      <c r="BN9337" s="192"/>
      <c r="BO9337" s="197"/>
      <c r="BP9337" s="197"/>
      <c r="BQ9337" s="197"/>
    </row>
    <row r="9338" spans="66:69" x14ac:dyDescent="0.2">
      <c r="BN9338" s="192"/>
      <c r="BO9338" s="197"/>
      <c r="BP9338" s="197"/>
      <c r="BQ9338" s="197"/>
    </row>
    <row r="9339" spans="66:69" x14ac:dyDescent="0.2">
      <c r="BN9339" s="192"/>
      <c r="BO9339" s="197"/>
      <c r="BP9339" s="197"/>
      <c r="BQ9339" s="197"/>
    </row>
    <row r="9340" spans="66:69" x14ac:dyDescent="0.2">
      <c r="BN9340" s="192"/>
      <c r="BO9340" s="197"/>
      <c r="BP9340" s="197"/>
      <c r="BQ9340" s="197"/>
    </row>
    <row r="9341" spans="66:69" x14ac:dyDescent="0.2">
      <c r="BN9341" s="192"/>
      <c r="BO9341" s="197"/>
      <c r="BP9341" s="197"/>
      <c r="BQ9341" s="197"/>
    </row>
    <row r="9342" spans="66:69" x14ac:dyDescent="0.2">
      <c r="BN9342" s="192"/>
      <c r="BO9342" s="197"/>
      <c r="BP9342" s="197"/>
      <c r="BQ9342" s="197"/>
    </row>
    <row r="9343" spans="66:69" x14ac:dyDescent="0.2">
      <c r="BN9343" s="192"/>
      <c r="BO9343" s="197"/>
      <c r="BP9343" s="197"/>
      <c r="BQ9343" s="197"/>
    </row>
    <row r="9344" spans="66:69" x14ac:dyDescent="0.2">
      <c r="BN9344" s="192"/>
      <c r="BO9344" s="197"/>
      <c r="BP9344" s="197"/>
      <c r="BQ9344" s="197"/>
    </row>
    <row r="9345" spans="66:69" x14ac:dyDescent="0.2">
      <c r="BN9345" s="192"/>
      <c r="BO9345" s="197"/>
      <c r="BP9345" s="197"/>
      <c r="BQ9345" s="197"/>
    </row>
    <row r="9346" spans="66:69" x14ac:dyDescent="0.2">
      <c r="BN9346" s="192"/>
      <c r="BO9346" s="197"/>
      <c r="BP9346" s="197"/>
      <c r="BQ9346" s="197"/>
    </row>
    <row r="9347" spans="66:69" x14ac:dyDescent="0.2">
      <c r="BN9347" s="192"/>
      <c r="BO9347" s="197"/>
      <c r="BP9347" s="197"/>
      <c r="BQ9347" s="197"/>
    </row>
    <row r="9348" spans="66:69" x14ac:dyDescent="0.2">
      <c r="BN9348" s="192"/>
      <c r="BO9348" s="197"/>
      <c r="BP9348" s="197"/>
      <c r="BQ9348" s="197"/>
    </row>
    <row r="9349" spans="66:69" x14ac:dyDescent="0.2">
      <c r="BN9349" s="192"/>
      <c r="BO9349" s="197"/>
      <c r="BP9349" s="197"/>
      <c r="BQ9349" s="197"/>
    </row>
    <row r="9350" spans="66:69" x14ac:dyDescent="0.2">
      <c r="BN9350" s="192"/>
      <c r="BO9350" s="197"/>
      <c r="BP9350" s="197"/>
      <c r="BQ9350" s="197"/>
    </row>
    <row r="9351" spans="66:69" x14ac:dyDescent="0.2">
      <c r="BN9351" s="192"/>
      <c r="BO9351" s="197"/>
      <c r="BP9351" s="197"/>
      <c r="BQ9351" s="197"/>
    </row>
    <row r="9352" spans="66:69" x14ac:dyDescent="0.2">
      <c r="BN9352" s="192"/>
      <c r="BO9352" s="197"/>
      <c r="BP9352" s="197"/>
      <c r="BQ9352" s="197"/>
    </row>
    <row r="9353" spans="66:69" x14ac:dyDescent="0.2">
      <c r="BN9353" s="192"/>
      <c r="BO9353" s="197"/>
      <c r="BP9353" s="197"/>
      <c r="BQ9353" s="197"/>
    </row>
    <row r="9354" spans="66:69" x14ac:dyDescent="0.2">
      <c r="BN9354" s="192"/>
      <c r="BO9354" s="197"/>
      <c r="BP9354" s="197"/>
      <c r="BQ9354" s="197"/>
    </row>
    <row r="9355" spans="66:69" x14ac:dyDescent="0.2">
      <c r="BN9355" s="192"/>
      <c r="BO9355" s="197"/>
      <c r="BP9355" s="197"/>
      <c r="BQ9355" s="197"/>
    </row>
    <row r="9356" spans="66:69" x14ac:dyDescent="0.2">
      <c r="BN9356" s="192"/>
      <c r="BO9356" s="197"/>
      <c r="BP9356" s="197"/>
      <c r="BQ9356" s="197"/>
    </row>
    <row r="9357" spans="66:69" x14ac:dyDescent="0.2">
      <c r="BN9357" s="192"/>
      <c r="BO9357" s="197"/>
      <c r="BP9357" s="197"/>
      <c r="BQ9357" s="197"/>
    </row>
    <row r="9358" spans="66:69" x14ac:dyDescent="0.2">
      <c r="BN9358" s="192"/>
      <c r="BO9358" s="197"/>
      <c r="BP9358" s="197"/>
      <c r="BQ9358" s="197"/>
    </row>
    <row r="9359" spans="66:69" x14ac:dyDescent="0.2">
      <c r="BN9359" s="192"/>
      <c r="BO9359" s="197"/>
      <c r="BP9359" s="197"/>
      <c r="BQ9359" s="197"/>
    </row>
    <row r="9360" spans="66:69" x14ac:dyDescent="0.2">
      <c r="BN9360" s="192"/>
      <c r="BO9360" s="197"/>
      <c r="BP9360" s="197"/>
      <c r="BQ9360" s="197"/>
    </row>
    <row r="9361" spans="66:69" x14ac:dyDescent="0.2">
      <c r="BN9361" s="192"/>
      <c r="BO9361" s="197"/>
      <c r="BP9361" s="197"/>
      <c r="BQ9361" s="197"/>
    </row>
    <row r="9362" spans="66:69" x14ac:dyDescent="0.2">
      <c r="BN9362" s="192"/>
      <c r="BO9362" s="197"/>
      <c r="BP9362" s="197"/>
      <c r="BQ9362" s="197"/>
    </row>
    <row r="9363" spans="66:69" x14ac:dyDescent="0.2">
      <c r="BN9363" s="192"/>
      <c r="BO9363" s="197"/>
      <c r="BP9363" s="197"/>
      <c r="BQ9363" s="197"/>
    </row>
    <row r="9364" spans="66:69" x14ac:dyDescent="0.2">
      <c r="BN9364" s="192"/>
      <c r="BO9364" s="197"/>
      <c r="BP9364" s="197"/>
      <c r="BQ9364" s="197"/>
    </row>
    <row r="9365" spans="66:69" x14ac:dyDescent="0.2">
      <c r="BN9365" s="192"/>
      <c r="BO9365" s="197"/>
      <c r="BP9365" s="197"/>
      <c r="BQ9365" s="197"/>
    </row>
    <row r="9366" spans="66:69" x14ac:dyDescent="0.2">
      <c r="BN9366" s="192"/>
      <c r="BO9366" s="197"/>
      <c r="BP9366" s="197"/>
      <c r="BQ9366" s="197"/>
    </row>
    <row r="9367" spans="66:69" x14ac:dyDescent="0.2">
      <c r="BN9367" s="192"/>
      <c r="BO9367" s="197"/>
      <c r="BP9367" s="197"/>
      <c r="BQ9367" s="197"/>
    </row>
    <row r="9368" spans="66:69" x14ac:dyDescent="0.2">
      <c r="BN9368" s="192"/>
      <c r="BO9368" s="197"/>
      <c r="BP9368" s="197"/>
      <c r="BQ9368" s="197"/>
    </row>
    <row r="9369" spans="66:69" x14ac:dyDescent="0.2">
      <c r="BN9369" s="192"/>
      <c r="BO9369" s="197"/>
      <c r="BP9369" s="197"/>
      <c r="BQ9369" s="197"/>
    </row>
    <row r="9370" spans="66:69" x14ac:dyDescent="0.2">
      <c r="BN9370" s="192"/>
      <c r="BO9370" s="197"/>
      <c r="BP9370" s="197"/>
      <c r="BQ9370" s="197"/>
    </row>
    <row r="9371" spans="66:69" x14ac:dyDescent="0.2">
      <c r="BN9371" s="192"/>
      <c r="BO9371" s="197"/>
      <c r="BP9371" s="197"/>
      <c r="BQ9371" s="197"/>
    </row>
    <row r="9372" spans="66:69" x14ac:dyDescent="0.2">
      <c r="BN9372" s="192"/>
      <c r="BO9372" s="197"/>
      <c r="BP9372" s="197"/>
      <c r="BQ9372" s="197"/>
    </row>
    <row r="9373" spans="66:69" x14ac:dyDescent="0.2">
      <c r="BN9373" s="192"/>
      <c r="BO9373" s="197"/>
      <c r="BP9373" s="197"/>
      <c r="BQ9373" s="197"/>
    </row>
    <row r="9374" spans="66:69" x14ac:dyDescent="0.2">
      <c r="BN9374" s="192"/>
      <c r="BO9374" s="197"/>
      <c r="BP9374" s="197"/>
      <c r="BQ9374" s="197"/>
    </row>
    <row r="9375" spans="66:69" x14ac:dyDescent="0.2">
      <c r="BN9375" s="192"/>
      <c r="BO9375" s="197"/>
      <c r="BP9375" s="197"/>
      <c r="BQ9375" s="197"/>
    </row>
    <row r="9376" spans="66:69" x14ac:dyDescent="0.2">
      <c r="BN9376" s="192"/>
      <c r="BO9376" s="197"/>
      <c r="BP9376" s="197"/>
      <c r="BQ9376" s="197"/>
    </row>
    <row r="9377" spans="66:69" x14ac:dyDescent="0.2">
      <c r="BN9377" s="192"/>
      <c r="BO9377" s="197"/>
      <c r="BP9377" s="197"/>
      <c r="BQ9377" s="197"/>
    </row>
    <row r="9378" spans="66:69" x14ac:dyDescent="0.2">
      <c r="BN9378" s="192"/>
      <c r="BO9378" s="197"/>
      <c r="BP9378" s="197"/>
      <c r="BQ9378" s="197"/>
    </row>
    <row r="9379" spans="66:69" x14ac:dyDescent="0.2">
      <c r="BN9379" s="192"/>
      <c r="BO9379" s="197"/>
      <c r="BP9379" s="197"/>
      <c r="BQ9379" s="197"/>
    </row>
    <row r="9380" spans="66:69" x14ac:dyDescent="0.2">
      <c r="BN9380" s="192"/>
      <c r="BO9380" s="197"/>
      <c r="BP9380" s="197"/>
      <c r="BQ9380" s="197"/>
    </row>
    <row r="9381" spans="66:69" x14ac:dyDescent="0.2">
      <c r="BN9381" s="192"/>
      <c r="BO9381" s="197"/>
      <c r="BP9381" s="197"/>
      <c r="BQ9381" s="197"/>
    </row>
    <row r="9382" spans="66:69" x14ac:dyDescent="0.2">
      <c r="BN9382" s="192"/>
      <c r="BO9382" s="197"/>
      <c r="BP9382" s="197"/>
      <c r="BQ9382" s="197"/>
    </row>
    <row r="9383" spans="66:69" x14ac:dyDescent="0.2">
      <c r="BN9383" s="192"/>
      <c r="BO9383" s="197"/>
      <c r="BP9383" s="197"/>
      <c r="BQ9383" s="197"/>
    </row>
    <row r="9384" spans="66:69" x14ac:dyDescent="0.2">
      <c r="BN9384" s="192"/>
      <c r="BO9384" s="197"/>
      <c r="BP9384" s="197"/>
      <c r="BQ9384" s="197"/>
    </row>
    <row r="9385" spans="66:69" x14ac:dyDescent="0.2">
      <c r="BN9385" s="192"/>
      <c r="BO9385" s="197"/>
      <c r="BP9385" s="197"/>
      <c r="BQ9385" s="197"/>
    </row>
    <row r="9386" spans="66:69" x14ac:dyDescent="0.2">
      <c r="BN9386" s="192"/>
      <c r="BO9386" s="197"/>
      <c r="BP9386" s="197"/>
      <c r="BQ9386" s="197"/>
    </row>
    <row r="9387" spans="66:69" x14ac:dyDescent="0.2">
      <c r="BN9387" s="192"/>
      <c r="BO9387" s="197"/>
      <c r="BP9387" s="197"/>
      <c r="BQ9387" s="197"/>
    </row>
    <row r="9388" spans="66:69" x14ac:dyDescent="0.2">
      <c r="BN9388" s="192"/>
      <c r="BO9388" s="197"/>
      <c r="BP9388" s="197"/>
      <c r="BQ9388" s="197"/>
    </row>
    <row r="9389" spans="66:69" x14ac:dyDescent="0.2">
      <c r="BN9389" s="192"/>
      <c r="BO9389" s="197"/>
      <c r="BP9389" s="197"/>
      <c r="BQ9389" s="197"/>
    </row>
    <row r="9390" spans="66:69" x14ac:dyDescent="0.2">
      <c r="BN9390" s="192"/>
      <c r="BO9390" s="197"/>
      <c r="BP9390" s="197"/>
      <c r="BQ9390" s="197"/>
    </row>
    <row r="9391" spans="66:69" x14ac:dyDescent="0.2">
      <c r="BN9391" s="192"/>
      <c r="BO9391" s="197"/>
      <c r="BP9391" s="197"/>
      <c r="BQ9391" s="197"/>
    </row>
    <row r="9392" spans="66:69" x14ac:dyDescent="0.2">
      <c r="BN9392" s="192"/>
      <c r="BO9392" s="197"/>
      <c r="BP9392" s="197"/>
      <c r="BQ9392" s="197"/>
    </row>
    <row r="9393" spans="66:69" x14ac:dyDescent="0.2">
      <c r="BN9393" s="192"/>
      <c r="BO9393" s="197"/>
      <c r="BP9393" s="197"/>
      <c r="BQ9393" s="197"/>
    </row>
    <row r="9394" spans="66:69" x14ac:dyDescent="0.2">
      <c r="BN9394" s="192"/>
      <c r="BO9394" s="197"/>
      <c r="BP9394" s="197"/>
      <c r="BQ9394" s="197"/>
    </row>
    <row r="9395" spans="66:69" x14ac:dyDescent="0.2">
      <c r="BN9395" s="192"/>
      <c r="BO9395" s="197"/>
      <c r="BP9395" s="197"/>
      <c r="BQ9395" s="197"/>
    </row>
    <row r="9396" spans="66:69" x14ac:dyDescent="0.2">
      <c r="BN9396" s="192"/>
      <c r="BO9396" s="197"/>
      <c r="BP9396" s="197"/>
      <c r="BQ9396" s="197"/>
    </row>
    <row r="9397" spans="66:69" x14ac:dyDescent="0.2">
      <c r="BN9397" s="192"/>
      <c r="BO9397" s="197"/>
      <c r="BP9397" s="197"/>
      <c r="BQ9397" s="197"/>
    </row>
    <row r="9398" spans="66:69" x14ac:dyDescent="0.2">
      <c r="BN9398" s="192"/>
      <c r="BO9398" s="197"/>
      <c r="BP9398" s="197"/>
      <c r="BQ9398" s="197"/>
    </row>
    <row r="9399" spans="66:69" x14ac:dyDescent="0.2">
      <c r="BN9399" s="192"/>
      <c r="BO9399" s="197"/>
      <c r="BP9399" s="197"/>
      <c r="BQ9399" s="197"/>
    </row>
    <row r="9400" spans="66:69" x14ac:dyDescent="0.2">
      <c r="BN9400" s="192"/>
      <c r="BO9400" s="197"/>
      <c r="BP9400" s="197"/>
      <c r="BQ9400" s="197"/>
    </row>
    <row r="9401" spans="66:69" x14ac:dyDescent="0.2">
      <c r="BN9401" s="192"/>
      <c r="BO9401" s="197"/>
      <c r="BP9401" s="197"/>
      <c r="BQ9401" s="197"/>
    </row>
    <row r="9402" spans="66:69" x14ac:dyDescent="0.2">
      <c r="BN9402" s="192"/>
      <c r="BO9402" s="197"/>
      <c r="BP9402" s="197"/>
      <c r="BQ9402" s="197"/>
    </row>
    <row r="9403" spans="66:69" x14ac:dyDescent="0.2">
      <c r="BN9403" s="192"/>
      <c r="BO9403" s="197"/>
      <c r="BP9403" s="197"/>
      <c r="BQ9403" s="197"/>
    </row>
    <row r="9404" spans="66:69" x14ac:dyDescent="0.2">
      <c r="BN9404" s="192"/>
      <c r="BO9404" s="197"/>
      <c r="BP9404" s="197"/>
      <c r="BQ9404" s="197"/>
    </row>
    <row r="9405" spans="66:69" x14ac:dyDescent="0.2">
      <c r="BN9405" s="192"/>
      <c r="BO9405" s="197"/>
      <c r="BP9405" s="197"/>
      <c r="BQ9405" s="197"/>
    </row>
    <row r="9406" spans="66:69" x14ac:dyDescent="0.2">
      <c r="BN9406" s="192"/>
      <c r="BO9406" s="197"/>
      <c r="BP9406" s="197"/>
      <c r="BQ9406" s="197"/>
    </row>
    <row r="9407" spans="66:69" x14ac:dyDescent="0.2">
      <c r="BN9407" s="192"/>
      <c r="BO9407" s="197"/>
      <c r="BP9407" s="197"/>
      <c r="BQ9407" s="197"/>
    </row>
    <row r="9408" spans="66:69" x14ac:dyDescent="0.2">
      <c r="BN9408" s="192"/>
      <c r="BO9408" s="197"/>
      <c r="BP9408" s="197"/>
      <c r="BQ9408" s="197"/>
    </row>
    <row r="9409" spans="66:69" x14ac:dyDescent="0.2">
      <c r="BN9409" s="192"/>
      <c r="BO9409" s="197"/>
      <c r="BP9409" s="197"/>
      <c r="BQ9409" s="197"/>
    </row>
    <row r="9410" spans="66:69" x14ac:dyDescent="0.2">
      <c r="BN9410" s="192"/>
      <c r="BO9410" s="197"/>
      <c r="BP9410" s="197"/>
      <c r="BQ9410" s="197"/>
    </row>
    <row r="9411" spans="66:69" x14ac:dyDescent="0.2">
      <c r="BN9411" s="192"/>
      <c r="BO9411" s="197"/>
      <c r="BP9411" s="197"/>
      <c r="BQ9411" s="197"/>
    </row>
    <row r="9412" spans="66:69" x14ac:dyDescent="0.2">
      <c r="BN9412" s="192"/>
      <c r="BO9412" s="197"/>
      <c r="BP9412" s="197"/>
      <c r="BQ9412" s="197"/>
    </row>
    <row r="9413" spans="66:69" x14ac:dyDescent="0.2">
      <c r="BN9413" s="192"/>
      <c r="BO9413" s="197"/>
      <c r="BP9413" s="197"/>
      <c r="BQ9413" s="197"/>
    </row>
    <row r="9414" spans="66:69" x14ac:dyDescent="0.2">
      <c r="BN9414" s="192"/>
      <c r="BO9414" s="197"/>
      <c r="BP9414" s="197"/>
      <c r="BQ9414" s="197"/>
    </row>
    <row r="9415" spans="66:69" x14ac:dyDescent="0.2">
      <c r="BN9415" s="192"/>
      <c r="BO9415" s="197"/>
      <c r="BP9415" s="197"/>
      <c r="BQ9415" s="197"/>
    </row>
    <row r="9416" spans="66:69" x14ac:dyDescent="0.2">
      <c r="BN9416" s="192"/>
      <c r="BO9416" s="197"/>
      <c r="BP9416" s="197"/>
      <c r="BQ9416" s="197"/>
    </row>
    <row r="9417" spans="66:69" x14ac:dyDescent="0.2">
      <c r="BN9417" s="192"/>
      <c r="BO9417" s="197"/>
      <c r="BP9417" s="197"/>
      <c r="BQ9417" s="197"/>
    </row>
    <row r="9418" spans="66:69" x14ac:dyDescent="0.2">
      <c r="BN9418" s="192"/>
      <c r="BO9418" s="197"/>
      <c r="BP9418" s="197"/>
      <c r="BQ9418" s="197"/>
    </row>
    <row r="9419" spans="66:69" x14ac:dyDescent="0.2">
      <c r="BN9419" s="192"/>
      <c r="BO9419" s="197"/>
      <c r="BP9419" s="197"/>
      <c r="BQ9419" s="197"/>
    </row>
    <row r="9420" spans="66:69" x14ac:dyDescent="0.2">
      <c r="BN9420" s="192"/>
      <c r="BO9420" s="197"/>
      <c r="BP9420" s="197"/>
      <c r="BQ9420" s="197"/>
    </row>
    <row r="9421" spans="66:69" x14ac:dyDescent="0.2">
      <c r="BN9421" s="192"/>
      <c r="BO9421" s="197"/>
      <c r="BP9421" s="197"/>
      <c r="BQ9421" s="197"/>
    </row>
    <row r="9422" spans="66:69" x14ac:dyDescent="0.2">
      <c r="BN9422" s="192"/>
      <c r="BO9422" s="197"/>
      <c r="BP9422" s="197"/>
      <c r="BQ9422" s="197"/>
    </row>
    <row r="9423" spans="66:69" x14ac:dyDescent="0.2">
      <c r="BN9423" s="192"/>
      <c r="BO9423" s="197"/>
      <c r="BP9423" s="197"/>
      <c r="BQ9423" s="197"/>
    </row>
    <row r="9424" spans="66:69" x14ac:dyDescent="0.2">
      <c r="BN9424" s="192"/>
      <c r="BO9424" s="197"/>
      <c r="BP9424" s="197"/>
      <c r="BQ9424" s="197"/>
    </row>
    <row r="9425" spans="66:69" x14ac:dyDescent="0.2">
      <c r="BN9425" s="192"/>
      <c r="BO9425" s="197"/>
      <c r="BP9425" s="197"/>
      <c r="BQ9425" s="197"/>
    </row>
    <row r="9426" spans="66:69" x14ac:dyDescent="0.2">
      <c r="BN9426" s="192"/>
      <c r="BO9426" s="197"/>
      <c r="BP9426" s="197"/>
      <c r="BQ9426" s="197"/>
    </row>
    <row r="9427" spans="66:69" x14ac:dyDescent="0.2">
      <c r="BN9427" s="192"/>
      <c r="BO9427" s="197"/>
      <c r="BP9427" s="197"/>
      <c r="BQ9427" s="197"/>
    </row>
    <row r="9428" spans="66:69" x14ac:dyDescent="0.2">
      <c r="BN9428" s="192"/>
      <c r="BO9428" s="197"/>
      <c r="BP9428" s="197"/>
      <c r="BQ9428" s="197"/>
    </row>
    <row r="9429" spans="66:69" x14ac:dyDescent="0.2">
      <c r="BN9429" s="192"/>
      <c r="BO9429" s="197"/>
      <c r="BP9429" s="197"/>
      <c r="BQ9429" s="197"/>
    </row>
    <row r="9430" spans="66:69" x14ac:dyDescent="0.2">
      <c r="BN9430" s="192"/>
      <c r="BO9430" s="197"/>
      <c r="BP9430" s="197"/>
      <c r="BQ9430" s="197"/>
    </row>
    <row r="9431" spans="66:69" x14ac:dyDescent="0.2">
      <c r="BN9431" s="192"/>
      <c r="BO9431" s="197"/>
      <c r="BP9431" s="197"/>
      <c r="BQ9431" s="197"/>
    </row>
    <row r="9432" spans="66:69" x14ac:dyDescent="0.2">
      <c r="BN9432" s="192"/>
      <c r="BO9432" s="197"/>
      <c r="BP9432" s="197"/>
      <c r="BQ9432" s="197"/>
    </row>
    <row r="9433" spans="66:69" x14ac:dyDescent="0.2">
      <c r="BN9433" s="192"/>
      <c r="BO9433" s="197"/>
      <c r="BP9433" s="197"/>
      <c r="BQ9433" s="197"/>
    </row>
    <row r="9434" spans="66:69" x14ac:dyDescent="0.2">
      <c r="BN9434" s="192"/>
      <c r="BO9434" s="197"/>
      <c r="BP9434" s="197"/>
      <c r="BQ9434" s="197"/>
    </row>
    <row r="9435" spans="66:69" x14ac:dyDescent="0.2">
      <c r="BN9435" s="192"/>
      <c r="BO9435" s="197"/>
      <c r="BP9435" s="197"/>
      <c r="BQ9435" s="197"/>
    </row>
    <row r="9436" spans="66:69" x14ac:dyDescent="0.2">
      <c r="BN9436" s="192"/>
      <c r="BO9436" s="197"/>
      <c r="BP9436" s="197"/>
      <c r="BQ9436" s="197"/>
    </row>
    <row r="9437" spans="66:69" x14ac:dyDescent="0.2">
      <c r="BN9437" s="192"/>
      <c r="BO9437" s="197"/>
      <c r="BP9437" s="197"/>
      <c r="BQ9437" s="197"/>
    </row>
    <row r="9438" spans="66:69" x14ac:dyDescent="0.2">
      <c r="BN9438" s="192"/>
      <c r="BO9438" s="197"/>
      <c r="BP9438" s="197"/>
      <c r="BQ9438" s="197"/>
    </row>
    <row r="9439" spans="66:69" x14ac:dyDescent="0.2">
      <c r="BN9439" s="192"/>
      <c r="BO9439" s="197"/>
      <c r="BP9439" s="197"/>
      <c r="BQ9439" s="197"/>
    </row>
    <row r="9440" spans="66:69" x14ac:dyDescent="0.2">
      <c r="BN9440" s="192"/>
      <c r="BO9440" s="197"/>
      <c r="BP9440" s="197"/>
      <c r="BQ9440" s="197"/>
    </row>
    <row r="9441" spans="66:69" x14ac:dyDescent="0.2">
      <c r="BN9441" s="192"/>
      <c r="BO9441" s="197"/>
      <c r="BP9441" s="197"/>
      <c r="BQ9441" s="197"/>
    </row>
    <row r="9442" spans="66:69" x14ac:dyDescent="0.2">
      <c r="BN9442" s="192"/>
      <c r="BO9442" s="197"/>
      <c r="BP9442" s="197"/>
      <c r="BQ9442" s="197"/>
    </row>
    <row r="9443" spans="66:69" x14ac:dyDescent="0.2">
      <c r="BN9443" s="192"/>
      <c r="BO9443" s="197"/>
      <c r="BP9443" s="197"/>
      <c r="BQ9443" s="197"/>
    </row>
    <row r="9444" spans="66:69" x14ac:dyDescent="0.2">
      <c r="BN9444" s="192"/>
      <c r="BO9444" s="197"/>
      <c r="BP9444" s="197"/>
      <c r="BQ9444" s="197"/>
    </row>
    <row r="9445" spans="66:69" x14ac:dyDescent="0.2">
      <c r="BN9445" s="192"/>
      <c r="BO9445" s="197"/>
      <c r="BP9445" s="197"/>
      <c r="BQ9445" s="197"/>
    </row>
    <row r="9446" spans="66:69" x14ac:dyDescent="0.2">
      <c r="BN9446" s="192"/>
      <c r="BO9446" s="197"/>
      <c r="BP9446" s="197"/>
      <c r="BQ9446" s="197"/>
    </row>
    <row r="9447" spans="66:69" x14ac:dyDescent="0.2">
      <c r="BN9447" s="192"/>
      <c r="BO9447" s="197"/>
      <c r="BP9447" s="197"/>
      <c r="BQ9447" s="197"/>
    </row>
    <row r="9448" spans="66:69" x14ac:dyDescent="0.2">
      <c r="BN9448" s="192"/>
      <c r="BO9448" s="197"/>
      <c r="BP9448" s="197"/>
      <c r="BQ9448" s="197"/>
    </row>
    <row r="9449" spans="66:69" x14ac:dyDescent="0.2">
      <c r="BN9449" s="192"/>
      <c r="BO9449" s="197"/>
      <c r="BP9449" s="197"/>
      <c r="BQ9449" s="197"/>
    </row>
    <row r="9450" spans="66:69" x14ac:dyDescent="0.2">
      <c r="BN9450" s="192"/>
      <c r="BO9450" s="197"/>
      <c r="BP9450" s="197"/>
      <c r="BQ9450" s="197"/>
    </row>
    <row r="9451" spans="66:69" x14ac:dyDescent="0.2">
      <c r="BN9451" s="192"/>
      <c r="BO9451" s="197"/>
      <c r="BP9451" s="197"/>
      <c r="BQ9451" s="197"/>
    </row>
    <row r="9452" spans="66:69" x14ac:dyDescent="0.2">
      <c r="BN9452" s="192"/>
      <c r="BO9452" s="197"/>
      <c r="BP9452" s="197"/>
      <c r="BQ9452" s="197"/>
    </row>
    <row r="9453" spans="66:69" x14ac:dyDescent="0.2">
      <c r="BN9453" s="192"/>
      <c r="BO9453" s="197"/>
      <c r="BP9453" s="197"/>
      <c r="BQ9453" s="197"/>
    </row>
    <row r="9454" spans="66:69" x14ac:dyDescent="0.2">
      <c r="BN9454" s="192"/>
      <c r="BO9454" s="197"/>
      <c r="BP9454" s="197"/>
      <c r="BQ9454" s="197"/>
    </row>
    <row r="9455" spans="66:69" x14ac:dyDescent="0.2">
      <c r="BN9455" s="192"/>
      <c r="BO9455" s="197"/>
      <c r="BP9455" s="197"/>
      <c r="BQ9455" s="197"/>
    </row>
    <row r="9456" spans="66:69" x14ac:dyDescent="0.2">
      <c r="BN9456" s="192"/>
      <c r="BO9456" s="197"/>
      <c r="BP9456" s="197"/>
      <c r="BQ9456" s="197"/>
    </row>
    <row r="9457" spans="66:69" x14ac:dyDescent="0.2">
      <c r="BN9457" s="192"/>
      <c r="BO9457" s="197"/>
      <c r="BP9457" s="197"/>
      <c r="BQ9457" s="197"/>
    </row>
    <row r="9458" spans="66:69" x14ac:dyDescent="0.2">
      <c r="BN9458" s="192"/>
      <c r="BO9458" s="197"/>
      <c r="BP9458" s="197"/>
      <c r="BQ9458" s="197"/>
    </row>
    <row r="9459" spans="66:69" x14ac:dyDescent="0.2">
      <c r="BN9459" s="192"/>
      <c r="BO9459" s="197"/>
      <c r="BP9459" s="197"/>
      <c r="BQ9459" s="197"/>
    </row>
    <row r="9460" spans="66:69" x14ac:dyDescent="0.2">
      <c r="BN9460" s="192"/>
      <c r="BO9460" s="197"/>
      <c r="BP9460" s="197"/>
      <c r="BQ9460" s="197"/>
    </row>
    <row r="9461" spans="66:69" x14ac:dyDescent="0.2">
      <c r="BN9461" s="192"/>
      <c r="BO9461" s="197"/>
      <c r="BP9461" s="197"/>
      <c r="BQ9461" s="197"/>
    </row>
    <row r="9462" spans="66:69" x14ac:dyDescent="0.2">
      <c r="BN9462" s="192"/>
      <c r="BO9462" s="197"/>
      <c r="BP9462" s="197"/>
      <c r="BQ9462" s="197"/>
    </row>
    <row r="9463" spans="66:69" x14ac:dyDescent="0.2">
      <c r="BN9463" s="192"/>
      <c r="BO9463" s="197"/>
      <c r="BP9463" s="197"/>
      <c r="BQ9463" s="197"/>
    </row>
    <row r="9464" spans="66:69" x14ac:dyDescent="0.2">
      <c r="BN9464" s="192"/>
      <c r="BO9464" s="197"/>
      <c r="BP9464" s="197"/>
      <c r="BQ9464" s="197"/>
    </row>
    <row r="9465" spans="66:69" x14ac:dyDescent="0.2">
      <c r="BN9465" s="192"/>
      <c r="BO9465" s="197"/>
      <c r="BP9465" s="197"/>
      <c r="BQ9465" s="197"/>
    </row>
    <row r="9466" spans="66:69" x14ac:dyDescent="0.2">
      <c r="BN9466" s="192"/>
      <c r="BO9466" s="197"/>
      <c r="BP9466" s="197"/>
      <c r="BQ9466" s="197"/>
    </row>
    <row r="9467" spans="66:69" x14ac:dyDescent="0.2">
      <c r="BN9467" s="192"/>
      <c r="BO9467" s="197"/>
      <c r="BP9467" s="197"/>
      <c r="BQ9467" s="197"/>
    </row>
    <row r="9468" spans="66:69" x14ac:dyDescent="0.2">
      <c r="BN9468" s="192"/>
      <c r="BO9468" s="197"/>
      <c r="BP9468" s="197"/>
      <c r="BQ9468" s="197"/>
    </row>
    <row r="9469" spans="66:69" x14ac:dyDescent="0.2">
      <c r="BN9469" s="192"/>
      <c r="BO9469" s="197"/>
      <c r="BP9469" s="197"/>
      <c r="BQ9469" s="197"/>
    </row>
    <row r="9470" spans="66:69" x14ac:dyDescent="0.2">
      <c r="BN9470" s="192"/>
      <c r="BO9470" s="197"/>
      <c r="BP9470" s="197"/>
      <c r="BQ9470" s="197"/>
    </row>
    <row r="9471" spans="66:69" x14ac:dyDescent="0.2">
      <c r="BN9471" s="192"/>
      <c r="BO9471" s="197"/>
      <c r="BP9471" s="197"/>
      <c r="BQ9471" s="197"/>
    </row>
    <row r="9472" spans="66:69" x14ac:dyDescent="0.2">
      <c r="BN9472" s="192"/>
      <c r="BO9472" s="197"/>
      <c r="BP9472" s="197"/>
      <c r="BQ9472" s="197"/>
    </row>
    <row r="9473" spans="66:69" x14ac:dyDescent="0.2">
      <c r="BN9473" s="192"/>
      <c r="BO9473" s="197"/>
      <c r="BP9473" s="197"/>
      <c r="BQ9473" s="197"/>
    </row>
    <row r="9474" spans="66:69" x14ac:dyDescent="0.2">
      <c r="BN9474" s="192"/>
      <c r="BO9474" s="197"/>
      <c r="BP9474" s="197"/>
      <c r="BQ9474" s="197"/>
    </row>
    <row r="9475" spans="66:69" x14ac:dyDescent="0.2">
      <c r="BN9475" s="192"/>
      <c r="BO9475" s="197"/>
      <c r="BP9475" s="197"/>
      <c r="BQ9475" s="197"/>
    </row>
    <row r="9476" spans="66:69" x14ac:dyDescent="0.2">
      <c r="BN9476" s="192"/>
      <c r="BO9476" s="197"/>
      <c r="BP9476" s="197"/>
      <c r="BQ9476" s="197"/>
    </row>
    <row r="9477" spans="66:69" x14ac:dyDescent="0.2">
      <c r="BN9477" s="192"/>
      <c r="BO9477" s="197"/>
      <c r="BP9477" s="197"/>
      <c r="BQ9477" s="197"/>
    </row>
    <row r="9478" spans="66:69" x14ac:dyDescent="0.2">
      <c r="BN9478" s="192"/>
      <c r="BO9478" s="197"/>
      <c r="BP9478" s="197"/>
      <c r="BQ9478" s="197"/>
    </row>
    <row r="9479" spans="66:69" x14ac:dyDescent="0.2">
      <c r="BN9479" s="192"/>
      <c r="BO9479" s="197"/>
      <c r="BP9479" s="197"/>
      <c r="BQ9479" s="197"/>
    </row>
    <row r="9480" spans="66:69" x14ac:dyDescent="0.2">
      <c r="BN9480" s="192"/>
      <c r="BO9480" s="197"/>
      <c r="BP9480" s="197"/>
      <c r="BQ9480" s="197"/>
    </row>
    <row r="9481" spans="66:69" x14ac:dyDescent="0.2">
      <c r="BN9481" s="192"/>
      <c r="BO9481" s="197"/>
      <c r="BP9481" s="197"/>
      <c r="BQ9481" s="197"/>
    </row>
    <row r="9482" spans="66:69" x14ac:dyDescent="0.2">
      <c r="BN9482" s="192"/>
      <c r="BO9482" s="197"/>
      <c r="BP9482" s="197"/>
      <c r="BQ9482" s="197"/>
    </row>
    <row r="9483" spans="66:69" x14ac:dyDescent="0.2">
      <c r="BN9483" s="192"/>
      <c r="BO9483" s="197"/>
      <c r="BP9483" s="197"/>
      <c r="BQ9483" s="197"/>
    </row>
    <row r="9484" spans="66:69" x14ac:dyDescent="0.2">
      <c r="BN9484" s="192"/>
      <c r="BO9484" s="197"/>
      <c r="BP9484" s="197"/>
      <c r="BQ9484" s="197"/>
    </row>
    <row r="9485" spans="66:69" x14ac:dyDescent="0.2">
      <c r="BN9485" s="192"/>
      <c r="BO9485" s="197"/>
      <c r="BP9485" s="197"/>
      <c r="BQ9485" s="197"/>
    </row>
    <row r="9486" spans="66:69" x14ac:dyDescent="0.2">
      <c r="BN9486" s="192"/>
      <c r="BO9486" s="197"/>
      <c r="BP9486" s="197"/>
      <c r="BQ9486" s="197"/>
    </row>
    <row r="9487" spans="66:69" x14ac:dyDescent="0.2">
      <c r="BN9487" s="192"/>
      <c r="BO9487" s="197"/>
      <c r="BP9487" s="197"/>
      <c r="BQ9487" s="197"/>
    </row>
    <row r="9488" spans="66:69" x14ac:dyDescent="0.2">
      <c r="BN9488" s="192"/>
      <c r="BO9488" s="197"/>
      <c r="BP9488" s="197"/>
      <c r="BQ9488" s="197"/>
    </row>
    <row r="9489" spans="66:69" x14ac:dyDescent="0.2">
      <c r="BN9489" s="192"/>
      <c r="BO9489" s="197"/>
      <c r="BP9489" s="197"/>
      <c r="BQ9489" s="197"/>
    </row>
    <row r="9490" spans="66:69" x14ac:dyDescent="0.2">
      <c r="BN9490" s="192"/>
      <c r="BO9490" s="197"/>
      <c r="BP9490" s="197"/>
      <c r="BQ9490" s="197"/>
    </row>
    <row r="9491" spans="66:69" x14ac:dyDescent="0.2">
      <c r="BN9491" s="192"/>
      <c r="BO9491" s="197"/>
      <c r="BP9491" s="197"/>
      <c r="BQ9491" s="197"/>
    </row>
    <row r="9492" spans="66:69" x14ac:dyDescent="0.2">
      <c r="BN9492" s="192"/>
      <c r="BO9492" s="197"/>
      <c r="BP9492" s="197"/>
      <c r="BQ9492" s="197"/>
    </row>
    <row r="9493" spans="66:69" x14ac:dyDescent="0.2">
      <c r="BN9493" s="192"/>
      <c r="BO9493" s="197"/>
      <c r="BP9493" s="197"/>
      <c r="BQ9493" s="197"/>
    </row>
    <row r="9494" spans="66:69" x14ac:dyDescent="0.2">
      <c r="BN9494" s="192"/>
      <c r="BO9494" s="197"/>
      <c r="BP9494" s="197"/>
      <c r="BQ9494" s="197"/>
    </row>
    <row r="9495" spans="66:69" x14ac:dyDescent="0.2">
      <c r="BN9495" s="192"/>
      <c r="BO9495" s="197"/>
      <c r="BP9495" s="197"/>
      <c r="BQ9495" s="197"/>
    </row>
    <row r="9496" spans="66:69" x14ac:dyDescent="0.2">
      <c r="BN9496" s="192"/>
      <c r="BO9496" s="197"/>
      <c r="BP9496" s="197"/>
      <c r="BQ9496" s="197"/>
    </row>
    <row r="9497" spans="66:69" x14ac:dyDescent="0.2">
      <c r="BN9497" s="192"/>
      <c r="BO9497" s="197"/>
      <c r="BP9497" s="197"/>
      <c r="BQ9497" s="197"/>
    </row>
    <row r="9498" spans="66:69" x14ac:dyDescent="0.2">
      <c r="BN9498" s="192"/>
      <c r="BO9498" s="197"/>
      <c r="BP9498" s="197"/>
      <c r="BQ9498" s="197"/>
    </row>
    <row r="9499" spans="66:69" x14ac:dyDescent="0.2">
      <c r="BN9499" s="192"/>
      <c r="BO9499" s="197"/>
      <c r="BP9499" s="197"/>
      <c r="BQ9499" s="197"/>
    </row>
    <row r="9500" spans="66:69" x14ac:dyDescent="0.2">
      <c r="BN9500" s="192"/>
      <c r="BO9500" s="197"/>
      <c r="BP9500" s="197"/>
      <c r="BQ9500" s="197"/>
    </row>
    <row r="9501" spans="66:69" x14ac:dyDescent="0.2">
      <c r="BN9501" s="192"/>
      <c r="BO9501" s="197"/>
      <c r="BP9501" s="197"/>
      <c r="BQ9501" s="197"/>
    </row>
    <row r="9502" spans="66:69" x14ac:dyDescent="0.2">
      <c r="BN9502" s="192"/>
      <c r="BO9502" s="197"/>
      <c r="BP9502" s="197"/>
      <c r="BQ9502" s="197"/>
    </row>
    <row r="9503" spans="66:69" x14ac:dyDescent="0.2">
      <c r="BN9503" s="192"/>
      <c r="BO9503" s="197"/>
      <c r="BP9503" s="197"/>
      <c r="BQ9503" s="197"/>
    </row>
    <row r="9504" spans="66:69" x14ac:dyDescent="0.2">
      <c r="BN9504" s="192"/>
      <c r="BO9504" s="197"/>
      <c r="BP9504" s="197"/>
      <c r="BQ9504" s="197"/>
    </row>
    <row r="9505" spans="66:69" x14ac:dyDescent="0.2">
      <c r="BN9505" s="192"/>
      <c r="BO9505" s="197"/>
      <c r="BP9505" s="197"/>
      <c r="BQ9505" s="197"/>
    </row>
    <row r="9506" spans="66:69" x14ac:dyDescent="0.2">
      <c r="BN9506" s="192"/>
      <c r="BO9506" s="197"/>
      <c r="BP9506" s="197"/>
      <c r="BQ9506" s="197"/>
    </row>
    <row r="9507" spans="66:69" x14ac:dyDescent="0.2">
      <c r="BN9507" s="192"/>
      <c r="BO9507" s="197"/>
      <c r="BP9507" s="197"/>
      <c r="BQ9507" s="197"/>
    </row>
    <row r="9508" spans="66:69" x14ac:dyDescent="0.2">
      <c r="BN9508" s="192"/>
      <c r="BO9508" s="197"/>
      <c r="BP9508" s="197"/>
      <c r="BQ9508" s="197"/>
    </row>
    <row r="9509" spans="66:69" x14ac:dyDescent="0.2">
      <c r="BN9509" s="192"/>
      <c r="BO9509" s="197"/>
      <c r="BP9509" s="197"/>
      <c r="BQ9509" s="197"/>
    </row>
    <row r="9510" spans="66:69" x14ac:dyDescent="0.2">
      <c r="BN9510" s="192"/>
      <c r="BO9510" s="197"/>
      <c r="BP9510" s="197"/>
      <c r="BQ9510" s="197"/>
    </row>
    <row r="9511" spans="66:69" x14ac:dyDescent="0.2">
      <c r="BN9511" s="192"/>
      <c r="BO9511" s="197"/>
      <c r="BP9511" s="197"/>
      <c r="BQ9511" s="197"/>
    </row>
    <row r="9512" spans="66:69" x14ac:dyDescent="0.2">
      <c r="BN9512" s="192"/>
      <c r="BO9512" s="197"/>
      <c r="BP9512" s="197"/>
      <c r="BQ9512" s="197"/>
    </row>
    <row r="9513" spans="66:69" x14ac:dyDescent="0.2">
      <c r="BN9513" s="192"/>
      <c r="BO9513" s="197"/>
      <c r="BP9513" s="197"/>
      <c r="BQ9513" s="197"/>
    </row>
    <row r="9514" spans="66:69" x14ac:dyDescent="0.2">
      <c r="BN9514" s="192"/>
      <c r="BO9514" s="197"/>
      <c r="BP9514" s="197"/>
      <c r="BQ9514" s="197"/>
    </row>
    <row r="9515" spans="66:69" x14ac:dyDescent="0.2">
      <c r="BN9515" s="192"/>
      <c r="BO9515" s="197"/>
      <c r="BP9515" s="197"/>
      <c r="BQ9515" s="197"/>
    </row>
    <row r="9516" spans="66:69" x14ac:dyDescent="0.2">
      <c r="BN9516" s="192"/>
      <c r="BO9516" s="197"/>
      <c r="BP9516" s="197"/>
      <c r="BQ9516" s="197"/>
    </row>
    <row r="9517" spans="66:69" x14ac:dyDescent="0.2">
      <c r="BN9517" s="192"/>
      <c r="BO9517" s="197"/>
      <c r="BP9517" s="197"/>
      <c r="BQ9517" s="197"/>
    </row>
    <row r="9518" spans="66:69" x14ac:dyDescent="0.2">
      <c r="BN9518" s="192"/>
      <c r="BO9518" s="197"/>
      <c r="BP9518" s="197"/>
      <c r="BQ9518" s="197"/>
    </row>
    <row r="9519" spans="66:69" x14ac:dyDescent="0.2">
      <c r="BN9519" s="192"/>
      <c r="BO9519" s="197"/>
      <c r="BP9519" s="197"/>
      <c r="BQ9519" s="197"/>
    </row>
    <row r="9520" spans="66:69" x14ac:dyDescent="0.2">
      <c r="BN9520" s="192"/>
      <c r="BO9520" s="197"/>
      <c r="BP9520" s="197"/>
      <c r="BQ9520" s="197"/>
    </row>
    <row r="9521" spans="66:69" x14ac:dyDescent="0.2">
      <c r="BN9521" s="192"/>
      <c r="BO9521" s="197"/>
      <c r="BP9521" s="197"/>
      <c r="BQ9521" s="197"/>
    </row>
    <row r="9522" spans="66:69" x14ac:dyDescent="0.2">
      <c r="BN9522" s="192"/>
      <c r="BO9522" s="197"/>
      <c r="BP9522" s="197"/>
      <c r="BQ9522" s="197"/>
    </row>
    <row r="9523" spans="66:69" x14ac:dyDescent="0.2">
      <c r="BN9523" s="192"/>
      <c r="BO9523" s="197"/>
      <c r="BP9523" s="197"/>
      <c r="BQ9523" s="197"/>
    </row>
    <row r="9524" spans="66:69" x14ac:dyDescent="0.2">
      <c r="BN9524" s="192"/>
      <c r="BO9524" s="197"/>
      <c r="BP9524" s="197"/>
      <c r="BQ9524" s="197"/>
    </row>
    <row r="9525" spans="66:69" x14ac:dyDescent="0.2">
      <c r="BN9525" s="192"/>
      <c r="BO9525" s="197"/>
      <c r="BP9525" s="197"/>
      <c r="BQ9525" s="197"/>
    </row>
    <row r="9526" spans="66:69" x14ac:dyDescent="0.2">
      <c r="BN9526" s="192"/>
      <c r="BO9526" s="197"/>
      <c r="BP9526" s="197"/>
      <c r="BQ9526" s="197"/>
    </row>
    <row r="9527" spans="66:69" x14ac:dyDescent="0.2">
      <c r="BN9527" s="192"/>
      <c r="BO9527" s="197"/>
      <c r="BP9527" s="197"/>
      <c r="BQ9527" s="197"/>
    </row>
    <row r="9528" spans="66:69" x14ac:dyDescent="0.2">
      <c r="BN9528" s="192"/>
      <c r="BO9528" s="197"/>
      <c r="BP9528" s="197"/>
      <c r="BQ9528" s="197"/>
    </row>
    <row r="9529" spans="66:69" x14ac:dyDescent="0.2">
      <c r="BN9529" s="192"/>
      <c r="BO9529" s="197"/>
      <c r="BP9529" s="197"/>
      <c r="BQ9529" s="197"/>
    </row>
    <row r="9530" spans="66:69" x14ac:dyDescent="0.2">
      <c r="BN9530" s="192"/>
      <c r="BO9530" s="197"/>
      <c r="BP9530" s="197"/>
      <c r="BQ9530" s="197"/>
    </row>
    <row r="9531" spans="66:69" x14ac:dyDescent="0.2">
      <c r="BN9531" s="192"/>
      <c r="BO9531" s="197"/>
      <c r="BP9531" s="197"/>
      <c r="BQ9531" s="197"/>
    </row>
    <row r="9532" spans="66:69" x14ac:dyDescent="0.2">
      <c r="BN9532" s="192"/>
      <c r="BO9532" s="197"/>
      <c r="BP9532" s="197"/>
      <c r="BQ9532" s="197"/>
    </row>
    <row r="9533" spans="66:69" x14ac:dyDescent="0.2">
      <c r="BN9533" s="192"/>
      <c r="BO9533" s="197"/>
      <c r="BP9533" s="197"/>
      <c r="BQ9533" s="197"/>
    </row>
    <row r="9534" spans="66:69" x14ac:dyDescent="0.2">
      <c r="BN9534" s="192"/>
      <c r="BO9534" s="197"/>
      <c r="BP9534" s="197"/>
      <c r="BQ9534" s="197"/>
    </row>
    <row r="9535" spans="66:69" x14ac:dyDescent="0.2">
      <c r="BN9535" s="192"/>
      <c r="BO9535" s="197"/>
      <c r="BP9535" s="197"/>
      <c r="BQ9535" s="197"/>
    </row>
    <row r="9536" spans="66:69" x14ac:dyDescent="0.2">
      <c r="BN9536" s="192"/>
      <c r="BO9536" s="197"/>
      <c r="BP9536" s="197"/>
      <c r="BQ9536" s="197"/>
    </row>
    <row r="9537" spans="66:69" x14ac:dyDescent="0.2">
      <c r="BN9537" s="192"/>
      <c r="BO9537" s="197"/>
      <c r="BP9537" s="197"/>
      <c r="BQ9537" s="197"/>
    </row>
    <row r="9538" spans="66:69" x14ac:dyDescent="0.2">
      <c r="BN9538" s="192"/>
      <c r="BO9538" s="197"/>
      <c r="BP9538" s="197"/>
      <c r="BQ9538" s="197"/>
    </row>
    <row r="9539" spans="66:69" x14ac:dyDescent="0.2">
      <c r="BN9539" s="192"/>
      <c r="BO9539" s="197"/>
      <c r="BP9539" s="197"/>
      <c r="BQ9539" s="197"/>
    </row>
    <row r="9540" spans="66:69" x14ac:dyDescent="0.2">
      <c r="BN9540" s="192"/>
      <c r="BO9540" s="197"/>
      <c r="BP9540" s="197"/>
      <c r="BQ9540" s="197"/>
    </row>
    <row r="9541" spans="66:69" x14ac:dyDescent="0.2">
      <c r="BN9541" s="192"/>
      <c r="BO9541" s="197"/>
      <c r="BP9541" s="197"/>
      <c r="BQ9541" s="197"/>
    </row>
    <row r="9542" spans="66:69" x14ac:dyDescent="0.2">
      <c r="BN9542" s="192"/>
      <c r="BO9542" s="197"/>
      <c r="BP9542" s="197"/>
      <c r="BQ9542" s="197"/>
    </row>
    <row r="9543" spans="66:69" x14ac:dyDescent="0.2">
      <c r="BN9543" s="192"/>
      <c r="BO9543" s="197"/>
      <c r="BP9543" s="197"/>
      <c r="BQ9543" s="197"/>
    </row>
    <row r="9544" spans="66:69" x14ac:dyDescent="0.2">
      <c r="BN9544" s="192"/>
      <c r="BO9544" s="197"/>
      <c r="BP9544" s="197"/>
      <c r="BQ9544" s="197"/>
    </row>
    <row r="9545" spans="66:69" x14ac:dyDescent="0.2">
      <c r="BN9545" s="192"/>
      <c r="BO9545" s="197"/>
      <c r="BP9545" s="197"/>
      <c r="BQ9545" s="197"/>
    </row>
    <row r="9546" spans="66:69" x14ac:dyDescent="0.2">
      <c r="BN9546" s="192"/>
      <c r="BO9546" s="197"/>
      <c r="BP9546" s="197"/>
      <c r="BQ9546" s="197"/>
    </row>
    <row r="9547" spans="66:69" x14ac:dyDescent="0.2">
      <c r="BN9547" s="192"/>
      <c r="BO9547" s="197"/>
      <c r="BP9547" s="197"/>
      <c r="BQ9547" s="197"/>
    </row>
    <row r="9548" spans="66:69" x14ac:dyDescent="0.2">
      <c r="BN9548" s="192"/>
      <c r="BO9548" s="197"/>
      <c r="BP9548" s="197"/>
      <c r="BQ9548" s="197"/>
    </row>
    <row r="9549" spans="66:69" x14ac:dyDescent="0.2">
      <c r="BN9549" s="192"/>
      <c r="BO9549" s="197"/>
      <c r="BP9549" s="197"/>
      <c r="BQ9549" s="197"/>
    </row>
    <row r="9550" spans="66:69" x14ac:dyDescent="0.2">
      <c r="BN9550" s="192"/>
      <c r="BO9550" s="197"/>
      <c r="BP9550" s="197"/>
      <c r="BQ9550" s="197"/>
    </row>
    <row r="9551" spans="66:69" x14ac:dyDescent="0.2">
      <c r="BN9551" s="192"/>
      <c r="BO9551" s="197"/>
      <c r="BP9551" s="197"/>
      <c r="BQ9551" s="197"/>
    </row>
    <row r="9552" spans="66:69" x14ac:dyDescent="0.2">
      <c r="BN9552" s="192"/>
      <c r="BO9552" s="197"/>
      <c r="BP9552" s="197"/>
      <c r="BQ9552" s="197"/>
    </row>
    <row r="9553" spans="66:69" x14ac:dyDescent="0.2">
      <c r="BN9553" s="192"/>
      <c r="BO9553" s="197"/>
      <c r="BP9553" s="197"/>
      <c r="BQ9553" s="197"/>
    </row>
    <row r="9554" spans="66:69" x14ac:dyDescent="0.2">
      <c r="BN9554" s="192"/>
      <c r="BO9554" s="197"/>
      <c r="BP9554" s="197"/>
      <c r="BQ9554" s="197"/>
    </row>
    <row r="9555" spans="66:69" x14ac:dyDescent="0.2">
      <c r="BN9555" s="192"/>
      <c r="BO9555" s="197"/>
      <c r="BP9555" s="197"/>
      <c r="BQ9555" s="197"/>
    </row>
    <row r="9556" spans="66:69" x14ac:dyDescent="0.2">
      <c r="BN9556" s="192"/>
      <c r="BO9556" s="197"/>
      <c r="BP9556" s="197"/>
      <c r="BQ9556" s="197"/>
    </row>
    <row r="9557" spans="66:69" x14ac:dyDescent="0.2">
      <c r="BN9557" s="192"/>
      <c r="BO9557" s="197"/>
      <c r="BP9557" s="197"/>
      <c r="BQ9557" s="197"/>
    </row>
    <row r="9558" spans="66:69" x14ac:dyDescent="0.2">
      <c r="BN9558" s="192"/>
      <c r="BO9558" s="197"/>
      <c r="BP9558" s="197"/>
      <c r="BQ9558" s="197"/>
    </row>
    <row r="9559" spans="66:69" x14ac:dyDescent="0.2">
      <c r="BN9559" s="192"/>
      <c r="BO9559" s="197"/>
      <c r="BP9559" s="197"/>
      <c r="BQ9559" s="197"/>
    </row>
    <row r="9560" spans="66:69" x14ac:dyDescent="0.2">
      <c r="BN9560" s="192"/>
      <c r="BO9560" s="197"/>
      <c r="BP9560" s="197"/>
      <c r="BQ9560" s="197"/>
    </row>
    <row r="9561" spans="66:69" x14ac:dyDescent="0.2">
      <c r="BN9561" s="192"/>
      <c r="BO9561" s="197"/>
      <c r="BP9561" s="197"/>
      <c r="BQ9561" s="197"/>
    </row>
    <row r="9562" spans="66:69" x14ac:dyDescent="0.2">
      <c r="BN9562" s="192"/>
      <c r="BO9562" s="197"/>
      <c r="BP9562" s="197"/>
      <c r="BQ9562" s="197"/>
    </row>
    <row r="9563" spans="66:69" x14ac:dyDescent="0.2">
      <c r="BN9563" s="192"/>
      <c r="BO9563" s="197"/>
      <c r="BP9563" s="197"/>
      <c r="BQ9563" s="197"/>
    </row>
    <row r="9564" spans="66:69" x14ac:dyDescent="0.2">
      <c r="BN9564" s="192"/>
      <c r="BO9564" s="197"/>
      <c r="BP9564" s="197"/>
      <c r="BQ9564" s="197"/>
    </row>
    <row r="9565" spans="66:69" x14ac:dyDescent="0.2">
      <c r="BN9565" s="192"/>
      <c r="BO9565" s="197"/>
      <c r="BP9565" s="197"/>
      <c r="BQ9565" s="197"/>
    </row>
    <row r="9566" spans="66:69" x14ac:dyDescent="0.2">
      <c r="BN9566" s="192"/>
      <c r="BO9566" s="197"/>
      <c r="BP9566" s="197"/>
      <c r="BQ9566" s="197"/>
    </row>
    <row r="9567" spans="66:69" x14ac:dyDescent="0.2">
      <c r="BN9567" s="192"/>
      <c r="BO9567" s="197"/>
      <c r="BP9567" s="197"/>
      <c r="BQ9567" s="197"/>
    </row>
    <row r="9568" spans="66:69" x14ac:dyDescent="0.2">
      <c r="BN9568" s="192"/>
      <c r="BO9568" s="197"/>
      <c r="BP9568" s="197"/>
      <c r="BQ9568" s="197"/>
    </row>
    <row r="9569" spans="66:69" x14ac:dyDescent="0.2">
      <c r="BN9569" s="192"/>
      <c r="BO9569" s="197"/>
      <c r="BP9569" s="197"/>
      <c r="BQ9569" s="197"/>
    </row>
    <row r="9570" spans="66:69" x14ac:dyDescent="0.2">
      <c r="BN9570" s="192"/>
      <c r="BO9570" s="197"/>
      <c r="BP9570" s="197"/>
      <c r="BQ9570" s="197"/>
    </row>
    <row r="9571" spans="66:69" x14ac:dyDescent="0.2">
      <c r="BN9571" s="192"/>
      <c r="BO9571" s="197"/>
      <c r="BP9571" s="197"/>
      <c r="BQ9571" s="197"/>
    </row>
    <row r="9572" spans="66:69" x14ac:dyDescent="0.2">
      <c r="BN9572" s="192"/>
      <c r="BO9572" s="197"/>
      <c r="BP9572" s="197"/>
      <c r="BQ9572" s="197"/>
    </row>
    <row r="9573" spans="66:69" x14ac:dyDescent="0.2">
      <c r="BN9573" s="192"/>
      <c r="BO9573" s="197"/>
      <c r="BP9573" s="197"/>
      <c r="BQ9573" s="197"/>
    </row>
    <row r="9574" spans="66:69" x14ac:dyDescent="0.2">
      <c r="BN9574" s="192"/>
      <c r="BO9574" s="197"/>
      <c r="BP9574" s="197"/>
      <c r="BQ9574" s="197"/>
    </row>
    <row r="9575" spans="66:69" x14ac:dyDescent="0.2">
      <c r="BN9575" s="192"/>
      <c r="BO9575" s="197"/>
      <c r="BP9575" s="197"/>
      <c r="BQ9575" s="197"/>
    </row>
    <row r="9576" spans="66:69" x14ac:dyDescent="0.2">
      <c r="BN9576" s="192"/>
      <c r="BO9576" s="197"/>
      <c r="BP9576" s="197"/>
      <c r="BQ9576" s="197"/>
    </row>
    <row r="9577" spans="66:69" x14ac:dyDescent="0.2">
      <c r="BN9577" s="192"/>
      <c r="BO9577" s="197"/>
      <c r="BP9577" s="197"/>
      <c r="BQ9577" s="197"/>
    </row>
    <row r="9578" spans="66:69" x14ac:dyDescent="0.2">
      <c r="BN9578" s="192"/>
      <c r="BO9578" s="197"/>
      <c r="BP9578" s="197"/>
      <c r="BQ9578" s="197"/>
    </row>
    <row r="9579" spans="66:69" x14ac:dyDescent="0.2">
      <c r="BN9579" s="192"/>
      <c r="BO9579" s="197"/>
      <c r="BP9579" s="197"/>
      <c r="BQ9579" s="197"/>
    </row>
    <row r="9580" spans="66:69" x14ac:dyDescent="0.2">
      <c r="BN9580" s="192"/>
      <c r="BO9580" s="197"/>
      <c r="BP9580" s="197"/>
      <c r="BQ9580" s="197"/>
    </row>
    <row r="9581" spans="66:69" x14ac:dyDescent="0.2">
      <c r="BN9581" s="192"/>
      <c r="BO9581" s="197"/>
      <c r="BP9581" s="197"/>
      <c r="BQ9581" s="197"/>
    </row>
    <row r="9582" spans="66:69" x14ac:dyDescent="0.2">
      <c r="BN9582" s="192"/>
      <c r="BO9582" s="197"/>
      <c r="BP9582" s="197"/>
      <c r="BQ9582" s="197"/>
    </row>
    <row r="9583" spans="66:69" x14ac:dyDescent="0.2">
      <c r="BN9583" s="192"/>
      <c r="BO9583" s="197"/>
      <c r="BP9583" s="197"/>
      <c r="BQ9583" s="197"/>
    </row>
    <row r="9584" spans="66:69" x14ac:dyDescent="0.2">
      <c r="BN9584" s="192"/>
      <c r="BO9584" s="197"/>
      <c r="BP9584" s="197"/>
      <c r="BQ9584" s="197"/>
    </row>
    <row r="9585" spans="66:69" x14ac:dyDescent="0.2">
      <c r="BN9585" s="192"/>
      <c r="BO9585" s="197"/>
      <c r="BP9585" s="197"/>
      <c r="BQ9585" s="197"/>
    </row>
    <row r="9586" spans="66:69" x14ac:dyDescent="0.2">
      <c r="BN9586" s="192"/>
      <c r="BO9586" s="197"/>
      <c r="BP9586" s="197"/>
      <c r="BQ9586" s="197"/>
    </row>
    <row r="9587" spans="66:69" x14ac:dyDescent="0.2">
      <c r="BN9587" s="192"/>
      <c r="BO9587" s="197"/>
      <c r="BP9587" s="197"/>
      <c r="BQ9587" s="197"/>
    </row>
    <row r="9588" spans="66:69" x14ac:dyDescent="0.2">
      <c r="BN9588" s="192"/>
      <c r="BO9588" s="197"/>
      <c r="BP9588" s="197"/>
      <c r="BQ9588" s="197"/>
    </row>
    <row r="9589" spans="66:69" x14ac:dyDescent="0.2">
      <c r="BN9589" s="192"/>
      <c r="BO9589" s="197"/>
      <c r="BP9589" s="197"/>
      <c r="BQ9589" s="197"/>
    </row>
    <row r="9590" spans="66:69" x14ac:dyDescent="0.2">
      <c r="BN9590" s="192"/>
      <c r="BO9590" s="197"/>
      <c r="BP9590" s="197"/>
      <c r="BQ9590" s="197"/>
    </row>
    <row r="9591" spans="66:69" x14ac:dyDescent="0.2">
      <c r="BN9591" s="192"/>
      <c r="BO9591" s="197"/>
      <c r="BP9591" s="197"/>
      <c r="BQ9591" s="197"/>
    </row>
    <row r="9592" spans="66:69" x14ac:dyDescent="0.2">
      <c r="BN9592" s="192"/>
      <c r="BO9592" s="197"/>
      <c r="BP9592" s="197"/>
      <c r="BQ9592" s="197"/>
    </row>
    <row r="9593" spans="66:69" x14ac:dyDescent="0.2">
      <c r="BN9593" s="192"/>
      <c r="BO9593" s="197"/>
      <c r="BP9593" s="197"/>
      <c r="BQ9593" s="197"/>
    </row>
    <row r="9594" spans="66:69" x14ac:dyDescent="0.2">
      <c r="BN9594" s="192"/>
      <c r="BO9594" s="197"/>
      <c r="BP9594" s="197"/>
      <c r="BQ9594" s="197"/>
    </row>
    <row r="9595" spans="66:69" x14ac:dyDescent="0.2">
      <c r="BN9595" s="192"/>
      <c r="BO9595" s="197"/>
      <c r="BP9595" s="197"/>
      <c r="BQ9595" s="197"/>
    </row>
    <row r="9596" spans="66:69" x14ac:dyDescent="0.2">
      <c r="BN9596" s="192"/>
      <c r="BO9596" s="197"/>
      <c r="BP9596" s="197"/>
      <c r="BQ9596" s="197"/>
    </row>
    <row r="9597" spans="66:69" x14ac:dyDescent="0.2">
      <c r="BN9597" s="192"/>
      <c r="BO9597" s="197"/>
      <c r="BP9597" s="197"/>
      <c r="BQ9597" s="197"/>
    </row>
    <row r="9598" spans="66:69" x14ac:dyDescent="0.2">
      <c r="BN9598" s="192"/>
      <c r="BO9598" s="197"/>
      <c r="BP9598" s="197"/>
      <c r="BQ9598" s="197"/>
    </row>
    <row r="9599" spans="66:69" x14ac:dyDescent="0.2">
      <c r="BN9599" s="192"/>
      <c r="BO9599" s="197"/>
      <c r="BP9599" s="197"/>
      <c r="BQ9599" s="197"/>
    </row>
    <row r="9600" spans="66:69" x14ac:dyDescent="0.2">
      <c r="BN9600" s="192"/>
      <c r="BO9600" s="197"/>
      <c r="BP9600" s="197"/>
      <c r="BQ9600" s="197"/>
    </row>
    <row r="9601" spans="66:69" x14ac:dyDescent="0.2">
      <c r="BN9601" s="192"/>
      <c r="BO9601" s="197"/>
      <c r="BP9601" s="197"/>
      <c r="BQ9601" s="197"/>
    </row>
    <row r="9602" spans="66:69" x14ac:dyDescent="0.2">
      <c r="BN9602" s="192"/>
      <c r="BO9602" s="197"/>
      <c r="BP9602" s="197"/>
      <c r="BQ9602" s="197"/>
    </row>
    <row r="9603" spans="66:69" x14ac:dyDescent="0.2">
      <c r="BN9603" s="192"/>
      <c r="BO9603" s="197"/>
      <c r="BP9603" s="197"/>
      <c r="BQ9603" s="197"/>
    </row>
    <row r="9604" spans="66:69" x14ac:dyDescent="0.2">
      <c r="BN9604" s="192"/>
      <c r="BO9604" s="197"/>
      <c r="BP9604" s="197"/>
      <c r="BQ9604" s="197"/>
    </row>
    <row r="9605" spans="66:69" x14ac:dyDescent="0.2">
      <c r="BN9605" s="192"/>
      <c r="BO9605" s="197"/>
      <c r="BP9605" s="197"/>
      <c r="BQ9605" s="197"/>
    </row>
    <row r="9606" spans="66:69" x14ac:dyDescent="0.2">
      <c r="BN9606" s="192"/>
      <c r="BO9606" s="197"/>
      <c r="BP9606" s="197"/>
      <c r="BQ9606" s="197"/>
    </row>
    <row r="9607" spans="66:69" x14ac:dyDescent="0.2">
      <c r="BN9607" s="192"/>
      <c r="BO9607" s="197"/>
      <c r="BP9607" s="197"/>
      <c r="BQ9607" s="197"/>
    </row>
    <row r="9608" spans="66:69" x14ac:dyDescent="0.2">
      <c r="BN9608" s="192"/>
      <c r="BO9608" s="197"/>
      <c r="BP9608" s="197"/>
      <c r="BQ9608" s="197"/>
    </row>
    <row r="9609" spans="66:69" x14ac:dyDescent="0.2">
      <c r="BN9609" s="192"/>
      <c r="BO9609" s="197"/>
      <c r="BP9609" s="197"/>
      <c r="BQ9609" s="197"/>
    </row>
    <row r="9610" spans="66:69" x14ac:dyDescent="0.2">
      <c r="BN9610" s="192"/>
      <c r="BO9610" s="197"/>
      <c r="BP9610" s="197"/>
      <c r="BQ9610" s="197"/>
    </row>
    <row r="9611" spans="66:69" x14ac:dyDescent="0.2">
      <c r="BN9611" s="192"/>
      <c r="BO9611" s="197"/>
      <c r="BP9611" s="197"/>
      <c r="BQ9611" s="197"/>
    </row>
    <row r="9612" spans="66:69" x14ac:dyDescent="0.2">
      <c r="BN9612" s="192"/>
      <c r="BO9612" s="197"/>
      <c r="BP9612" s="197"/>
      <c r="BQ9612" s="197"/>
    </row>
    <row r="9613" spans="66:69" x14ac:dyDescent="0.2">
      <c r="BN9613" s="192"/>
      <c r="BO9613" s="197"/>
      <c r="BP9613" s="197"/>
      <c r="BQ9613" s="197"/>
    </row>
    <row r="9614" spans="66:69" x14ac:dyDescent="0.2">
      <c r="BN9614" s="192"/>
      <c r="BO9614" s="197"/>
      <c r="BP9614" s="197"/>
      <c r="BQ9614" s="197"/>
    </row>
    <row r="9615" spans="66:69" x14ac:dyDescent="0.2">
      <c r="BN9615" s="192"/>
      <c r="BO9615" s="197"/>
      <c r="BP9615" s="197"/>
      <c r="BQ9615" s="197"/>
    </row>
    <row r="9616" spans="66:69" x14ac:dyDescent="0.2">
      <c r="BN9616" s="192"/>
      <c r="BO9616" s="197"/>
      <c r="BP9616" s="197"/>
      <c r="BQ9616" s="197"/>
    </row>
    <row r="9617" spans="66:69" x14ac:dyDescent="0.2">
      <c r="BN9617" s="192"/>
      <c r="BO9617" s="197"/>
      <c r="BP9617" s="197"/>
      <c r="BQ9617" s="197"/>
    </row>
    <row r="9618" spans="66:69" x14ac:dyDescent="0.2">
      <c r="BN9618" s="192"/>
      <c r="BO9618" s="197"/>
      <c r="BP9618" s="197"/>
      <c r="BQ9618" s="197"/>
    </row>
    <row r="9619" spans="66:69" x14ac:dyDescent="0.2">
      <c r="BN9619" s="192"/>
      <c r="BO9619" s="197"/>
      <c r="BP9619" s="197"/>
      <c r="BQ9619" s="197"/>
    </row>
    <row r="9620" spans="66:69" x14ac:dyDescent="0.2">
      <c r="BN9620" s="192"/>
      <c r="BO9620" s="197"/>
      <c r="BP9620" s="197"/>
      <c r="BQ9620" s="197"/>
    </row>
    <row r="9621" spans="66:69" x14ac:dyDescent="0.2">
      <c r="BN9621" s="192"/>
      <c r="BO9621" s="197"/>
      <c r="BP9621" s="197"/>
      <c r="BQ9621" s="197"/>
    </row>
    <row r="9622" spans="66:69" x14ac:dyDescent="0.2">
      <c r="BN9622" s="192"/>
      <c r="BO9622" s="197"/>
      <c r="BP9622" s="197"/>
      <c r="BQ9622" s="197"/>
    </row>
    <row r="9623" spans="66:69" x14ac:dyDescent="0.2">
      <c r="BN9623" s="192"/>
      <c r="BO9623" s="197"/>
      <c r="BP9623" s="197"/>
      <c r="BQ9623" s="197"/>
    </row>
    <row r="9624" spans="66:69" x14ac:dyDescent="0.2">
      <c r="BN9624" s="192"/>
      <c r="BO9624" s="197"/>
      <c r="BP9624" s="197"/>
      <c r="BQ9624" s="197"/>
    </row>
    <row r="9625" spans="66:69" x14ac:dyDescent="0.2">
      <c r="BN9625" s="192"/>
      <c r="BO9625" s="197"/>
      <c r="BP9625" s="197"/>
      <c r="BQ9625" s="197"/>
    </row>
    <row r="9626" spans="66:69" x14ac:dyDescent="0.2">
      <c r="BN9626" s="192"/>
      <c r="BO9626" s="197"/>
      <c r="BP9626" s="197"/>
      <c r="BQ9626" s="197"/>
    </row>
    <row r="9627" spans="66:69" x14ac:dyDescent="0.2">
      <c r="BN9627" s="192"/>
      <c r="BO9627" s="197"/>
      <c r="BP9627" s="197"/>
      <c r="BQ9627" s="197"/>
    </row>
    <row r="9628" spans="66:69" x14ac:dyDescent="0.2">
      <c r="BN9628" s="192"/>
      <c r="BO9628" s="197"/>
      <c r="BP9628" s="197"/>
      <c r="BQ9628" s="197"/>
    </row>
    <row r="9629" spans="66:69" x14ac:dyDescent="0.2">
      <c r="BN9629" s="192"/>
      <c r="BO9629" s="197"/>
      <c r="BP9629" s="197"/>
      <c r="BQ9629" s="197"/>
    </row>
    <row r="9630" spans="66:69" x14ac:dyDescent="0.2">
      <c r="BN9630" s="192"/>
      <c r="BO9630" s="197"/>
      <c r="BP9630" s="197"/>
      <c r="BQ9630" s="197"/>
    </row>
    <row r="9631" spans="66:69" x14ac:dyDescent="0.2">
      <c r="BN9631" s="192"/>
      <c r="BO9631" s="197"/>
      <c r="BP9631" s="197"/>
      <c r="BQ9631" s="197"/>
    </row>
    <row r="9632" spans="66:69" x14ac:dyDescent="0.2">
      <c r="BN9632" s="192"/>
      <c r="BO9632" s="197"/>
      <c r="BP9632" s="197"/>
      <c r="BQ9632" s="197"/>
    </row>
    <row r="9633" spans="66:69" x14ac:dyDescent="0.2">
      <c r="BN9633" s="192"/>
      <c r="BO9633" s="197"/>
      <c r="BP9633" s="197"/>
      <c r="BQ9633" s="197"/>
    </row>
    <row r="9634" spans="66:69" x14ac:dyDescent="0.2">
      <c r="BN9634" s="192"/>
      <c r="BO9634" s="197"/>
      <c r="BP9634" s="197"/>
      <c r="BQ9634" s="197"/>
    </row>
    <row r="9635" spans="66:69" x14ac:dyDescent="0.2">
      <c r="BN9635" s="192"/>
      <c r="BO9635" s="197"/>
      <c r="BP9635" s="197"/>
      <c r="BQ9635" s="197"/>
    </row>
    <row r="9636" spans="66:69" x14ac:dyDescent="0.2">
      <c r="BN9636" s="192"/>
      <c r="BO9636" s="197"/>
      <c r="BP9636" s="197"/>
      <c r="BQ9636" s="197"/>
    </row>
    <row r="9637" spans="66:69" x14ac:dyDescent="0.2">
      <c r="BN9637" s="192"/>
      <c r="BO9637" s="197"/>
      <c r="BP9637" s="197"/>
      <c r="BQ9637" s="197"/>
    </row>
    <row r="9638" spans="66:69" x14ac:dyDescent="0.2">
      <c r="BN9638" s="192"/>
      <c r="BO9638" s="197"/>
      <c r="BP9638" s="197"/>
      <c r="BQ9638" s="197"/>
    </row>
    <row r="9639" spans="66:69" x14ac:dyDescent="0.2">
      <c r="BN9639" s="192"/>
      <c r="BO9639" s="197"/>
      <c r="BP9639" s="197"/>
      <c r="BQ9639" s="197"/>
    </row>
    <row r="9640" spans="66:69" x14ac:dyDescent="0.2">
      <c r="BN9640" s="192"/>
      <c r="BO9640" s="197"/>
      <c r="BP9640" s="197"/>
      <c r="BQ9640" s="197"/>
    </row>
    <row r="9641" spans="66:69" x14ac:dyDescent="0.2">
      <c r="BN9641" s="192"/>
      <c r="BO9641" s="197"/>
      <c r="BP9641" s="197"/>
      <c r="BQ9641" s="197"/>
    </row>
    <row r="9642" spans="66:69" x14ac:dyDescent="0.2">
      <c r="BN9642" s="192"/>
      <c r="BO9642" s="197"/>
      <c r="BP9642" s="197"/>
      <c r="BQ9642" s="197"/>
    </row>
    <row r="9643" spans="66:69" x14ac:dyDescent="0.2">
      <c r="BN9643" s="192"/>
      <c r="BO9643" s="197"/>
      <c r="BP9643" s="197"/>
      <c r="BQ9643" s="197"/>
    </row>
    <row r="9644" spans="66:69" x14ac:dyDescent="0.2">
      <c r="BN9644" s="192"/>
      <c r="BO9644" s="197"/>
      <c r="BP9644" s="197"/>
      <c r="BQ9644" s="197"/>
    </row>
    <row r="9645" spans="66:69" x14ac:dyDescent="0.2">
      <c r="BN9645" s="192"/>
      <c r="BO9645" s="197"/>
      <c r="BP9645" s="197"/>
      <c r="BQ9645" s="197"/>
    </row>
    <row r="9646" spans="66:69" x14ac:dyDescent="0.2">
      <c r="BN9646" s="192"/>
      <c r="BO9646" s="197"/>
      <c r="BP9646" s="197"/>
      <c r="BQ9646" s="197"/>
    </row>
    <row r="9647" spans="66:69" x14ac:dyDescent="0.2">
      <c r="BN9647" s="192"/>
      <c r="BO9647" s="197"/>
      <c r="BP9647" s="197"/>
      <c r="BQ9647" s="197"/>
    </row>
    <row r="9648" spans="66:69" x14ac:dyDescent="0.2">
      <c r="BN9648" s="192"/>
      <c r="BO9648" s="197"/>
      <c r="BP9648" s="197"/>
      <c r="BQ9648" s="197"/>
    </row>
    <row r="9649" spans="66:69" x14ac:dyDescent="0.2">
      <c r="BN9649" s="192"/>
      <c r="BO9649" s="197"/>
      <c r="BP9649" s="197"/>
      <c r="BQ9649" s="197"/>
    </row>
    <row r="9650" spans="66:69" x14ac:dyDescent="0.2">
      <c r="BN9650" s="192"/>
      <c r="BO9650" s="197"/>
      <c r="BP9650" s="197"/>
      <c r="BQ9650" s="197"/>
    </row>
    <row r="9651" spans="66:69" x14ac:dyDescent="0.2">
      <c r="BN9651" s="192"/>
      <c r="BO9651" s="197"/>
      <c r="BP9651" s="197"/>
      <c r="BQ9651" s="197"/>
    </row>
    <row r="9652" spans="66:69" x14ac:dyDescent="0.2">
      <c r="BN9652" s="192"/>
      <c r="BO9652" s="197"/>
      <c r="BP9652" s="197"/>
      <c r="BQ9652" s="197"/>
    </row>
    <row r="9653" spans="66:69" x14ac:dyDescent="0.2">
      <c r="BN9653" s="192"/>
      <c r="BO9653" s="197"/>
      <c r="BP9653" s="197"/>
      <c r="BQ9653" s="197"/>
    </row>
    <row r="9654" spans="66:69" x14ac:dyDescent="0.2">
      <c r="BN9654" s="192"/>
      <c r="BO9654" s="197"/>
      <c r="BP9654" s="197"/>
      <c r="BQ9654" s="197"/>
    </row>
    <row r="9655" spans="66:69" x14ac:dyDescent="0.2">
      <c r="BN9655" s="192"/>
      <c r="BO9655" s="197"/>
      <c r="BP9655" s="197"/>
      <c r="BQ9655" s="197"/>
    </row>
    <row r="9656" spans="66:69" x14ac:dyDescent="0.2">
      <c r="BN9656" s="192"/>
      <c r="BO9656" s="197"/>
      <c r="BP9656" s="197"/>
      <c r="BQ9656" s="197"/>
    </row>
    <row r="9657" spans="66:69" x14ac:dyDescent="0.2">
      <c r="BN9657" s="192"/>
      <c r="BO9657" s="197"/>
      <c r="BP9657" s="197"/>
      <c r="BQ9657" s="197"/>
    </row>
    <row r="9658" spans="66:69" x14ac:dyDescent="0.2">
      <c r="BN9658" s="192"/>
      <c r="BO9658" s="197"/>
      <c r="BP9658" s="197"/>
      <c r="BQ9658" s="197"/>
    </row>
    <row r="9659" spans="66:69" x14ac:dyDescent="0.2">
      <c r="BN9659" s="192"/>
      <c r="BO9659" s="197"/>
      <c r="BP9659" s="197"/>
      <c r="BQ9659" s="197"/>
    </row>
    <row r="9660" spans="66:69" x14ac:dyDescent="0.2">
      <c r="BN9660" s="192"/>
      <c r="BO9660" s="197"/>
      <c r="BP9660" s="197"/>
      <c r="BQ9660" s="197"/>
    </row>
    <row r="9661" spans="66:69" x14ac:dyDescent="0.2">
      <c r="BN9661" s="192"/>
      <c r="BO9661" s="197"/>
      <c r="BP9661" s="197"/>
      <c r="BQ9661" s="197"/>
    </row>
    <row r="9662" spans="66:69" x14ac:dyDescent="0.2">
      <c r="BN9662" s="192"/>
      <c r="BO9662" s="197"/>
      <c r="BP9662" s="197"/>
      <c r="BQ9662" s="197"/>
    </row>
    <row r="9663" spans="66:69" x14ac:dyDescent="0.2">
      <c r="BN9663" s="192"/>
      <c r="BO9663" s="197"/>
      <c r="BP9663" s="197"/>
      <c r="BQ9663" s="197"/>
    </row>
    <row r="9664" spans="66:69" x14ac:dyDescent="0.2">
      <c r="BN9664" s="192"/>
      <c r="BO9664" s="197"/>
      <c r="BP9664" s="197"/>
      <c r="BQ9664" s="197"/>
    </row>
    <row r="9665" spans="66:69" x14ac:dyDescent="0.2">
      <c r="BN9665" s="192"/>
      <c r="BO9665" s="197"/>
      <c r="BP9665" s="197"/>
      <c r="BQ9665" s="197"/>
    </row>
    <row r="9666" spans="66:69" x14ac:dyDescent="0.2">
      <c r="BN9666" s="192"/>
      <c r="BO9666" s="197"/>
      <c r="BP9666" s="197"/>
      <c r="BQ9666" s="197"/>
    </row>
    <row r="9667" spans="66:69" x14ac:dyDescent="0.2">
      <c r="BN9667" s="192"/>
      <c r="BO9667" s="197"/>
      <c r="BP9667" s="197"/>
      <c r="BQ9667" s="197"/>
    </row>
    <row r="9668" spans="66:69" x14ac:dyDescent="0.2">
      <c r="BN9668" s="192"/>
      <c r="BO9668" s="197"/>
      <c r="BP9668" s="197"/>
      <c r="BQ9668" s="197"/>
    </row>
    <row r="9669" spans="66:69" x14ac:dyDescent="0.2">
      <c r="BN9669" s="192"/>
      <c r="BO9669" s="197"/>
      <c r="BP9669" s="197"/>
      <c r="BQ9669" s="197"/>
    </row>
    <row r="9670" spans="66:69" x14ac:dyDescent="0.2">
      <c r="BN9670" s="192"/>
      <c r="BO9670" s="197"/>
      <c r="BP9670" s="197"/>
      <c r="BQ9670" s="197"/>
    </row>
    <row r="9671" spans="66:69" x14ac:dyDescent="0.2">
      <c r="BN9671" s="192"/>
      <c r="BO9671" s="197"/>
      <c r="BP9671" s="197"/>
      <c r="BQ9671" s="197"/>
    </row>
    <row r="9672" spans="66:69" x14ac:dyDescent="0.2">
      <c r="BN9672" s="192"/>
      <c r="BO9672" s="197"/>
      <c r="BP9672" s="197"/>
      <c r="BQ9672" s="197"/>
    </row>
    <row r="9673" spans="66:69" x14ac:dyDescent="0.2">
      <c r="BN9673" s="192"/>
      <c r="BO9673" s="197"/>
      <c r="BP9673" s="197"/>
      <c r="BQ9673" s="197"/>
    </row>
    <row r="9674" spans="66:69" x14ac:dyDescent="0.2">
      <c r="BN9674" s="192"/>
      <c r="BO9674" s="197"/>
      <c r="BP9674" s="197"/>
      <c r="BQ9674" s="197"/>
    </row>
    <row r="9675" spans="66:69" x14ac:dyDescent="0.2">
      <c r="BN9675" s="192"/>
      <c r="BO9675" s="197"/>
      <c r="BP9675" s="197"/>
      <c r="BQ9675" s="197"/>
    </row>
    <row r="9676" spans="66:69" x14ac:dyDescent="0.2">
      <c r="BN9676" s="192"/>
      <c r="BO9676" s="197"/>
      <c r="BP9676" s="197"/>
      <c r="BQ9676" s="197"/>
    </row>
    <row r="9677" spans="66:69" x14ac:dyDescent="0.2">
      <c r="BN9677" s="192"/>
      <c r="BO9677" s="197"/>
      <c r="BP9677" s="197"/>
      <c r="BQ9677" s="197"/>
    </row>
    <row r="9678" spans="66:69" x14ac:dyDescent="0.2">
      <c r="BN9678" s="192"/>
      <c r="BO9678" s="197"/>
      <c r="BP9678" s="197"/>
      <c r="BQ9678" s="197"/>
    </row>
    <row r="9679" spans="66:69" x14ac:dyDescent="0.2">
      <c r="BN9679" s="192"/>
      <c r="BO9679" s="197"/>
      <c r="BP9679" s="197"/>
      <c r="BQ9679" s="197"/>
    </row>
    <row r="9680" spans="66:69" x14ac:dyDescent="0.2">
      <c r="BN9680" s="192"/>
      <c r="BO9680" s="197"/>
      <c r="BP9680" s="197"/>
      <c r="BQ9680" s="197"/>
    </row>
    <row r="9681" spans="66:69" x14ac:dyDescent="0.2">
      <c r="BN9681" s="192"/>
      <c r="BO9681" s="197"/>
      <c r="BP9681" s="197"/>
      <c r="BQ9681" s="197"/>
    </row>
    <row r="9682" spans="66:69" x14ac:dyDescent="0.2">
      <c r="BN9682" s="192"/>
      <c r="BO9682" s="197"/>
      <c r="BP9682" s="197"/>
      <c r="BQ9682" s="197"/>
    </row>
    <row r="9683" spans="66:69" x14ac:dyDescent="0.2">
      <c r="BN9683" s="192"/>
      <c r="BO9683" s="197"/>
      <c r="BP9683" s="197"/>
      <c r="BQ9683" s="197"/>
    </row>
    <row r="9684" spans="66:69" x14ac:dyDescent="0.2">
      <c r="BN9684" s="192"/>
      <c r="BO9684" s="197"/>
      <c r="BP9684" s="197"/>
      <c r="BQ9684" s="197"/>
    </row>
    <row r="9685" spans="66:69" x14ac:dyDescent="0.2">
      <c r="BN9685" s="192"/>
      <c r="BO9685" s="197"/>
      <c r="BP9685" s="197"/>
      <c r="BQ9685" s="197"/>
    </row>
    <row r="9686" spans="66:69" x14ac:dyDescent="0.2">
      <c r="BN9686" s="192"/>
      <c r="BO9686" s="197"/>
      <c r="BP9686" s="197"/>
      <c r="BQ9686" s="197"/>
    </row>
    <row r="9687" spans="66:69" x14ac:dyDescent="0.2">
      <c r="BN9687" s="192"/>
      <c r="BO9687" s="197"/>
      <c r="BP9687" s="197"/>
      <c r="BQ9687" s="197"/>
    </row>
    <row r="9688" spans="66:69" x14ac:dyDescent="0.2">
      <c r="BN9688" s="192"/>
      <c r="BO9688" s="197"/>
      <c r="BP9688" s="197"/>
      <c r="BQ9688" s="197"/>
    </row>
    <row r="9689" spans="66:69" x14ac:dyDescent="0.2">
      <c r="BN9689" s="192"/>
      <c r="BO9689" s="197"/>
      <c r="BP9689" s="197"/>
      <c r="BQ9689" s="197"/>
    </row>
    <row r="9690" spans="66:69" x14ac:dyDescent="0.2">
      <c r="BN9690" s="192"/>
      <c r="BO9690" s="197"/>
      <c r="BP9690" s="197"/>
      <c r="BQ9690" s="197"/>
    </row>
    <row r="9691" spans="66:69" x14ac:dyDescent="0.2">
      <c r="BN9691" s="192"/>
      <c r="BO9691" s="197"/>
      <c r="BP9691" s="197"/>
      <c r="BQ9691" s="197"/>
    </row>
    <row r="9692" spans="66:69" x14ac:dyDescent="0.2">
      <c r="BN9692" s="192"/>
      <c r="BO9692" s="197"/>
      <c r="BP9692" s="197"/>
      <c r="BQ9692" s="197"/>
    </row>
    <row r="9693" spans="66:69" x14ac:dyDescent="0.2">
      <c r="BN9693" s="192"/>
      <c r="BO9693" s="197"/>
      <c r="BP9693" s="197"/>
      <c r="BQ9693" s="197"/>
    </row>
    <row r="9694" spans="66:69" x14ac:dyDescent="0.2">
      <c r="BN9694" s="192"/>
      <c r="BO9694" s="197"/>
      <c r="BP9694" s="197"/>
      <c r="BQ9694" s="197"/>
    </row>
    <row r="9695" spans="66:69" x14ac:dyDescent="0.2">
      <c r="BN9695" s="192"/>
      <c r="BO9695" s="197"/>
      <c r="BP9695" s="197"/>
      <c r="BQ9695" s="197"/>
    </row>
    <row r="9696" spans="66:69" x14ac:dyDescent="0.2">
      <c r="BN9696" s="192"/>
      <c r="BO9696" s="197"/>
      <c r="BP9696" s="197"/>
      <c r="BQ9696" s="197"/>
    </row>
    <row r="9697" spans="66:69" x14ac:dyDescent="0.2">
      <c r="BN9697" s="192"/>
      <c r="BO9697" s="197"/>
      <c r="BP9697" s="197"/>
      <c r="BQ9697" s="197"/>
    </row>
    <row r="9698" spans="66:69" x14ac:dyDescent="0.2">
      <c r="BN9698" s="192"/>
      <c r="BO9698" s="197"/>
      <c r="BP9698" s="197"/>
      <c r="BQ9698" s="197"/>
    </row>
    <row r="9699" spans="66:69" x14ac:dyDescent="0.2">
      <c r="BN9699" s="192"/>
      <c r="BO9699" s="197"/>
      <c r="BP9699" s="197"/>
      <c r="BQ9699" s="197"/>
    </row>
    <row r="9700" spans="66:69" x14ac:dyDescent="0.2">
      <c r="BN9700" s="192"/>
      <c r="BO9700" s="197"/>
      <c r="BP9700" s="197"/>
      <c r="BQ9700" s="197"/>
    </row>
    <row r="9701" spans="66:69" x14ac:dyDescent="0.2">
      <c r="BN9701" s="192"/>
      <c r="BO9701" s="197"/>
      <c r="BP9701" s="197"/>
      <c r="BQ9701" s="197"/>
    </row>
    <row r="9702" spans="66:69" x14ac:dyDescent="0.2">
      <c r="BN9702" s="192"/>
      <c r="BO9702" s="197"/>
      <c r="BP9702" s="197"/>
      <c r="BQ9702" s="197"/>
    </row>
    <row r="9703" spans="66:69" x14ac:dyDescent="0.2">
      <c r="BN9703" s="192"/>
      <c r="BO9703" s="197"/>
      <c r="BP9703" s="197"/>
      <c r="BQ9703" s="197"/>
    </row>
    <row r="9704" spans="66:69" x14ac:dyDescent="0.2">
      <c r="BN9704" s="192"/>
      <c r="BO9704" s="197"/>
      <c r="BP9704" s="197"/>
      <c r="BQ9704" s="197"/>
    </row>
    <row r="9705" spans="66:69" x14ac:dyDescent="0.2">
      <c r="BN9705" s="192"/>
      <c r="BO9705" s="197"/>
      <c r="BP9705" s="197"/>
      <c r="BQ9705" s="197"/>
    </row>
    <row r="9706" spans="66:69" x14ac:dyDescent="0.2">
      <c r="BN9706" s="192"/>
      <c r="BO9706" s="197"/>
      <c r="BP9706" s="197"/>
      <c r="BQ9706" s="197"/>
    </row>
    <row r="9707" spans="66:69" x14ac:dyDescent="0.2">
      <c r="BN9707" s="192"/>
      <c r="BO9707" s="197"/>
      <c r="BP9707" s="197"/>
      <c r="BQ9707" s="197"/>
    </row>
    <row r="9708" spans="66:69" x14ac:dyDescent="0.2">
      <c r="BN9708" s="192"/>
      <c r="BO9708" s="197"/>
      <c r="BP9708" s="197"/>
      <c r="BQ9708" s="197"/>
    </row>
    <row r="9709" spans="66:69" x14ac:dyDescent="0.2">
      <c r="BN9709" s="192"/>
      <c r="BO9709" s="197"/>
      <c r="BP9709" s="197"/>
      <c r="BQ9709" s="197"/>
    </row>
    <row r="9710" spans="66:69" x14ac:dyDescent="0.2">
      <c r="BN9710" s="192"/>
      <c r="BO9710" s="197"/>
      <c r="BP9710" s="197"/>
      <c r="BQ9710" s="197"/>
    </row>
    <row r="9711" spans="66:69" x14ac:dyDescent="0.2">
      <c r="BN9711" s="192"/>
      <c r="BO9711" s="197"/>
      <c r="BP9711" s="197"/>
      <c r="BQ9711" s="197"/>
    </row>
    <row r="9712" spans="66:69" x14ac:dyDescent="0.2">
      <c r="BN9712" s="192"/>
      <c r="BO9712" s="197"/>
      <c r="BP9712" s="197"/>
      <c r="BQ9712" s="197"/>
    </row>
    <row r="9713" spans="66:69" x14ac:dyDescent="0.2">
      <c r="BN9713" s="192"/>
      <c r="BO9713" s="197"/>
      <c r="BP9713" s="197"/>
      <c r="BQ9713" s="197"/>
    </row>
    <row r="9714" spans="66:69" x14ac:dyDescent="0.2">
      <c r="BN9714" s="192"/>
      <c r="BO9714" s="197"/>
      <c r="BP9714" s="197"/>
      <c r="BQ9714" s="197"/>
    </row>
    <row r="9715" spans="66:69" x14ac:dyDescent="0.2">
      <c r="BN9715" s="192"/>
      <c r="BO9715" s="197"/>
      <c r="BP9715" s="197"/>
      <c r="BQ9715" s="197"/>
    </row>
    <row r="9716" spans="66:69" x14ac:dyDescent="0.2">
      <c r="BN9716" s="192"/>
      <c r="BO9716" s="197"/>
      <c r="BP9716" s="197"/>
      <c r="BQ9716" s="197"/>
    </row>
    <row r="9717" spans="66:69" x14ac:dyDescent="0.2">
      <c r="BN9717" s="192"/>
      <c r="BO9717" s="197"/>
      <c r="BP9717" s="197"/>
      <c r="BQ9717" s="197"/>
    </row>
    <row r="9718" spans="66:69" x14ac:dyDescent="0.2">
      <c r="BN9718" s="192"/>
      <c r="BO9718" s="197"/>
      <c r="BP9718" s="197"/>
      <c r="BQ9718" s="197"/>
    </row>
    <row r="9719" spans="66:69" x14ac:dyDescent="0.2">
      <c r="BN9719" s="192"/>
      <c r="BO9719" s="197"/>
      <c r="BP9719" s="197"/>
      <c r="BQ9719" s="197"/>
    </row>
    <row r="9720" spans="66:69" x14ac:dyDescent="0.2">
      <c r="BN9720" s="192"/>
      <c r="BO9720" s="197"/>
      <c r="BP9720" s="197"/>
      <c r="BQ9720" s="197"/>
    </row>
    <row r="9721" spans="66:69" x14ac:dyDescent="0.2">
      <c r="BN9721" s="192"/>
      <c r="BO9721" s="197"/>
      <c r="BP9721" s="197"/>
      <c r="BQ9721" s="197"/>
    </row>
    <row r="9722" spans="66:69" x14ac:dyDescent="0.2">
      <c r="BN9722" s="192"/>
      <c r="BO9722" s="197"/>
      <c r="BP9722" s="197"/>
      <c r="BQ9722" s="197"/>
    </row>
    <row r="9723" spans="66:69" x14ac:dyDescent="0.2">
      <c r="BN9723" s="192"/>
      <c r="BO9723" s="197"/>
      <c r="BP9723" s="197"/>
      <c r="BQ9723" s="197"/>
    </row>
    <row r="9724" spans="66:69" x14ac:dyDescent="0.2">
      <c r="BN9724" s="192"/>
      <c r="BO9724" s="197"/>
      <c r="BP9724" s="197"/>
      <c r="BQ9724" s="197"/>
    </row>
    <row r="9725" spans="66:69" x14ac:dyDescent="0.2">
      <c r="BN9725" s="192"/>
      <c r="BO9725" s="197"/>
      <c r="BP9725" s="197"/>
      <c r="BQ9725" s="197"/>
    </row>
    <row r="9726" spans="66:69" x14ac:dyDescent="0.2">
      <c r="BN9726" s="192"/>
      <c r="BO9726" s="197"/>
      <c r="BP9726" s="197"/>
      <c r="BQ9726" s="197"/>
    </row>
    <row r="9727" spans="66:69" x14ac:dyDescent="0.2">
      <c r="BN9727" s="192"/>
      <c r="BO9727" s="197"/>
      <c r="BP9727" s="197"/>
      <c r="BQ9727" s="197"/>
    </row>
    <row r="9728" spans="66:69" x14ac:dyDescent="0.2">
      <c r="BN9728" s="192"/>
      <c r="BO9728" s="197"/>
      <c r="BP9728" s="197"/>
      <c r="BQ9728" s="197"/>
    </row>
    <row r="9729" spans="66:69" x14ac:dyDescent="0.2">
      <c r="BN9729" s="192"/>
      <c r="BO9729" s="197"/>
      <c r="BP9729" s="197"/>
      <c r="BQ9729" s="197"/>
    </row>
    <row r="9730" spans="66:69" x14ac:dyDescent="0.2">
      <c r="BN9730" s="192"/>
      <c r="BO9730" s="197"/>
      <c r="BP9730" s="197"/>
      <c r="BQ9730" s="197"/>
    </row>
    <row r="9731" spans="66:69" x14ac:dyDescent="0.2">
      <c r="BN9731" s="192"/>
      <c r="BO9731" s="197"/>
      <c r="BP9731" s="197"/>
      <c r="BQ9731" s="197"/>
    </row>
    <row r="9732" spans="66:69" x14ac:dyDescent="0.2">
      <c r="BN9732" s="192"/>
      <c r="BO9732" s="197"/>
      <c r="BP9732" s="197"/>
      <c r="BQ9732" s="197"/>
    </row>
    <row r="9733" spans="66:69" x14ac:dyDescent="0.2">
      <c r="BN9733" s="192"/>
      <c r="BO9733" s="197"/>
      <c r="BP9733" s="197"/>
      <c r="BQ9733" s="197"/>
    </row>
    <row r="9734" spans="66:69" x14ac:dyDescent="0.2">
      <c r="BN9734" s="192"/>
      <c r="BO9734" s="197"/>
      <c r="BP9734" s="197"/>
      <c r="BQ9734" s="197"/>
    </row>
    <row r="9735" spans="66:69" x14ac:dyDescent="0.2">
      <c r="BN9735" s="192"/>
      <c r="BO9735" s="197"/>
      <c r="BP9735" s="197"/>
      <c r="BQ9735" s="197"/>
    </row>
    <row r="9736" spans="66:69" x14ac:dyDescent="0.2">
      <c r="BN9736" s="192"/>
      <c r="BO9736" s="197"/>
      <c r="BP9736" s="197"/>
      <c r="BQ9736" s="197"/>
    </row>
    <row r="9737" spans="66:69" x14ac:dyDescent="0.2">
      <c r="BN9737" s="192"/>
      <c r="BO9737" s="197"/>
      <c r="BP9737" s="197"/>
      <c r="BQ9737" s="197"/>
    </row>
    <row r="9738" spans="66:69" x14ac:dyDescent="0.2">
      <c r="BN9738" s="192"/>
      <c r="BO9738" s="197"/>
      <c r="BP9738" s="197"/>
      <c r="BQ9738" s="197"/>
    </row>
    <row r="9739" spans="66:69" x14ac:dyDescent="0.2">
      <c r="BN9739" s="192"/>
      <c r="BO9739" s="197"/>
      <c r="BP9739" s="197"/>
      <c r="BQ9739" s="197"/>
    </row>
    <row r="9740" spans="66:69" x14ac:dyDescent="0.2">
      <c r="BN9740" s="192"/>
      <c r="BO9740" s="197"/>
      <c r="BP9740" s="197"/>
      <c r="BQ9740" s="197"/>
    </row>
    <row r="9741" spans="66:69" x14ac:dyDescent="0.2">
      <c r="BN9741" s="192"/>
      <c r="BO9741" s="197"/>
      <c r="BP9741" s="197"/>
      <c r="BQ9741" s="197"/>
    </row>
    <row r="9742" spans="66:69" x14ac:dyDescent="0.2">
      <c r="BN9742" s="192"/>
      <c r="BO9742" s="197"/>
      <c r="BP9742" s="197"/>
      <c r="BQ9742" s="197"/>
    </row>
    <row r="9743" spans="66:69" x14ac:dyDescent="0.2">
      <c r="BN9743" s="192"/>
      <c r="BO9743" s="197"/>
      <c r="BP9743" s="197"/>
      <c r="BQ9743" s="197"/>
    </row>
    <row r="9744" spans="66:69" x14ac:dyDescent="0.2">
      <c r="BN9744" s="192"/>
      <c r="BO9744" s="197"/>
      <c r="BP9744" s="197"/>
      <c r="BQ9744" s="197"/>
    </row>
    <row r="9745" spans="66:69" x14ac:dyDescent="0.2">
      <c r="BN9745" s="192"/>
      <c r="BO9745" s="197"/>
      <c r="BP9745" s="197"/>
      <c r="BQ9745" s="197"/>
    </row>
    <row r="9746" spans="66:69" x14ac:dyDescent="0.2">
      <c r="BN9746" s="192"/>
      <c r="BO9746" s="197"/>
      <c r="BP9746" s="197"/>
      <c r="BQ9746" s="197"/>
    </row>
    <row r="9747" spans="66:69" x14ac:dyDescent="0.2">
      <c r="BN9747" s="192"/>
      <c r="BO9747" s="197"/>
      <c r="BP9747" s="197"/>
      <c r="BQ9747" s="197"/>
    </row>
    <row r="9748" spans="66:69" x14ac:dyDescent="0.2">
      <c r="BN9748" s="192"/>
      <c r="BO9748" s="197"/>
      <c r="BP9748" s="197"/>
      <c r="BQ9748" s="197"/>
    </row>
    <row r="9749" spans="66:69" x14ac:dyDescent="0.2">
      <c r="BN9749" s="192"/>
      <c r="BO9749" s="197"/>
      <c r="BP9749" s="197"/>
      <c r="BQ9749" s="197"/>
    </row>
    <row r="9750" spans="66:69" x14ac:dyDescent="0.2">
      <c r="BN9750" s="192"/>
      <c r="BO9750" s="197"/>
      <c r="BP9750" s="197"/>
      <c r="BQ9750" s="197"/>
    </row>
    <row r="9751" spans="66:69" x14ac:dyDescent="0.2">
      <c r="BN9751" s="192"/>
      <c r="BO9751" s="197"/>
      <c r="BP9751" s="197"/>
      <c r="BQ9751" s="197"/>
    </row>
    <row r="9752" spans="66:69" x14ac:dyDescent="0.2">
      <c r="BN9752" s="192"/>
      <c r="BO9752" s="197"/>
      <c r="BP9752" s="197"/>
      <c r="BQ9752" s="197"/>
    </row>
    <row r="9753" spans="66:69" x14ac:dyDescent="0.2">
      <c r="BN9753" s="192"/>
      <c r="BO9753" s="197"/>
      <c r="BP9753" s="197"/>
      <c r="BQ9753" s="197"/>
    </row>
    <row r="9754" spans="66:69" x14ac:dyDescent="0.2">
      <c r="BN9754" s="192"/>
      <c r="BO9754" s="197"/>
      <c r="BP9754" s="197"/>
      <c r="BQ9754" s="197"/>
    </row>
    <row r="9755" spans="66:69" x14ac:dyDescent="0.2">
      <c r="BN9755" s="192"/>
      <c r="BO9755" s="197"/>
      <c r="BP9755" s="197"/>
      <c r="BQ9755" s="197"/>
    </row>
    <row r="9756" spans="66:69" x14ac:dyDescent="0.2">
      <c r="BN9756" s="192"/>
      <c r="BO9756" s="197"/>
      <c r="BP9756" s="197"/>
      <c r="BQ9756" s="197"/>
    </row>
    <row r="9757" spans="66:69" x14ac:dyDescent="0.2">
      <c r="BN9757" s="192"/>
      <c r="BO9757" s="197"/>
      <c r="BP9757" s="197"/>
      <c r="BQ9757" s="197"/>
    </row>
    <row r="9758" spans="66:69" x14ac:dyDescent="0.2">
      <c r="BN9758" s="192"/>
      <c r="BO9758" s="197"/>
      <c r="BP9758" s="197"/>
      <c r="BQ9758" s="197"/>
    </row>
    <row r="9759" spans="66:69" x14ac:dyDescent="0.2">
      <c r="BN9759" s="192"/>
      <c r="BO9759" s="197"/>
      <c r="BP9759" s="197"/>
      <c r="BQ9759" s="197"/>
    </row>
    <row r="9760" spans="66:69" x14ac:dyDescent="0.2">
      <c r="BN9760" s="192"/>
      <c r="BO9760" s="197"/>
      <c r="BP9760" s="197"/>
      <c r="BQ9760" s="197"/>
    </row>
    <row r="9761" spans="66:69" x14ac:dyDescent="0.2">
      <c r="BN9761" s="192"/>
      <c r="BO9761" s="197"/>
      <c r="BP9761" s="197"/>
      <c r="BQ9761" s="197"/>
    </row>
    <row r="9762" spans="66:69" x14ac:dyDescent="0.2">
      <c r="BN9762" s="192"/>
      <c r="BO9762" s="197"/>
      <c r="BP9762" s="197"/>
      <c r="BQ9762" s="197"/>
    </row>
    <row r="9763" spans="66:69" x14ac:dyDescent="0.2">
      <c r="BN9763" s="192"/>
      <c r="BO9763" s="197"/>
      <c r="BP9763" s="197"/>
      <c r="BQ9763" s="197"/>
    </row>
    <row r="9764" spans="66:69" x14ac:dyDescent="0.2">
      <c r="BN9764" s="192"/>
      <c r="BO9764" s="197"/>
      <c r="BP9764" s="197"/>
      <c r="BQ9764" s="197"/>
    </row>
    <row r="9765" spans="66:69" x14ac:dyDescent="0.2">
      <c r="BN9765" s="192"/>
      <c r="BO9765" s="197"/>
      <c r="BP9765" s="197"/>
      <c r="BQ9765" s="197"/>
    </row>
    <row r="9766" spans="66:69" x14ac:dyDescent="0.2">
      <c r="BN9766" s="192"/>
      <c r="BO9766" s="197"/>
      <c r="BP9766" s="197"/>
      <c r="BQ9766" s="197"/>
    </row>
    <row r="9767" spans="66:69" x14ac:dyDescent="0.2">
      <c r="BN9767" s="192"/>
      <c r="BO9767" s="197"/>
      <c r="BP9767" s="197"/>
      <c r="BQ9767" s="197"/>
    </row>
    <row r="9768" spans="66:69" x14ac:dyDescent="0.2">
      <c r="BN9768" s="192"/>
      <c r="BO9768" s="197"/>
      <c r="BP9768" s="197"/>
      <c r="BQ9768" s="197"/>
    </row>
    <row r="9769" spans="66:69" x14ac:dyDescent="0.2">
      <c r="BN9769" s="192"/>
      <c r="BO9769" s="197"/>
      <c r="BP9769" s="197"/>
      <c r="BQ9769" s="197"/>
    </row>
    <row r="9770" spans="66:69" x14ac:dyDescent="0.2">
      <c r="BN9770" s="192"/>
      <c r="BO9770" s="197"/>
      <c r="BP9770" s="197"/>
      <c r="BQ9770" s="197"/>
    </row>
    <row r="9771" spans="66:69" x14ac:dyDescent="0.2">
      <c r="BN9771" s="192"/>
      <c r="BO9771" s="197"/>
      <c r="BP9771" s="197"/>
      <c r="BQ9771" s="197"/>
    </row>
    <row r="9772" spans="66:69" x14ac:dyDescent="0.2">
      <c r="BN9772" s="192"/>
      <c r="BO9772" s="197"/>
      <c r="BP9772" s="197"/>
      <c r="BQ9772" s="197"/>
    </row>
    <row r="9773" spans="66:69" x14ac:dyDescent="0.2">
      <c r="BN9773" s="192"/>
      <c r="BO9773" s="197"/>
      <c r="BP9773" s="197"/>
      <c r="BQ9773" s="197"/>
    </row>
    <row r="9774" spans="66:69" x14ac:dyDescent="0.2">
      <c r="BN9774" s="192"/>
      <c r="BO9774" s="197"/>
      <c r="BP9774" s="197"/>
      <c r="BQ9774" s="197"/>
    </row>
    <row r="9775" spans="66:69" x14ac:dyDescent="0.2">
      <c r="BN9775" s="192"/>
      <c r="BO9775" s="197"/>
      <c r="BP9775" s="197"/>
      <c r="BQ9775" s="197"/>
    </row>
    <row r="9776" spans="66:69" x14ac:dyDescent="0.2">
      <c r="BN9776" s="192"/>
      <c r="BO9776" s="197"/>
      <c r="BP9776" s="197"/>
      <c r="BQ9776" s="197"/>
    </row>
    <row r="9777" spans="66:69" x14ac:dyDescent="0.2">
      <c r="BN9777" s="192"/>
      <c r="BO9777" s="197"/>
      <c r="BP9777" s="197"/>
      <c r="BQ9777" s="197"/>
    </row>
    <row r="9778" spans="66:69" x14ac:dyDescent="0.2">
      <c r="BN9778" s="192"/>
      <c r="BO9778" s="197"/>
      <c r="BP9778" s="197"/>
      <c r="BQ9778" s="197"/>
    </row>
    <row r="9779" spans="66:69" x14ac:dyDescent="0.2">
      <c r="BN9779" s="192"/>
      <c r="BO9779" s="197"/>
      <c r="BP9779" s="197"/>
      <c r="BQ9779" s="197"/>
    </row>
    <row r="9780" spans="66:69" x14ac:dyDescent="0.2">
      <c r="BN9780" s="192"/>
      <c r="BO9780" s="197"/>
      <c r="BP9780" s="197"/>
      <c r="BQ9780" s="197"/>
    </row>
    <row r="9781" spans="66:69" x14ac:dyDescent="0.2">
      <c r="BN9781" s="192"/>
      <c r="BO9781" s="197"/>
      <c r="BP9781" s="197"/>
      <c r="BQ9781" s="197"/>
    </row>
    <row r="9782" spans="66:69" x14ac:dyDescent="0.2">
      <c r="BN9782" s="192"/>
      <c r="BO9782" s="197"/>
      <c r="BP9782" s="197"/>
      <c r="BQ9782" s="197"/>
    </row>
    <row r="9783" spans="66:69" x14ac:dyDescent="0.2">
      <c r="BN9783" s="192"/>
      <c r="BO9783" s="197"/>
      <c r="BP9783" s="197"/>
      <c r="BQ9783" s="197"/>
    </row>
    <row r="9784" spans="66:69" x14ac:dyDescent="0.2">
      <c r="BN9784" s="192"/>
      <c r="BO9784" s="197"/>
      <c r="BP9784" s="197"/>
      <c r="BQ9784" s="197"/>
    </row>
    <row r="9785" spans="66:69" x14ac:dyDescent="0.2">
      <c r="BN9785" s="192"/>
      <c r="BO9785" s="197"/>
      <c r="BP9785" s="197"/>
      <c r="BQ9785" s="197"/>
    </row>
    <row r="9786" spans="66:69" x14ac:dyDescent="0.2">
      <c r="BN9786" s="192"/>
      <c r="BO9786" s="197"/>
      <c r="BP9786" s="197"/>
      <c r="BQ9786" s="197"/>
    </row>
    <row r="9787" spans="66:69" x14ac:dyDescent="0.2">
      <c r="BN9787" s="192"/>
      <c r="BO9787" s="197"/>
      <c r="BP9787" s="197"/>
      <c r="BQ9787" s="197"/>
    </row>
    <row r="9788" spans="66:69" x14ac:dyDescent="0.2">
      <c r="BN9788" s="192"/>
      <c r="BO9788" s="197"/>
      <c r="BP9788" s="197"/>
      <c r="BQ9788" s="197"/>
    </row>
    <row r="9789" spans="66:69" x14ac:dyDescent="0.2">
      <c r="BN9789" s="192"/>
      <c r="BO9789" s="197"/>
      <c r="BP9789" s="197"/>
      <c r="BQ9789" s="197"/>
    </row>
    <row r="9790" spans="66:69" x14ac:dyDescent="0.2">
      <c r="BN9790" s="192"/>
      <c r="BO9790" s="197"/>
      <c r="BP9790" s="197"/>
      <c r="BQ9790" s="197"/>
    </row>
    <row r="9791" spans="66:69" x14ac:dyDescent="0.2">
      <c r="BN9791" s="192"/>
      <c r="BO9791" s="197"/>
      <c r="BP9791" s="197"/>
      <c r="BQ9791" s="197"/>
    </row>
    <row r="9792" spans="66:69" x14ac:dyDescent="0.2">
      <c r="BN9792" s="192"/>
      <c r="BO9792" s="197"/>
      <c r="BP9792" s="197"/>
      <c r="BQ9792" s="197"/>
    </row>
    <row r="9793" spans="66:69" x14ac:dyDescent="0.2">
      <c r="BN9793" s="192"/>
      <c r="BO9793" s="197"/>
      <c r="BP9793" s="197"/>
      <c r="BQ9793" s="197"/>
    </row>
    <row r="9794" spans="66:69" x14ac:dyDescent="0.2">
      <c r="BN9794" s="192"/>
      <c r="BO9794" s="197"/>
      <c r="BP9794" s="197"/>
      <c r="BQ9794" s="197"/>
    </row>
    <row r="9795" spans="66:69" x14ac:dyDescent="0.2">
      <c r="BN9795" s="192"/>
      <c r="BO9795" s="197"/>
      <c r="BP9795" s="197"/>
      <c r="BQ9795" s="197"/>
    </row>
    <row r="9796" spans="66:69" x14ac:dyDescent="0.2">
      <c r="BN9796" s="192"/>
      <c r="BO9796" s="197"/>
      <c r="BP9796" s="197"/>
      <c r="BQ9796" s="197"/>
    </row>
    <row r="9797" spans="66:69" x14ac:dyDescent="0.2">
      <c r="BN9797" s="192"/>
      <c r="BO9797" s="197"/>
      <c r="BP9797" s="197"/>
      <c r="BQ9797" s="197"/>
    </row>
    <row r="9798" spans="66:69" x14ac:dyDescent="0.2">
      <c r="BN9798" s="192"/>
      <c r="BO9798" s="197"/>
      <c r="BP9798" s="197"/>
      <c r="BQ9798" s="197"/>
    </row>
    <row r="9799" spans="66:69" x14ac:dyDescent="0.2">
      <c r="BN9799" s="192"/>
      <c r="BO9799" s="197"/>
      <c r="BP9799" s="197"/>
      <c r="BQ9799" s="197"/>
    </row>
    <row r="9800" spans="66:69" x14ac:dyDescent="0.2">
      <c r="BN9800" s="192"/>
      <c r="BO9800" s="197"/>
      <c r="BP9800" s="197"/>
      <c r="BQ9800" s="197"/>
    </row>
    <row r="9801" spans="66:69" x14ac:dyDescent="0.2">
      <c r="BN9801" s="192"/>
      <c r="BO9801" s="197"/>
      <c r="BP9801" s="197"/>
      <c r="BQ9801" s="197"/>
    </row>
    <row r="9802" spans="66:69" x14ac:dyDescent="0.2">
      <c r="BN9802" s="192"/>
      <c r="BO9802" s="197"/>
      <c r="BP9802" s="197"/>
      <c r="BQ9802" s="197"/>
    </row>
    <row r="9803" spans="66:69" x14ac:dyDescent="0.2">
      <c r="BN9803" s="192"/>
      <c r="BO9803" s="197"/>
      <c r="BP9803" s="197"/>
      <c r="BQ9803" s="197"/>
    </row>
    <row r="9804" spans="66:69" x14ac:dyDescent="0.2">
      <c r="BN9804" s="192"/>
      <c r="BO9804" s="197"/>
      <c r="BP9804" s="197"/>
      <c r="BQ9804" s="197"/>
    </row>
    <row r="9805" spans="66:69" x14ac:dyDescent="0.2">
      <c r="BN9805" s="192"/>
      <c r="BO9805" s="197"/>
      <c r="BP9805" s="197"/>
      <c r="BQ9805" s="197"/>
    </row>
    <row r="9806" spans="66:69" x14ac:dyDescent="0.2">
      <c r="BN9806" s="192"/>
      <c r="BO9806" s="197"/>
      <c r="BP9806" s="197"/>
      <c r="BQ9806" s="197"/>
    </row>
    <row r="9807" spans="66:69" x14ac:dyDescent="0.2">
      <c r="BN9807" s="192"/>
      <c r="BO9807" s="197"/>
      <c r="BP9807" s="197"/>
      <c r="BQ9807" s="197"/>
    </row>
    <row r="9808" spans="66:69" x14ac:dyDescent="0.2">
      <c r="BN9808" s="192"/>
      <c r="BO9808" s="197"/>
      <c r="BP9808" s="197"/>
      <c r="BQ9808" s="197"/>
    </row>
    <row r="9809" spans="66:69" x14ac:dyDescent="0.2">
      <c r="BN9809" s="192"/>
      <c r="BO9809" s="197"/>
      <c r="BP9809" s="197"/>
      <c r="BQ9809" s="197"/>
    </row>
    <row r="9810" spans="66:69" x14ac:dyDescent="0.2">
      <c r="BN9810" s="192"/>
      <c r="BO9810" s="197"/>
      <c r="BP9810" s="197"/>
      <c r="BQ9810" s="197"/>
    </row>
    <row r="9811" spans="66:69" x14ac:dyDescent="0.2">
      <c r="BN9811" s="192"/>
      <c r="BO9811" s="197"/>
      <c r="BP9811" s="197"/>
      <c r="BQ9811" s="197"/>
    </row>
    <row r="9812" spans="66:69" x14ac:dyDescent="0.2">
      <c r="BN9812" s="192"/>
      <c r="BO9812" s="197"/>
      <c r="BP9812" s="197"/>
      <c r="BQ9812" s="197"/>
    </row>
    <row r="9813" spans="66:69" x14ac:dyDescent="0.2">
      <c r="BN9813" s="192"/>
      <c r="BO9813" s="197"/>
      <c r="BP9813" s="197"/>
      <c r="BQ9813" s="197"/>
    </row>
    <row r="9814" spans="66:69" x14ac:dyDescent="0.2">
      <c r="BN9814" s="192"/>
      <c r="BO9814" s="197"/>
      <c r="BP9814" s="197"/>
      <c r="BQ9814" s="197"/>
    </row>
    <row r="9815" spans="66:69" x14ac:dyDescent="0.2">
      <c r="BN9815" s="192"/>
      <c r="BO9815" s="197"/>
      <c r="BP9815" s="197"/>
      <c r="BQ9815" s="197"/>
    </row>
    <row r="9816" spans="66:69" x14ac:dyDescent="0.2">
      <c r="BN9816" s="192"/>
      <c r="BO9816" s="197"/>
      <c r="BP9816" s="197"/>
      <c r="BQ9816" s="197"/>
    </row>
    <row r="9817" spans="66:69" x14ac:dyDescent="0.2">
      <c r="BN9817" s="192"/>
      <c r="BO9817" s="197"/>
      <c r="BP9817" s="197"/>
      <c r="BQ9817" s="197"/>
    </row>
    <row r="9818" spans="66:69" x14ac:dyDescent="0.2">
      <c r="BN9818" s="192"/>
      <c r="BO9818" s="197"/>
      <c r="BP9818" s="197"/>
      <c r="BQ9818" s="197"/>
    </row>
    <row r="9819" spans="66:69" x14ac:dyDescent="0.2">
      <c r="BN9819" s="192"/>
      <c r="BO9819" s="197"/>
      <c r="BP9819" s="197"/>
      <c r="BQ9819" s="197"/>
    </row>
    <row r="9820" spans="66:69" x14ac:dyDescent="0.2">
      <c r="BN9820" s="192"/>
      <c r="BO9820" s="197"/>
      <c r="BP9820" s="197"/>
      <c r="BQ9820" s="197"/>
    </row>
    <row r="9821" spans="66:69" x14ac:dyDescent="0.2">
      <c r="BN9821" s="192"/>
      <c r="BO9821" s="197"/>
      <c r="BP9821" s="197"/>
      <c r="BQ9821" s="197"/>
    </row>
    <row r="9822" spans="66:69" x14ac:dyDescent="0.2">
      <c r="BN9822" s="192"/>
      <c r="BO9822" s="197"/>
      <c r="BP9822" s="197"/>
      <c r="BQ9822" s="197"/>
    </row>
    <row r="9823" spans="66:69" x14ac:dyDescent="0.2">
      <c r="BN9823" s="192"/>
      <c r="BO9823" s="197"/>
      <c r="BP9823" s="197"/>
      <c r="BQ9823" s="197"/>
    </row>
    <row r="9824" spans="66:69" x14ac:dyDescent="0.2">
      <c r="BN9824" s="192"/>
      <c r="BO9824" s="197"/>
      <c r="BP9824" s="197"/>
      <c r="BQ9824" s="197"/>
    </row>
    <row r="9825" spans="66:69" x14ac:dyDescent="0.2">
      <c r="BN9825" s="192"/>
      <c r="BO9825" s="197"/>
      <c r="BP9825" s="197"/>
      <c r="BQ9825" s="197"/>
    </row>
    <row r="9826" spans="66:69" x14ac:dyDescent="0.2">
      <c r="BN9826" s="192"/>
      <c r="BO9826" s="197"/>
      <c r="BP9826" s="197"/>
      <c r="BQ9826" s="197"/>
    </row>
    <row r="9827" spans="66:69" x14ac:dyDescent="0.2">
      <c r="BN9827" s="192"/>
      <c r="BO9827" s="197"/>
      <c r="BP9827" s="197"/>
      <c r="BQ9827" s="197"/>
    </row>
    <row r="9828" spans="66:69" x14ac:dyDescent="0.2">
      <c r="BN9828" s="192"/>
      <c r="BO9828" s="197"/>
      <c r="BP9828" s="197"/>
      <c r="BQ9828" s="197"/>
    </row>
    <row r="9829" spans="66:69" x14ac:dyDescent="0.2">
      <c r="BN9829" s="192"/>
      <c r="BO9829" s="197"/>
      <c r="BP9829" s="197"/>
      <c r="BQ9829" s="197"/>
    </row>
    <row r="9830" spans="66:69" x14ac:dyDescent="0.2">
      <c r="BN9830" s="192"/>
      <c r="BO9830" s="197"/>
      <c r="BP9830" s="197"/>
      <c r="BQ9830" s="197"/>
    </row>
    <row r="9831" spans="66:69" x14ac:dyDescent="0.2">
      <c r="BN9831" s="192"/>
      <c r="BO9831" s="197"/>
      <c r="BP9831" s="197"/>
      <c r="BQ9831" s="197"/>
    </row>
    <row r="9832" spans="66:69" x14ac:dyDescent="0.2">
      <c r="BN9832" s="192"/>
      <c r="BO9832" s="197"/>
      <c r="BP9832" s="197"/>
      <c r="BQ9832" s="197"/>
    </row>
    <row r="9833" spans="66:69" x14ac:dyDescent="0.2">
      <c r="BN9833" s="192"/>
      <c r="BO9833" s="197"/>
      <c r="BP9833" s="197"/>
      <c r="BQ9833" s="197"/>
    </row>
    <row r="9834" spans="66:69" x14ac:dyDescent="0.2">
      <c r="BN9834" s="192"/>
      <c r="BO9834" s="197"/>
      <c r="BP9834" s="197"/>
      <c r="BQ9834" s="197"/>
    </row>
    <row r="9835" spans="66:69" x14ac:dyDescent="0.2">
      <c r="BN9835" s="192"/>
      <c r="BO9835" s="197"/>
      <c r="BP9835" s="197"/>
      <c r="BQ9835" s="197"/>
    </row>
    <row r="9836" spans="66:69" x14ac:dyDescent="0.2">
      <c r="BN9836" s="192"/>
      <c r="BO9836" s="197"/>
      <c r="BP9836" s="197"/>
      <c r="BQ9836" s="197"/>
    </row>
    <row r="9837" spans="66:69" x14ac:dyDescent="0.2">
      <c r="BN9837" s="192"/>
      <c r="BO9837" s="197"/>
      <c r="BP9837" s="197"/>
      <c r="BQ9837" s="197"/>
    </row>
    <row r="9838" spans="66:69" x14ac:dyDescent="0.2">
      <c r="BN9838" s="192"/>
      <c r="BO9838" s="197"/>
      <c r="BP9838" s="197"/>
      <c r="BQ9838" s="197"/>
    </row>
    <row r="9839" spans="66:69" x14ac:dyDescent="0.2">
      <c r="BN9839" s="192"/>
      <c r="BO9839" s="197"/>
      <c r="BP9839" s="197"/>
      <c r="BQ9839" s="197"/>
    </row>
    <row r="9840" spans="66:69" x14ac:dyDescent="0.2">
      <c r="BN9840" s="192"/>
      <c r="BO9840" s="197"/>
      <c r="BP9840" s="197"/>
      <c r="BQ9840" s="197"/>
    </row>
    <row r="9841" spans="66:69" x14ac:dyDescent="0.2">
      <c r="BN9841" s="192"/>
      <c r="BO9841" s="197"/>
      <c r="BP9841" s="197"/>
      <c r="BQ9841" s="197"/>
    </row>
    <row r="9842" spans="66:69" x14ac:dyDescent="0.2">
      <c r="BN9842" s="192"/>
      <c r="BO9842" s="197"/>
      <c r="BP9842" s="197"/>
      <c r="BQ9842" s="197"/>
    </row>
    <row r="9843" spans="66:69" x14ac:dyDescent="0.2">
      <c r="BN9843" s="192"/>
      <c r="BO9843" s="197"/>
      <c r="BP9843" s="197"/>
      <c r="BQ9843" s="197"/>
    </row>
    <row r="9844" spans="66:69" x14ac:dyDescent="0.2">
      <c r="BN9844" s="192"/>
      <c r="BO9844" s="197"/>
      <c r="BP9844" s="197"/>
      <c r="BQ9844" s="197"/>
    </row>
    <row r="9845" spans="66:69" x14ac:dyDescent="0.2">
      <c r="BN9845" s="192"/>
      <c r="BO9845" s="197"/>
      <c r="BP9845" s="197"/>
      <c r="BQ9845" s="197"/>
    </row>
    <row r="9846" spans="66:69" x14ac:dyDescent="0.2">
      <c r="BN9846" s="192"/>
      <c r="BO9846" s="197"/>
      <c r="BP9846" s="197"/>
      <c r="BQ9846" s="197"/>
    </row>
    <row r="9847" spans="66:69" x14ac:dyDescent="0.2">
      <c r="BN9847" s="192"/>
      <c r="BO9847" s="197"/>
      <c r="BP9847" s="197"/>
      <c r="BQ9847" s="197"/>
    </row>
    <row r="9848" spans="66:69" x14ac:dyDescent="0.2">
      <c r="BN9848" s="192"/>
      <c r="BO9848" s="197"/>
      <c r="BP9848" s="197"/>
      <c r="BQ9848" s="197"/>
    </row>
    <row r="9849" spans="66:69" x14ac:dyDescent="0.2">
      <c r="BN9849" s="192"/>
      <c r="BO9849" s="197"/>
      <c r="BP9849" s="197"/>
      <c r="BQ9849" s="197"/>
    </row>
    <row r="9850" spans="66:69" x14ac:dyDescent="0.2">
      <c r="BN9850" s="192"/>
      <c r="BO9850" s="197"/>
      <c r="BP9850" s="197"/>
      <c r="BQ9850" s="197"/>
    </row>
    <row r="9851" spans="66:69" x14ac:dyDescent="0.2">
      <c r="BN9851" s="192"/>
      <c r="BO9851" s="197"/>
      <c r="BP9851" s="197"/>
      <c r="BQ9851" s="197"/>
    </row>
    <row r="9852" spans="66:69" x14ac:dyDescent="0.2">
      <c r="BN9852" s="192"/>
      <c r="BO9852" s="197"/>
      <c r="BP9852" s="197"/>
      <c r="BQ9852" s="197"/>
    </row>
    <row r="9853" spans="66:69" x14ac:dyDescent="0.2">
      <c r="BN9853" s="192"/>
      <c r="BO9853" s="197"/>
      <c r="BP9853" s="197"/>
      <c r="BQ9853" s="197"/>
    </row>
    <row r="9854" spans="66:69" x14ac:dyDescent="0.2">
      <c r="BN9854" s="192"/>
      <c r="BO9854" s="197"/>
      <c r="BP9854" s="197"/>
      <c r="BQ9854" s="197"/>
    </row>
    <row r="9855" spans="66:69" x14ac:dyDescent="0.2">
      <c r="BN9855" s="192"/>
      <c r="BO9855" s="197"/>
      <c r="BP9855" s="197"/>
      <c r="BQ9855" s="197"/>
    </row>
    <row r="9856" spans="66:69" x14ac:dyDescent="0.2">
      <c r="BN9856" s="192"/>
      <c r="BO9856" s="197"/>
      <c r="BP9856" s="197"/>
      <c r="BQ9856" s="197"/>
    </row>
    <row r="9857" spans="66:69" x14ac:dyDescent="0.2">
      <c r="BN9857" s="192"/>
      <c r="BO9857" s="197"/>
      <c r="BP9857" s="197"/>
      <c r="BQ9857" s="197"/>
    </row>
    <row r="9858" spans="66:69" x14ac:dyDescent="0.2">
      <c r="BN9858" s="192"/>
      <c r="BO9858" s="197"/>
      <c r="BP9858" s="197"/>
      <c r="BQ9858" s="197"/>
    </row>
    <row r="9859" spans="66:69" x14ac:dyDescent="0.2">
      <c r="BN9859" s="192"/>
      <c r="BO9859" s="197"/>
      <c r="BP9859" s="197"/>
      <c r="BQ9859" s="197"/>
    </row>
    <row r="9860" spans="66:69" x14ac:dyDescent="0.2">
      <c r="BN9860" s="192"/>
      <c r="BO9860" s="197"/>
      <c r="BP9860" s="197"/>
      <c r="BQ9860" s="197"/>
    </row>
    <row r="9861" spans="66:69" x14ac:dyDescent="0.2">
      <c r="BN9861" s="192"/>
      <c r="BO9861" s="197"/>
      <c r="BP9861" s="197"/>
      <c r="BQ9861" s="197"/>
    </row>
    <row r="9862" spans="66:69" x14ac:dyDescent="0.2">
      <c r="BN9862" s="192"/>
      <c r="BO9862" s="197"/>
      <c r="BP9862" s="197"/>
      <c r="BQ9862" s="197"/>
    </row>
    <row r="9863" spans="66:69" x14ac:dyDescent="0.2">
      <c r="BN9863" s="192"/>
      <c r="BO9863" s="197"/>
      <c r="BP9863" s="197"/>
      <c r="BQ9863" s="197"/>
    </row>
    <row r="9864" spans="66:69" x14ac:dyDescent="0.2">
      <c r="BN9864" s="192"/>
      <c r="BO9864" s="197"/>
      <c r="BP9864" s="197"/>
      <c r="BQ9864" s="197"/>
    </row>
    <row r="9865" spans="66:69" x14ac:dyDescent="0.2">
      <c r="BN9865" s="192"/>
      <c r="BO9865" s="197"/>
      <c r="BP9865" s="197"/>
      <c r="BQ9865" s="197"/>
    </row>
    <row r="9866" spans="66:69" x14ac:dyDescent="0.2">
      <c r="BN9866" s="192"/>
      <c r="BO9866" s="197"/>
      <c r="BP9866" s="197"/>
      <c r="BQ9866" s="197"/>
    </row>
    <row r="9867" spans="66:69" x14ac:dyDescent="0.2">
      <c r="BN9867" s="192"/>
      <c r="BO9867" s="197"/>
      <c r="BP9867" s="197"/>
      <c r="BQ9867" s="197"/>
    </row>
    <row r="9868" spans="66:69" x14ac:dyDescent="0.2">
      <c r="BN9868" s="192"/>
      <c r="BO9868" s="197"/>
      <c r="BP9868" s="197"/>
      <c r="BQ9868" s="197"/>
    </row>
    <row r="9869" spans="66:69" x14ac:dyDescent="0.2">
      <c r="BN9869" s="192"/>
      <c r="BO9869" s="197"/>
      <c r="BP9869" s="197"/>
      <c r="BQ9869" s="197"/>
    </row>
    <row r="9870" spans="66:69" x14ac:dyDescent="0.2">
      <c r="BN9870" s="192"/>
      <c r="BO9870" s="197"/>
      <c r="BP9870" s="197"/>
      <c r="BQ9870" s="197"/>
    </row>
    <row r="9871" spans="66:69" x14ac:dyDescent="0.2">
      <c r="BN9871" s="192"/>
      <c r="BO9871" s="197"/>
      <c r="BP9871" s="197"/>
      <c r="BQ9871" s="197"/>
    </row>
    <row r="9872" spans="66:69" x14ac:dyDescent="0.2">
      <c r="BN9872" s="192"/>
      <c r="BO9872" s="197"/>
      <c r="BP9872" s="197"/>
      <c r="BQ9872" s="197"/>
    </row>
    <row r="9873" spans="66:69" x14ac:dyDescent="0.2">
      <c r="BN9873" s="192"/>
      <c r="BO9873" s="197"/>
      <c r="BP9873" s="197"/>
      <c r="BQ9873" s="197"/>
    </row>
    <row r="9874" spans="66:69" x14ac:dyDescent="0.2">
      <c r="BN9874" s="192"/>
      <c r="BO9874" s="197"/>
      <c r="BP9874" s="197"/>
      <c r="BQ9874" s="197"/>
    </row>
    <row r="9875" spans="66:69" x14ac:dyDescent="0.2">
      <c r="BN9875" s="192"/>
      <c r="BO9875" s="197"/>
      <c r="BP9875" s="197"/>
      <c r="BQ9875" s="197"/>
    </row>
    <row r="9876" spans="66:69" x14ac:dyDescent="0.2">
      <c r="BN9876" s="192"/>
      <c r="BO9876" s="197"/>
      <c r="BP9876" s="197"/>
      <c r="BQ9876" s="197"/>
    </row>
    <row r="9877" spans="66:69" x14ac:dyDescent="0.2">
      <c r="BN9877" s="192"/>
      <c r="BO9877" s="197"/>
      <c r="BP9877" s="197"/>
      <c r="BQ9877" s="197"/>
    </row>
    <row r="9878" spans="66:69" x14ac:dyDescent="0.2">
      <c r="BN9878" s="192"/>
      <c r="BO9878" s="197"/>
      <c r="BP9878" s="197"/>
      <c r="BQ9878" s="197"/>
    </row>
    <row r="9879" spans="66:69" x14ac:dyDescent="0.2">
      <c r="BN9879" s="192"/>
      <c r="BO9879" s="197"/>
      <c r="BP9879" s="197"/>
      <c r="BQ9879" s="197"/>
    </row>
    <row r="9880" spans="66:69" x14ac:dyDescent="0.2">
      <c r="BN9880" s="192"/>
      <c r="BO9880" s="197"/>
      <c r="BP9880" s="197"/>
      <c r="BQ9880" s="197"/>
    </row>
    <row r="9881" spans="66:69" x14ac:dyDescent="0.2">
      <c r="BN9881" s="192"/>
      <c r="BO9881" s="197"/>
      <c r="BP9881" s="197"/>
      <c r="BQ9881" s="197"/>
    </row>
    <row r="9882" spans="66:69" x14ac:dyDescent="0.2">
      <c r="BN9882" s="192"/>
      <c r="BO9882" s="197"/>
      <c r="BP9882" s="197"/>
      <c r="BQ9882" s="197"/>
    </row>
    <row r="9883" spans="66:69" x14ac:dyDescent="0.2">
      <c r="BN9883" s="192"/>
      <c r="BO9883" s="197"/>
      <c r="BP9883" s="197"/>
      <c r="BQ9883" s="197"/>
    </row>
    <row r="9884" spans="66:69" x14ac:dyDescent="0.2">
      <c r="BN9884" s="192"/>
      <c r="BO9884" s="197"/>
      <c r="BP9884" s="197"/>
      <c r="BQ9884" s="197"/>
    </row>
    <row r="9885" spans="66:69" x14ac:dyDescent="0.2">
      <c r="BN9885" s="192"/>
      <c r="BO9885" s="197"/>
      <c r="BP9885" s="197"/>
      <c r="BQ9885" s="197"/>
    </row>
    <row r="9886" spans="66:69" x14ac:dyDescent="0.2">
      <c r="BN9886" s="192"/>
      <c r="BO9886" s="197"/>
      <c r="BP9886" s="197"/>
      <c r="BQ9886" s="197"/>
    </row>
    <row r="9887" spans="66:69" x14ac:dyDescent="0.2">
      <c r="BN9887" s="192"/>
      <c r="BO9887" s="197"/>
      <c r="BP9887" s="197"/>
      <c r="BQ9887" s="197"/>
    </row>
    <row r="9888" spans="66:69" x14ac:dyDescent="0.2">
      <c r="BN9888" s="192"/>
      <c r="BO9888" s="197"/>
      <c r="BP9888" s="197"/>
      <c r="BQ9888" s="197"/>
    </row>
    <row r="9889" spans="66:69" x14ac:dyDescent="0.2">
      <c r="BN9889" s="192"/>
      <c r="BO9889" s="197"/>
      <c r="BP9889" s="197"/>
      <c r="BQ9889" s="197"/>
    </row>
    <row r="9890" spans="66:69" x14ac:dyDescent="0.2">
      <c r="BN9890" s="192"/>
      <c r="BO9890" s="197"/>
      <c r="BP9890" s="197"/>
      <c r="BQ9890" s="197"/>
    </row>
    <row r="9891" spans="66:69" x14ac:dyDescent="0.2">
      <c r="BN9891" s="192"/>
      <c r="BO9891" s="197"/>
      <c r="BP9891" s="197"/>
      <c r="BQ9891" s="197"/>
    </row>
    <row r="9892" spans="66:69" x14ac:dyDescent="0.2">
      <c r="BN9892" s="192"/>
      <c r="BO9892" s="197"/>
      <c r="BP9892" s="197"/>
      <c r="BQ9892" s="197"/>
    </row>
    <row r="9893" spans="66:69" x14ac:dyDescent="0.2">
      <c r="BN9893" s="192"/>
      <c r="BO9893" s="197"/>
      <c r="BP9893" s="197"/>
      <c r="BQ9893" s="197"/>
    </row>
    <row r="9894" spans="66:69" x14ac:dyDescent="0.2">
      <c r="BN9894" s="192"/>
      <c r="BO9894" s="197"/>
      <c r="BP9894" s="197"/>
      <c r="BQ9894" s="197"/>
    </row>
    <row r="9895" spans="66:69" x14ac:dyDescent="0.2">
      <c r="BN9895" s="192"/>
      <c r="BO9895" s="197"/>
      <c r="BP9895" s="197"/>
      <c r="BQ9895" s="197"/>
    </row>
    <row r="9896" spans="66:69" x14ac:dyDescent="0.2">
      <c r="BN9896" s="192"/>
      <c r="BO9896" s="197"/>
      <c r="BP9896" s="197"/>
      <c r="BQ9896" s="197"/>
    </row>
    <row r="9897" spans="66:69" x14ac:dyDescent="0.2">
      <c r="BN9897" s="192"/>
      <c r="BO9897" s="197"/>
      <c r="BP9897" s="197"/>
      <c r="BQ9897" s="197"/>
    </row>
    <row r="9898" spans="66:69" x14ac:dyDescent="0.2">
      <c r="BN9898" s="192"/>
      <c r="BO9898" s="197"/>
      <c r="BP9898" s="197"/>
      <c r="BQ9898" s="197"/>
    </row>
    <row r="9899" spans="66:69" x14ac:dyDescent="0.2">
      <c r="BN9899" s="192"/>
      <c r="BO9899" s="197"/>
      <c r="BP9899" s="197"/>
      <c r="BQ9899" s="197"/>
    </row>
    <row r="9900" spans="66:69" x14ac:dyDescent="0.2">
      <c r="BN9900" s="192"/>
      <c r="BO9900" s="197"/>
      <c r="BP9900" s="197"/>
      <c r="BQ9900" s="197"/>
    </row>
    <row r="9901" spans="66:69" x14ac:dyDescent="0.2">
      <c r="BN9901" s="192"/>
      <c r="BO9901" s="197"/>
      <c r="BP9901" s="197"/>
      <c r="BQ9901" s="197"/>
    </row>
    <row r="9902" spans="66:69" x14ac:dyDescent="0.2">
      <c r="BN9902" s="192"/>
      <c r="BO9902" s="197"/>
      <c r="BP9902" s="197"/>
      <c r="BQ9902" s="197"/>
    </row>
    <row r="9903" spans="66:69" x14ac:dyDescent="0.2">
      <c r="BN9903" s="192"/>
      <c r="BO9903" s="197"/>
      <c r="BP9903" s="197"/>
      <c r="BQ9903" s="197"/>
    </row>
    <row r="9904" spans="66:69" x14ac:dyDescent="0.2">
      <c r="BN9904" s="192"/>
      <c r="BO9904" s="197"/>
      <c r="BP9904" s="197"/>
      <c r="BQ9904" s="197"/>
    </row>
    <row r="9905" spans="66:69" x14ac:dyDescent="0.2">
      <c r="BN9905" s="192"/>
      <c r="BO9905" s="197"/>
      <c r="BP9905" s="197"/>
      <c r="BQ9905" s="197"/>
    </row>
    <row r="9906" spans="66:69" x14ac:dyDescent="0.2">
      <c r="BN9906" s="192"/>
      <c r="BO9906" s="197"/>
      <c r="BP9906" s="197"/>
      <c r="BQ9906" s="197"/>
    </row>
    <row r="9907" spans="66:69" x14ac:dyDescent="0.2">
      <c r="BN9907" s="192"/>
      <c r="BO9907" s="197"/>
      <c r="BP9907" s="197"/>
      <c r="BQ9907" s="197"/>
    </row>
    <row r="9908" spans="66:69" x14ac:dyDescent="0.2">
      <c r="BN9908" s="192"/>
      <c r="BO9908" s="197"/>
      <c r="BP9908" s="197"/>
      <c r="BQ9908" s="197"/>
    </row>
    <row r="9909" spans="66:69" x14ac:dyDescent="0.2">
      <c r="BN9909" s="192"/>
      <c r="BO9909" s="197"/>
      <c r="BP9909" s="197"/>
      <c r="BQ9909" s="197"/>
    </row>
    <row r="9910" spans="66:69" x14ac:dyDescent="0.2">
      <c r="BN9910" s="192"/>
      <c r="BO9910" s="197"/>
      <c r="BP9910" s="197"/>
      <c r="BQ9910" s="197"/>
    </row>
    <row r="9911" spans="66:69" x14ac:dyDescent="0.2">
      <c r="BN9911" s="192"/>
      <c r="BO9911" s="197"/>
      <c r="BP9911" s="197"/>
      <c r="BQ9911" s="197"/>
    </row>
    <row r="9912" spans="66:69" x14ac:dyDescent="0.2">
      <c r="BN9912" s="192"/>
      <c r="BO9912" s="197"/>
      <c r="BP9912" s="197"/>
      <c r="BQ9912" s="197"/>
    </row>
    <row r="9913" spans="66:69" x14ac:dyDescent="0.2">
      <c r="BN9913" s="192"/>
      <c r="BO9913" s="197"/>
      <c r="BP9913" s="197"/>
      <c r="BQ9913" s="197"/>
    </row>
    <row r="9914" spans="66:69" x14ac:dyDescent="0.2">
      <c r="BN9914" s="192"/>
      <c r="BO9914" s="197"/>
      <c r="BP9914" s="197"/>
      <c r="BQ9914" s="197"/>
    </row>
    <row r="9915" spans="66:69" x14ac:dyDescent="0.2">
      <c r="BN9915" s="192"/>
      <c r="BO9915" s="197"/>
      <c r="BP9915" s="197"/>
      <c r="BQ9915" s="197"/>
    </row>
    <row r="9916" spans="66:69" x14ac:dyDescent="0.2">
      <c r="BN9916" s="192"/>
      <c r="BO9916" s="197"/>
      <c r="BP9916" s="197"/>
      <c r="BQ9916" s="197"/>
    </row>
    <row r="9917" spans="66:69" x14ac:dyDescent="0.2">
      <c r="BN9917" s="192"/>
      <c r="BO9917" s="197"/>
      <c r="BP9917" s="197"/>
      <c r="BQ9917" s="197"/>
    </row>
    <row r="9918" spans="66:69" x14ac:dyDescent="0.2">
      <c r="BN9918" s="192"/>
      <c r="BO9918" s="197"/>
      <c r="BP9918" s="197"/>
      <c r="BQ9918" s="197"/>
    </row>
    <row r="9919" spans="66:69" x14ac:dyDescent="0.2">
      <c r="BN9919" s="192"/>
      <c r="BO9919" s="197"/>
      <c r="BP9919" s="197"/>
      <c r="BQ9919" s="197"/>
    </row>
    <row r="9920" spans="66:69" x14ac:dyDescent="0.2">
      <c r="BN9920" s="192"/>
      <c r="BO9920" s="197"/>
      <c r="BP9920" s="197"/>
      <c r="BQ9920" s="197"/>
    </row>
    <row r="9921" spans="66:69" x14ac:dyDescent="0.2">
      <c r="BN9921" s="192"/>
      <c r="BO9921" s="197"/>
      <c r="BP9921" s="197"/>
      <c r="BQ9921" s="197"/>
    </row>
    <row r="9922" spans="66:69" x14ac:dyDescent="0.2">
      <c r="BN9922" s="192"/>
      <c r="BO9922" s="197"/>
      <c r="BP9922" s="197"/>
      <c r="BQ9922" s="197"/>
    </row>
    <row r="9923" spans="66:69" x14ac:dyDescent="0.2">
      <c r="BN9923" s="192"/>
      <c r="BO9923" s="197"/>
      <c r="BP9923" s="197"/>
      <c r="BQ9923" s="197"/>
    </row>
    <row r="9924" spans="66:69" x14ac:dyDescent="0.2">
      <c r="BN9924" s="192"/>
      <c r="BO9924" s="197"/>
      <c r="BP9924" s="197"/>
      <c r="BQ9924" s="197"/>
    </row>
    <row r="9925" spans="66:69" x14ac:dyDescent="0.2">
      <c r="BN9925" s="192"/>
      <c r="BO9925" s="197"/>
      <c r="BP9925" s="197"/>
      <c r="BQ9925" s="197"/>
    </row>
    <row r="9926" spans="66:69" x14ac:dyDescent="0.2">
      <c r="BN9926" s="192"/>
      <c r="BO9926" s="197"/>
      <c r="BP9926" s="197"/>
      <c r="BQ9926" s="197"/>
    </row>
    <row r="9927" spans="66:69" x14ac:dyDescent="0.2">
      <c r="BN9927" s="192"/>
      <c r="BO9927" s="197"/>
      <c r="BP9927" s="197"/>
      <c r="BQ9927" s="197"/>
    </row>
    <row r="9928" spans="66:69" x14ac:dyDescent="0.2">
      <c r="BN9928" s="192"/>
      <c r="BO9928" s="197"/>
      <c r="BP9928" s="197"/>
      <c r="BQ9928" s="197"/>
    </row>
    <row r="9929" spans="66:69" x14ac:dyDescent="0.2">
      <c r="BN9929" s="192"/>
      <c r="BO9929" s="197"/>
      <c r="BP9929" s="197"/>
      <c r="BQ9929" s="197"/>
    </row>
    <row r="9930" spans="66:69" x14ac:dyDescent="0.2">
      <c r="BN9930" s="192"/>
      <c r="BO9930" s="197"/>
      <c r="BP9930" s="197"/>
      <c r="BQ9930" s="197"/>
    </row>
    <row r="9931" spans="66:69" x14ac:dyDescent="0.2">
      <c r="BN9931" s="192"/>
      <c r="BO9931" s="197"/>
      <c r="BP9931" s="197"/>
      <c r="BQ9931" s="197"/>
    </row>
    <row r="9932" spans="66:69" x14ac:dyDescent="0.2">
      <c r="BN9932" s="192"/>
      <c r="BO9932" s="197"/>
      <c r="BP9932" s="197"/>
      <c r="BQ9932" s="197"/>
    </row>
    <row r="9933" spans="66:69" x14ac:dyDescent="0.2">
      <c r="BN9933" s="192"/>
      <c r="BO9933" s="197"/>
      <c r="BP9933" s="197"/>
      <c r="BQ9933" s="197"/>
    </row>
    <row r="9934" spans="66:69" x14ac:dyDescent="0.2">
      <c r="BN9934" s="192"/>
      <c r="BO9934" s="197"/>
      <c r="BP9934" s="197"/>
      <c r="BQ9934" s="197"/>
    </row>
    <row r="9935" spans="66:69" x14ac:dyDescent="0.2">
      <c r="BN9935" s="192"/>
      <c r="BO9935" s="197"/>
      <c r="BP9935" s="197"/>
      <c r="BQ9935" s="197"/>
    </row>
    <row r="9936" spans="66:69" x14ac:dyDescent="0.2">
      <c r="BN9936" s="192"/>
      <c r="BO9936" s="197"/>
      <c r="BP9936" s="197"/>
      <c r="BQ9936" s="197"/>
    </row>
    <row r="9937" spans="66:69" x14ac:dyDescent="0.2">
      <c r="BN9937" s="192"/>
      <c r="BO9937" s="197"/>
      <c r="BP9937" s="197"/>
      <c r="BQ9937" s="197"/>
    </row>
    <row r="9938" spans="66:69" x14ac:dyDescent="0.2">
      <c r="BN9938" s="192"/>
      <c r="BO9938" s="197"/>
      <c r="BP9938" s="197"/>
      <c r="BQ9938" s="197"/>
    </row>
    <row r="9939" spans="66:69" x14ac:dyDescent="0.2">
      <c r="BN9939" s="192"/>
      <c r="BO9939" s="197"/>
      <c r="BP9939" s="197"/>
      <c r="BQ9939" s="197"/>
    </row>
    <row r="9940" spans="66:69" x14ac:dyDescent="0.2">
      <c r="BN9940" s="192"/>
      <c r="BO9940" s="197"/>
      <c r="BP9940" s="197"/>
      <c r="BQ9940" s="197"/>
    </row>
    <row r="9941" spans="66:69" x14ac:dyDescent="0.2">
      <c r="BN9941" s="192"/>
      <c r="BO9941" s="197"/>
      <c r="BP9941" s="197"/>
      <c r="BQ9941" s="197"/>
    </row>
    <row r="9942" spans="66:69" x14ac:dyDescent="0.2">
      <c r="BN9942" s="192"/>
      <c r="BO9942" s="197"/>
      <c r="BP9942" s="197"/>
      <c r="BQ9942" s="197"/>
    </row>
    <row r="9943" spans="66:69" x14ac:dyDescent="0.2">
      <c r="BN9943" s="192"/>
      <c r="BO9943" s="197"/>
      <c r="BP9943" s="197"/>
      <c r="BQ9943" s="197"/>
    </row>
    <row r="9944" spans="66:69" x14ac:dyDescent="0.2">
      <c r="BN9944" s="192"/>
      <c r="BO9944" s="197"/>
      <c r="BP9944" s="197"/>
      <c r="BQ9944" s="197"/>
    </row>
    <row r="9945" spans="66:69" x14ac:dyDescent="0.2">
      <c r="BN9945" s="192"/>
      <c r="BO9945" s="197"/>
      <c r="BP9945" s="197"/>
      <c r="BQ9945" s="197"/>
    </row>
    <row r="9946" spans="66:69" x14ac:dyDescent="0.2">
      <c r="BN9946" s="192"/>
      <c r="BO9946" s="197"/>
      <c r="BP9946" s="197"/>
      <c r="BQ9946" s="197"/>
    </row>
    <row r="9947" spans="66:69" x14ac:dyDescent="0.2">
      <c r="BN9947" s="192"/>
      <c r="BO9947" s="197"/>
      <c r="BP9947" s="197"/>
      <c r="BQ9947" s="197"/>
    </row>
    <row r="9948" spans="66:69" x14ac:dyDescent="0.2">
      <c r="BN9948" s="192"/>
      <c r="BO9948" s="197"/>
      <c r="BP9948" s="197"/>
      <c r="BQ9948" s="197"/>
    </row>
    <row r="9949" spans="66:69" x14ac:dyDescent="0.2">
      <c r="BN9949" s="192"/>
      <c r="BO9949" s="197"/>
      <c r="BP9949" s="197"/>
      <c r="BQ9949" s="197"/>
    </row>
    <row r="9950" spans="66:69" x14ac:dyDescent="0.2">
      <c r="BN9950" s="192"/>
      <c r="BO9950" s="197"/>
      <c r="BP9950" s="197"/>
      <c r="BQ9950" s="197"/>
    </row>
    <row r="9951" spans="66:69" x14ac:dyDescent="0.2">
      <c r="BN9951" s="192"/>
      <c r="BO9951" s="197"/>
      <c r="BP9951" s="197"/>
      <c r="BQ9951" s="197"/>
    </row>
    <row r="9952" spans="66:69" x14ac:dyDescent="0.2">
      <c r="BN9952" s="192"/>
      <c r="BO9952" s="197"/>
      <c r="BP9952" s="197"/>
      <c r="BQ9952" s="197"/>
    </row>
    <row r="9953" spans="66:69" x14ac:dyDescent="0.2">
      <c r="BN9953" s="192"/>
      <c r="BO9953" s="197"/>
      <c r="BP9953" s="197"/>
      <c r="BQ9953" s="197"/>
    </row>
    <row r="9954" spans="66:69" x14ac:dyDescent="0.2">
      <c r="BN9954" s="192"/>
      <c r="BO9954" s="197"/>
      <c r="BP9954" s="197"/>
      <c r="BQ9954" s="197"/>
    </row>
    <row r="9955" spans="66:69" x14ac:dyDescent="0.2">
      <c r="BN9955" s="192"/>
      <c r="BO9955" s="197"/>
      <c r="BP9955" s="197"/>
      <c r="BQ9955" s="197"/>
    </row>
    <row r="9956" spans="66:69" x14ac:dyDescent="0.2">
      <c r="BN9956" s="192"/>
      <c r="BO9956" s="197"/>
      <c r="BP9956" s="197"/>
      <c r="BQ9956" s="197"/>
    </row>
    <row r="9957" spans="66:69" x14ac:dyDescent="0.2">
      <c r="BN9957" s="192"/>
      <c r="BO9957" s="197"/>
      <c r="BP9957" s="197"/>
      <c r="BQ9957" s="197"/>
    </row>
    <row r="9958" spans="66:69" x14ac:dyDescent="0.2">
      <c r="BN9958" s="192"/>
      <c r="BO9958" s="197"/>
      <c r="BP9958" s="197"/>
      <c r="BQ9958" s="197"/>
    </row>
    <row r="9959" spans="66:69" x14ac:dyDescent="0.2">
      <c r="BN9959" s="192"/>
      <c r="BO9959" s="197"/>
      <c r="BP9959" s="197"/>
      <c r="BQ9959" s="197"/>
    </row>
    <row r="9960" spans="66:69" x14ac:dyDescent="0.2">
      <c r="BN9960" s="192"/>
      <c r="BO9960" s="197"/>
      <c r="BP9960" s="197"/>
      <c r="BQ9960" s="197"/>
    </row>
    <row r="9961" spans="66:69" x14ac:dyDescent="0.2">
      <c r="BN9961" s="192"/>
      <c r="BO9961" s="197"/>
      <c r="BP9961" s="197"/>
      <c r="BQ9961" s="197"/>
    </row>
    <row r="9962" spans="66:69" x14ac:dyDescent="0.2">
      <c r="BN9962" s="192"/>
      <c r="BO9962" s="197"/>
      <c r="BP9962" s="197"/>
      <c r="BQ9962" s="197"/>
    </row>
    <row r="9963" spans="66:69" x14ac:dyDescent="0.2">
      <c r="BN9963" s="192"/>
      <c r="BO9963" s="197"/>
      <c r="BP9963" s="197"/>
      <c r="BQ9963" s="197"/>
    </row>
    <row r="9964" spans="66:69" x14ac:dyDescent="0.2">
      <c r="BN9964" s="192"/>
      <c r="BO9964" s="197"/>
      <c r="BP9964" s="197"/>
      <c r="BQ9964" s="197"/>
    </row>
    <row r="9965" spans="66:69" x14ac:dyDescent="0.2">
      <c r="BN9965" s="192"/>
      <c r="BO9965" s="197"/>
      <c r="BP9965" s="197"/>
      <c r="BQ9965" s="197"/>
    </row>
    <row r="9966" spans="66:69" x14ac:dyDescent="0.2">
      <c r="BN9966" s="192"/>
      <c r="BO9966" s="197"/>
      <c r="BP9966" s="197"/>
      <c r="BQ9966" s="197"/>
    </row>
    <row r="9967" spans="66:69" x14ac:dyDescent="0.2">
      <c r="BN9967" s="192"/>
      <c r="BO9967" s="197"/>
      <c r="BP9967" s="197"/>
      <c r="BQ9967" s="197"/>
    </row>
    <row r="9968" spans="66:69" x14ac:dyDescent="0.2">
      <c r="BN9968" s="192"/>
      <c r="BO9968" s="197"/>
      <c r="BP9968" s="197"/>
      <c r="BQ9968" s="197"/>
    </row>
    <row r="9969" spans="66:69" x14ac:dyDescent="0.2">
      <c r="BN9969" s="192"/>
      <c r="BO9969" s="197"/>
      <c r="BP9969" s="197"/>
      <c r="BQ9969" s="197"/>
    </row>
    <row r="9970" spans="66:69" x14ac:dyDescent="0.2">
      <c r="BN9970" s="192"/>
      <c r="BO9970" s="197"/>
      <c r="BP9970" s="197"/>
      <c r="BQ9970" s="197"/>
    </row>
    <row r="9971" spans="66:69" x14ac:dyDescent="0.2">
      <c r="BN9971" s="192"/>
      <c r="BO9971" s="197"/>
      <c r="BP9971" s="197"/>
      <c r="BQ9971" s="197"/>
    </row>
    <row r="9972" spans="66:69" x14ac:dyDescent="0.2">
      <c r="BN9972" s="192"/>
      <c r="BO9972" s="197"/>
      <c r="BP9972" s="197"/>
      <c r="BQ9972" s="197"/>
    </row>
    <row r="9973" spans="66:69" x14ac:dyDescent="0.2">
      <c r="BN9973" s="192"/>
      <c r="BO9973" s="197"/>
      <c r="BP9973" s="197"/>
      <c r="BQ9973" s="197"/>
    </row>
    <row r="9974" spans="66:69" x14ac:dyDescent="0.2">
      <c r="BN9974" s="192"/>
      <c r="BO9974" s="197"/>
      <c r="BP9974" s="197"/>
      <c r="BQ9974" s="197"/>
    </row>
    <row r="9975" spans="66:69" x14ac:dyDescent="0.2">
      <c r="BN9975" s="192"/>
      <c r="BO9975" s="197"/>
      <c r="BP9975" s="197"/>
      <c r="BQ9975" s="197"/>
    </row>
    <row r="9976" spans="66:69" x14ac:dyDescent="0.2">
      <c r="BN9976" s="192"/>
      <c r="BO9976" s="197"/>
      <c r="BP9976" s="197"/>
      <c r="BQ9976" s="197"/>
    </row>
    <row r="9977" spans="66:69" x14ac:dyDescent="0.2">
      <c r="BN9977" s="192"/>
      <c r="BO9977" s="197"/>
      <c r="BP9977" s="197"/>
      <c r="BQ9977" s="197"/>
    </row>
    <row r="9978" spans="66:69" x14ac:dyDescent="0.2">
      <c r="BN9978" s="192"/>
      <c r="BO9978" s="197"/>
      <c r="BP9978" s="197"/>
      <c r="BQ9978" s="197"/>
    </row>
    <row r="9979" spans="66:69" x14ac:dyDescent="0.2">
      <c r="BN9979" s="192"/>
      <c r="BO9979" s="197"/>
      <c r="BP9979" s="197"/>
      <c r="BQ9979" s="197"/>
    </row>
    <row r="9980" spans="66:69" x14ac:dyDescent="0.2">
      <c r="BN9980" s="192"/>
      <c r="BO9980" s="197"/>
      <c r="BP9980" s="197"/>
      <c r="BQ9980" s="197"/>
    </row>
    <row r="9981" spans="66:69" x14ac:dyDescent="0.2">
      <c r="BN9981" s="192"/>
      <c r="BO9981" s="197"/>
      <c r="BP9981" s="197"/>
      <c r="BQ9981" s="197"/>
    </row>
    <row r="9982" spans="66:69" x14ac:dyDescent="0.2">
      <c r="BN9982" s="192"/>
      <c r="BO9982" s="197"/>
      <c r="BP9982" s="197"/>
      <c r="BQ9982" s="197"/>
    </row>
    <row r="9983" spans="66:69" x14ac:dyDescent="0.2">
      <c r="BN9983" s="192"/>
      <c r="BO9983" s="197"/>
      <c r="BP9983" s="197"/>
      <c r="BQ9983" s="197"/>
    </row>
    <row r="9984" spans="66:69" x14ac:dyDescent="0.2">
      <c r="BN9984" s="192"/>
      <c r="BO9984" s="197"/>
      <c r="BP9984" s="197"/>
      <c r="BQ9984" s="197"/>
    </row>
    <row r="9985" spans="66:69" x14ac:dyDescent="0.2">
      <c r="BN9985" s="192"/>
      <c r="BO9985" s="197"/>
      <c r="BP9985" s="197"/>
      <c r="BQ9985" s="197"/>
    </row>
    <row r="9986" spans="66:69" x14ac:dyDescent="0.2">
      <c r="BN9986" s="192"/>
      <c r="BO9986" s="197"/>
      <c r="BP9986" s="197"/>
      <c r="BQ9986" s="197"/>
    </row>
    <row r="9987" spans="66:69" x14ac:dyDescent="0.2">
      <c r="BN9987" s="192"/>
      <c r="BO9987" s="197"/>
      <c r="BP9987" s="197"/>
      <c r="BQ9987" s="197"/>
    </row>
    <row r="9988" spans="66:69" x14ac:dyDescent="0.2">
      <c r="BN9988" s="192"/>
      <c r="BO9988" s="197"/>
      <c r="BP9988" s="197"/>
      <c r="BQ9988" s="197"/>
    </row>
    <row r="9989" spans="66:69" x14ac:dyDescent="0.2">
      <c r="BN9989" s="192"/>
      <c r="BO9989" s="197"/>
      <c r="BP9989" s="197"/>
      <c r="BQ9989" s="197"/>
    </row>
    <row r="9990" spans="66:69" x14ac:dyDescent="0.2">
      <c r="BN9990" s="192"/>
      <c r="BO9990" s="197"/>
      <c r="BP9990" s="197"/>
      <c r="BQ9990" s="197"/>
    </row>
    <row r="9991" spans="66:69" x14ac:dyDescent="0.2">
      <c r="BN9991" s="192"/>
      <c r="BO9991" s="197"/>
      <c r="BP9991" s="197"/>
      <c r="BQ9991" s="197"/>
    </row>
    <row r="9992" spans="66:69" x14ac:dyDescent="0.2">
      <c r="BN9992" s="192"/>
      <c r="BO9992" s="197"/>
      <c r="BP9992" s="197"/>
      <c r="BQ9992" s="197"/>
    </row>
    <row r="9993" spans="66:69" x14ac:dyDescent="0.2">
      <c r="BN9993" s="192"/>
      <c r="BO9993" s="197"/>
      <c r="BP9993" s="197"/>
      <c r="BQ9993" s="197"/>
    </row>
    <row r="9994" spans="66:69" x14ac:dyDescent="0.2">
      <c r="BN9994" s="192"/>
      <c r="BO9994" s="197"/>
      <c r="BP9994" s="197"/>
      <c r="BQ9994" s="197"/>
    </row>
    <row r="9995" spans="66:69" x14ac:dyDescent="0.2">
      <c r="BN9995" s="192"/>
      <c r="BO9995" s="197"/>
      <c r="BP9995" s="197"/>
      <c r="BQ9995" s="197"/>
    </row>
    <row r="9996" spans="66:69" x14ac:dyDescent="0.2">
      <c r="BN9996" s="192"/>
      <c r="BO9996" s="197"/>
      <c r="BP9996" s="197"/>
      <c r="BQ9996" s="197"/>
    </row>
    <row r="9997" spans="66:69" x14ac:dyDescent="0.2">
      <c r="BN9997" s="192"/>
      <c r="BO9997" s="197"/>
      <c r="BP9997" s="197"/>
      <c r="BQ9997" s="197"/>
    </row>
    <row r="9998" spans="66:69" x14ac:dyDescent="0.2">
      <c r="BN9998" s="192"/>
      <c r="BO9998" s="197"/>
      <c r="BP9998" s="197"/>
      <c r="BQ9998" s="197"/>
    </row>
    <row r="9999" spans="66:69" x14ac:dyDescent="0.2">
      <c r="BN9999" s="192"/>
      <c r="BO9999" s="197"/>
      <c r="BP9999" s="197"/>
      <c r="BQ9999" s="197"/>
    </row>
    <row r="10000" spans="66:69" x14ac:dyDescent="0.2">
      <c r="BN10000" s="192"/>
      <c r="BO10000" s="197"/>
      <c r="BP10000" s="197"/>
      <c r="BQ10000" s="197"/>
    </row>
    <row r="10001" spans="66:69" x14ac:dyDescent="0.2">
      <c r="BN10001" s="192"/>
      <c r="BO10001" s="197"/>
      <c r="BP10001" s="197"/>
      <c r="BQ10001" s="197"/>
    </row>
    <row r="10002" spans="66:69" x14ac:dyDescent="0.2">
      <c r="BN10002" s="192"/>
      <c r="BO10002" s="197"/>
      <c r="BP10002" s="197"/>
      <c r="BQ10002" s="197"/>
    </row>
    <row r="10003" spans="66:69" x14ac:dyDescent="0.2">
      <c r="BN10003" s="192"/>
      <c r="BO10003" s="197"/>
      <c r="BP10003" s="197"/>
      <c r="BQ10003" s="197"/>
    </row>
    <row r="10004" spans="66:69" x14ac:dyDescent="0.2">
      <c r="BN10004" s="192"/>
      <c r="BO10004" s="197"/>
      <c r="BP10004" s="197"/>
      <c r="BQ10004" s="197"/>
    </row>
    <row r="10005" spans="66:69" x14ac:dyDescent="0.2">
      <c r="BN10005" s="192"/>
      <c r="BO10005" s="197"/>
      <c r="BP10005" s="197"/>
      <c r="BQ10005" s="197"/>
    </row>
    <row r="10006" spans="66:69" x14ac:dyDescent="0.2">
      <c r="BN10006" s="192"/>
      <c r="BO10006" s="197"/>
      <c r="BP10006" s="197"/>
      <c r="BQ10006" s="197"/>
    </row>
    <row r="10007" spans="66:69" x14ac:dyDescent="0.2">
      <c r="BN10007" s="192"/>
      <c r="BO10007" s="197"/>
      <c r="BP10007" s="197"/>
      <c r="BQ10007" s="197"/>
    </row>
    <row r="10008" spans="66:69" x14ac:dyDescent="0.2">
      <c r="BN10008" s="192"/>
      <c r="BO10008" s="197"/>
      <c r="BP10008" s="197"/>
      <c r="BQ10008" s="197"/>
    </row>
    <row r="10009" spans="66:69" x14ac:dyDescent="0.2">
      <c r="BN10009" s="192"/>
      <c r="BO10009" s="197"/>
      <c r="BP10009" s="197"/>
      <c r="BQ10009" s="197"/>
    </row>
    <row r="10010" spans="66:69" x14ac:dyDescent="0.2">
      <c r="BN10010" s="192"/>
      <c r="BO10010" s="197"/>
      <c r="BP10010" s="197"/>
      <c r="BQ10010" s="197"/>
    </row>
    <row r="10011" spans="66:69" x14ac:dyDescent="0.2">
      <c r="BN10011" s="192"/>
      <c r="BO10011" s="197"/>
      <c r="BP10011" s="197"/>
      <c r="BQ10011" s="197"/>
    </row>
    <row r="10012" spans="66:69" x14ac:dyDescent="0.2">
      <c r="BN10012" s="192"/>
      <c r="BO10012" s="197"/>
      <c r="BP10012" s="197"/>
      <c r="BQ10012" s="197"/>
    </row>
    <row r="10013" spans="66:69" x14ac:dyDescent="0.2">
      <c r="BN10013" s="192"/>
      <c r="BO10013" s="197"/>
      <c r="BP10013" s="197"/>
      <c r="BQ10013" s="197"/>
    </row>
    <row r="10014" spans="66:69" x14ac:dyDescent="0.2">
      <c r="BN10014" s="192"/>
      <c r="BO10014" s="197"/>
      <c r="BP10014" s="197"/>
      <c r="BQ10014" s="197"/>
    </row>
    <row r="10015" spans="66:69" x14ac:dyDescent="0.2">
      <c r="BN10015" s="192"/>
      <c r="BO10015" s="197"/>
      <c r="BP10015" s="197"/>
      <c r="BQ10015" s="197"/>
    </row>
    <row r="10016" spans="66:69" x14ac:dyDescent="0.2">
      <c r="BN10016" s="192"/>
      <c r="BO10016" s="197"/>
      <c r="BP10016" s="197"/>
      <c r="BQ10016" s="197"/>
    </row>
    <row r="10017" spans="66:69" x14ac:dyDescent="0.2">
      <c r="BN10017" s="192"/>
      <c r="BO10017" s="197"/>
      <c r="BP10017" s="197"/>
      <c r="BQ10017" s="197"/>
    </row>
    <row r="10018" spans="66:69" x14ac:dyDescent="0.2">
      <c r="BN10018" s="192"/>
      <c r="BO10018" s="197"/>
      <c r="BP10018" s="197"/>
      <c r="BQ10018" s="197"/>
    </row>
    <row r="10019" spans="66:69" x14ac:dyDescent="0.2">
      <c r="BN10019" s="192"/>
      <c r="BO10019" s="197"/>
      <c r="BP10019" s="197"/>
      <c r="BQ10019" s="197"/>
    </row>
    <row r="10020" spans="66:69" x14ac:dyDescent="0.2">
      <c r="BN10020" s="192"/>
      <c r="BO10020" s="197"/>
      <c r="BP10020" s="197"/>
      <c r="BQ10020" s="197"/>
    </row>
    <row r="10021" spans="66:69" x14ac:dyDescent="0.2">
      <c r="BN10021" s="192"/>
      <c r="BO10021" s="197"/>
      <c r="BP10021" s="197"/>
      <c r="BQ10021" s="197"/>
    </row>
    <row r="10022" spans="66:69" x14ac:dyDescent="0.2">
      <c r="BN10022" s="192"/>
      <c r="BO10022" s="197"/>
      <c r="BP10022" s="197"/>
      <c r="BQ10022" s="197"/>
    </row>
    <row r="10023" spans="66:69" x14ac:dyDescent="0.2">
      <c r="BN10023" s="192"/>
      <c r="BO10023" s="197"/>
      <c r="BP10023" s="197"/>
      <c r="BQ10023" s="197"/>
    </row>
    <row r="10024" spans="66:69" x14ac:dyDescent="0.2">
      <c r="BN10024" s="192"/>
      <c r="BO10024" s="197"/>
      <c r="BP10024" s="197"/>
      <c r="BQ10024" s="197"/>
    </row>
    <row r="10025" spans="66:69" x14ac:dyDescent="0.2">
      <c r="BN10025" s="192"/>
      <c r="BO10025" s="197"/>
      <c r="BP10025" s="197"/>
      <c r="BQ10025" s="197"/>
    </row>
    <row r="10026" spans="66:69" x14ac:dyDescent="0.2">
      <c r="BN10026" s="192"/>
      <c r="BO10026" s="197"/>
      <c r="BP10026" s="197"/>
      <c r="BQ10026" s="197"/>
    </row>
    <row r="10027" spans="66:69" x14ac:dyDescent="0.2">
      <c r="BN10027" s="192"/>
      <c r="BO10027" s="197"/>
      <c r="BP10027" s="197"/>
      <c r="BQ10027" s="197"/>
    </row>
    <row r="10028" spans="66:69" x14ac:dyDescent="0.2">
      <c r="BN10028" s="192"/>
      <c r="BO10028" s="197"/>
      <c r="BP10028" s="197"/>
      <c r="BQ10028" s="197"/>
    </row>
    <row r="10029" spans="66:69" x14ac:dyDescent="0.2">
      <c r="BN10029" s="192"/>
      <c r="BO10029" s="197"/>
      <c r="BP10029" s="197"/>
      <c r="BQ10029" s="197"/>
    </row>
    <row r="10030" spans="66:69" x14ac:dyDescent="0.2">
      <c r="BN10030" s="192"/>
      <c r="BO10030" s="197"/>
      <c r="BP10030" s="197"/>
      <c r="BQ10030" s="197"/>
    </row>
    <row r="10031" spans="66:69" x14ac:dyDescent="0.2">
      <c r="BN10031" s="192"/>
      <c r="BO10031" s="197"/>
      <c r="BP10031" s="197"/>
      <c r="BQ10031" s="197"/>
    </row>
    <row r="10032" spans="66:69" x14ac:dyDescent="0.2">
      <c r="BN10032" s="192"/>
      <c r="BO10032" s="197"/>
      <c r="BP10032" s="197"/>
      <c r="BQ10032" s="197"/>
    </row>
    <row r="10033" spans="66:69" x14ac:dyDescent="0.2">
      <c r="BN10033" s="192"/>
      <c r="BO10033" s="197"/>
      <c r="BP10033" s="197"/>
      <c r="BQ10033" s="197"/>
    </row>
    <row r="10034" spans="66:69" x14ac:dyDescent="0.2">
      <c r="BN10034" s="192"/>
      <c r="BO10034" s="197"/>
      <c r="BP10034" s="197"/>
      <c r="BQ10034" s="197"/>
    </row>
    <row r="10035" spans="66:69" x14ac:dyDescent="0.2">
      <c r="BN10035" s="192"/>
      <c r="BO10035" s="197"/>
      <c r="BP10035" s="197"/>
      <c r="BQ10035" s="197"/>
    </row>
    <row r="10036" spans="66:69" x14ac:dyDescent="0.2">
      <c r="BN10036" s="192"/>
      <c r="BO10036" s="197"/>
      <c r="BP10036" s="197"/>
      <c r="BQ10036" s="197"/>
    </row>
    <row r="10037" spans="66:69" x14ac:dyDescent="0.2">
      <c r="BN10037" s="192"/>
      <c r="BO10037" s="197"/>
      <c r="BP10037" s="197"/>
      <c r="BQ10037" s="197"/>
    </row>
    <row r="10038" spans="66:69" x14ac:dyDescent="0.2">
      <c r="BN10038" s="192"/>
      <c r="BO10038" s="197"/>
      <c r="BP10038" s="197"/>
      <c r="BQ10038" s="197"/>
    </row>
    <row r="10039" spans="66:69" x14ac:dyDescent="0.2">
      <c r="BN10039" s="192"/>
      <c r="BO10039" s="197"/>
      <c r="BP10039" s="197"/>
      <c r="BQ10039" s="197"/>
    </row>
    <row r="10040" spans="66:69" x14ac:dyDescent="0.2">
      <c r="BN10040" s="192"/>
      <c r="BO10040" s="197"/>
      <c r="BP10040" s="197"/>
      <c r="BQ10040" s="197"/>
    </row>
    <row r="10041" spans="66:69" x14ac:dyDescent="0.2">
      <c r="BN10041" s="192"/>
      <c r="BO10041" s="197"/>
      <c r="BP10041" s="197"/>
      <c r="BQ10041" s="197"/>
    </row>
    <row r="10042" spans="66:69" x14ac:dyDescent="0.2">
      <c r="BN10042" s="192"/>
      <c r="BO10042" s="197"/>
      <c r="BP10042" s="197"/>
      <c r="BQ10042" s="197"/>
    </row>
    <row r="10043" spans="66:69" x14ac:dyDescent="0.2">
      <c r="BN10043" s="192"/>
      <c r="BO10043" s="197"/>
      <c r="BP10043" s="197"/>
      <c r="BQ10043" s="197"/>
    </row>
    <row r="10044" spans="66:69" x14ac:dyDescent="0.2">
      <c r="BN10044" s="192"/>
      <c r="BO10044" s="197"/>
      <c r="BP10044" s="197"/>
      <c r="BQ10044" s="197"/>
    </row>
    <row r="10045" spans="66:69" x14ac:dyDescent="0.2">
      <c r="BN10045" s="192"/>
      <c r="BO10045" s="197"/>
      <c r="BP10045" s="197"/>
      <c r="BQ10045" s="197"/>
    </row>
    <row r="10046" spans="66:69" x14ac:dyDescent="0.2">
      <c r="BN10046" s="192"/>
      <c r="BO10046" s="197"/>
      <c r="BP10046" s="197"/>
      <c r="BQ10046" s="197"/>
    </row>
    <row r="10047" spans="66:69" x14ac:dyDescent="0.2">
      <c r="BN10047" s="192"/>
      <c r="BO10047" s="197"/>
      <c r="BP10047" s="197"/>
      <c r="BQ10047" s="197"/>
    </row>
    <row r="10048" spans="66:69" x14ac:dyDescent="0.2">
      <c r="BN10048" s="192"/>
      <c r="BO10048" s="197"/>
      <c r="BP10048" s="197"/>
      <c r="BQ10048" s="197"/>
    </row>
    <row r="10049" spans="66:69" x14ac:dyDescent="0.2">
      <c r="BN10049" s="192"/>
      <c r="BO10049" s="197"/>
      <c r="BP10049" s="197"/>
      <c r="BQ10049" s="197"/>
    </row>
    <row r="10050" spans="66:69" x14ac:dyDescent="0.2">
      <c r="BN10050" s="192"/>
      <c r="BO10050" s="197"/>
      <c r="BP10050" s="197"/>
      <c r="BQ10050" s="197"/>
    </row>
    <row r="10051" spans="66:69" x14ac:dyDescent="0.2">
      <c r="BN10051" s="192"/>
      <c r="BO10051" s="197"/>
      <c r="BP10051" s="197"/>
      <c r="BQ10051" s="197"/>
    </row>
    <row r="10052" spans="66:69" x14ac:dyDescent="0.2">
      <c r="BN10052" s="192"/>
      <c r="BO10052" s="197"/>
      <c r="BP10052" s="197"/>
      <c r="BQ10052" s="197"/>
    </row>
    <row r="10053" spans="66:69" x14ac:dyDescent="0.2">
      <c r="BN10053" s="192"/>
      <c r="BO10053" s="197"/>
      <c r="BP10053" s="197"/>
      <c r="BQ10053" s="197"/>
    </row>
    <row r="10054" spans="66:69" x14ac:dyDescent="0.2">
      <c r="BN10054" s="192"/>
      <c r="BO10054" s="197"/>
      <c r="BP10054" s="197"/>
      <c r="BQ10054" s="197"/>
    </row>
    <row r="10055" spans="66:69" x14ac:dyDescent="0.2">
      <c r="BN10055" s="192"/>
      <c r="BO10055" s="197"/>
      <c r="BP10055" s="197"/>
      <c r="BQ10055" s="197"/>
    </row>
    <row r="10056" spans="66:69" x14ac:dyDescent="0.2">
      <c r="BN10056" s="192"/>
      <c r="BO10056" s="197"/>
      <c r="BP10056" s="197"/>
      <c r="BQ10056" s="197"/>
    </row>
    <row r="10057" spans="66:69" x14ac:dyDescent="0.2">
      <c r="BN10057" s="192"/>
      <c r="BO10057" s="197"/>
      <c r="BP10057" s="197"/>
      <c r="BQ10057" s="197"/>
    </row>
    <row r="10058" spans="66:69" x14ac:dyDescent="0.2">
      <c r="BN10058" s="192"/>
      <c r="BO10058" s="197"/>
      <c r="BP10058" s="197"/>
      <c r="BQ10058" s="197"/>
    </row>
    <row r="10059" spans="66:69" x14ac:dyDescent="0.2">
      <c r="BN10059" s="192"/>
      <c r="BO10059" s="197"/>
      <c r="BP10059" s="197"/>
      <c r="BQ10059" s="197"/>
    </row>
    <row r="10060" spans="66:69" x14ac:dyDescent="0.2">
      <c r="BN10060" s="192"/>
      <c r="BO10060" s="197"/>
      <c r="BP10060" s="197"/>
      <c r="BQ10060" s="197"/>
    </row>
    <row r="10061" spans="66:69" x14ac:dyDescent="0.2">
      <c r="BN10061" s="192"/>
      <c r="BO10061" s="197"/>
      <c r="BP10061" s="197"/>
      <c r="BQ10061" s="197"/>
    </row>
    <row r="10062" spans="66:69" x14ac:dyDescent="0.2">
      <c r="BN10062" s="192"/>
      <c r="BO10062" s="197"/>
      <c r="BP10062" s="197"/>
      <c r="BQ10062" s="197"/>
    </row>
    <row r="10063" spans="66:69" x14ac:dyDescent="0.2">
      <c r="BN10063" s="192"/>
      <c r="BO10063" s="197"/>
      <c r="BP10063" s="197"/>
      <c r="BQ10063" s="197"/>
    </row>
    <row r="10064" spans="66:69" x14ac:dyDescent="0.2">
      <c r="BN10064" s="192"/>
      <c r="BO10064" s="197"/>
      <c r="BP10064" s="197"/>
      <c r="BQ10064" s="197"/>
    </row>
    <row r="10065" spans="66:69" x14ac:dyDescent="0.2">
      <c r="BN10065" s="192"/>
      <c r="BO10065" s="197"/>
      <c r="BP10065" s="197"/>
      <c r="BQ10065" s="197"/>
    </row>
    <row r="10066" spans="66:69" x14ac:dyDescent="0.2">
      <c r="BN10066" s="192"/>
      <c r="BO10066" s="197"/>
      <c r="BP10066" s="197"/>
      <c r="BQ10066" s="197"/>
    </row>
    <row r="10067" spans="66:69" x14ac:dyDescent="0.2">
      <c r="BN10067" s="192"/>
      <c r="BO10067" s="197"/>
      <c r="BP10067" s="197"/>
      <c r="BQ10067" s="197"/>
    </row>
    <row r="10068" spans="66:69" x14ac:dyDescent="0.2">
      <c r="BN10068" s="192"/>
      <c r="BO10068" s="197"/>
      <c r="BP10068" s="197"/>
      <c r="BQ10068" s="197"/>
    </row>
    <row r="10069" spans="66:69" x14ac:dyDescent="0.2">
      <c r="BN10069" s="192"/>
      <c r="BO10069" s="197"/>
      <c r="BP10069" s="197"/>
      <c r="BQ10069" s="197"/>
    </row>
    <row r="10070" spans="66:69" x14ac:dyDescent="0.2">
      <c r="BN10070" s="192"/>
      <c r="BO10070" s="197"/>
      <c r="BP10070" s="197"/>
      <c r="BQ10070" s="197"/>
    </row>
    <row r="10071" spans="66:69" x14ac:dyDescent="0.2">
      <c r="BN10071" s="192"/>
      <c r="BO10071" s="197"/>
      <c r="BP10071" s="197"/>
      <c r="BQ10071" s="197"/>
    </row>
    <row r="10072" spans="66:69" x14ac:dyDescent="0.2">
      <c r="BN10072" s="192"/>
      <c r="BO10072" s="197"/>
      <c r="BP10072" s="197"/>
      <c r="BQ10072" s="197"/>
    </row>
    <row r="10073" spans="66:69" x14ac:dyDescent="0.2">
      <c r="BN10073" s="192"/>
      <c r="BO10073" s="197"/>
      <c r="BP10073" s="197"/>
      <c r="BQ10073" s="197"/>
    </row>
    <row r="10074" spans="66:69" x14ac:dyDescent="0.2">
      <c r="BN10074" s="192"/>
      <c r="BO10074" s="197"/>
      <c r="BP10074" s="197"/>
      <c r="BQ10074" s="197"/>
    </row>
    <row r="10075" spans="66:69" x14ac:dyDescent="0.2">
      <c r="BN10075" s="192"/>
      <c r="BO10075" s="197"/>
      <c r="BP10075" s="197"/>
      <c r="BQ10075" s="197"/>
    </row>
    <row r="10076" spans="66:69" x14ac:dyDescent="0.2">
      <c r="BN10076" s="192"/>
      <c r="BO10076" s="197"/>
      <c r="BP10076" s="197"/>
      <c r="BQ10076" s="197"/>
    </row>
    <row r="10077" spans="66:69" x14ac:dyDescent="0.2">
      <c r="BN10077" s="192"/>
      <c r="BO10077" s="197"/>
      <c r="BP10077" s="197"/>
      <c r="BQ10077" s="197"/>
    </row>
    <row r="10078" spans="66:69" x14ac:dyDescent="0.2">
      <c r="BN10078" s="192"/>
      <c r="BO10078" s="197"/>
      <c r="BP10078" s="197"/>
      <c r="BQ10078" s="197"/>
    </row>
    <row r="10079" spans="66:69" x14ac:dyDescent="0.2">
      <c r="BN10079" s="192"/>
      <c r="BO10079" s="197"/>
      <c r="BP10079" s="197"/>
      <c r="BQ10079" s="197"/>
    </row>
    <row r="10080" spans="66:69" x14ac:dyDescent="0.2">
      <c r="BN10080" s="192"/>
      <c r="BO10080" s="197"/>
      <c r="BP10080" s="197"/>
      <c r="BQ10080" s="197"/>
    </row>
    <row r="10081" spans="66:69" x14ac:dyDescent="0.2">
      <c r="BN10081" s="192"/>
      <c r="BO10081" s="197"/>
      <c r="BP10081" s="197"/>
      <c r="BQ10081" s="197"/>
    </row>
    <row r="10082" spans="66:69" x14ac:dyDescent="0.2">
      <c r="BN10082" s="192"/>
      <c r="BO10082" s="197"/>
      <c r="BP10082" s="197"/>
      <c r="BQ10082" s="197"/>
    </row>
    <row r="10083" spans="66:69" x14ac:dyDescent="0.2">
      <c r="BN10083" s="192"/>
      <c r="BO10083" s="197"/>
      <c r="BP10083" s="197"/>
      <c r="BQ10083" s="197"/>
    </row>
    <row r="10084" spans="66:69" x14ac:dyDescent="0.2">
      <c r="BN10084" s="192"/>
      <c r="BO10084" s="197"/>
      <c r="BP10084" s="197"/>
      <c r="BQ10084" s="197"/>
    </row>
    <row r="10085" spans="66:69" x14ac:dyDescent="0.2">
      <c r="BN10085" s="192"/>
      <c r="BO10085" s="197"/>
      <c r="BP10085" s="197"/>
      <c r="BQ10085" s="197"/>
    </row>
    <row r="10086" spans="66:69" x14ac:dyDescent="0.2">
      <c r="BN10086" s="192"/>
      <c r="BO10086" s="197"/>
      <c r="BP10086" s="197"/>
      <c r="BQ10086" s="197"/>
    </row>
    <row r="10087" spans="66:69" x14ac:dyDescent="0.2">
      <c r="BN10087" s="192"/>
      <c r="BO10087" s="197"/>
      <c r="BP10087" s="197"/>
      <c r="BQ10087" s="197"/>
    </row>
    <row r="10088" spans="66:69" x14ac:dyDescent="0.2">
      <c r="BN10088" s="192"/>
      <c r="BO10088" s="197"/>
      <c r="BP10088" s="197"/>
      <c r="BQ10088" s="197"/>
    </row>
    <row r="10089" spans="66:69" x14ac:dyDescent="0.2">
      <c r="BN10089" s="192"/>
      <c r="BO10089" s="197"/>
      <c r="BP10089" s="197"/>
      <c r="BQ10089" s="197"/>
    </row>
    <row r="10090" spans="66:69" x14ac:dyDescent="0.2">
      <c r="BN10090" s="192"/>
      <c r="BO10090" s="197"/>
      <c r="BP10090" s="197"/>
      <c r="BQ10090" s="197"/>
    </row>
    <row r="10091" spans="66:69" x14ac:dyDescent="0.2">
      <c r="BN10091" s="192"/>
      <c r="BO10091" s="197"/>
      <c r="BP10091" s="197"/>
      <c r="BQ10091" s="197"/>
    </row>
    <row r="10092" spans="66:69" x14ac:dyDescent="0.2">
      <c r="BN10092" s="192"/>
      <c r="BO10092" s="197"/>
      <c r="BP10092" s="197"/>
      <c r="BQ10092" s="197"/>
    </row>
    <row r="10093" spans="66:69" x14ac:dyDescent="0.2">
      <c r="BN10093" s="192"/>
      <c r="BO10093" s="197"/>
      <c r="BP10093" s="197"/>
      <c r="BQ10093" s="197"/>
    </row>
    <row r="10094" spans="66:69" x14ac:dyDescent="0.2">
      <c r="BN10094" s="192"/>
      <c r="BO10094" s="197"/>
      <c r="BP10094" s="197"/>
      <c r="BQ10094" s="197"/>
    </row>
    <row r="10095" spans="66:69" x14ac:dyDescent="0.2">
      <c r="BN10095" s="192"/>
      <c r="BO10095" s="197"/>
      <c r="BP10095" s="197"/>
      <c r="BQ10095" s="197"/>
    </row>
    <row r="10096" spans="66:69" x14ac:dyDescent="0.2">
      <c r="BN10096" s="192"/>
      <c r="BO10096" s="197"/>
      <c r="BP10096" s="197"/>
      <c r="BQ10096" s="197"/>
    </row>
    <row r="10097" spans="66:69" x14ac:dyDescent="0.2">
      <c r="BN10097" s="192"/>
      <c r="BO10097" s="197"/>
      <c r="BP10097" s="197"/>
      <c r="BQ10097" s="197"/>
    </row>
    <row r="10098" spans="66:69" x14ac:dyDescent="0.2">
      <c r="BN10098" s="192"/>
      <c r="BO10098" s="197"/>
      <c r="BP10098" s="197"/>
      <c r="BQ10098" s="197"/>
    </row>
    <row r="10099" spans="66:69" x14ac:dyDescent="0.2">
      <c r="BN10099" s="192"/>
      <c r="BO10099" s="197"/>
      <c r="BP10099" s="197"/>
      <c r="BQ10099" s="197"/>
    </row>
    <row r="10100" spans="66:69" x14ac:dyDescent="0.2">
      <c r="BN10100" s="192"/>
      <c r="BO10100" s="197"/>
      <c r="BP10100" s="197"/>
      <c r="BQ10100" s="197"/>
    </row>
    <row r="10101" spans="66:69" x14ac:dyDescent="0.2">
      <c r="BN10101" s="192"/>
      <c r="BO10101" s="197"/>
      <c r="BP10101" s="197"/>
      <c r="BQ10101" s="197"/>
    </row>
    <row r="10102" spans="66:69" x14ac:dyDescent="0.2">
      <c r="BN10102" s="192"/>
      <c r="BO10102" s="197"/>
      <c r="BP10102" s="197"/>
      <c r="BQ10102" s="197"/>
    </row>
    <row r="10103" spans="66:69" x14ac:dyDescent="0.2">
      <c r="BN10103" s="192"/>
      <c r="BO10103" s="197"/>
      <c r="BP10103" s="197"/>
      <c r="BQ10103" s="197"/>
    </row>
    <row r="10104" spans="66:69" x14ac:dyDescent="0.2">
      <c r="BN10104" s="192"/>
      <c r="BO10104" s="197"/>
      <c r="BP10104" s="197"/>
      <c r="BQ10104" s="197"/>
    </row>
    <row r="10105" spans="66:69" x14ac:dyDescent="0.2">
      <c r="BN10105" s="192"/>
      <c r="BO10105" s="197"/>
      <c r="BP10105" s="197"/>
      <c r="BQ10105" s="197"/>
    </row>
    <row r="10106" spans="66:69" x14ac:dyDescent="0.2">
      <c r="BN10106" s="192"/>
      <c r="BO10106" s="197"/>
      <c r="BP10106" s="197"/>
      <c r="BQ10106" s="197"/>
    </row>
    <row r="10107" spans="66:69" x14ac:dyDescent="0.2">
      <c r="BN10107" s="192"/>
      <c r="BO10107" s="197"/>
      <c r="BP10107" s="197"/>
      <c r="BQ10107" s="197"/>
    </row>
    <row r="10108" spans="66:69" x14ac:dyDescent="0.2">
      <c r="BN10108" s="192"/>
      <c r="BO10108" s="197"/>
      <c r="BP10108" s="197"/>
      <c r="BQ10108" s="197"/>
    </row>
    <row r="10109" spans="66:69" x14ac:dyDescent="0.2">
      <c r="BN10109" s="192"/>
      <c r="BO10109" s="197"/>
      <c r="BP10109" s="197"/>
      <c r="BQ10109" s="197"/>
    </row>
    <row r="10110" spans="66:69" x14ac:dyDescent="0.2">
      <c r="BN10110" s="192"/>
      <c r="BO10110" s="197"/>
      <c r="BP10110" s="197"/>
      <c r="BQ10110" s="197"/>
    </row>
    <row r="10111" spans="66:69" x14ac:dyDescent="0.2">
      <c r="BN10111" s="192"/>
      <c r="BO10111" s="197"/>
      <c r="BP10111" s="197"/>
      <c r="BQ10111" s="197"/>
    </row>
    <row r="10112" spans="66:69" x14ac:dyDescent="0.2">
      <c r="BN10112" s="192"/>
      <c r="BO10112" s="197"/>
      <c r="BP10112" s="197"/>
      <c r="BQ10112" s="197"/>
    </row>
    <row r="10113" spans="66:69" x14ac:dyDescent="0.2">
      <c r="BN10113" s="192"/>
      <c r="BO10113" s="197"/>
      <c r="BP10113" s="197"/>
      <c r="BQ10113" s="197"/>
    </row>
    <row r="10114" spans="66:69" x14ac:dyDescent="0.2">
      <c r="BN10114" s="192"/>
      <c r="BO10114" s="197"/>
      <c r="BP10114" s="197"/>
      <c r="BQ10114" s="197"/>
    </row>
    <row r="10115" spans="66:69" x14ac:dyDescent="0.2">
      <c r="BN10115" s="192"/>
      <c r="BO10115" s="197"/>
      <c r="BP10115" s="197"/>
      <c r="BQ10115" s="197"/>
    </row>
    <row r="10116" spans="66:69" x14ac:dyDescent="0.2">
      <c r="BN10116" s="192"/>
      <c r="BO10116" s="197"/>
      <c r="BP10116" s="197"/>
      <c r="BQ10116" s="197"/>
    </row>
    <row r="10117" spans="66:69" x14ac:dyDescent="0.2">
      <c r="BN10117" s="192"/>
      <c r="BO10117" s="197"/>
      <c r="BP10117" s="197"/>
      <c r="BQ10117" s="197"/>
    </row>
    <row r="10118" spans="66:69" x14ac:dyDescent="0.2">
      <c r="BN10118" s="192"/>
      <c r="BO10118" s="197"/>
      <c r="BP10118" s="197"/>
      <c r="BQ10118" s="197"/>
    </row>
    <row r="10119" spans="66:69" x14ac:dyDescent="0.2">
      <c r="BN10119" s="192"/>
      <c r="BO10119" s="197"/>
      <c r="BP10119" s="197"/>
      <c r="BQ10119" s="197"/>
    </row>
    <row r="10120" spans="66:69" x14ac:dyDescent="0.2">
      <c r="BN10120" s="192"/>
      <c r="BO10120" s="197"/>
      <c r="BP10120" s="197"/>
      <c r="BQ10120" s="197"/>
    </row>
    <row r="10121" spans="66:69" x14ac:dyDescent="0.2">
      <c r="BN10121" s="192"/>
      <c r="BO10121" s="197"/>
      <c r="BP10121" s="197"/>
      <c r="BQ10121" s="197"/>
    </row>
    <row r="10122" spans="66:69" x14ac:dyDescent="0.2">
      <c r="BN10122" s="192"/>
      <c r="BO10122" s="197"/>
      <c r="BP10122" s="197"/>
      <c r="BQ10122" s="197"/>
    </row>
    <row r="10123" spans="66:69" x14ac:dyDescent="0.2">
      <c r="BN10123" s="192"/>
      <c r="BO10123" s="197"/>
      <c r="BP10123" s="197"/>
      <c r="BQ10123" s="197"/>
    </row>
    <row r="10124" spans="66:69" x14ac:dyDescent="0.2">
      <c r="BN10124" s="192"/>
      <c r="BO10124" s="197"/>
      <c r="BP10124" s="197"/>
      <c r="BQ10124" s="197"/>
    </row>
    <row r="10125" spans="66:69" x14ac:dyDescent="0.2">
      <c r="BN10125" s="192"/>
      <c r="BO10125" s="197"/>
      <c r="BP10125" s="197"/>
      <c r="BQ10125" s="197"/>
    </row>
    <row r="10126" spans="66:69" x14ac:dyDescent="0.2">
      <c r="BN10126" s="192"/>
      <c r="BO10126" s="197"/>
      <c r="BP10126" s="197"/>
      <c r="BQ10126" s="197"/>
    </row>
    <row r="10127" spans="66:69" x14ac:dyDescent="0.2">
      <c r="BN10127" s="192"/>
      <c r="BO10127" s="197"/>
      <c r="BP10127" s="197"/>
      <c r="BQ10127" s="197"/>
    </row>
    <row r="10128" spans="66:69" x14ac:dyDescent="0.2">
      <c r="BN10128" s="192"/>
      <c r="BO10128" s="197"/>
      <c r="BP10128" s="197"/>
      <c r="BQ10128" s="197"/>
    </row>
    <row r="10129" spans="66:69" x14ac:dyDescent="0.2">
      <c r="BN10129" s="192"/>
      <c r="BO10129" s="197"/>
      <c r="BP10129" s="197"/>
      <c r="BQ10129" s="197"/>
    </row>
    <row r="10130" spans="66:69" x14ac:dyDescent="0.2">
      <c r="BN10130" s="192"/>
      <c r="BO10130" s="197"/>
      <c r="BP10130" s="197"/>
      <c r="BQ10130" s="197"/>
    </row>
    <row r="10131" spans="66:69" x14ac:dyDescent="0.2">
      <c r="BN10131" s="192"/>
      <c r="BO10131" s="197"/>
      <c r="BP10131" s="197"/>
      <c r="BQ10131" s="197"/>
    </row>
    <row r="10132" spans="66:69" x14ac:dyDescent="0.2">
      <c r="BN10132" s="192"/>
      <c r="BO10132" s="197"/>
      <c r="BP10132" s="197"/>
      <c r="BQ10132" s="197"/>
    </row>
    <row r="10133" spans="66:69" x14ac:dyDescent="0.2">
      <c r="BN10133" s="192"/>
      <c r="BO10133" s="197"/>
      <c r="BP10133" s="197"/>
      <c r="BQ10133" s="197"/>
    </row>
    <row r="10134" spans="66:69" x14ac:dyDescent="0.2">
      <c r="BN10134" s="192"/>
      <c r="BO10134" s="197"/>
      <c r="BP10134" s="197"/>
      <c r="BQ10134" s="197"/>
    </row>
    <row r="10135" spans="66:69" x14ac:dyDescent="0.2">
      <c r="BN10135" s="192"/>
      <c r="BO10135" s="197"/>
      <c r="BP10135" s="197"/>
      <c r="BQ10135" s="197"/>
    </row>
    <row r="10136" spans="66:69" x14ac:dyDescent="0.2">
      <c r="BN10136" s="192"/>
      <c r="BO10136" s="197"/>
      <c r="BP10136" s="197"/>
      <c r="BQ10136" s="197"/>
    </row>
    <row r="10137" spans="66:69" x14ac:dyDescent="0.2">
      <c r="BN10137" s="192"/>
      <c r="BO10137" s="197"/>
      <c r="BP10137" s="197"/>
      <c r="BQ10137" s="197"/>
    </row>
    <row r="10138" spans="66:69" x14ac:dyDescent="0.2">
      <c r="BN10138" s="192"/>
      <c r="BO10138" s="197"/>
      <c r="BP10138" s="197"/>
      <c r="BQ10138" s="197"/>
    </row>
    <row r="10139" spans="66:69" x14ac:dyDescent="0.2">
      <c r="BN10139" s="192"/>
      <c r="BO10139" s="197"/>
      <c r="BP10139" s="197"/>
      <c r="BQ10139" s="197"/>
    </row>
    <row r="10140" spans="66:69" x14ac:dyDescent="0.2">
      <c r="BN10140" s="192"/>
      <c r="BO10140" s="197"/>
      <c r="BP10140" s="197"/>
      <c r="BQ10140" s="197"/>
    </row>
    <row r="10141" spans="66:69" x14ac:dyDescent="0.2">
      <c r="BN10141" s="192"/>
      <c r="BO10141" s="197"/>
      <c r="BP10141" s="197"/>
      <c r="BQ10141" s="197"/>
    </row>
    <row r="10142" spans="66:69" x14ac:dyDescent="0.2">
      <c r="BN10142" s="192"/>
      <c r="BO10142" s="197"/>
      <c r="BP10142" s="197"/>
      <c r="BQ10142" s="197"/>
    </row>
    <row r="10143" spans="66:69" x14ac:dyDescent="0.2">
      <c r="BN10143" s="192"/>
      <c r="BO10143" s="197"/>
      <c r="BP10143" s="197"/>
      <c r="BQ10143" s="197"/>
    </row>
    <row r="10144" spans="66:69" x14ac:dyDescent="0.2">
      <c r="BN10144" s="192"/>
      <c r="BO10144" s="197"/>
      <c r="BP10144" s="197"/>
      <c r="BQ10144" s="197"/>
    </row>
    <row r="10145" spans="66:69" x14ac:dyDescent="0.2">
      <c r="BN10145" s="192"/>
      <c r="BO10145" s="197"/>
      <c r="BP10145" s="197"/>
      <c r="BQ10145" s="197"/>
    </row>
    <row r="10146" spans="66:69" x14ac:dyDescent="0.2">
      <c r="BN10146" s="192"/>
      <c r="BO10146" s="197"/>
      <c r="BP10146" s="197"/>
      <c r="BQ10146" s="197"/>
    </row>
    <row r="10147" spans="66:69" x14ac:dyDescent="0.2">
      <c r="BN10147" s="192"/>
      <c r="BO10147" s="197"/>
      <c r="BP10147" s="197"/>
      <c r="BQ10147" s="197"/>
    </row>
    <row r="10148" spans="66:69" x14ac:dyDescent="0.2">
      <c r="BN10148" s="192"/>
      <c r="BO10148" s="197"/>
      <c r="BP10148" s="197"/>
      <c r="BQ10148" s="197"/>
    </row>
    <row r="10149" spans="66:69" x14ac:dyDescent="0.2">
      <c r="BN10149" s="192"/>
      <c r="BO10149" s="197"/>
      <c r="BP10149" s="197"/>
      <c r="BQ10149" s="197"/>
    </row>
    <row r="10150" spans="66:69" x14ac:dyDescent="0.2">
      <c r="BN10150" s="192"/>
      <c r="BO10150" s="197"/>
      <c r="BP10150" s="197"/>
      <c r="BQ10150" s="197"/>
    </row>
    <row r="10151" spans="66:69" x14ac:dyDescent="0.2">
      <c r="BN10151" s="192"/>
      <c r="BO10151" s="197"/>
      <c r="BP10151" s="197"/>
      <c r="BQ10151" s="197"/>
    </row>
    <row r="10152" spans="66:69" x14ac:dyDescent="0.2">
      <c r="BN10152" s="192"/>
      <c r="BO10152" s="197"/>
      <c r="BP10152" s="197"/>
      <c r="BQ10152" s="197"/>
    </row>
    <row r="10153" spans="66:69" x14ac:dyDescent="0.2">
      <c r="BN10153" s="192"/>
      <c r="BO10153" s="197"/>
      <c r="BP10153" s="197"/>
      <c r="BQ10153" s="197"/>
    </row>
    <row r="10154" spans="66:69" x14ac:dyDescent="0.2">
      <c r="BN10154" s="192"/>
      <c r="BO10154" s="197"/>
      <c r="BP10154" s="197"/>
      <c r="BQ10154" s="197"/>
    </row>
    <row r="10155" spans="66:69" x14ac:dyDescent="0.2">
      <c r="BN10155" s="192"/>
      <c r="BO10155" s="197"/>
      <c r="BP10155" s="197"/>
      <c r="BQ10155" s="197"/>
    </row>
    <row r="10156" spans="66:69" x14ac:dyDescent="0.2">
      <c r="BN10156" s="192"/>
      <c r="BO10156" s="197"/>
      <c r="BP10156" s="197"/>
      <c r="BQ10156" s="197"/>
    </row>
    <row r="10157" spans="66:69" x14ac:dyDescent="0.2">
      <c r="BN10157" s="192"/>
      <c r="BO10157" s="197"/>
      <c r="BP10157" s="197"/>
      <c r="BQ10157" s="197"/>
    </row>
    <row r="10158" spans="66:69" x14ac:dyDescent="0.2">
      <c r="BN10158" s="192"/>
      <c r="BO10158" s="197"/>
      <c r="BP10158" s="197"/>
      <c r="BQ10158" s="197"/>
    </row>
    <row r="10159" spans="66:69" x14ac:dyDescent="0.2">
      <c r="BN10159" s="192"/>
      <c r="BO10159" s="197"/>
      <c r="BP10159" s="197"/>
      <c r="BQ10159" s="197"/>
    </row>
    <row r="10160" spans="66:69" x14ac:dyDescent="0.2">
      <c r="BN10160" s="192"/>
      <c r="BO10160" s="197"/>
      <c r="BP10160" s="197"/>
      <c r="BQ10160" s="197"/>
    </row>
    <row r="10161" spans="66:69" x14ac:dyDescent="0.2">
      <c r="BN10161" s="192"/>
      <c r="BO10161" s="197"/>
      <c r="BP10161" s="197"/>
      <c r="BQ10161" s="197"/>
    </row>
    <row r="10162" spans="66:69" x14ac:dyDescent="0.2">
      <c r="BN10162" s="192"/>
      <c r="BO10162" s="197"/>
      <c r="BP10162" s="197"/>
      <c r="BQ10162" s="197"/>
    </row>
    <row r="10163" spans="66:69" x14ac:dyDescent="0.2">
      <c r="BN10163" s="192"/>
      <c r="BO10163" s="197"/>
      <c r="BP10163" s="197"/>
      <c r="BQ10163" s="197"/>
    </row>
    <row r="10164" spans="66:69" x14ac:dyDescent="0.2">
      <c r="BN10164" s="192"/>
      <c r="BO10164" s="197"/>
      <c r="BP10164" s="197"/>
      <c r="BQ10164" s="197"/>
    </row>
    <row r="10165" spans="66:69" x14ac:dyDescent="0.2">
      <c r="BN10165" s="192"/>
      <c r="BO10165" s="197"/>
      <c r="BP10165" s="197"/>
      <c r="BQ10165" s="197"/>
    </row>
    <row r="10166" spans="66:69" x14ac:dyDescent="0.2">
      <c r="BN10166" s="192"/>
      <c r="BO10166" s="197"/>
      <c r="BP10166" s="197"/>
      <c r="BQ10166" s="197"/>
    </row>
    <row r="10167" spans="66:69" x14ac:dyDescent="0.2">
      <c r="BN10167" s="192"/>
      <c r="BO10167" s="197"/>
      <c r="BP10167" s="197"/>
      <c r="BQ10167" s="197"/>
    </row>
    <row r="10168" spans="66:69" x14ac:dyDescent="0.2">
      <c r="BN10168" s="192"/>
      <c r="BO10168" s="197"/>
      <c r="BP10168" s="197"/>
      <c r="BQ10168" s="197"/>
    </row>
    <row r="10169" spans="66:69" x14ac:dyDescent="0.2">
      <c r="BN10169" s="192"/>
      <c r="BO10169" s="197"/>
      <c r="BP10169" s="197"/>
      <c r="BQ10169" s="197"/>
    </row>
    <row r="10170" spans="66:69" x14ac:dyDescent="0.2">
      <c r="BN10170" s="192"/>
      <c r="BO10170" s="197"/>
      <c r="BP10170" s="197"/>
      <c r="BQ10170" s="197"/>
    </row>
    <row r="10171" spans="66:69" x14ac:dyDescent="0.2">
      <c r="BN10171" s="192"/>
      <c r="BO10171" s="197"/>
      <c r="BP10171" s="197"/>
      <c r="BQ10171" s="197"/>
    </row>
    <row r="10172" spans="66:69" x14ac:dyDescent="0.2">
      <c r="BN10172" s="192"/>
      <c r="BO10172" s="197"/>
      <c r="BP10172" s="197"/>
      <c r="BQ10172" s="197"/>
    </row>
    <row r="10173" spans="66:69" x14ac:dyDescent="0.2">
      <c r="BN10173" s="192"/>
      <c r="BO10173" s="197"/>
      <c r="BP10173" s="197"/>
      <c r="BQ10173" s="197"/>
    </row>
    <row r="10174" spans="66:69" x14ac:dyDescent="0.2">
      <c r="BN10174" s="192"/>
      <c r="BO10174" s="197"/>
      <c r="BP10174" s="197"/>
      <c r="BQ10174" s="197"/>
    </row>
    <row r="10175" spans="66:69" x14ac:dyDescent="0.2">
      <c r="BN10175" s="192"/>
      <c r="BO10175" s="197"/>
      <c r="BP10175" s="197"/>
      <c r="BQ10175" s="197"/>
    </row>
    <row r="10176" spans="66:69" x14ac:dyDescent="0.2">
      <c r="BN10176" s="192"/>
      <c r="BO10176" s="197"/>
      <c r="BP10176" s="197"/>
      <c r="BQ10176" s="197"/>
    </row>
    <row r="10177" spans="66:69" x14ac:dyDescent="0.2">
      <c r="BN10177" s="192"/>
      <c r="BO10177" s="197"/>
      <c r="BP10177" s="197"/>
      <c r="BQ10177" s="197"/>
    </row>
    <row r="10178" spans="66:69" x14ac:dyDescent="0.2">
      <c r="BN10178" s="192"/>
      <c r="BO10178" s="197"/>
      <c r="BP10178" s="197"/>
      <c r="BQ10178" s="197"/>
    </row>
    <row r="10179" spans="66:69" x14ac:dyDescent="0.2">
      <c r="BN10179" s="192"/>
      <c r="BO10179" s="197"/>
      <c r="BP10179" s="197"/>
      <c r="BQ10179" s="197"/>
    </row>
    <row r="10180" spans="66:69" x14ac:dyDescent="0.2">
      <c r="BN10180" s="192"/>
      <c r="BO10180" s="197"/>
      <c r="BP10180" s="197"/>
      <c r="BQ10180" s="197"/>
    </row>
    <row r="10181" spans="66:69" x14ac:dyDescent="0.2">
      <c r="BN10181" s="192"/>
      <c r="BO10181" s="197"/>
      <c r="BP10181" s="197"/>
      <c r="BQ10181" s="197"/>
    </row>
    <row r="10182" spans="66:69" x14ac:dyDescent="0.2">
      <c r="BN10182" s="192"/>
      <c r="BO10182" s="197"/>
      <c r="BP10182" s="197"/>
      <c r="BQ10182" s="197"/>
    </row>
    <row r="10183" spans="66:69" x14ac:dyDescent="0.2">
      <c r="BN10183" s="192"/>
      <c r="BO10183" s="197"/>
      <c r="BP10183" s="197"/>
      <c r="BQ10183" s="197"/>
    </row>
    <row r="10184" spans="66:69" x14ac:dyDescent="0.2">
      <c r="BN10184" s="192"/>
      <c r="BO10184" s="197"/>
      <c r="BP10184" s="197"/>
      <c r="BQ10184" s="197"/>
    </row>
    <row r="10185" spans="66:69" x14ac:dyDescent="0.2">
      <c r="BN10185" s="192"/>
      <c r="BO10185" s="197"/>
      <c r="BP10185" s="197"/>
      <c r="BQ10185" s="197"/>
    </row>
    <row r="10186" spans="66:69" x14ac:dyDescent="0.2">
      <c r="BN10186" s="192"/>
      <c r="BO10186" s="197"/>
      <c r="BP10186" s="197"/>
      <c r="BQ10186" s="197"/>
    </row>
    <row r="10187" spans="66:69" x14ac:dyDescent="0.2">
      <c r="BN10187" s="192"/>
      <c r="BO10187" s="197"/>
      <c r="BP10187" s="197"/>
      <c r="BQ10187" s="197"/>
    </row>
    <row r="10188" spans="66:69" x14ac:dyDescent="0.2">
      <c r="BN10188" s="192"/>
      <c r="BO10188" s="197"/>
      <c r="BP10188" s="197"/>
      <c r="BQ10188" s="197"/>
    </row>
    <row r="10189" spans="66:69" x14ac:dyDescent="0.2">
      <c r="BN10189" s="192"/>
      <c r="BO10189" s="197"/>
      <c r="BP10189" s="197"/>
      <c r="BQ10189" s="197"/>
    </row>
    <row r="10190" spans="66:69" x14ac:dyDescent="0.2">
      <c r="BN10190" s="192"/>
      <c r="BO10190" s="197"/>
      <c r="BP10190" s="197"/>
      <c r="BQ10190" s="197"/>
    </row>
    <row r="10191" spans="66:69" x14ac:dyDescent="0.2">
      <c r="BN10191" s="192"/>
      <c r="BO10191" s="197"/>
      <c r="BP10191" s="197"/>
      <c r="BQ10191" s="197"/>
    </row>
    <row r="10192" spans="66:69" x14ac:dyDescent="0.2">
      <c r="BN10192" s="192"/>
      <c r="BO10192" s="197"/>
      <c r="BP10192" s="197"/>
      <c r="BQ10192" s="197"/>
    </row>
    <row r="10193" spans="66:69" x14ac:dyDescent="0.2">
      <c r="BN10193" s="192"/>
      <c r="BO10193" s="197"/>
      <c r="BP10193" s="197"/>
      <c r="BQ10193" s="197"/>
    </row>
    <row r="10194" spans="66:69" x14ac:dyDescent="0.2">
      <c r="BN10194" s="192"/>
      <c r="BO10194" s="197"/>
      <c r="BP10194" s="197"/>
      <c r="BQ10194" s="197"/>
    </row>
    <row r="10195" spans="66:69" x14ac:dyDescent="0.2">
      <c r="BN10195" s="192"/>
      <c r="BO10195" s="197"/>
      <c r="BP10195" s="197"/>
      <c r="BQ10195" s="197"/>
    </row>
    <row r="10196" spans="66:69" x14ac:dyDescent="0.2">
      <c r="BN10196" s="192"/>
      <c r="BO10196" s="197"/>
      <c r="BP10196" s="197"/>
      <c r="BQ10196" s="197"/>
    </row>
    <row r="10197" spans="66:69" x14ac:dyDescent="0.2">
      <c r="BN10197" s="192"/>
      <c r="BO10197" s="197"/>
      <c r="BP10197" s="197"/>
      <c r="BQ10197" s="197"/>
    </row>
    <row r="10198" spans="66:69" x14ac:dyDescent="0.2">
      <c r="BN10198" s="192"/>
      <c r="BO10198" s="197"/>
      <c r="BP10198" s="197"/>
      <c r="BQ10198" s="197"/>
    </row>
    <row r="10199" spans="66:69" x14ac:dyDescent="0.2">
      <c r="BN10199" s="192"/>
      <c r="BO10199" s="197"/>
      <c r="BP10199" s="197"/>
      <c r="BQ10199" s="197"/>
    </row>
    <row r="10200" spans="66:69" x14ac:dyDescent="0.2">
      <c r="BN10200" s="192"/>
      <c r="BO10200" s="197"/>
      <c r="BP10200" s="197"/>
      <c r="BQ10200" s="197"/>
    </row>
    <row r="10201" spans="66:69" x14ac:dyDescent="0.2">
      <c r="BN10201" s="192"/>
      <c r="BO10201" s="197"/>
      <c r="BP10201" s="197"/>
      <c r="BQ10201" s="197"/>
    </row>
    <row r="10202" spans="66:69" x14ac:dyDescent="0.2">
      <c r="BN10202" s="192"/>
      <c r="BO10202" s="197"/>
      <c r="BP10202" s="197"/>
      <c r="BQ10202" s="197"/>
    </row>
    <row r="10203" spans="66:69" x14ac:dyDescent="0.2">
      <c r="BN10203" s="192"/>
      <c r="BO10203" s="197"/>
      <c r="BP10203" s="197"/>
      <c r="BQ10203" s="197"/>
    </row>
    <row r="10204" spans="66:69" x14ac:dyDescent="0.2">
      <c r="BN10204" s="192"/>
      <c r="BO10204" s="197"/>
      <c r="BP10204" s="197"/>
      <c r="BQ10204" s="197"/>
    </row>
    <row r="10205" spans="66:69" x14ac:dyDescent="0.2">
      <c r="BN10205" s="192"/>
      <c r="BO10205" s="197"/>
      <c r="BP10205" s="197"/>
      <c r="BQ10205" s="197"/>
    </row>
    <row r="10206" spans="66:69" x14ac:dyDescent="0.2">
      <c r="BN10206" s="192"/>
      <c r="BO10206" s="197"/>
      <c r="BP10206" s="197"/>
      <c r="BQ10206" s="197"/>
    </row>
    <row r="10207" spans="66:69" x14ac:dyDescent="0.2">
      <c r="BN10207" s="192"/>
      <c r="BO10207" s="197"/>
      <c r="BP10207" s="197"/>
      <c r="BQ10207" s="197"/>
    </row>
    <row r="10208" spans="66:69" x14ac:dyDescent="0.2">
      <c r="BN10208" s="192"/>
      <c r="BO10208" s="197"/>
      <c r="BP10208" s="197"/>
      <c r="BQ10208" s="197"/>
    </row>
    <row r="10209" spans="66:69" x14ac:dyDescent="0.2">
      <c r="BN10209" s="192"/>
      <c r="BO10209" s="197"/>
      <c r="BP10209" s="197"/>
      <c r="BQ10209" s="197"/>
    </row>
    <row r="10210" spans="66:69" x14ac:dyDescent="0.2">
      <c r="BN10210" s="192"/>
      <c r="BO10210" s="197"/>
      <c r="BP10210" s="197"/>
      <c r="BQ10210" s="197"/>
    </row>
    <row r="10211" spans="66:69" x14ac:dyDescent="0.2">
      <c r="BN10211" s="192"/>
      <c r="BO10211" s="197"/>
      <c r="BP10211" s="197"/>
      <c r="BQ10211" s="197"/>
    </row>
    <row r="10212" spans="66:69" x14ac:dyDescent="0.2">
      <c r="BN10212" s="192"/>
      <c r="BO10212" s="197"/>
      <c r="BP10212" s="197"/>
      <c r="BQ10212" s="197"/>
    </row>
    <row r="10213" spans="66:69" x14ac:dyDescent="0.2">
      <c r="BN10213" s="192"/>
      <c r="BO10213" s="197"/>
      <c r="BP10213" s="197"/>
      <c r="BQ10213" s="197"/>
    </row>
    <row r="10214" spans="66:69" x14ac:dyDescent="0.2">
      <c r="BN10214" s="192"/>
      <c r="BO10214" s="197"/>
      <c r="BP10214" s="197"/>
      <c r="BQ10214" s="197"/>
    </row>
    <row r="10215" spans="66:69" x14ac:dyDescent="0.2">
      <c r="BN10215" s="192"/>
      <c r="BO10215" s="197"/>
      <c r="BP10215" s="197"/>
      <c r="BQ10215" s="197"/>
    </row>
    <row r="10216" spans="66:69" x14ac:dyDescent="0.2">
      <c r="BN10216" s="192"/>
      <c r="BO10216" s="197"/>
      <c r="BP10216" s="197"/>
      <c r="BQ10216" s="197"/>
    </row>
    <row r="10217" spans="66:69" x14ac:dyDescent="0.2">
      <c r="BN10217" s="192"/>
      <c r="BO10217" s="197"/>
      <c r="BP10217" s="197"/>
      <c r="BQ10217" s="197"/>
    </row>
    <row r="10218" spans="66:69" x14ac:dyDescent="0.2">
      <c r="BN10218" s="192"/>
      <c r="BO10218" s="197"/>
      <c r="BP10218" s="197"/>
      <c r="BQ10218" s="197"/>
    </row>
    <row r="10219" spans="66:69" x14ac:dyDescent="0.2">
      <c r="BN10219" s="192"/>
      <c r="BO10219" s="197"/>
      <c r="BP10219" s="197"/>
      <c r="BQ10219" s="197"/>
    </row>
    <row r="10220" spans="66:69" x14ac:dyDescent="0.2">
      <c r="BN10220" s="192"/>
      <c r="BO10220" s="197"/>
      <c r="BP10220" s="197"/>
      <c r="BQ10220" s="197"/>
    </row>
    <row r="10221" spans="66:69" x14ac:dyDescent="0.2">
      <c r="BN10221" s="192"/>
      <c r="BO10221" s="197"/>
      <c r="BP10221" s="197"/>
      <c r="BQ10221" s="197"/>
    </row>
    <row r="10222" spans="66:69" x14ac:dyDescent="0.2">
      <c r="BN10222" s="192"/>
      <c r="BO10222" s="197"/>
      <c r="BP10222" s="197"/>
      <c r="BQ10222" s="197"/>
    </row>
    <row r="10223" spans="66:69" x14ac:dyDescent="0.2">
      <c r="BN10223" s="192"/>
      <c r="BO10223" s="197"/>
      <c r="BP10223" s="197"/>
      <c r="BQ10223" s="197"/>
    </row>
    <row r="10224" spans="66:69" x14ac:dyDescent="0.2">
      <c r="BN10224" s="192"/>
      <c r="BO10224" s="197"/>
      <c r="BP10224" s="197"/>
      <c r="BQ10224" s="197"/>
    </row>
    <row r="10225" spans="66:69" x14ac:dyDescent="0.2">
      <c r="BN10225" s="192"/>
      <c r="BO10225" s="197"/>
      <c r="BP10225" s="197"/>
      <c r="BQ10225" s="197"/>
    </row>
    <row r="10226" spans="66:69" x14ac:dyDescent="0.2">
      <c r="BN10226" s="192"/>
      <c r="BO10226" s="197"/>
      <c r="BP10226" s="197"/>
      <c r="BQ10226" s="197"/>
    </row>
    <row r="10227" spans="66:69" x14ac:dyDescent="0.2">
      <c r="BN10227" s="192"/>
      <c r="BO10227" s="197"/>
      <c r="BP10227" s="197"/>
      <c r="BQ10227" s="197"/>
    </row>
    <row r="10228" spans="66:69" x14ac:dyDescent="0.2">
      <c r="BN10228" s="192"/>
      <c r="BO10228" s="197"/>
      <c r="BP10228" s="197"/>
      <c r="BQ10228" s="197"/>
    </row>
    <row r="10229" spans="66:69" x14ac:dyDescent="0.2">
      <c r="BN10229" s="192"/>
      <c r="BO10229" s="197"/>
      <c r="BP10229" s="197"/>
      <c r="BQ10229" s="197"/>
    </row>
    <row r="10230" spans="66:69" x14ac:dyDescent="0.2">
      <c r="BN10230" s="192"/>
      <c r="BO10230" s="197"/>
      <c r="BP10230" s="197"/>
      <c r="BQ10230" s="197"/>
    </row>
    <row r="10231" spans="66:69" x14ac:dyDescent="0.2">
      <c r="BN10231" s="192"/>
      <c r="BO10231" s="197"/>
      <c r="BP10231" s="197"/>
      <c r="BQ10231" s="197"/>
    </row>
    <row r="10232" spans="66:69" x14ac:dyDescent="0.2">
      <c r="BN10232" s="192"/>
      <c r="BO10232" s="197"/>
      <c r="BP10232" s="197"/>
      <c r="BQ10232" s="197"/>
    </row>
    <row r="10233" spans="66:69" x14ac:dyDescent="0.2">
      <c r="BN10233" s="192"/>
      <c r="BO10233" s="197"/>
      <c r="BP10233" s="197"/>
      <c r="BQ10233" s="197"/>
    </row>
    <row r="10234" spans="66:69" x14ac:dyDescent="0.2">
      <c r="BN10234" s="192"/>
      <c r="BO10234" s="197"/>
      <c r="BP10234" s="197"/>
      <c r="BQ10234" s="197"/>
    </row>
    <row r="10235" spans="66:69" x14ac:dyDescent="0.2">
      <c r="BN10235" s="192"/>
      <c r="BO10235" s="197"/>
      <c r="BP10235" s="197"/>
      <c r="BQ10235" s="197"/>
    </row>
    <row r="10236" spans="66:69" x14ac:dyDescent="0.2">
      <c r="BN10236" s="192"/>
      <c r="BO10236" s="197"/>
      <c r="BP10236" s="197"/>
      <c r="BQ10236" s="197"/>
    </row>
    <row r="10237" spans="66:69" x14ac:dyDescent="0.2">
      <c r="BN10237" s="192"/>
      <c r="BO10237" s="197"/>
      <c r="BP10237" s="197"/>
      <c r="BQ10237" s="197"/>
    </row>
    <row r="10238" spans="66:69" x14ac:dyDescent="0.2">
      <c r="BN10238" s="192"/>
      <c r="BO10238" s="197"/>
      <c r="BP10238" s="197"/>
      <c r="BQ10238" s="197"/>
    </row>
    <row r="10239" spans="66:69" x14ac:dyDescent="0.2">
      <c r="BN10239" s="192"/>
      <c r="BO10239" s="197"/>
      <c r="BP10239" s="197"/>
      <c r="BQ10239" s="197"/>
    </row>
    <row r="10240" spans="66:69" x14ac:dyDescent="0.2">
      <c r="BN10240" s="192"/>
      <c r="BO10240" s="197"/>
      <c r="BP10240" s="197"/>
      <c r="BQ10240" s="197"/>
    </row>
    <row r="10241" spans="66:69" x14ac:dyDescent="0.2">
      <c r="BN10241" s="192"/>
      <c r="BO10241" s="197"/>
      <c r="BP10241" s="197"/>
      <c r="BQ10241" s="197"/>
    </row>
    <row r="10242" spans="66:69" x14ac:dyDescent="0.2">
      <c r="BN10242" s="192"/>
      <c r="BO10242" s="197"/>
      <c r="BP10242" s="197"/>
      <c r="BQ10242" s="197"/>
    </row>
    <row r="10243" spans="66:69" x14ac:dyDescent="0.2">
      <c r="BN10243" s="192"/>
      <c r="BO10243" s="197"/>
      <c r="BP10243" s="197"/>
      <c r="BQ10243" s="197"/>
    </row>
    <row r="10244" spans="66:69" x14ac:dyDescent="0.2">
      <c r="BN10244" s="192"/>
      <c r="BO10244" s="197"/>
      <c r="BP10244" s="197"/>
      <c r="BQ10244" s="197"/>
    </row>
    <row r="10245" spans="66:69" x14ac:dyDescent="0.2">
      <c r="BN10245" s="192"/>
      <c r="BO10245" s="197"/>
      <c r="BP10245" s="197"/>
      <c r="BQ10245" s="197"/>
    </row>
    <row r="10246" spans="66:69" x14ac:dyDescent="0.2">
      <c r="BN10246" s="192"/>
      <c r="BO10246" s="197"/>
      <c r="BP10246" s="197"/>
      <c r="BQ10246" s="197"/>
    </row>
    <row r="10247" spans="66:69" x14ac:dyDescent="0.2">
      <c r="BN10247" s="192"/>
      <c r="BO10247" s="197"/>
      <c r="BP10247" s="197"/>
      <c r="BQ10247" s="197"/>
    </row>
    <row r="10248" spans="66:69" x14ac:dyDescent="0.2">
      <c r="BN10248" s="192"/>
      <c r="BO10248" s="197"/>
      <c r="BP10248" s="197"/>
      <c r="BQ10248" s="197"/>
    </row>
    <row r="10249" spans="66:69" x14ac:dyDescent="0.2">
      <c r="BN10249" s="192"/>
      <c r="BO10249" s="197"/>
      <c r="BP10249" s="197"/>
      <c r="BQ10249" s="197"/>
    </row>
    <row r="10250" spans="66:69" x14ac:dyDescent="0.2">
      <c r="BN10250" s="192"/>
      <c r="BO10250" s="197"/>
      <c r="BP10250" s="197"/>
      <c r="BQ10250" s="197"/>
    </row>
    <row r="10251" spans="66:69" x14ac:dyDescent="0.2">
      <c r="BN10251" s="192"/>
      <c r="BO10251" s="197"/>
      <c r="BP10251" s="197"/>
      <c r="BQ10251" s="197"/>
    </row>
    <row r="10252" spans="66:69" x14ac:dyDescent="0.2">
      <c r="BN10252" s="192"/>
      <c r="BO10252" s="197"/>
      <c r="BP10252" s="197"/>
      <c r="BQ10252" s="197"/>
    </row>
    <row r="10253" spans="66:69" x14ac:dyDescent="0.2">
      <c r="BN10253" s="192"/>
      <c r="BO10253" s="197"/>
      <c r="BP10253" s="197"/>
      <c r="BQ10253" s="197"/>
    </row>
    <row r="10254" spans="66:69" x14ac:dyDescent="0.2">
      <c r="BN10254" s="192"/>
      <c r="BO10254" s="197"/>
      <c r="BP10254" s="197"/>
      <c r="BQ10254" s="197"/>
    </row>
    <row r="10255" spans="66:69" x14ac:dyDescent="0.2">
      <c r="BN10255" s="192"/>
      <c r="BO10255" s="197"/>
      <c r="BP10255" s="197"/>
      <c r="BQ10255" s="197"/>
    </row>
    <row r="10256" spans="66:69" x14ac:dyDescent="0.2">
      <c r="BN10256" s="192"/>
      <c r="BO10256" s="197"/>
      <c r="BP10256" s="197"/>
      <c r="BQ10256" s="197"/>
    </row>
    <row r="10257" spans="66:69" x14ac:dyDescent="0.2">
      <c r="BN10257" s="192"/>
      <c r="BO10257" s="197"/>
      <c r="BP10257" s="197"/>
      <c r="BQ10257" s="197"/>
    </row>
    <row r="10258" spans="66:69" x14ac:dyDescent="0.2">
      <c r="BN10258" s="192"/>
      <c r="BO10258" s="197"/>
      <c r="BP10258" s="197"/>
      <c r="BQ10258" s="197"/>
    </row>
    <row r="10259" spans="66:69" x14ac:dyDescent="0.2">
      <c r="BN10259" s="192"/>
      <c r="BO10259" s="197"/>
      <c r="BP10259" s="197"/>
      <c r="BQ10259" s="197"/>
    </row>
    <row r="10260" spans="66:69" x14ac:dyDescent="0.2">
      <c r="BN10260" s="192"/>
      <c r="BO10260" s="197"/>
      <c r="BP10260" s="197"/>
      <c r="BQ10260" s="197"/>
    </row>
    <row r="10261" spans="66:69" x14ac:dyDescent="0.2">
      <c r="BN10261" s="192"/>
      <c r="BO10261" s="197"/>
      <c r="BP10261" s="197"/>
      <c r="BQ10261" s="197"/>
    </row>
    <row r="10262" spans="66:69" x14ac:dyDescent="0.2">
      <c r="BN10262" s="192"/>
      <c r="BO10262" s="197"/>
      <c r="BP10262" s="197"/>
      <c r="BQ10262" s="197"/>
    </row>
    <row r="10263" spans="66:69" x14ac:dyDescent="0.2">
      <c r="BN10263" s="192"/>
      <c r="BO10263" s="197"/>
      <c r="BP10263" s="197"/>
      <c r="BQ10263" s="197"/>
    </row>
    <row r="10264" spans="66:69" x14ac:dyDescent="0.2">
      <c r="BN10264" s="192"/>
      <c r="BO10264" s="197"/>
      <c r="BP10264" s="197"/>
      <c r="BQ10264" s="197"/>
    </row>
    <row r="10265" spans="66:69" x14ac:dyDescent="0.2">
      <c r="BN10265" s="192"/>
      <c r="BO10265" s="197"/>
      <c r="BP10265" s="197"/>
      <c r="BQ10265" s="197"/>
    </row>
    <row r="10266" spans="66:69" x14ac:dyDescent="0.2">
      <c r="BN10266" s="192"/>
      <c r="BO10266" s="197"/>
      <c r="BP10266" s="197"/>
      <c r="BQ10266" s="197"/>
    </row>
    <row r="10267" spans="66:69" x14ac:dyDescent="0.2">
      <c r="BN10267" s="192"/>
      <c r="BO10267" s="197"/>
      <c r="BP10267" s="197"/>
      <c r="BQ10267" s="197"/>
    </row>
    <row r="10268" spans="66:69" x14ac:dyDescent="0.2">
      <c r="BN10268" s="192"/>
      <c r="BO10268" s="197"/>
      <c r="BP10268" s="197"/>
      <c r="BQ10268" s="197"/>
    </row>
    <row r="10269" spans="66:69" x14ac:dyDescent="0.2">
      <c r="BN10269" s="192"/>
      <c r="BO10269" s="197"/>
      <c r="BP10269" s="197"/>
      <c r="BQ10269" s="197"/>
    </row>
    <row r="10270" spans="66:69" x14ac:dyDescent="0.2">
      <c r="BN10270" s="192"/>
      <c r="BO10270" s="197"/>
      <c r="BP10270" s="197"/>
      <c r="BQ10270" s="197"/>
    </row>
    <row r="10271" spans="66:69" x14ac:dyDescent="0.2">
      <c r="BN10271" s="192"/>
      <c r="BO10271" s="197"/>
      <c r="BP10271" s="197"/>
      <c r="BQ10271" s="197"/>
    </row>
    <row r="10272" spans="66:69" x14ac:dyDescent="0.2">
      <c r="BN10272" s="192"/>
      <c r="BO10272" s="197"/>
      <c r="BP10272" s="197"/>
      <c r="BQ10272" s="197"/>
    </row>
    <row r="10273" spans="66:69" x14ac:dyDescent="0.2">
      <c r="BN10273" s="192"/>
      <c r="BO10273" s="197"/>
      <c r="BP10273" s="197"/>
      <c r="BQ10273" s="197"/>
    </row>
    <row r="10274" spans="66:69" x14ac:dyDescent="0.2">
      <c r="BN10274" s="192"/>
      <c r="BO10274" s="197"/>
      <c r="BP10274" s="197"/>
      <c r="BQ10274" s="197"/>
    </row>
    <row r="10275" spans="66:69" x14ac:dyDescent="0.2">
      <c r="BN10275" s="192"/>
      <c r="BO10275" s="197"/>
      <c r="BP10275" s="197"/>
      <c r="BQ10275" s="197"/>
    </row>
    <row r="10276" spans="66:69" x14ac:dyDescent="0.2">
      <c r="BN10276" s="192"/>
      <c r="BO10276" s="197"/>
      <c r="BP10276" s="197"/>
      <c r="BQ10276" s="197"/>
    </row>
    <row r="10277" spans="66:69" x14ac:dyDescent="0.2">
      <c r="BN10277" s="192"/>
      <c r="BO10277" s="197"/>
      <c r="BP10277" s="197"/>
      <c r="BQ10277" s="197"/>
    </row>
    <row r="10278" spans="66:69" x14ac:dyDescent="0.2">
      <c r="BN10278" s="192"/>
      <c r="BO10278" s="197"/>
      <c r="BP10278" s="197"/>
      <c r="BQ10278" s="197"/>
    </row>
    <row r="10279" spans="66:69" x14ac:dyDescent="0.2">
      <c r="BN10279" s="192"/>
      <c r="BO10279" s="197"/>
      <c r="BP10279" s="197"/>
      <c r="BQ10279" s="197"/>
    </row>
    <row r="10280" spans="66:69" x14ac:dyDescent="0.2">
      <c r="BN10280" s="192"/>
      <c r="BO10280" s="197"/>
      <c r="BP10280" s="197"/>
      <c r="BQ10280" s="197"/>
    </row>
    <row r="10281" spans="66:69" x14ac:dyDescent="0.2">
      <c r="BN10281" s="192"/>
      <c r="BO10281" s="197"/>
      <c r="BP10281" s="197"/>
      <c r="BQ10281" s="197"/>
    </row>
    <row r="10282" spans="66:69" x14ac:dyDescent="0.2">
      <c r="BN10282" s="192"/>
      <c r="BO10282" s="197"/>
      <c r="BP10282" s="197"/>
      <c r="BQ10282" s="197"/>
    </row>
    <row r="10283" spans="66:69" x14ac:dyDescent="0.2">
      <c r="BN10283" s="192"/>
      <c r="BO10283" s="197"/>
      <c r="BP10283" s="197"/>
      <c r="BQ10283" s="197"/>
    </row>
    <row r="10284" spans="66:69" x14ac:dyDescent="0.2">
      <c r="BN10284" s="192"/>
      <c r="BO10284" s="197"/>
      <c r="BP10284" s="197"/>
      <c r="BQ10284" s="197"/>
    </row>
    <row r="10285" spans="66:69" x14ac:dyDescent="0.2">
      <c r="BN10285" s="192"/>
      <c r="BO10285" s="197"/>
      <c r="BP10285" s="197"/>
      <c r="BQ10285" s="197"/>
    </row>
    <row r="10286" spans="66:69" x14ac:dyDescent="0.2">
      <c r="BN10286" s="192"/>
      <c r="BO10286" s="197"/>
      <c r="BP10286" s="197"/>
      <c r="BQ10286" s="197"/>
    </row>
    <row r="10287" spans="66:69" x14ac:dyDescent="0.2">
      <c r="BN10287" s="192"/>
      <c r="BO10287" s="197"/>
      <c r="BP10287" s="197"/>
      <c r="BQ10287" s="197"/>
    </row>
    <row r="10288" spans="66:69" x14ac:dyDescent="0.2">
      <c r="BN10288" s="192"/>
      <c r="BO10288" s="197"/>
      <c r="BP10288" s="197"/>
      <c r="BQ10288" s="197"/>
    </row>
    <row r="10289" spans="66:69" x14ac:dyDescent="0.2">
      <c r="BN10289" s="192"/>
      <c r="BO10289" s="197"/>
      <c r="BP10289" s="197"/>
      <c r="BQ10289" s="197"/>
    </row>
    <row r="10290" spans="66:69" x14ac:dyDescent="0.2">
      <c r="BN10290" s="192"/>
      <c r="BO10290" s="197"/>
      <c r="BP10290" s="197"/>
      <c r="BQ10290" s="197"/>
    </row>
    <row r="10291" spans="66:69" x14ac:dyDescent="0.2">
      <c r="BN10291" s="192"/>
      <c r="BO10291" s="197"/>
      <c r="BP10291" s="197"/>
      <c r="BQ10291" s="197"/>
    </row>
    <row r="10292" spans="66:69" x14ac:dyDescent="0.2">
      <c r="BN10292" s="192"/>
      <c r="BO10292" s="197"/>
      <c r="BP10292" s="197"/>
      <c r="BQ10292" s="197"/>
    </row>
    <row r="10293" spans="66:69" x14ac:dyDescent="0.2">
      <c r="BN10293" s="192"/>
      <c r="BO10293" s="197"/>
      <c r="BP10293" s="197"/>
      <c r="BQ10293" s="197"/>
    </row>
    <row r="10294" spans="66:69" x14ac:dyDescent="0.2">
      <c r="BN10294" s="192"/>
      <c r="BO10294" s="197"/>
      <c r="BP10294" s="197"/>
      <c r="BQ10294" s="197"/>
    </row>
    <row r="10295" spans="66:69" x14ac:dyDescent="0.2">
      <c r="BN10295" s="192"/>
      <c r="BO10295" s="197"/>
      <c r="BP10295" s="197"/>
      <c r="BQ10295" s="197"/>
    </row>
    <row r="10296" spans="66:69" x14ac:dyDescent="0.2">
      <c r="BN10296" s="192"/>
      <c r="BO10296" s="197"/>
      <c r="BP10296" s="197"/>
      <c r="BQ10296" s="197"/>
    </row>
    <row r="10297" spans="66:69" x14ac:dyDescent="0.2">
      <c r="BN10297" s="192"/>
      <c r="BO10297" s="197"/>
      <c r="BP10297" s="197"/>
      <c r="BQ10297" s="197"/>
    </row>
    <row r="10298" spans="66:69" x14ac:dyDescent="0.2">
      <c r="BN10298" s="192"/>
      <c r="BO10298" s="197"/>
      <c r="BP10298" s="197"/>
      <c r="BQ10298" s="197"/>
    </row>
    <row r="10299" spans="66:69" x14ac:dyDescent="0.2">
      <c r="BN10299" s="192"/>
      <c r="BO10299" s="197"/>
      <c r="BP10299" s="197"/>
      <c r="BQ10299" s="197"/>
    </row>
    <row r="10300" spans="66:69" x14ac:dyDescent="0.2">
      <c r="BN10300" s="192"/>
      <c r="BO10300" s="197"/>
      <c r="BP10300" s="197"/>
      <c r="BQ10300" s="197"/>
    </row>
    <row r="10301" spans="66:69" x14ac:dyDescent="0.2">
      <c r="BN10301" s="192"/>
      <c r="BO10301" s="197"/>
      <c r="BP10301" s="197"/>
      <c r="BQ10301" s="197"/>
    </row>
    <row r="10302" spans="66:69" x14ac:dyDescent="0.2">
      <c r="BN10302" s="192"/>
      <c r="BO10302" s="197"/>
      <c r="BP10302" s="197"/>
      <c r="BQ10302" s="197"/>
    </row>
    <row r="10303" spans="66:69" x14ac:dyDescent="0.2">
      <c r="BN10303" s="192"/>
      <c r="BO10303" s="197"/>
      <c r="BP10303" s="197"/>
      <c r="BQ10303" s="197"/>
    </row>
    <row r="10304" spans="66:69" x14ac:dyDescent="0.2">
      <c r="BN10304" s="192"/>
      <c r="BO10304" s="197"/>
      <c r="BP10304" s="197"/>
      <c r="BQ10304" s="197"/>
    </row>
    <row r="10305" spans="66:69" x14ac:dyDescent="0.2">
      <c r="BN10305" s="192"/>
      <c r="BO10305" s="197"/>
      <c r="BP10305" s="197"/>
      <c r="BQ10305" s="197"/>
    </row>
    <row r="10306" spans="66:69" x14ac:dyDescent="0.2">
      <c r="BN10306" s="192"/>
      <c r="BO10306" s="197"/>
      <c r="BP10306" s="197"/>
      <c r="BQ10306" s="197"/>
    </row>
    <row r="10307" spans="66:69" x14ac:dyDescent="0.2">
      <c r="BN10307" s="192"/>
      <c r="BO10307" s="197"/>
      <c r="BP10307" s="197"/>
      <c r="BQ10307" s="197"/>
    </row>
    <row r="10308" spans="66:69" x14ac:dyDescent="0.2">
      <c r="BN10308" s="192"/>
      <c r="BO10308" s="197"/>
      <c r="BP10308" s="197"/>
      <c r="BQ10308" s="197"/>
    </row>
    <row r="10309" spans="66:69" x14ac:dyDescent="0.2">
      <c r="BN10309" s="192"/>
      <c r="BO10309" s="197"/>
      <c r="BP10309" s="197"/>
      <c r="BQ10309" s="197"/>
    </row>
    <row r="10310" spans="66:69" x14ac:dyDescent="0.2">
      <c r="BN10310" s="192"/>
      <c r="BO10310" s="197"/>
      <c r="BP10310" s="197"/>
      <c r="BQ10310" s="197"/>
    </row>
    <row r="10311" spans="66:69" x14ac:dyDescent="0.2">
      <c r="BN10311" s="192"/>
      <c r="BO10311" s="197"/>
      <c r="BP10311" s="197"/>
      <c r="BQ10311" s="197"/>
    </row>
    <row r="10312" spans="66:69" x14ac:dyDescent="0.2">
      <c r="BN10312" s="192"/>
      <c r="BO10312" s="197"/>
      <c r="BP10312" s="197"/>
      <c r="BQ10312" s="197"/>
    </row>
    <row r="10313" spans="66:69" x14ac:dyDescent="0.2">
      <c r="BN10313" s="192"/>
      <c r="BO10313" s="197"/>
      <c r="BP10313" s="197"/>
      <c r="BQ10313" s="197"/>
    </row>
    <row r="10314" spans="66:69" x14ac:dyDescent="0.2">
      <c r="BN10314" s="192"/>
      <c r="BO10314" s="197"/>
      <c r="BP10314" s="197"/>
      <c r="BQ10314" s="197"/>
    </row>
    <row r="10315" spans="66:69" x14ac:dyDescent="0.2">
      <c r="BN10315" s="192"/>
      <c r="BO10315" s="197"/>
      <c r="BP10315" s="197"/>
      <c r="BQ10315" s="197"/>
    </row>
    <row r="10316" spans="66:69" x14ac:dyDescent="0.2">
      <c r="BN10316" s="192"/>
      <c r="BO10316" s="197"/>
      <c r="BP10316" s="197"/>
      <c r="BQ10316" s="197"/>
    </row>
    <row r="10317" spans="66:69" x14ac:dyDescent="0.2">
      <c r="BN10317" s="192"/>
      <c r="BO10317" s="197"/>
      <c r="BP10317" s="197"/>
      <c r="BQ10317" s="197"/>
    </row>
    <row r="10318" spans="66:69" x14ac:dyDescent="0.2">
      <c r="BN10318" s="192"/>
      <c r="BO10318" s="197"/>
      <c r="BP10318" s="197"/>
      <c r="BQ10318" s="197"/>
    </row>
    <row r="10319" spans="66:69" x14ac:dyDescent="0.2">
      <c r="BN10319" s="192"/>
      <c r="BO10319" s="197"/>
      <c r="BP10319" s="197"/>
      <c r="BQ10319" s="197"/>
    </row>
    <row r="10320" spans="66:69" x14ac:dyDescent="0.2">
      <c r="BN10320" s="192"/>
      <c r="BO10320" s="197"/>
      <c r="BP10320" s="197"/>
      <c r="BQ10320" s="197"/>
    </row>
    <row r="10321" spans="66:69" x14ac:dyDescent="0.2">
      <c r="BN10321" s="192"/>
      <c r="BO10321" s="197"/>
      <c r="BP10321" s="197"/>
      <c r="BQ10321" s="197"/>
    </row>
    <row r="10322" spans="66:69" x14ac:dyDescent="0.2">
      <c r="BN10322" s="192"/>
      <c r="BO10322" s="197"/>
      <c r="BP10322" s="197"/>
      <c r="BQ10322" s="197"/>
    </row>
    <row r="10323" spans="66:69" x14ac:dyDescent="0.2">
      <c r="BN10323" s="192"/>
      <c r="BO10323" s="197"/>
      <c r="BP10323" s="197"/>
      <c r="BQ10323" s="197"/>
    </row>
    <row r="10324" spans="66:69" x14ac:dyDescent="0.2">
      <c r="BN10324" s="192"/>
      <c r="BO10324" s="197"/>
      <c r="BP10324" s="197"/>
      <c r="BQ10324" s="197"/>
    </row>
    <row r="10325" spans="66:69" x14ac:dyDescent="0.2">
      <c r="BN10325" s="192"/>
      <c r="BO10325" s="197"/>
      <c r="BP10325" s="197"/>
      <c r="BQ10325" s="197"/>
    </row>
    <row r="10326" spans="66:69" x14ac:dyDescent="0.2">
      <c r="BN10326" s="192"/>
      <c r="BO10326" s="197"/>
      <c r="BP10326" s="197"/>
      <c r="BQ10326" s="197"/>
    </row>
    <row r="10327" spans="66:69" x14ac:dyDescent="0.2">
      <c r="BN10327" s="192"/>
      <c r="BO10327" s="197"/>
      <c r="BP10327" s="197"/>
      <c r="BQ10327" s="197"/>
    </row>
    <row r="10328" spans="66:69" x14ac:dyDescent="0.2">
      <c r="BN10328" s="192"/>
      <c r="BO10328" s="197"/>
      <c r="BP10328" s="197"/>
      <c r="BQ10328" s="197"/>
    </row>
    <row r="10329" spans="66:69" x14ac:dyDescent="0.2">
      <c r="BN10329" s="192"/>
      <c r="BO10329" s="197"/>
      <c r="BP10329" s="197"/>
      <c r="BQ10329" s="197"/>
    </row>
    <row r="10330" spans="66:69" x14ac:dyDescent="0.2">
      <c r="BN10330" s="192"/>
      <c r="BO10330" s="197"/>
      <c r="BP10330" s="197"/>
      <c r="BQ10330" s="197"/>
    </row>
    <row r="10331" spans="66:69" x14ac:dyDescent="0.2">
      <c r="BN10331" s="192"/>
      <c r="BO10331" s="197"/>
      <c r="BP10331" s="197"/>
      <c r="BQ10331" s="197"/>
    </row>
    <row r="10332" spans="66:69" x14ac:dyDescent="0.2">
      <c r="BN10332" s="192"/>
      <c r="BO10332" s="197"/>
      <c r="BP10332" s="197"/>
      <c r="BQ10332" s="197"/>
    </row>
    <row r="10333" spans="66:69" x14ac:dyDescent="0.2">
      <c r="BN10333" s="192"/>
      <c r="BO10333" s="197"/>
      <c r="BP10333" s="197"/>
      <c r="BQ10333" s="197"/>
    </row>
    <row r="10334" spans="66:69" x14ac:dyDescent="0.2">
      <c r="BN10334" s="192"/>
      <c r="BO10334" s="197"/>
      <c r="BP10334" s="197"/>
      <c r="BQ10334" s="197"/>
    </row>
    <row r="10335" spans="66:69" x14ac:dyDescent="0.2">
      <c r="BN10335" s="192"/>
      <c r="BO10335" s="197"/>
      <c r="BP10335" s="197"/>
      <c r="BQ10335" s="197"/>
    </row>
    <row r="10336" spans="66:69" x14ac:dyDescent="0.2">
      <c r="BN10336" s="192"/>
      <c r="BO10336" s="197"/>
      <c r="BP10336" s="197"/>
      <c r="BQ10336" s="197"/>
    </row>
    <row r="10337" spans="66:69" x14ac:dyDescent="0.2">
      <c r="BN10337" s="192"/>
      <c r="BO10337" s="197"/>
      <c r="BP10337" s="197"/>
      <c r="BQ10337" s="197"/>
    </row>
    <row r="10338" spans="66:69" x14ac:dyDescent="0.2">
      <c r="BN10338" s="192"/>
      <c r="BO10338" s="197"/>
      <c r="BP10338" s="197"/>
      <c r="BQ10338" s="197"/>
    </row>
    <row r="10339" spans="66:69" x14ac:dyDescent="0.2">
      <c r="BN10339" s="192"/>
      <c r="BO10339" s="197"/>
      <c r="BP10339" s="197"/>
      <c r="BQ10339" s="197"/>
    </row>
    <row r="10340" spans="66:69" x14ac:dyDescent="0.2">
      <c r="BN10340" s="192"/>
      <c r="BO10340" s="197"/>
      <c r="BP10340" s="197"/>
      <c r="BQ10340" s="197"/>
    </row>
    <row r="10341" spans="66:69" x14ac:dyDescent="0.2">
      <c r="BN10341" s="192"/>
      <c r="BO10341" s="197"/>
      <c r="BP10341" s="197"/>
      <c r="BQ10341" s="197"/>
    </row>
    <row r="10342" spans="66:69" x14ac:dyDescent="0.2">
      <c r="BN10342" s="192"/>
      <c r="BO10342" s="197"/>
      <c r="BP10342" s="197"/>
      <c r="BQ10342" s="197"/>
    </row>
    <row r="10343" spans="66:69" x14ac:dyDescent="0.2">
      <c r="BN10343" s="192"/>
      <c r="BO10343" s="197"/>
      <c r="BP10343" s="197"/>
      <c r="BQ10343" s="197"/>
    </row>
    <row r="10344" spans="66:69" x14ac:dyDescent="0.2">
      <c r="BN10344" s="192"/>
      <c r="BO10344" s="197"/>
      <c r="BP10344" s="197"/>
      <c r="BQ10344" s="197"/>
    </row>
    <row r="10345" spans="66:69" x14ac:dyDescent="0.2">
      <c r="BN10345" s="192"/>
      <c r="BO10345" s="197"/>
      <c r="BP10345" s="197"/>
      <c r="BQ10345" s="197"/>
    </row>
    <row r="10346" spans="66:69" x14ac:dyDescent="0.2">
      <c r="BN10346" s="192"/>
      <c r="BO10346" s="197"/>
      <c r="BP10346" s="197"/>
      <c r="BQ10346" s="197"/>
    </row>
    <row r="10347" spans="66:69" x14ac:dyDescent="0.2">
      <c r="BN10347" s="192"/>
      <c r="BO10347" s="197"/>
      <c r="BP10347" s="197"/>
      <c r="BQ10347" s="197"/>
    </row>
    <row r="10348" spans="66:69" x14ac:dyDescent="0.2">
      <c r="BN10348" s="192"/>
      <c r="BO10348" s="197"/>
      <c r="BP10348" s="197"/>
      <c r="BQ10348" s="197"/>
    </row>
    <row r="10349" spans="66:69" x14ac:dyDescent="0.2">
      <c r="BN10349" s="192"/>
      <c r="BO10349" s="197"/>
      <c r="BP10349" s="197"/>
      <c r="BQ10349" s="197"/>
    </row>
    <row r="10350" spans="66:69" x14ac:dyDescent="0.2">
      <c r="BN10350" s="192"/>
      <c r="BO10350" s="197"/>
      <c r="BP10350" s="197"/>
      <c r="BQ10350" s="197"/>
    </row>
    <row r="10351" spans="66:69" x14ac:dyDescent="0.2">
      <c r="BN10351" s="192"/>
      <c r="BO10351" s="197"/>
      <c r="BP10351" s="197"/>
      <c r="BQ10351" s="197"/>
    </row>
    <row r="10352" spans="66:69" x14ac:dyDescent="0.2">
      <c r="BN10352" s="192"/>
      <c r="BO10352" s="197"/>
      <c r="BP10352" s="197"/>
      <c r="BQ10352" s="197"/>
    </row>
    <row r="10353" spans="66:69" x14ac:dyDescent="0.2">
      <c r="BN10353" s="192"/>
      <c r="BO10353" s="197"/>
      <c r="BP10353" s="197"/>
      <c r="BQ10353" s="197"/>
    </row>
    <row r="10354" spans="66:69" x14ac:dyDescent="0.2">
      <c r="BN10354" s="192"/>
      <c r="BO10354" s="197"/>
      <c r="BP10354" s="197"/>
      <c r="BQ10354" s="197"/>
    </row>
    <row r="10355" spans="66:69" x14ac:dyDescent="0.2">
      <c r="BN10355" s="192"/>
      <c r="BO10355" s="197"/>
      <c r="BP10355" s="197"/>
      <c r="BQ10355" s="197"/>
    </row>
    <row r="10356" spans="66:69" x14ac:dyDescent="0.2">
      <c r="BN10356" s="192"/>
      <c r="BO10356" s="197"/>
      <c r="BP10356" s="197"/>
      <c r="BQ10356" s="197"/>
    </row>
    <row r="10357" spans="66:69" x14ac:dyDescent="0.2">
      <c r="BN10357" s="192"/>
      <c r="BO10357" s="197"/>
      <c r="BP10357" s="197"/>
      <c r="BQ10357" s="197"/>
    </row>
    <row r="10358" spans="66:69" x14ac:dyDescent="0.2">
      <c r="BN10358" s="192"/>
      <c r="BO10358" s="197"/>
      <c r="BP10358" s="197"/>
      <c r="BQ10358" s="197"/>
    </row>
    <row r="10359" spans="66:69" x14ac:dyDescent="0.2">
      <c r="BN10359" s="192"/>
      <c r="BO10359" s="197"/>
      <c r="BP10359" s="197"/>
      <c r="BQ10359" s="197"/>
    </row>
    <row r="10360" spans="66:69" x14ac:dyDescent="0.2">
      <c r="BN10360" s="192"/>
      <c r="BO10360" s="197"/>
      <c r="BP10360" s="197"/>
      <c r="BQ10360" s="197"/>
    </row>
    <row r="10361" spans="66:69" x14ac:dyDescent="0.2">
      <c r="BN10361" s="192"/>
      <c r="BO10361" s="197"/>
      <c r="BP10361" s="197"/>
      <c r="BQ10361" s="197"/>
    </row>
    <row r="10362" spans="66:69" x14ac:dyDescent="0.2">
      <c r="BN10362" s="192"/>
      <c r="BO10362" s="197"/>
      <c r="BP10362" s="197"/>
      <c r="BQ10362" s="197"/>
    </row>
    <row r="10363" spans="66:69" x14ac:dyDescent="0.2">
      <c r="BN10363" s="192"/>
      <c r="BO10363" s="197"/>
      <c r="BP10363" s="197"/>
      <c r="BQ10363" s="197"/>
    </row>
    <row r="10364" spans="66:69" x14ac:dyDescent="0.2">
      <c r="BN10364" s="192"/>
      <c r="BO10364" s="197"/>
      <c r="BP10364" s="197"/>
      <c r="BQ10364" s="197"/>
    </row>
    <row r="10365" spans="66:69" x14ac:dyDescent="0.2">
      <c r="BN10365" s="192"/>
      <c r="BO10365" s="197"/>
      <c r="BP10365" s="197"/>
      <c r="BQ10365" s="197"/>
    </row>
    <row r="10366" spans="66:69" x14ac:dyDescent="0.2">
      <c r="BN10366" s="192"/>
      <c r="BO10366" s="197"/>
      <c r="BP10366" s="197"/>
      <c r="BQ10366" s="197"/>
    </row>
    <row r="10367" spans="66:69" x14ac:dyDescent="0.2">
      <c r="BN10367" s="192"/>
      <c r="BO10367" s="197"/>
      <c r="BP10367" s="197"/>
      <c r="BQ10367" s="197"/>
    </row>
    <row r="10368" spans="66:69" x14ac:dyDescent="0.2">
      <c r="BN10368" s="192"/>
      <c r="BO10368" s="197"/>
      <c r="BP10368" s="197"/>
      <c r="BQ10368" s="197"/>
    </row>
    <row r="10369" spans="66:69" x14ac:dyDescent="0.2">
      <c r="BN10369" s="192"/>
      <c r="BO10369" s="197"/>
      <c r="BP10369" s="197"/>
      <c r="BQ10369" s="197"/>
    </row>
    <row r="10370" spans="66:69" x14ac:dyDescent="0.2">
      <c r="BN10370" s="192"/>
      <c r="BO10370" s="197"/>
      <c r="BP10370" s="197"/>
      <c r="BQ10370" s="197"/>
    </row>
    <row r="10371" spans="66:69" x14ac:dyDescent="0.2">
      <c r="BN10371" s="192"/>
      <c r="BO10371" s="197"/>
      <c r="BP10371" s="197"/>
      <c r="BQ10371" s="197"/>
    </row>
    <row r="10372" spans="66:69" x14ac:dyDescent="0.2">
      <c r="BN10372" s="192"/>
      <c r="BO10372" s="197"/>
      <c r="BP10372" s="197"/>
      <c r="BQ10372" s="197"/>
    </row>
    <row r="10373" spans="66:69" x14ac:dyDescent="0.2">
      <c r="BN10373" s="192"/>
      <c r="BO10373" s="197"/>
      <c r="BP10373" s="197"/>
      <c r="BQ10373" s="197"/>
    </row>
    <row r="10374" spans="66:69" x14ac:dyDescent="0.2">
      <c r="BN10374" s="192"/>
      <c r="BO10374" s="197"/>
      <c r="BP10374" s="197"/>
      <c r="BQ10374" s="197"/>
    </row>
    <row r="10375" spans="66:69" x14ac:dyDescent="0.2">
      <c r="BN10375" s="192"/>
      <c r="BO10375" s="197"/>
      <c r="BP10375" s="197"/>
      <c r="BQ10375" s="197"/>
    </row>
    <row r="10376" spans="66:69" x14ac:dyDescent="0.2">
      <c r="BN10376" s="192"/>
      <c r="BO10376" s="197"/>
      <c r="BP10376" s="197"/>
      <c r="BQ10376" s="197"/>
    </row>
    <row r="10377" spans="66:69" x14ac:dyDescent="0.2">
      <c r="BN10377" s="192"/>
      <c r="BO10377" s="197"/>
      <c r="BP10377" s="197"/>
      <c r="BQ10377" s="197"/>
    </row>
    <row r="10378" spans="66:69" x14ac:dyDescent="0.2">
      <c r="BN10378" s="192"/>
      <c r="BO10378" s="197"/>
      <c r="BP10378" s="197"/>
      <c r="BQ10378" s="197"/>
    </row>
    <row r="10379" spans="66:69" x14ac:dyDescent="0.2">
      <c r="BN10379" s="192"/>
      <c r="BO10379" s="197"/>
      <c r="BP10379" s="197"/>
      <c r="BQ10379" s="197"/>
    </row>
    <row r="10380" spans="66:69" x14ac:dyDescent="0.2">
      <c r="BN10380" s="192"/>
      <c r="BO10380" s="197"/>
      <c r="BP10380" s="197"/>
      <c r="BQ10380" s="197"/>
    </row>
    <row r="10381" spans="66:69" x14ac:dyDescent="0.2">
      <c r="BN10381" s="192"/>
      <c r="BO10381" s="197"/>
      <c r="BP10381" s="197"/>
      <c r="BQ10381" s="197"/>
    </row>
    <row r="10382" spans="66:69" x14ac:dyDescent="0.2">
      <c r="BN10382" s="192"/>
      <c r="BO10382" s="197"/>
      <c r="BP10382" s="197"/>
      <c r="BQ10382" s="197"/>
    </row>
    <row r="10383" spans="66:69" x14ac:dyDescent="0.2">
      <c r="BN10383" s="192"/>
      <c r="BO10383" s="197"/>
      <c r="BP10383" s="197"/>
      <c r="BQ10383" s="197"/>
    </row>
    <row r="10384" spans="66:69" x14ac:dyDescent="0.2">
      <c r="BN10384" s="192"/>
      <c r="BO10384" s="197"/>
      <c r="BP10384" s="197"/>
      <c r="BQ10384" s="197"/>
    </row>
    <row r="10385" spans="66:69" x14ac:dyDescent="0.2">
      <c r="BN10385" s="192"/>
      <c r="BO10385" s="197"/>
      <c r="BP10385" s="197"/>
      <c r="BQ10385" s="197"/>
    </row>
    <row r="10386" spans="66:69" x14ac:dyDescent="0.2">
      <c r="BN10386" s="192"/>
      <c r="BO10386" s="197"/>
      <c r="BP10386" s="197"/>
      <c r="BQ10386" s="197"/>
    </row>
    <row r="10387" spans="66:69" x14ac:dyDescent="0.2">
      <c r="BN10387" s="192"/>
      <c r="BO10387" s="197"/>
      <c r="BP10387" s="197"/>
      <c r="BQ10387" s="197"/>
    </row>
    <row r="10388" spans="66:69" x14ac:dyDescent="0.2">
      <c r="BN10388" s="192"/>
      <c r="BO10388" s="197"/>
      <c r="BP10388" s="197"/>
      <c r="BQ10388" s="197"/>
    </row>
    <row r="10389" spans="66:69" x14ac:dyDescent="0.2">
      <c r="BN10389" s="192"/>
      <c r="BO10389" s="197"/>
      <c r="BP10389" s="197"/>
      <c r="BQ10389" s="197"/>
    </row>
    <row r="10390" spans="66:69" x14ac:dyDescent="0.2">
      <c r="BN10390" s="192"/>
      <c r="BO10390" s="197"/>
      <c r="BP10390" s="197"/>
      <c r="BQ10390" s="197"/>
    </row>
    <row r="10391" spans="66:69" x14ac:dyDescent="0.2">
      <c r="BN10391" s="192"/>
      <c r="BO10391" s="197"/>
      <c r="BP10391" s="197"/>
      <c r="BQ10391" s="197"/>
    </row>
    <row r="10392" spans="66:69" x14ac:dyDescent="0.2">
      <c r="BN10392" s="192"/>
      <c r="BO10392" s="197"/>
      <c r="BP10392" s="197"/>
      <c r="BQ10392" s="197"/>
    </row>
    <row r="10393" spans="66:69" x14ac:dyDescent="0.2">
      <c r="BN10393" s="192"/>
      <c r="BO10393" s="197"/>
      <c r="BP10393" s="197"/>
      <c r="BQ10393" s="197"/>
    </row>
    <row r="10394" spans="66:69" x14ac:dyDescent="0.2">
      <c r="BN10394" s="192"/>
      <c r="BO10394" s="197"/>
      <c r="BP10394" s="197"/>
      <c r="BQ10394" s="197"/>
    </row>
    <row r="10395" spans="66:69" x14ac:dyDescent="0.2">
      <c r="BN10395" s="192"/>
      <c r="BO10395" s="197"/>
      <c r="BP10395" s="197"/>
      <c r="BQ10395" s="197"/>
    </row>
    <row r="10396" spans="66:69" x14ac:dyDescent="0.2">
      <c r="BN10396" s="192"/>
      <c r="BO10396" s="197"/>
      <c r="BP10396" s="197"/>
      <c r="BQ10396" s="197"/>
    </row>
    <row r="10397" spans="66:69" x14ac:dyDescent="0.2">
      <c r="BN10397" s="192"/>
      <c r="BO10397" s="197"/>
      <c r="BP10397" s="197"/>
      <c r="BQ10397" s="197"/>
    </row>
    <row r="10398" spans="66:69" x14ac:dyDescent="0.2">
      <c r="BN10398" s="192"/>
      <c r="BO10398" s="197"/>
      <c r="BP10398" s="197"/>
      <c r="BQ10398" s="197"/>
    </row>
    <row r="10399" spans="66:69" x14ac:dyDescent="0.2">
      <c r="BN10399" s="192"/>
      <c r="BO10399" s="197"/>
      <c r="BP10399" s="197"/>
      <c r="BQ10399" s="197"/>
    </row>
    <row r="10400" spans="66:69" x14ac:dyDescent="0.2">
      <c r="BN10400" s="192"/>
      <c r="BO10400" s="197"/>
      <c r="BP10400" s="197"/>
      <c r="BQ10400" s="197"/>
    </row>
    <row r="10401" spans="66:69" x14ac:dyDescent="0.2">
      <c r="BN10401" s="192"/>
      <c r="BO10401" s="197"/>
      <c r="BP10401" s="197"/>
      <c r="BQ10401" s="197"/>
    </row>
    <row r="10402" spans="66:69" x14ac:dyDescent="0.2">
      <c r="BN10402" s="192"/>
      <c r="BO10402" s="197"/>
      <c r="BP10402" s="197"/>
      <c r="BQ10402" s="197"/>
    </row>
    <row r="10403" spans="66:69" x14ac:dyDescent="0.2">
      <c r="BN10403" s="192"/>
      <c r="BO10403" s="197"/>
      <c r="BP10403" s="197"/>
      <c r="BQ10403" s="197"/>
    </row>
    <row r="10404" spans="66:69" x14ac:dyDescent="0.2">
      <c r="BN10404" s="192"/>
      <c r="BO10404" s="197"/>
      <c r="BP10404" s="197"/>
      <c r="BQ10404" s="197"/>
    </row>
    <row r="10405" spans="66:69" x14ac:dyDescent="0.2">
      <c r="BN10405" s="192"/>
      <c r="BO10405" s="197"/>
      <c r="BP10405" s="197"/>
      <c r="BQ10405" s="197"/>
    </row>
    <row r="10406" spans="66:69" x14ac:dyDescent="0.2">
      <c r="BN10406" s="192"/>
      <c r="BO10406" s="197"/>
      <c r="BP10406" s="197"/>
      <c r="BQ10406" s="197"/>
    </row>
    <row r="10407" spans="66:69" x14ac:dyDescent="0.2">
      <c r="BN10407" s="192"/>
      <c r="BO10407" s="197"/>
      <c r="BP10407" s="197"/>
      <c r="BQ10407" s="197"/>
    </row>
    <row r="10408" spans="66:69" x14ac:dyDescent="0.2">
      <c r="BN10408" s="192"/>
      <c r="BO10408" s="197"/>
      <c r="BP10408" s="197"/>
      <c r="BQ10408" s="197"/>
    </row>
    <row r="10409" spans="66:69" x14ac:dyDescent="0.2">
      <c r="BN10409" s="192"/>
      <c r="BO10409" s="197"/>
      <c r="BP10409" s="197"/>
      <c r="BQ10409" s="197"/>
    </row>
    <row r="10410" spans="66:69" x14ac:dyDescent="0.2">
      <c r="BN10410" s="192"/>
      <c r="BO10410" s="197"/>
      <c r="BP10410" s="197"/>
      <c r="BQ10410" s="197"/>
    </row>
    <row r="10411" spans="66:69" x14ac:dyDescent="0.2">
      <c r="BN10411" s="192"/>
      <c r="BO10411" s="197"/>
      <c r="BP10411" s="197"/>
      <c r="BQ10411" s="197"/>
    </row>
    <row r="10412" spans="66:69" x14ac:dyDescent="0.2">
      <c r="BN10412" s="192"/>
      <c r="BO10412" s="197"/>
      <c r="BP10412" s="197"/>
      <c r="BQ10412" s="197"/>
    </row>
    <row r="10413" spans="66:69" x14ac:dyDescent="0.2">
      <c r="BN10413" s="192"/>
      <c r="BO10413" s="197"/>
      <c r="BP10413" s="197"/>
      <c r="BQ10413" s="197"/>
    </row>
    <row r="10414" spans="66:69" x14ac:dyDescent="0.2">
      <c r="BN10414" s="192"/>
      <c r="BO10414" s="197"/>
      <c r="BP10414" s="197"/>
      <c r="BQ10414" s="197"/>
    </row>
    <row r="10415" spans="66:69" x14ac:dyDescent="0.2">
      <c r="BN10415" s="192"/>
      <c r="BO10415" s="197"/>
      <c r="BP10415" s="197"/>
      <c r="BQ10415" s="197"/>
    </row>
    <row r="10416" spans="66:69" x14ac:dyDescent="0.2">
      <c r="BN10416" s="192"/>
      <c r="BO10416" s="197"/>
      <c r="BP10416" s="197"/>
      <c r="BQ10416" s="197"/>
    </row>
    <row r="10417" spans="66:69" x14ac:dyDescent="0.2">
      <c r="BN10417" s="192"/>
      <c r="BO10417" s="197"/>
      <c r="BP10417" s="197"/>
      <c r="BQ10417" s="197"/>
    </row>
    <row r="10418" spans="66:69" x14ac:dyDescent="0.2">
      <c r="BN10418" s="192"/>
      <c r="BO10418" s="197"/>
      <c r="BP10418" s="197"/>
      <c r="BQ10418" s="197"/>
    </row>
    <row r="10419" spans="66:69" x14ac:dyDescent="0.2">
      <c r="BN10419" s="192"/>
      <c r="BO10419" s="197"/>
      <c r="BP10419" s="197"/>
      <c r="BQ10419" s="197"/>
    </row>
    <row r="10420" spans="66:69" x14ac:dyDescent="0.2">
      <c r="BN10420" s="192"/>
      <c r="BO10420" s="197"/>
      <c r="BP10420" s="197"/>
      <c r="BQ10420" s="197"/>
    </row>
    <row r="10421" spans="66:69" x14ac:dyDescent="0.2">
      <c r="BN10421" s="192"/>
      <c r="BO10421" s="197"/>
      <c r="BP10421" s="197"/>
      <c r="BQ10421" s="197"/>
    </row>
    <row r="10422" spans="66:69" x14ac:dyDescent="0.2">
      <c r="BN10422" s="192"/>
      <c r="BO10422" s="197"/>
      <c r="BP10422" s="197"/>
      <c r="BQ10422" s="197"/>
    </row>
    <row r="10423" spans="66:69" x14ac:dyDescent="0.2">
      <c r="BN10423" s="192"/>
      <c r="BO10423" s="197"/>
      <c r="BP10423" s="197"/>
      <c r="BQ10423" s="197"/>
    </row>
    <row r="10424" spans="66:69" x14ac:dyDescent="0.2">
      <c r="BN10424" s="192"/>
      <c r="BO10424" s="197"/>
      <c r="BP10424" s="197"/>
      <c r="BQ10424" s="197"/>
    </row>
    <row r="10425" spans="66:69" x14ac:dyDescent="0.2">
      <c r="BN10425" s="192"/>
      <c r="BO10425" s="197"/>
      <c r="BP10425" s="197"/>
      <c r="BQ10425" s="197"/>
    </row>
    <row r="10426" spans="66:69" x14ac:dyDescent="0.2">
      <c r="BN10426" s="192"/>
      <c r="BO10426" s="197"/>
      <c r="BP10426" s="197"/>
      <c r="BQ10426" s="197"/>
    </row>
    <row r="10427" spans="66:69" x14ac:dyDescent="0.2">
      <c r="BN10427" s="192"/>
      <c r="BO10427" s="197"/>
      <c r="BP10427" s="197"/>
      <c r="BQ10427" s="197"/>
    </row>
    <row r="10428" spans="66:69" x14ac:dyDescent="0.2">
      <c r="BN10428" s="192"/>
      <c r="BO10428" s="197"/>
      <c r="BP10428" s="197"/>
      <c r="BQ10428" s="197"/>
    </row>
    <row r="10429" spans="66:69" x14ac:dyDescent="0.2">
      <c r="BN10429" s="192"/>
      <c r="BO10429" s="197"/>
      <c r="BP10429" s="197"/>
      <c r="BQ10429" s="197"/>
    </row>
    <row r="10430" spans="66:69" x14ac:dyDescent="0.2">
      <c r="BN10430" s="192"/>
      <c r="BO10430" s="197"/>
      <c r="BP10430" s="197"/>
      <c r="BQ10430" s="197"/>
    </row>
    <row r="10431" spans="66:69" x14ac:dyDescent="0.2">
      <c r="BN10431" s="192"/>
      <c r="BO10431" s="197"/>
      <c r="BP10431" s="197"/>
      <c r="BQ10431" s="197"/>
    </row>
    <row r="10432" spans="66:69" x14ac:dyDescent="0.2">
      <c r="BN10432" s="192"/>
      <c r="BO10432" s="197"/>
      <c r="BP10432" s="197"/>
      <c r="BQ10432" s="197"/>
    </row>
    <row r="10433" spans="66:69" x14ac:dyDescent="0.2">
      <c r="BN10433" s="192"/>
      <c r="BO10433" s="197"/>
      <c r="BP10433" s="197"/>
      <c r="BQ10433" s="197"/>
    </row>
    <row r="10434" spans="66:69" x14ac:dyDescent="0.2">
      <c r="BN10434" s="192"/>
      <c r="BO10434" s="197"/>
      <c r="BP10434" s="197"/>
      <c r="BQ10434" s="197"/>
    </row>
    <row r="10435" spans="66:69" x14ac:dyDescent="0.2">
      <c r="BN10435" s="192"/>
      <c r="BO10435" s="197"/>
      <c r="BP10435" s="197"/>
      <c r="BQ10435" s="197"/>
    </row>
    <row r="10436" spans="66:69" x14ac:dyDescent="0.2">
      <c r="BN10436" s="192"/>
      <c r="BO10436" s="197"/>
      <c r="BP10436" s="197"/>
      <c r="BQ10436" s="197"/>
    </row>
    <row r="10437" spans="66:69" x14ac:dyDescent="0.2">
      <c r="BN10437" s="192"/>
      <c r="BO10437" s="197"/>
      <c r="BP10437" s="197"/>
      <c r="BQ10437" s="197"/>
    </row>
    <row r="10438" spans="66:69" x14ac:dyDescent="0.2">
      <c r="BN10438" s="192"/>
      <c r="BO10438" s="197"/>
      <c r="BP10438" s="197"/>
      <c r="BQ10438" s="197"/>
    </row>
    <row r="10439" spans="66:69" x14ac:dyDescent="0.2">
      <c r="BN10439" s="192"/>
      <c r="BO10439" s="197"/>
      <c r="BP10439" s="197"/>
      <c r="BQ10439" s="197"/>
    </row>
    <row r="10440" spans="66:69" x14ac:dyDescent="0.2">
      <c r="BN10440" s="192"/>
      <c r="BO10440" s="197"/>
      <c r="BP10440" s="197"/>
      <c r="BQ10440" s="197"/>
    </row>
    <row r="10441" spans="66:69" x14ac:dyDescent="0.2">
      <c r="BN10441" s="192"/>
      <c r="BO10441" s="197"/>
      <c r="BP10441" s="197"/>
      <c r="BQ10441" s="197"/>
    </row>
    <row r="10442" spans="66:69" x14ac:dyDescent="0.2">
      <c r="BN10442" s="192"/>
      <c r="BO10442" s="197"/>
      <c r="BP10442" s="197"/>
      <c r="BQ10442" s="197"/>
    </row>
    <row r="10443" spans="66:69" x14ac:dyDescent="0.2">
      <c r="BN10443" s="192"/>
      <c r="BO10443" s="197"/>
      <c r="BP10443" s="197"/>
      <c r="BQ10443" s="197"/>
    </row>
    <row r="10444" spans="66:69" x14ac:dyDescent="0.2">
      <c r="BN10444" s="192"/>
      <c r="BO10444" s="197"/>
      <c r="BP10444" s="197"/>
      <c r="BQ10444" s="197"/>
    </row>
    <row r="10445" spans="66:69" x14ac:dyDescent="0.2">
      <c r="BN10445" s="192"/>
      <c r="BO10445" s="197"/>
      <c r="BP10445" s="197"/>
      <c r="BQ10445" s="197"/>
    </row>
    <row r="10446" spans="66:69" x14ac:dyDescent="0.2">
      <c r="BN10446" s="192"/>
      <c r="BO10446" s="197"/>
      <c r="BP10446" s="197"/>
      <c r="BQ10446" s="197"/>
    </row>
    <row r="10447" spans="66:69" x14ac:dyDescent="0.2">
      <c r="BN10447" s="192"/>
      <c r="BO10447" s="197"/>
      <c r="BP10447" s="197"/>
      <c r="BQ10447" s="197"/>
    </row>
    <row r="10448" spans="66:69" x14ac:dyDescent="0.2">
      <c r="BN10448" s="192"/>
      <c r="BO10448" s="197"/>
      <c r="BP10448" s="197"/>
      <c r="BQ10448" s="197"/>
    </row>
    <row r="10449" spans="66:69" x14ac:dyDescent="0.2">
      <c r="BN10449" s="192"/>
      <c r="BO10449" s="197"/>
      <c r="BP10449" s="197"/>
      <c r="BQ10449" s="197"/>
    </row>
    <row r="10450" spans="66:69" x14ac:dyDescent="0.2">
      <c r="BN10450" s="192"/>
      <c r="BO10450" s="197"/>
      <c r="BP10450" s="197"/>
      <c r="BQ10450" s="197"/>
    </row>
    <row r="10451" spans="66:69" x14ac:dyDescent="0.2">
      <c r="BN10451" s="192"/>
      <c r="BO10451" s="197"/>
      <c r="BP10451" s="197"/>
      <c r="BQ10451" s="197"/>
    </row>
    <row r="10452" spans="66:69" x14ac:dyDescent="0.2">
      <c r="BN10452" s="192"/>
      <c r="BO10452" s="197"/>
      <c r="BP10452" s="197"/>
      <c r="BQ10452" s="197"/>
    </row>
    <row r="10453" spans="66:69" x14ac:dyDescent="0.2">
      <c r="BN10453" s="192"/>
      <c r="BO10453" s="197"/>
      <c r="BP10453" s="197"/>
      <c r="BQ10453" s="197"/>
    </row>
    <row r="10454" spans="66:69" x14ac:dyDescent="0.2">
      <c r="BN10454" s="192"/>
      <c r="BO10454" s="197"/>
      <c r="BP10454" s="197"/>
      <c r="BQ10454" s="197"/>
    </row>
    <row r="10455" spans="66:69" x14ac:dyDescent="0.2">
      <c r="BN10455" s="192"/>
      <c r="BO10455" s="197"/>
      <c r="BP10455" s="197"/>
      <c r="BQ10455" s="197"/>
    </row>
    <row r="10456" spans="66:69" x14ac:dyDescent="0.2">
      <c r="BN10456" s="192"/>
      <c r="BO10456" s="197"/>
      <c r="BP10456" s="197"/>
      <c r="BQ10456" s="197"/>
    </row>
    <row r="10457" spans="66:69" x14ac:dyDescent="0.2">
      <c r="BN10457" s="192"/>
      <c r="BO10457" s="197"/>
      <c r="BP10457" s="197"/>
      <c r="BQ10457" s="197"/>
    </row>
    <row r="10458" spans="66:69" x14ac:dyDescent="0.2">
      <c r="BN10458" s="192"/>
      <c r="BO10458" s="197"/>
      <c r="BP10458" s="197"/>
      <c r="BQ10458" s="197"/>
    </row>
    <row r="10459" spans="66:69" x14ac:dyDescent="0.2">
      <c r="BN10459" s="192"/>
      <c r="BO10459" s="197"/>
      <c r="BP10459" s="197"/>
      <c r="BQ10459" s="197"/>
    </row>
    <row r="10460" spans="66:69" x14ac:dyDescent="0.2">
      <c r="BN10460" s="192"/>
      <c r="BO10460" s="197"/>
      <c r="BP10460" s="197"/>
      <c r="BQ10460" s="197"/>
    </row>
    <row r="10461" spans="66:69" x14ac:dyDescent="0.2">
      <c r="BN10461" s="192"/>
      <c r="BO10461" s="197"/>
      <c r="BP10461" s="197"/>
      <c r="BQ10461" s="197"/>
    </row>
    <row r="10462" spans="66:69" x14ac:dyDescent="0.2">
      <c r="BN10462" s="192"/>
      <c r="BO10462" s="197"/>
      <c r="BP10462" s="197"/>
      <c r="BQ10462" s="197"/>
    </row>
    <row r="10463" spans="66:69" x14ac:dyDescent="0.2">
      <c r="BN10463" s="192"/>
      <c r="BO10463" s="197"/>
      <c r="BP10463" s="197"/>
      <c r="BQ10463" s="197"/>
    </row>
    <row r="10464" spans="66:69" x14ac:dyDescent="0.2">
      <c r="BN10464" s="192"/>
      <c r="BO10464" s="197"/>
      <c r="BP10464" s="197"/>
      <c r="BQ10464" s="197"/>
    </row>
    <row r="10465" spans="66:69" x14ac:dyDescent="0.2">
      <c r="BN10465" s="192"/>
      <c r="BO10465" s="197"/>
      <c r="BP10465" s="197"/>
      <c r="BQ10465" s="197"/>
    </row>
    <row r="10466" spans="66:69" x14ac:dyDescent="0.2">
      <c r="BN10466" s="192"/>
      <c r="BO10466" s="197"/>
      <c r="BP10466" s="197"/>
      <c r="BQ10466" s="197"/>
    </row>
    <row r="10467" spans="66:69" x14ac:dyDescent="0.2">
      <c r="BN10467" s="192"/>
      <c r="BO10467" s="197"/>
      <c r="BP10467" s="197"/>
      <c r="BQ10467" s="197"/>
    </row>
    <row r="10468" spans="66:69" x14ac:dyDescent="0.2">
      <c r="BN10468" s="192"/>
      <c r="BO10468" s="197"/>
      <c r="BP10468" s="197"/>
      <c r="BQ10468" s="197"/>
    </row>
    <row r="10469" spans="66:69" x14ac:dyDescent="0.2">
      <c r="BN10469" s="192"/>
      <c r="BO10469" s="197"/>
      <c r="BP10469" s="197"/>
      <c r="BQ10469" s="197"/>
    </row>
    <row r="10470" spans="66:69" x14ac:dyDescent="0.2">
      <c r="BN10470" s="192"/>
      <c r="BO10470" s="197"/>
      <c r="BP10470" s="197"/>
      <c r="BQ10470" s="197"/>
    </row>
    <row r="10471" spans="66:69" x14ac:dyDescent="0.2">
      <c r="BN10471" s="192"/>
      <c r="BO10471" s="197"/>
      <c r="BP10471" s="197"/>
      <c r="BQ10471" s="197"/>
    </row>
    <row r="10472" spans="66:69" x14ac:dyDescent="0.2">
      <c r="BN10472" s="192"/>
      <c r="BO10472" s="197"/>
      <c r="BP10472" s="197"/>
      <c r="BQ10472" s="197"/>
    </row>
    <row r="10473" spans="66:69" x14ac:dyDescent="0.2">
      <c r="BN10473" s="192"/>
      <c r="BO10473" s="197"/>
      <c r="BP10473" s="197"/>
      <c r="BQ10473" s="197"/>
    </row>
    <row r="10474" spans="66:69" x14ac:dyDescent="0.2">
      <c r="BN10474" s="192"/>
      <c r="BO10474" s="197"/>
      <c r="BP10474" s="197"/>
      <c r="BQ10474" s="197"/>
    </row>
    <row r="10475" spans="66:69" x14ac:dyDescent="0.2">
      <c r="BN10475" s="192"/>
      <c r="BO10475" s="197"/>
      <c r="BP10475" s="197"/>
      <c r="BQ10475" s="197"/>
    </row>
    <row r="10476" spans="66:69" x14ac:dyDescent="0.2">
      <c r="BN10476" s="192"/>
      <c r="BO10476" s="197"/>
      <c r="BP10476" s="197"/>
      <c r="BQ10476" s="197"/>
    </row>
    <row r="10477" spans="66:69" x14ac:dyDescent="0.2">
      <c r="BN10477" s="192"/>
      <c r="BO10477" s="197"/>
      <c r="BP10477" s="197"/>
      <c r="BQ10477" s="197"/>
    </row>
    <row r="10478" spans="66:69" x14ac:dyDescent="0.2">
      <c r="BN10478" s="192"/>
      <c r="BO10478" s="197"/>
      <c r="BP10478" s="197"/>
      <c r="BQ10478" s="197"/>
    </row>
    <row r="10479" spans="66:69" x14ac:dyDescent="0.2">
      <c r="BN10479" s="192"/>
      <c r="BO10479" s="197"/>
      <c r="BP10479" s="197"/>
      <c r="BQ10479" s="197"/>
    </row>
    <row r="10480" spans="66:69" x14ac:dyDescent="0.2">
      <c r="BN10480" s="192"/>
      <c r="BO10480" s="197"/>
      <c r="BP10480" s="197"/>
      <c r="BQ10480" s="197"/>
    </row>
    <row r="10481" spans="66:69" x14ac:dyDescent="0.2">
      <c r="BN10481" s="192"/>
      <c r="BO10481" s="197"/>
      <c r="BP10481" s="197"/>
      <c r="BQ10481" s="197"/>
    </row>
    <row r="10482" spans="66:69" x14ac:dyDescent="0.2">
      <c r="BN10482" s="192"/>
      <c r="BO10482" s="197"/>
      <c r="BP10482" s="197"/>
      <c r="BQ10482" s="197"/>
    </row>
    <row r="10483" spans="66:69" x14ac:dyDescent="0.2">
      <c r="BN10483" s="192"/>
      <c r="BO10483" s="197"/>
      <c r="BP10483" s="197"/>
      <c r="BQ10483" s="197"/>
    </row>
    <row r="10484" spans="66:69" x14ac:dyDescent="0.2">
      <c r="BN10484" s="192"/>
      <c r="BO10484" s="197"/>
      <c r="BP10484" s="197"/>
      <c r="BQ10484" s="197"/>
    </row>
    <row r="10485" spans="66:69" x14ac:dyDescent="0.2">
      <c r="BN10485" s="192"/>
      <c r="BO10485" s="197"/>
      <c r="BP10485" s="197"/>
      <c r="BQ10485" s="197"/>
    </row>
    <row r="10486" spans="66:69" x14ac:dyDescent="0.2">
      <c r="BN10486" s="192"/>
      <c r="BO10486" s="197"/>
      <c r="BP10486" s="197"/>
      <c r="BQ10486" s="197"/>
    </row>
    <row r="10487" spans="66:69" x14ac:dyDescent="0.2">
      <c r="BN10487" s="192"/>
      <c r="BO10487" s="197"/>
      <c r="BP10487" s="197"/>
      <c r="BQ10487" s="197"/>
    </row>
    <row r="10488" spans="66:69" x14ac:dyDescent="0.2">
      <c r="BN10488" s="192"/>
      <c r="BO10488" s="197"/>
      <c r="BP10488" s="197"/>
      <c r="BQ10488" s="197"/>
    </row>
    <row r="10489" spans="66:69" x14ac:dyDescent="0.2">
      <c r="BN10489" s="192"/>
      <c r="BO10489" s="197"/>
      <c r="BP10489" s="197"/>
      <c r="BQ10489" s="197"/>
    </row>
    <row r="10490" spans="66:69" x14ac:dyDescent="0.2">
      <c r="BN10490" s="192"/>
      <c r="BO10490" s="197"/>
      <c r="BP10490" s="197"/>
      <c r="BQ10490" s="197"/>
    </row>
    <row r="10491" spans="66:69" x14ac:dyDescent="0.2">
      <c r="BN10491" s="192"/>
      <c r="BO10491" s="197"/>
      <c r="BP10491" s="197"/>
      <c r="BQ10491" s="197"/>
    </row>
    <row r="10492" spans="66:69" x14ac:dyDescent="0.2">
      <c r="BN10492" s="192"/>
      <c r="BO10492" s="197"/>
      <c r="BP10492" s="197"/>
      <c r="BQ10492" s="197"/>
    </row>
    <row r="10493" spans="66:69" x14ac:dyDescent="0.2">
      <c r="BN10493" s="192"/>
      <c r="BO10493" s="197"/>
      <c r="BP10493" s="197"/>
      <c r="BQ10493" s="197"/>
    </row>
    <row r="10494" spans="66:69" x14ac:dyDescent="0.2">
      <c r="BN10494" s="192"/>
      <c r="BO10494" s="197"/>
      <c r="BP10494" s="197"/>
      <c r="BQ10494" s="197"/>
    </row>
    <row r="10495" spans="66:69" x14ac:dyDescent="0.2">
      <c r="BN10495" s="192"/>
      <c r="BO10495" s="197"/>
      <c r="BP10495" s="197"/>
      <c r="BQ10495" s="197"/>
    </row>
    <row r="10496" spans="66:69" x14ac:dyDescent="0.2">
      <c r="BN10496" s="192"/>
      <c r="BO10496" s="197"/>
      <c r="BP10496" s="197"/>
      <c r="BQ10496" s="197"/>
    </row>
    <row r="10497" spans="66:69" x14ac:dyDescent="0.2">
      <c r="BN10497" s="192"/>
      <c r="BO10497" s="197"/>
      <c r="BP10497" s="197"/>
      <c r="BQ10497" s="197"/>
    </row>
    <row r="10498" spans="66:69" x14ac:dyDescent="0.2">
      <c r="BN10498" s="192"/>
      <c r="BO10498" s="197"/>
      <c r="BP10498" s="197"/>
      <c r="BQ10498" s="197"/>
    </row>
    <row r="10499" spans="66:69" x14ac:dyDescent="0.2">
      <c r="BN10499" s="192"/>
      <c r="BO10499" s="197"/>
      <c r="BP10499" s="197"/>
      <c r="BQ10499" s="197"/>
    </row>
    <row r="10500" spans="66:69" x14ac:dyDescent="0.2">
      <c r="BN10500" s="192"/>
      <c r="BO10500" s="197"/>
      <c r="BP10500" s="197"/>
      <c r="BQ10500" s="197"/>
    </row>
    <row r="10501" spans="66:69" x14ac:dyDescent="0.2">
      <c r="BN10501" s="192"/>
      <c r="BO10501" s="197"/>
      <c r="BP10501" s="197"/>
      <c r="BQ10501" s="197"/>
    </row>
    <row r="10502" spans="66:69" x14ac:dyDescent="0.2">
      <c r="BN10502" s="192"/>
      <c r="BO10502" s="197"/>
      <c r="BP10502" s="197"/>
      <c r="BQ10502" s="197"/>
    </row>
    <row r="10503" spans="66:69" x14ac:dyDescent="0.2">
      <c r="BN10503" s="192"/>
      <c r="BO10503" s="197"/>
      <c r="BP10503" s="197"/>
      <c r="BQ10503" s="197"/>
    </row>
    <row r="10504" spans="66:69" x14ac:dyDescent="0.2">
      <c r="BN10504" s="192"/>
      <c r="BO10504" s="197"/>
      <c r="BP10504" s="197"/>
      <c r="BQ10504" s="197"/>
    </row>
    <row r="10505" spans="66:69" x14ac:dyDescent="0.2">
      <c r="BN10505" s="192"/>
      <c r="BO10505" s="197"/>
      <c r="BP10505" s="197"/>
      <c r="BQ10505" s="197"/>
    </row>
    <row r="10506" spans="66:69" x14ac:dyDescent="0.2">
      <c r="BN10506" s="192"/>
      <c r="BO10506" s="197"/>
      <c r="BP10506" s="197"/>
      <c r="BQ10506" s="197"/>
    </row>
    <row r="10507" spans="66:69" x14ac:dyDescent="0.2">
      <c r="BN10507" s="192"/>
      <c r="BO10507" s="197"/>
      <c r="BP10507" s="197"/>
      <c r="BQ10507" s="197"/>
    </row>
    <row r="10508" spans="66:69" x14ac:dyDescent="0.2">
      <c r="BN10508" s="192"/>
      <c r="BO10508" s="197"/>
      <c r="BP10508" s="197"/>
      <c r="BQ10508" s="197"/>
    </row>
    <row r="10509" spans="66:69" x14ac:dyDescent="0.2">
      <c r="BN10509" s="192"/>
      <c r="BO10509" s="197"/>
      <c r="BP10509" s="197"/>
      <c r="BQ10509" s="197"/>
    </row>
    <row r="10510" spans="66:69" x14ac:dyDescent="0.2">
      <c r="BN10510" s="192"/>
      <c r="BO10510" s="197"/>
      <c r="BP10510" s="197"/>
      <c r="BQ10510" s="197"/>
    </row>
    <row r="10511" spans="66:69" x14ac:dyDescent="0.2">
      <c r="BN10511" s="192"/>
      <c r="BO10511" s="197"/>
      <c r="BP10511" s="197"/>
      <c r="BQ10511" s="197"/>
    </row>
    <row r="10512" spans="66:69" x14ac:dyDescent="0.2">
      <c r="BN10512" s="192"/>
      <c r="BO10512" s="197"/>
      <c r="BP10512" s="197"/>
      <c r="BQ10512" s="197"/>
    </row>
    <row r="10513" spans="66:69" x14ac:dyDescent="0.2">
      <c r="BN10513" s="192"/>
      <c r="BO10513" s="197"/>
      <c r="BP10513" s="197"/>
      <c r="BQ10513" s="197"/>
    </row>
    <row r="10514" spans="66:69" x14ac:dyDescent="0.2">
      <c r="BN10514" s="192"/>
      <c r="BO10514" s="197"/>
      <c r="BP10514" s="197"/>
      <c r="BQ10514" s="197"/>
    </row>
    <row r="10515" spans="66:69" x14ac:dyDescent="0.2">
      <c r="BN10515" s="192"/>
      <c r="BO10515" s="197"/>
      <c r="BP10515" s="197"/>
      <c r="BQ10515" s="197"/>
    </row>
    <row r="10516" spans="66:69" x14ac:dyDescent="0.2">
      <c r="BN10516" s="192"/>
      <c r="BO10516" s="197"/>
      <c r="BP10516" s="197"/>
      <c r="BQ10516" s="197"/>
    </row>
    <row r="10517" spans="66:69" x14ac:dyDescent="0.2">
      <c r="BN10517" s="192"/>
      <c r="BO10517" s="197"/>
      <c r="BP10517" s="197"/>
      <c r="BQ10517" s="197"/>
    </row>
    <row r="10518" spans="66:69" x14ac:dyDescent="0.2">
      <c r="BN10518" s="192"/>
      <c r="BO10518" s="197"/>
      <c r="BP10518" s="197"/>
      <c r="BQ10518" s="197"/>
    </row>
    <row r="10519" spans="66:69" x14ac:dyDescent="0.2">
      <c r="BN10519" s="192"/>
      <c r="BO10519" s="197"/>
      <c r="BP10519" s="197"/>
      <c r="BQ10519" s="197"/>
    </row>
    <row r="10520" spans="66:69" x14ac:dyDescent="0.2">
      <c r="BN10520" s="192"/>
      <c r="BO10520" s="197"/>
      <c r="BP10520" s="197"/>
      <c r="BQ10520" s="197"/>
    </row>
    <row r="10521" spans="66:69" x14ac:dyDescent="0.2">
      <c r="BN10521" s="192"/>
      <c r="BO10521" s="197"/>
      <c r="BP10521" s="197"/>
      <c r="BQ10521" s="197"/>
    </row>
    <row r="10522" spans="66:69" x14ac:dyDescent="0.2">
      <c r="BN10522" s="192"/>
      <c r="BO10522" s="197"/>
      <c r="BP10522" s="197"/>
      <c r="BQ10522" s="197"/>
    </row>
    <row r="10523" spans="66:69" x14ac:dyDescent="0.2">
      <c r="BN10523" s="192"/>
      <c r="BO10523" s="197"/>
      <c r="BP10523" s="197"/>
      <c r="BQ10523" s="197"/>
    </row>
    <row r="10524" spans="66:69" x14ac:dyDescent="0.2">
      <c r="BN10524" s="192"/>
      <c r="BO10524" s="197"/>
      <c r="BP10524" s="197"/>
      <c r="BQ10524" s="197"/>
    </row>
    <row r="10525" spans="66:69" x14ac:dyDescent="0.2">
      <c r="BN10525" s="192"/>
      <c r="BO10525" s="197"/>
      <c r="BP10525" s="197"/>
      <c r="BQ10525" s="197"/>
    </row>
    <row r="10526" spans="66:69" x14ac:dyDescent="0.2">
      <c r="BN10526" s="192"/>
      <c r="BO10526" s="197"/>
      <c r="BP10526" s="197"/>
      <c r="BQ10526" s="197"/>
    </row>
    <row r="10527" spans="66:69" x14ac:dyDescent="0.2">
      <c r="BN10527" s="192"/>
      <c r="BO10527" s="197"/>
      <c r="BP10527" s="197"/>
      <c r="BQ10527" s="197"/>
    </row>
    <row r="10528" spans="66:69" x14ac:dyDescent="0.2">
      <c r="BN10528" s="192"/>
      <c r="BO10528" s="197"/>
      <c r="BP10528" s="197"/>
      <c r="BQ10528" s="197"/>
    </row>
    <row r="10529" spans="66:69" x14ac:dyDescent="0.2">
      <c r="BN10529" s="192"/>
      <c r="BO10529" s="197"/>
      <c r="BP10529" s="197"/>
      <c r="BQ10529" s="197"/>
    </row>
    <row r="10530" spans="66:69" x14ac:dyDescent="0.2">
      <c r="BN10530" s="192"/>
      <c r="BO10530" s="197"/>
      <c r="BP10530" s="197"/>
      <c r="BQ10530" s="197"/>
    </row>
    <row r="10531" spans="66:69" x14ac:dyDescent="0.2">
      <c r="BN10531" s="192"/>
      <c r="BO10531" s="197"/>
      <c r="BP10531" s="197"/>
      <c r="BQ10531" s="197"/>
    </row>
    <row r="10532" spans="66:69" x14ac:dyDescent="0.2">
      <c r="BN10532" s="192"/>
      <c r="BO10532" s="197"/>
      <c r="BP10532" s="197"/>
      <c r="BQ10532" s="197"/>
    </row>
    <row r="10533" spans="66:69" x14ac:dyDescent="0.2">
      <c r="BN10533" s="192"/>
      <c r="BO10533" s="197"/>
      <c r="BP10533" s="197"/>
      <c r="BQ10533" s="197"/>
    </row>
    <row r="10534" spans="66:69" x14ac:dyDescent="0.2">
      <c r="BN10534" s="192"/>
      <c r="BO10534" s="197"/>
      <c r="BP10534" s="197"/>
      <c r="BQ10534" s="197"/>
    </row>
    <row r="10535" spans="66:69" x14ac:dyDescent="0.2">
      <c r="BN10535" s="192"/>
      <c r="BO10535" s="197"/>
      <c r="BP10535" s="197"/>
      <c r="BQ10535" s="197"/>
    </row>
    <row r="10536" spans="66:69" x14ac:dyDescent="0.2">
      <c r="BN10536" s="192"/>
      <c r="BO10536" s="197"/>
      <c r="BP10536" s="197"/>
      <c r="BQ10536" s="197"/>
    </row>
    <row r="10537" spans="66:69" x14ac:dyDescent="0.2">
      <c r="BN10537" s="192"/>
      <c r="BO10537" s="197"/>
      <c r="BP10537" s="197"/>
      <c r="BQ10537" s="197"/>
    </row>
    <row r="10538" spans="66:69" x14ac:dyDescent="0.2">
      <c r="BN10538" s="192"/>
      <c r="BO10538" s="197"/>
      <c r="BP10538" s="197"/>
      <c r="BQ10538" s="197"/>
    </row>
    <row r="10539" spans="66:69" x14ac:dyDescent="0.2">
      <c r="BN10539" s="192"/>
      <c r="BO10539" s="197"/>
      <c r="BP10539" s="197"/>
      <c r="BQ10539" s="197"/>
    </row>
    <row r="10540" spans="66:69" x14ac:dyDescent="0.2">
      <c r="BN10540" s="192"/>
      <c r="BO10540" s="197"/>
      <c r="BP10540" s="197"/>
      <c r="BQ10540" s="197"/>
    </row>
    <row r="10541" spans="66:69" x14ac:dyDescent="0.2">
      <c r="BN10541" s="192"/>
      <c r="BO10541" s="197"/>
      <c r="BP10541" s="197"/>
      <c r="BQ10541" s="197"/>
    </row>
    <row r="10542" spans="66:69" x14ac:dyDescent="0.2">
      <c r="BN10542" s="192"/>
      <c r="BO10542" s="197"/>
      <c r="BP10542" s="197"/>
      <c r="BQ10542" s="197"/>
    </row>
    <row r="10543" spans="66:69" x14ac:dyDescent="0.2">
      <c r="BN10543" s="192"/>
      <c r="BO10543" s="197"/>
      <c r="BP10543" s="197"/>
      <c r="BQ10543" s="197"/>
    </row>
    <row r="10544" spans="66:69" x14ac:dyDescent="0.2">
      <c r="BN10544" s="192"/>
      <c r="BO10544" s="197"/>
      <c r="BP10544" s="197"/>
      <c r="BQ10544" s="197"/>
    </row>
    <row r="10545" spans="66:69" x14ac:dyDescent="0.2">
      <c r="BN10545" s="192"/>
      <c r="BO10545" s="197"/>
      <c r="BP10545" s="197"/>
      <c r="BQ10545" s="197"/>
    </row>
    <row r="10546" spans="66:69" x14ac:dyDescent="0.2">
      <c r="BN10546" s="192"/>
      <c r="BO10546" s="197"/>
      <c r="BP10546" s="197"/>
      <c r="BQ10546" s="197"/>
    </row>
    <row r="10547" spans="66:69" x14ac:dyDescent="0.2">
      <c r="BN10547" s="192"/>
      <c r="BO10547" s="197"/>
      <c r="BP10547" s="197"/>
      <c r="BQ10547" s="197"/>
    </row>
    <row r="10548" spans="66:69" x14ac:dyDescent="0.2">
      <c r="BN10548" s="192"/>
      <c r="BO10548" s="197"/>
      <c r="BP10548" s="197"/>
      <c r="BQ10548" s="197"/>
    </row>
    <row r="10549" spans="66:69" x14ac:dyDescent="0.2">
      <c r="BN10549" s="192"/>
      <c r="BO10549" s="197"/>
      <c r="BP10549" s="197"/>
      <c r="BQ10549" s="197"/>
    </row>
    <row r="10550" spans="66:69" x14ac:dyDescent="0.2">
      <c r="BN10550" s="192"/>
      <c r="BO10550" s="197"/>
      <c r="BP10550" s="197"/>
      <c r="BQ10550" s="197"/>
    </row>
    <row r="10551" spans="66:69" x14ac:dyDescent="0.2">
      <c r="BN10551" s="192"/>
      <c r="BO10551" s="197"/>
      <c r="BP10551" s="197"/>
      <c r="BQ10551" s="197"/>
    </row>
    <row r="10552" spans="66:69" x14ac:dyDescent="0.2">
      <c r="BN10552" s="192"/>
      <c r="BO10552" s="197"/>
      <c r="BP10552" s="197"/>
      <c r="BQ10552" s="197"/>
    </row>
    <row r="10553" spans="66:69" x14ac:dyDescent="0.2">
      <c r="BN10553" s="192"/>
      <c r="BO10553" s="197"/>
      <c r="BP10553" s="197"/>
      <c r="BQ10553" s="197"/>
    </row>
    <row r="10554" spans="66:69" x14ac:dyDescent="0.2">
      <c r="BN10554" s="192"/>
      <c r="BO10554" s="197"/>
      <c r="BP10554" s="197"/>
      <c r="BQ10554" s="197"/>
    </row>
    <row r="10555" spans="66:69" x14ac:dyDescent="0.2">
      <c r="BN10555" s="192"/>
      <c r="BO10555" s="197"/>
      <c r="BP10555" s="197"/>
      <c r="BQ10555" s="197"/>
    </row>
    <row r="10556" spans="66:69" x14ac:dyDescent="0.2">
      <c r="BN10556" s="192"/>
      <c r="BO10556" s="197"/>
      <c r="BP10556" s="197"/>
      <c r="BQ10556" s="197"/>
    </row>
    <row r="10557" spans="66:69" x14ac:dyDescent="0.2">
      <c r="BN10557" s="192"/>
      <c r="BO10557" s="197"/>
      <c r="BP10557" s="197"/>
      <c r="BQ10557" s="197"/>
    </row>
    <row r="10558" spans="66:69" x14ac:dyDescent="0.2">
      <c r="BN10558" s="192"/>
      <c r="BO10558" s="197"/>
      <c r="BP10558" s="197"/>
      <c r="BQ10558" s="197"/>
    </row>
    <row r="10559" spans="66:69" x14ac:dyDescent="0.2">
      <c r="BN10559" s="192"/>
      <c r="BO10559" s="197"/>
      <c r="BP10559" s="197"/>
      <c r="BQ10559" s="197"/>
    </row>
    <row r="10560" spans="66:69" x14ac:dyDescent="0.2">
      <c r="BN10560" s="192"/>
      <c r="BO10560" s="197"/>
      <c r="BP10560" s="197"/>
      <c r="BQ10560" s="197"/>
    </row>
    <row r="10561" spans="66:69" x14ac:dyDescent="0.2">
      <c r="BN10561" s="192"/>
      <c r="BO10561" s="197"/>
      <c r="BP10561" s="197"/>
      <c r="BQ10561" s="197"/>
    </row>
    <row r="10562" spans="66:69" x14ac:dyDescent="0.2">
      <c r="BN10562" s="192"/>
      <c r="BO10562" s="197"/>
      <c r="BP10562" s="197"/>
      <c r="BQ10562" s="197"/>
    </row>
    <row r="10563" spans="66:69" x14ac:dyDescent="0.2">
      <c r="BN10563" s="192"/>
      <c r="BO10563" s="197"/>
      <c r="BP10563" s="197"/>
      <c r="BQ10563" s="197"/>
    </row>
    <row r="10564" spans="66:69" x14ac:dyDescent="0.2">
      <c r="BN10564" s="192"/>
      <c r="BO10564" s="197"/>
      <c r="BP10564" s="197"/>
      <c r="BQ10564" s="197"/>
    </row>
    <row r="10565" spans="66:69" x14ac:dyDescent="0.2">
      <c r="BN10565" s="192"/>
      <c r="BO10565" s="197"/>
      <c r="BP10565" s="197"/>
      <c r="BQ10565" s="197"/>
    </row>
    <row r="10566" spans="66:69" x14ac:dyDescent="0.2">
      <c r="BN10566" s="192"/>
      <c r="BO10566" s="197"/>
      <c r="BP10566" s="197"/>
      <c r="BQ10566" s="197"/>
    </row>
    <row r="10567" spans="66:69" x14ac:dyDescent="0.2">
      <c r="BN10567" s="192"/>
      <c r="BO10567" s="197"/>
      <c r="BP10567" s="197"/>
      <c r="BQ10567" s="197"/>
    </row>
    <row r="10568" spans="66:69" x14ac:dyDescent="0.2">
      <c r="BN10568" s="192"/>
      <c r="BO10568" s="197"/>
      <c r="BP10568" s="197"/>
      <c r="BQ10568" s="197"/>
    </row>
    <row r="10569" spans="66:69" x14ac:dyDescent="0.2">
      <c r="BN10569" s="192"/>
      <c r="BO10569" s="197"/>
      <c r="BP10569" s="197"/>
      <c r="BQ10569" s="197"/>
    </row>
    <row r="10570" spans="66:69" x14ac:dyDescent="0.2">
      <c r="BN10570" s="192"/>
      <c r="BO10570" s="197"/>
      <c r="BP10570" s="197"/>
      <c r="BQ10570" s="197"/>
    </row>
    <row r="10571" spans="66:69" x14ac:dyDescent="0.2">
      <c r="BN10571" s="192"/>
      <c r="BO10571" s="197"/>
      <c r="BP10571" s="197"/>
      <c r="BQ10571" s="197"/>
    </row>
    <row r="10572" spans="66:69" x14ac:dyDescent="0.2">
      <c r="BN10572" s="192"/>
      <c r="BO10572" s="197"/>
      <c r="BP10572" s="197"/>
      <c r="BQ10572" s="197"/>
    </row>
    <row r="10573" spans="66:69" x14ac:dyDescent="0.2">
      <c r="BN10573" s="192"/>
      <c r="BO10573" s="197"/>
      <c r="BP10573" s="197"/>
      <c r="BQ10573" s="197"/>
    </row>
    <row r="10574" spans="66:69" x14ac:dyDescent="0.2">
      <c r="BN10574" s="192"/>
      <c r="BO10574" s="197"/>
      <c r="BP10574" s="197"/>
      <c r="BQ10574" s="197"/>
    </row>
    <row r="10575" spans="66:69" x14ac:dyDescent="0.2">
      <c r="BN10575" s="192"/>
      <c r="BO10575" s="197"/>
      <c r="BP10575" s="197"/>
      <c r="BQ10575" s="197"/>
    </row>
    <row r="10576" spans="66:69" x14ac:dyDescent="0.2">
      <c r="BN10576" s="192"/>
      <c r="BO10576" s="197"/>
      <c r="BP10576" s="197"/>
      <c r="BQ10576" s="197"/>
    </row>
    <row r="10577" spans="66:69" x14ac:dyDescent="0.2">
      <c r="BN10577" s="192"/>
      <c r="BO10577" s="197"/>
      <c r="BP10577" s="197"/>
      <c r="BQ10577" s="197"/>
    </row>
    <row r="10578" spans="66:69" x14ac:dyDescent="0.2">
      <c r="BN10578" s="192"/>
      <c r="BO10578" s="197"/>
      <c r="BP10578" s="197"/>
      <c r="BQ10578" s="197"/>
    </row>
    <row r="10579" spans="66:69" x14ac:dyDescent="0.2">
      <c r="BN10579" s="192"/>
      <c r="BO10579" s="197"/>
      <c r="BP10579" s="197"/>
      <c r="BQ10579" s="197"/>
    </row>
    <row r="10580" spans="66:69" x14ac:dyDescent="0.2">
      <c r="BN10580" s="192"/>
      <c r="BO10580" s="197"/>
      <c r="BP10580" s="197"/>
      <c r="BQ10580" s="197"/>
    </row>
    <row r="10581" spans="66:69" x14ac:dyDescent="0.2">
      <c r="BN10581" s="192"/>
      <c r="BO10581" s="197"/>
      <c r="BP10581" s="197"/>
      <c r="BQ10581" s="197"/>
    </row>
    <row r="10582" spans="66:69" x14ac:dyDescent="0.2">
      <c r="BN10582" s="192"/>
      <c r="BO10582" s="197"/>
      <c r="BP10582" s="197"/>
      <c r="BQ10582" s="197"/>
    </row>
    <row r="10583" spans="66:69" x14ac:dyDescent="0.2">
      <c r="BN10583" s="192"/>
      <c r="BO10583" s="197"/>
      <c r="BP10583" s="197"/>
      <c r="BQ10583" s="197"/>
    </row>
    <row r="10584" spans="66:69" x14ac:dyDescent="0.2">
      <c r="BN10584" s="192"/>
      <c r="BO10584" s="197"/>
      <c r="BP10584" s="197"/>
      <c r="BQ10584" s="197"/>
    </row>
    <row r="10585" spans="66:69" x14ac:dyDescent="0.2">
      <c r="BN10585" s="192"/>
      <c r="BO10585" s="197"/>
      <c r="BP10585" s="197"/>
      <c r="BQ10585" s="197"/>
    </row>
    <row r="10586" spans="66:69" x14ac:dyDescent="0.2">
      <c r="BN10586" s="192"/>
      <c r="BO10586" s="197"/>
      <c r="BP10586" s="197"/>
      <c r="BQ10586" s="197"/>
    </row>
    <row r="10587" spans="66:69" x14ac:dyDescent="0.2">
      <c r="BN10587" s="192"/>
      <c r="BO10587" s="197"/>
      <c r="BP10587" s="197"/>
      <c r="BQ10587" s="197"/>
    </row>
    <row r="10588" spans="66:69" x14ac:dyDescent="0.2">
      <c r="BN10588" s="192"/>
      <c r="BO10588" s="197"/>
      <c r="BP10588" s="197"/>
      <c r="BQ10588" s="197"/>
    </row>
    <row r="10589" spans="66:69" x14ac:dyDescent="0.2">
      <c r="BN10589" s="192"/>
      <c r="BO10589" s="197"/>
      <c r="BP10589" s="197"/>
      <c r="BQ10589" s="197"/>
    </row>
    <row r="10590" spans="66:69" x14ac:dyDescent="0.2">
      <c r="BN10590" s="192"/>
      <c r="BO10590" s="197"/>
      <c r="BP10590" s="197"/>
      <c r="BQ10590" s="197"/>
    </row>
    <row r="10591" spans="66:69" x14ac:dyDescent="0.2">
      <c r="BN10591" s="192"/>
      <c r="BO10591" s="197"/>
      <c r="BP10591" s="197"/>
      <c r="BQ10591" s="197"/>
    </row>
    <row r="10592" spans="66:69" x14ac:dyDescent="0.2">
      <c r="BN10592" s="192"/>
      <c r="BO10592" s="197"/>
      <c r="BP10592" s="197"/>
      <c r="BQ10592" s="197"/>
    </row>
    <row r="10593" spans="66:69" x14ac:dyDescent="0.2">
      <c r="BN10593" s="192"/>
      <c r="BO10593" s="197"/>
      <c r="BP10593" s="197"/>
      <c r="BQ10593" s="197"/>
    </row>
    <row r="10594" spans="66:69" x14ac:dyDescent="0.2">
      <c r="BN10594" s="192"/>
      <c r="BO10594" s="197"/>
      <c r="BP10594" s="197"/>
      <c r="BQ10594" s="197"/>
    </row>
    <row r="10595" spans="66:69" x14ac:dyDescent="0.2">
      <c r="BN10595" s="192"/>
      <c r="BO10595" s="197"/>
      <c r="BP10595" s="197"/>
      <c r="BQ10595" s="197"/>
    </row>
    <row r="10596" spans="66:69" x14ac:dyDescent="0.2">
      <c r="BN10596" s="192"/>
      <c r="BO10596" s="197"/>
      <c r="BP10596" s="197"/>
      <c r="BQ10596" s="197"/>
    </row>
    <row r="10597" spans="66:69" x14ac:dyDescent="0.2">
      <c r="BN10597" s="192"/>
      <c r="BO10597" s="197"/>
      <c r="BP10597" s="197"/>
      <c r="BQ10597" s="197"/>
    </row>
    <row r="10598" spans="66:69" x14ac:dyDescent="0.2">
      <c r="BN10598" s="192"/>
      <c r="BO10598" s="197"/>
      <c r="BP10598" s="197"/>
      <c r="BQ10598" s="197"/>
    </row>
    <row r="10599" spans="66:69" x14ac:dyDescent="0.2">
      <c r="BN10599" s="192"/>
      <c r="BO10599" s="197"/>
      <c r="BP10599" s="197"/>
      <c r="BQ10599" s="197"/>
    </row>
    <row r="10600" spans="66:69" x14ac:dyDescent="0.2">
      <c r="BN10600" s="192"/>
      <c r="BO10600" s="197"/>
      <c r="BP10600" s="197"/>
      <c r="BQ10600" s="197"/>
    </row>
    <row r="10601" spans="66:69" x14ac:dyDescent="0.2">
      <c r="BN10601" s="192"/>
      <c r="BO10601" s="197"/>
      <c r="BP10601" s="197"/>
      <c r="BQ10601" s="197"/>
    </row>
    <row r="10602" spans="66:69" x14ac:dyDescent="0.2">
      <c r="BN10602" s="192"/>
      <c r="BO10602" s="197"/>
      <c r="BP10602" s="197"/>
      <c r="BQ10602" s="197"/>
    </row>
    <row r="10603" spans="66:69" x14ac:dyDescent="0.2">
      <c r="BN10603" s="192"/>
      <c r="BO10603" s="197"/>
      <c r="BP10603" s="197"/>
      <c r="BQ10603" s="197"/>
    </row>
    <row r="10604" spans="66:69" x14ac:dyDescent="0.2">
      <c r="BN10604" s="192"/>
      <c r="BO10604" s="197"/>
      <c r="BP10604" s="197"/>
      <c r="BQ10604" s="197"/>
    </row>
    <row r="10605" spans="66:69" x14ac:dyDescent="0.2">
      <c r="BN10605" s="192"/>
      <c r="BO10605" s="197"/>
      <c r="BP10605" s="197"/>
      <c r="BQ10605" s="197"/>
    </row>
    <row r="10606" spans="66:69" x14ac:dyDescent="0.2">
      <c r="BN10606" s="192"/>
      <c r="BO10606" s="197"/>
      <c r="BP10606" s="197"/>
      <c r="BQ10606" s="197"/>
    </row>
    <row r="10607" spans="66:69" x14ac:dyDescent="0.2">
      <c r="BN10607" s="192"/>
      <c r="BO10607" s="197"/>
      <c r="BP10607" s="197"/>
      <c r="BQ10607" s="197"/>
    </row>
    <row r="10608" spans="66:69" x14ac:dyDescent="0.2">
      <c r="BN10608" s="192"/>
      <c r="BO10608" s="197"/>
      <c r="BP10608" s="197"/>
      <c r="BQ10608" s="197"/>
    </row>
    <row r="10609" spans="66:69" x14ac:dyDescent="0.2">
      <c r="BN10609" s="192"/>
      <c r="BO10609" s="197"/>
      <c r="BP10609" s="197"/>
      <c r="BQ10609" s="197"/>
    </row>
    <row r="10610" spans="66:69" x14ac:dyDescent="0.2">
      <c r="BN10610" s="192"/>
      <c r="BO10610" s="197"/>
      <c r="BP10610" s="197"/>
      <c r="BQ10610" s="197"/>
    </row>
    <row r="10611" spans="66:69" x14ac:dyDescent="0.2">
      <c r="BN10611" s="192"/>
      <c r="BO10611" s="197"/>
      <c r="BP10611" s="197"/>
      <c r="BQ10611" s="197"/>
    </row>
    <row r="10612" spans="66:69" x14ac:dyDescent="0.2">
      <c r="BN10612" s="192"/>
      <c r="BO10612" s="197"/>
      <c r="BP10612" s="197"/>
      <c r="BQ10612" s="197"/>
    </row>
    <row r="10613" spans="66:69" x14ac:dyDescent="0.2">
      <c r="BN10613" s="192"/>
      <c r="BO10613" s="197"/>
      <c r="BP10613" s="197"/>
      <c r="BQ10613" s="197"/>
    </row>
    <row r="10614" spans="66:69" x14ac:dyDescent="0.2">
      <c r="BN10614" s="192"/>
      <c r="BO10614" s="197"/>
      <c r="BP10614" s="197"/>
      <c r="BQ10614" s="197"/>
    </row>
    <row r="10615" spans="66:69" x14ac:dyDescent="0.2">
      <c r="BN10615" s="192"/>
      <c r="BO10615" s="197"/>
      <c r="BP10615" s="197"/>
      <c r="BQ10615" s="197"/>
    </row>
    <row r="10616" spans="66:69" x14ac:dyDescent="0.2">
      <c r="BN10616" s="192"/>
      <c r="BO10616" s="197"/>
      <c r="BP10616" s="197"/>
      <c r="BQ10616" s="197"/>
    </row>
    <row r="10617" spans="66:69" x14ac:dyDescent="0.2">
      <c r="BN10617" s="192"/>
      <c r="BO10617" s="197"/>
      <c r="BP10617" s="197"/>
      <c r="BQ10617" s="197"/>
    </row>
    <row r="10618" spans="66:69" x14ac:dyDescent="0.2">
      <c r="BN10618" s="192"/>
      <c r="BO10618" s="197"/>
      <c r="BP10618" s="197"/>
      <c r="BQ10618" s="197"/>
    </row>
    <row r="10619" spans="66:69" x14ac:dyDescent="0.2">
      <c r="BN10619" s="192"/>
      <c r="BO10619" s="197"/>
      <c r="BP10619" s="197"/>
      <c r="BQ10619" s="197"/>
    </row>
    <row r="10620" spans="66:69" x14ac:dyDescent="0.2">
      <c r="BN10620" s="192"/>
      <c r="BO10620" s="197"/>
      <c r="BP10620" s="197"/>
      <c r="BQ10620" s="197"/>
    </row>
    <row r="10621" spans="66:69" x14ac:dyDescent="0.2">
      <c r="BN10621" s="192"/>
      <c r="BO10621" s="197"/>
      <c r="BP10621" s="197"/>
      <c r="BQ10621" s="197"/>
    </row>
    <row r="10622" spans="66:69" x14ac:dyDescent="0.2">
      <c r="BN10622" s="192"/>
      <c r="BO10622" s="197"/>
      <c r="BP10622" s="197"/>
      <c r="BQ10622" s="197"/>
    </row>
    <row r="10623" spans="66:69" x14ac:dyDescent="0.2">
      <c r="BN10623" s="192"/>
      <c r="BO10623" s="197"/>
      <c r="BP10623" s="197"/>
      <c r="BQ10623" s="197"/>
    </row>
    <row r="10624" spans="66:69" x14ac:dyDescent="0.2">
      <c r="BN10624" s="192"/>
      <c r="BO10624" s="197"/>
      <c r="BP10624" s="197"/>
      <c r="BQ10624" s="197"/>
    </row>
    <row r="10625" spans="66:69" x14ac:dyDescent="0.2">
      <c r="BN10625" s="192"/>
      <c r="BO10625" s="197"/>
      <c r="BP10625" s="197"/>
      <c r="BQ10625" s="197"/>
    </row>
    <row r="10626" spans="66:69" x14ac:dyDescent="0.2">
      <c r="BN10626" s="192"/>
      <c r="BO10626" s="197"/>
      <c r="BP10626" s="197"/>
      <c r="BQ10626" s="197"/>
    </row>
    <row r="10627" spans="66:69" x14ac:dyDescent="0.2">
      <c r="BN10627" s="192"/>
      <c r="BO10627" s="197"/>
      <c r="BP10627" s="197"/>
      <c r="BQ10627" s="197"/>
    </row>
    <row r="10628" spans="66:69" x14ac:dyDescent="0.2">
      <c r="BN10628" s="192"/>
      <c r="BO10628" s="197"/>
      <c r="BP10628" s="197"/>
      <c r="BQ10628" s="197"/>
    </row>
    <row r="10629" spans="66:69" x14ac:dyDescent="0.2">
      <c r="BN10629" s="192"/>
      <c r="BO10629" s="197"/>
      <c r="BP10629" s="197"/>
      <c r="BQ10629" s="197"/>
    </row>
    <row r="10630" spans="66:69" x14ac:dyDescent="0.2">
      <c r="BN10630" s="192"/>
      <c r="BO10630" s="197"/>
      <c r="BP10630" s="197"/>
      <c r="BQ10630" s="197"/>
    </row>
    <row r="10631" spans="66:69" x14ac:dyDescent="0.2">
      <c r="BN10631" s="192"/>
      <c r="BO10631" s="197"/>
      <c r="BP10631" s="197"/>
      <c r="BQ10631" s="197"/>
    </row>
    <row r="10632" spans="66:69" x14ac:dyDescent="0.2">
      <c r="BN10632" s="192"/>
      <c r="BO10632" s="197"/>
      <c r="BP10632" s="197"/>
      <c r="BQ10632" s="197"/>
    </row>
    <row r="10633" spans="66:69" x14ac:dyDescent="0.2">
      <c r="BN10633" s="192"/>
      <c r="BO10633" s="197"/>
      <c r="BP10633" s="197"/>
      <c r="BQ10633" s="197"/>
    </row>
    <row r="10634" spans="66:69" x14ac:dyDescent="0.2">
      <c r="BN10634" s="192"/>
      <c r="BO10634" s="197"/>
      <c r="BP10634" s="197"/>
      <c r="BQ10634" s="197"/>
    </row>
    <row r="10635" spans="66:69" x14ac:dyDescent="0.2">
      <c r="BN10635" s="192"/>
      <c r="BO10635" s="197"/>
      <c r="BP10635" s="197"/>
      <c r="BQ10635" s="197"/>
    </row>
    <row r="10636" spans="66:69" x14ac:dyDescent="0.2">
      <c r="BN10636" s="192"/>
      <c r="BO10636" s="197"/>
      <c r="BP10636" s="197"/>
      <c r="BQ10636" s="197"/>
    </row>
    <row r="10637" spans="66:69" x14ac:dyDescent="0.2">
      <c r="BN10637" s="192"/>
      <c r="BO10637" s="197"/>
      <c r="BP10637" s="197"/>
      <c r="BQ10637" s="197"/>
    </row>
    <row r="10638" spans="66:69" x14ac:dyDescent="0.2">
      <c r="BN10638" s="192"/>
      <c r="BO10638" s="197"/>
      <c r="BP10638" s="197"/>
      <c r="BQ10638" s="197"/>
    </row>
    <row r="10639" spans="66:69" x14ac:dyDescent="0.2">
      <c r="BN10639" s="192"/>
      <c r="BO10639" s="197"/>
      <c r="BP10639" s="197"/>
      <c r="BQ10639" s="197"/>
    </row>
    <row r="10640" spans="66:69" x14ac:dyDescent="0.2">
      <c r="BN10640" s="192"/>
      <c r="BO10640" s="197"/>
      <c r="BP10640" s="197"/>
      <c r="BQ10640" s="197"/>
    </row>
    <row r="10641" spans="66:69" x14ac:dyDescent="0.2">
      <c r="BN10641" s="192"/>
      <c r="BO10641" s="197"/>
      <c r="BP10641" s="197"/>
      <c r="BQ10641" s="197"/>
    </row>
    <row r="10642" spans="66:69" x14ac:dyDescent="0.2">
      <c r="BN10642" s="192"/>
      <c r="BO10642" s="197"/>
      <c r="BP10642" s="197"/>
      <c r="BQ10642" s="197"/>
    </row>
    <row r="10643" spans="66:69" x14ac:dyDescent="0.2">
      <c r="BN10643" s="192"/>
      <c r="BO10643" s="197"/>
      <c r="BP10643" s="197"/>
      <c r="BQ10643" s="197"/>
    </row>
    <row r="10644" spans="66:69" x14ac:dyDescent="0.2">
      <c r="BN10644" s="192"/>
      <c r="BO10644" s="197"/>
      <c r="BP10644" s="197"/>
      <c r="BQ10644" s="197"/>
    </row>
    <row r="10645" spans="66:69" x14ac:dyDescent="0.2">
      <c r="BN10645" s="192"/>
      <c r="BO10645" s="197"/>
      <c r="BP10645" s="197"/>
      <c r="BQ10645" s="197"/>
    </row>
    <row r="10646" spans="66:69" x14ac:dyDescent="0.2">
      <c r="BN10646" s="192"/>
      <c r="BO10646" s="197"/>
      <c r="BP10646" s="197"/>
      <c r="BQ10646" s="197"/>
    </row>
    <row r="10647" spans="66:69" x14ac:dyDescent="0.2">
      <c r="BN10647" s="192"/>
      <c r="BO10647" s="197"/>
      <c r="BP10647" s="197"/>
      <c r="BQ10647" s="197"/>
    </row>
    <row r="10648" spans="66:69" x14ac:dyDescent="0.2">
      <c r="BN10648" s="192"/>
      <c r="BO10648" s="197"/>
      <c r="BP10648" s="197"/>
      <c r="BQ10648" s="197"/>
    </row>
    <row r="10649" spans="66:69" x14ac:dyDescent="0.2">
      <c r="BN10649" s="192"/>
      <c r="BO10649" s="197"/>
      <c r="BP10649" s="197"/>
      <c r="BQ10649" s="197"/>
    </row>
    <row r="10650" spans="66:69" x14ac:dyDescent="0.2">
      <c r="BN10650" s="192"/>
      <c r="BO10650" s="197"/>
      <c r="BP10650" s="197"/>
      <c r="BQ10650" s="197"/>
    </row>
    <row r="10651" spans="66:69" x14ac:dyDescent="0.2">
      <c r="BN10651" s="192"/>
      <c r="BO10651" s="197"/>
      <c r="BP10651" s="197"/>
      <c r="BQ10651" s="197"/>
    </row>
    <row r="10652" spans="66:69" x14ac:dyDescent="0.2">
      <c r="BN10652" s="192"/>
      <c r="BO10652" s="197"/>
      <c r="BP10652" s="197"/>
      <c r="BQ10652" s="197"/>
    </row>
    <row r="10653" spans="66:69" x14ac:dyDescent="0.2">
      <c r="BN10653" s="192"/>
      <c r="BO10653" s="197"/>
      <c r="BP10653" s="197"/>
      <c r="BQ10653" s="197"/>
    </row>
    <row r="10654" spans="66:69" x14ac:dyDescent="0.2">
      <c r="BN10654" s="192"/>
      <c r="BO10654" s="197"/>
      <c r="BP10654" s="197"/>
      <c r="BQ10654" s="197"/>
    </row>
    <row r="10655" spans="66:69" x14ac:dyDescent="0.2">
      <c r="BN10655" s="192"/>
      <c r="BO10655" s="197"/>
      <c r="BP10655" s="197"/>
      <c r="BQ10655" s="197"/>
    </row>
    <row r="10656" spans="66:69" x14ac:dyDescent="0.2">
      <c r="BN10656" s="192"/>
      <c r="BO10656" s="197"/>
      <c r="BP10656" s="197"/>
      <c r="BQ10656" s="197"/>
    </row>
    <row r="10657" spans="66:69" x14ac:dyDescent="0.2">
      <c r="BN10657" s="192"/>
      <c r="BO10657" s="197"/>
      <c r="BP10657" s="197"/>
      <c r="BQ10657" s="197"/>
    </row>
    <row r="10658" spans="66:69" x14ac:dyDescent="0.2">
      <c r="BN10658" s="192"/>
      <c r="BO10658" s="197"/>
      <c r="BP10658" s="197"/>
      <c r="BQ10658" s="197"/>
    </row>
    <row r="10659" spans="66:69" x14ac:dyDescent="0.2">
      <c r="BN10659" s="192"/>
      <c r="BO10659" s="197"/>
      <c r="BP10659" s="197"/>
      <c r="BQ10659" s="197"/>
    </row>
    <row r="10660" spans="66:69" x14ac:dyDescent="0.2">
      <c r="BN10660" s="192"/>
      <c r="BO10660" s="197"/>
      <c r="BP10660" s="197"/>
      <c r="BQ10660" s="197"/>
    </row>
    <row r="10661" spans="66:69" x14ac:dyDescent="0.2">
      <c r="BN10661" s="192"/>
      <c r="BO10661" s="197"/>
      <c r="BP10661" s="197"/>
      <c r="BQ10661" s="197"/>
    </row>
    <row r="10662" spans="66:69" x14ac:dyDescent="0.2">
      <c r="BN10662" s="192"/>
      <c r="BO10662" s="197"/>
      <c r="BP10662" s="197"/>
      <c r="BQ10662" s="197"/>
    </row>
    <row r="10663" spans="66:69" x14ac:dyDescent="0.2">
      <c r="BN10663" s="192"/>
      <c r="BO10663" s="197"/>
      <c r="BP10663" s="197"/>
      <c r="BQ10663" s="197"/>
    </row>
    <row r="10664" spans="66:69" x14ac:dyDescent="0.2">
      <c r="BN10664" s="192"/>
      <c r="BO10664" s="197"/>
      <c r="BP10664" s="197"/>
      <c r="BQ10664" s="197"/>
    </row>
    <row r="10665" spans="66:69" x14ac:dyDescent="0.2">
      <c r="BN10665" s="192"/>
      <c r="BO10665" s="197"/>
      <c r="BP10665" s="197"/>
      <c r="BQ10665" s="197"/>
    </row>
    <row r="10666" spans="66:69" x14ac:dyDescent="0.2">
      <c r="BN10666" s="192"/>
      <c r="BO10666" s="197"/>
      <c r="BP10666" s="197"/>
      <c r="BQ10666" s="197"/>
    </row>
    <row r="10667" spans="66:69" x14ac:dyDescent="0.2">
      <c r="BN10667" s="192"/>
      <c r="BO10667" s="197"/>
      <c r="BP10667" s="197"/>
      <c r="BQ10667" s="197"/>
    </row>
    <row r="10668" spans="66:69" x14ac:dyDescent="0.2">
      <c r="BN10668" s="192"/>
      <c r="BO10668" s="197"/>
      <c r="BP10668" s="197"/>
      <c r="BQ10668" s="197"/>
    </row>
    <row r="10669" spans="66:69" x14ac:dyDescent="0.2">
      <c r="BN10669" s="192"/>
      <c r="BO10669" s="197"/>
      <c r="BP10669" s="197"/>
      <c r="BQ10669" s="197"/>
    </row>
    <row r="10670" spans="66:69" x14ac:dyDescent="0.2">
      <c r="BN10670" s="192"/>
      <c r="BO10670" s="197"/>
      <c r="BP10670" s="197"/>
      <c r="BQ10670" s="197"/>
    </row>
    <row r="10671" spans="66:69" x14ac:dyDescent="0.2">
      <c r="BN10671" s="192"/>
      <c r="BO10671" s="197"/>
      <c r="BP10671" s="197"/>
      <c r="BQ10671" s="197"/>
    </row>
    <row r="10672" spans="66:69" x14ac:dyDescent="0.2">
      <c r="BN10672" s="192"/>
      <c r="BO10672" s="197"/>
      <c r="BP10672" s="197"/>
      <c r="BQ10672" s="197"/>
    </row>
    <row r="10673" spans="66:69" x14ac:dyDescent="0.2">
      <c r="BN10673" s="192"/>
      <c r="BO10673" s="197"/>
      <c r="BP10673" s="197"/>
      <c r="BQ10673" s="197"/>
    </row>
    <row r="10674" spans="66:69" x14ac:dyDescent="0.2">
      <c r="BN10674" s="192"/>
      <c r="BO10674" s="197"/>
      <c r="BP10674" s="197"/>
      <c r="BQ10674" s="197"/>
    </row>
    <row r="10675" spans="66:69" x14ac:dyDescent="0.2">
      <c r="BN10675" s="192"/>
      <c r="BO10675" s="197"/>
      <c r="BP10675" s="197"/>
      <c r="BQ10675" s="197"/>
    </row>
    <row r="10676" spans="66:69" x14ac:dyDescent="0.2">
      <c r="BN10676" s="192"/>
      <c r="BO10676" s="197"/>
      <c r="BP10676" s="197"/>
      <c r="BQ10676" s="197"/>
    </row>
    <row r="10677" spans="66:69" x14ac:dyDescent="0.2">
      <c r="BN10677" s="192"/>
      <c r="BO10677" s="197"/>
      <c r="BP10677" s="197"/>
      <c r="BQ10677" s="197"/>
    </row>
    <row r="10678" spans="66:69" x14ac:dyDescent="0.2">
      <c r="BN10678" s="192"/>
      <c r="BO10678" s="197"/>
      <c r="BP10678" s="197"/>
      <c r="BQ10678" s="197"/>
    </row>
    <row r="10679" spans="66:69" x14ac:dyDescent="0.2">
      <c r="BN10679" s="192"/>
      <c r="BO10679" s="197"/>
      <c r="BP10679" s="197"/>
      <c r="BQ10679" s="197"/>
    </row>
    <row r="10680" spans="66:69" x14ac:dyDescent="0.2">
      <c r="BN10680" s="192"/>
      <c r="BO10680" s="197"/>
      <c r="BP10680" s="197"/>
      <c r="BQ10680" s="197"/>
    </row>
    <row r="10681" spans="66:69" x14ac:dyDescent="0.2">
      <c r="BN10681" s="192"/>
      <c r="BO10681" s="197"/>
      <c r="BP10681" s="197"/>
      <c r="BQ10681" s="197"/>
    </row>
    <row r="10682" spans="66:69" x14ac:dyDescent="0.2">
      <c r="BN10682" s="192"/>
      <c r="BO10682" s="197"/>
      <c r="BP10682" s="197"/>
      <c r="BQ10682" s="197"/>
    </row>
    <row r="10683" spans="66:69" x14ac:dyDescent="0.2">
      <c r="BN10683" s="192"/>
      <c r="BO10683" s="197"/>
      <c r="BP10683" s="197"/>
      <c r="BQ10683" s="197"/>
    </row>
    <row r="10684" spans="66:69" x14ac:dyDescent="0.2">
      <c r="BN10684" s="192"/>
      <c r="BO10684" s="197"/>
      <c r="BP10684" s="197"/>
      <c r="BQ10684" s="197"/>
    </row>
    <row r="10685" spans="66:69" x14ac:dyDescent="0.2">
      <c r="BN10685" s="192"/>
      <c r="BO10685" s="197"/>
      <c r="BP10685" s="197"/>
      <c r="BQ10685" s="197"/>
    </row>
    <row r="10686" spans="66:69" x14ac:dyDescent="0.2">
      <c r="BN10686" s="192"/>
      <c r="BO10686" s="197"/>
      <c r="BP10686" s="197"/>
      <c r="BQ10686" s="197"/>
    </row>
    <row r="10687" spans="66:69" x14ac:dyDescent="0.2">
      <c r="BN10687" s="192"/>
      <c r="BO10687" s="197"/>
      <c r="BP10687" s="197"/>
      <c r="BQ10687" s="197"/>
    </row>
    <row r="10688" spans="66:69" x14ac:dyDescent="0.2">
      <c r="BN10688" s="192"/>
      <c r="BO10688" s="197"/>
      <c r="BP10688" s="197"/>
      <c r="BQ10688" s="197"/>
    </row>
    <row r="10689" spans="66:69" x14ac:dyDescent="0.2">
      <c r="BN10689" s="192"/>
      <c r="BO10689" s="197"/>
      <c r="BP10689" s="197"/>
      <c r="BQ10689" s="197"/>
    </row>
    <row r="10690" spans="66:69" x14ac:dyDescent="0.2">
      <c r="BN10690" s="192"/>
      <c r="BO10690" s="197"/>
      <c r="BP10690" s="197"/>
      <c r="BQ10690" s="197"/>
    </row>
    <row r="10691" spans="66:69" x14ac:dyDescent="0.2">
      <c r="BN10691" s="192"/>
      <c r="BO10691" s="197"/>
      <c r="BP10691" s="197"/>
      <c r="BQ10691" s="197"/>
    </row>
    <row r="10692" spans="66:69" x14ac:dyDescent="0.2">
      <c r="BN10692" s="192"/>
      <c r="BO10692" s="197"/>
      <c r="BP10692" s="197"/>
      <c r="BQ10692" s="197"/>
    </row>
    <row r="10693" spans="66:69" x14ac:dyDescent="0.2">
      <c r="BN10693" s="192"/>
      <c r="BO10693" s="197"/>
      <c r="BP10693" s="197"/>
      <c r="BQ10693" s="197"/>
    </row>
    <row r="10694" spans="66:69" x14ac:dyDescent="0.2">
      <c r="BN10694" s="192"/>
      <c r="BO10694" s="197"/>
      <c r="BP10694" s="197"/>
      <c r="BQ10694" s="197"/>
    </row>
    <row r="10695" spans="66:69" x14ac:dyDescent="0.2">
      <c r="BN10695" s="192"/>
      <c r="BO10695" s="197"/>
      <c r="BP10695" s="197"/>
      <c r="BQ10695" s="197"/>
    </row>
    <row r="10696" spans="66:69" x14ac:dyDescent="0.2">
      <c r="BN10696" s="192"/>
      <c r="BO10696" s="197"/>
      <c r="BP10696" s="197"/>
      <c r="BQ10696" s="197"/>
    </row>
    <row r="10697" spans="66:69" x14ac:dyDescent="0.2">
      <c r="BN10697" s="192"/>
      <c r="BO10697" s="197"/>
      <c r="BP10697" s="197"/>
      <c r="BQ10697" s="197"/>
    </row>
    <row r="10698" spans="66:69" x14ac:dyDescent="0.2">
      <c r="BN10698" s="192"/>
      <c r="BO10698" s="197"/>
      <c r="BP10698" s="197"/>
      <c r="BQ10698" s="197"/>
    </row>
    <row r="10699" spans="66:69" x14ac:dyDescent="0.2">
      <c r="BN10699" s="192"/>
      <c r="BO10699" s="197"/>
      <c r="BP10699" s="197"/>
      <c r="BQ10699" s="197"/>
    </row>
    <row r="10700" spans="66:69" x14ac:dyDescent="0.2">
      <c r="BN10700" s="192"/>
      <c r="BO10700" s="197"/>
      <c r="BP10700" s="197"/>
      <c r="BQ10700" s="197"/>
    </row>
    <row r="10701" spans="66:69" x14ac:dyDescent="0.2">
      <c r="BN10701" s="192"/>
      <c r="BO10701" s="197"/>
      <c r="BP10701" s="197"/>
      <c r="BQ10701" s="197"/>
    </row>
    <row r="10702" spans="66:69" x14ac:dyDescent="0.2">
      <c r="BN10702" s="192"/>
      <c r="BO10702" s="197"/>
      <c r="BP10702" s="197"/>
      <c r="BQ10702" s="197"/>
    </row>
    <row r="10703" spans="66:69" x14ac:dyDescent="0.2">
      <c r="BN10703" s="192"/>
      <c r="BO10703" s="197"/>
      <c r="BP10703" s="197"/>
      <c r="BQ10703" s="197"/>
    </row>
    <row r="10704" spans="66:69" x14ac:dyDescent="0.2">
      <c r="BN10704" s="192"/>
      <c r="BO10704" s="197"/>
      <c r="BP10704" s="197"/>
      <c r="BQ10704" s="197"/>
    </row>
    <row r="10705" spans="66:69" x14ac:dyDescent="0.2">
      <c r="BN10705" s="192"/>
      <c r="BO10705" s="197"/>
      <c r="BP10705" s="197"/>
      <c r="BQ10705" s="197"/>
    </row>
    <row r="10706" spans="66:69" x14ac:dyDescent="0.2">
      <c r="BN10706" s="192"/>
      <c r="BO10706" s="197"/>
      <c r="BP10706" s="197"/>
      <c r="BQ10706" s="197"/>
    </row>
    <row r="10707" spans="66:69" x14ac:dyDescent="0.2">
      <c r="BN10707" s="192"/>
      <c r="BO10707" s="197"/>
      <c r="BP10707" s="197"/>
      <c r="BQ10707" s="197"/>
    </row>
    <row r="10708" spans="66:69" x14ac:dyDescent="0.2">
      <c r="BN10708" s="192"/>
      <c r="BO10708" s="197"/>
      <c r="BP10708" s="197"/>
      <c r="BQ10708" s="197"/>
    </row>
    <row r="10709" spans="66:69" x14ac:dyDescent="0.2">
      <c r="BN10709" s="192"/>
      <c r="BO10709" s="197"/>
      <c r="BP10709" s="197"/>
      <c r="BQ10709" s="197"/>
    </row>
    <row r="10710" spans="66:69" x14ac:dyDescent="0.2">
      <c r="BN10710" s="192"/>
      <c r="BO10710" s="197"/>
      <c r="BP10710" s="197"/>
      <c r="BQ10710" s="197"/>
    </row>
    <row r="10711" spans="66:69" x14ac:dyDescent="0.2">
      <c r="BN10711" s="192"/>
      <c r="BO10711" s="197"/>
      <c r="BP10711" s="197"/>
      <c r="BQ10711" s="197"/>
    </row>
    <row r="10712" spans="66:69" x14ac:dyDescent="0.2">
      <c r="BN10712" s="192"/>
      <c r="BO10712" s="197"/>
      <c r="BP10712" s="197"/>
      <c r="BQ10712" s="197"/>
    </row>
    <row r="10713" spans="66:69" x14ac:dyDescent="0.2">
      <c r="BN10713" s="192"/>
      <c r="BO10713" s="197"/>
      <c r="BP10713" s="197"/>
      <c r="BQ10713" s="197"/>
    </row>
    <row r="10714" spans="66:69" x14ac:dyDescent="0.2">
      <c r="BN10714" s="192"/>
      <c r="BO10714" s="197"/>
      <c r="BP10714" s="197"/>
      <c r="BQ10714" s="197"/>
    </row>
    <row r="10715" spans="66:69" x14ac:dyDescent="0.2">
      <c r="BN10715" s="192"/>
      <c r="BO10715" s="197"/>
      <c r="BP10715" s="197"/>
      <c r="BQ10715" s="197"/>
    </row>
    <row r="10716" spans="66:69" x14ac:dyDescent="0.2">
      <c r="BN10716" s="192"/>
      <c r="BO10716" s="197"/>
      <c r="BP10716" s="197"/>
      <c r="BQ10716" s="197"/>
    </row>
    <row r="10717" spans="66:69" x14ac:dyDescent="0.2">
      <c r="BN10717" s="192"/>
      <c r="BO10717" s="197"/>
      <c r="BP10717" s="197"/>
      <c r="BQ10717" s="197"/>
    </row>
    <row r="10718" spans="66:69" x14ac:dyDescent="0.2">
      <c r="BN10718" s="192"/>
      <c r="BO10718" s="197"/>
      <c r="BP10718" s="197"/>
      <c r="BQ10718" s="197"/>
    </row>
    <row r="10719" spans="66:69" x14ac:dyDescent="0.2">
      <c r="BN10719" s="192"/>
      <c r="BO10719" s="197"/>
      <c r="BP10719" s="197"/>
      <c r="BQ10719" s="197"/>
    </row>
    <row r="10720" spans="66:69" x14ac:dyDescent="0.2">
      <c r="BN10720" s="192"/>
      <c r="BO10720" s="197"/>
      <c r="BP10720" s="197"/>
      <c r="BQ10720" s="197"/>
    </row>
    <row r="10721" spans="66:69" x14ac:dyDescent="0.2">
      <c r="BN10721" s="192"/>
      <c r="BO10721" s="197"/>
      <c r="BP10721" s="197"/>
      <c r="BQ10721" s="197"/>
    </row>
    <row r="10722" spans="66:69" x14ac:dyDescent="0.2">
      <c r="BN10722" s="192"/>
      <c r="BO10722" s="197"/>
      <c r="BP10722" s="197"/>
      <c r="BQ10722" s="197"/>
    </row>
    <row r="10723" spans="66:69" x14ac:dyDescent="0.2">
      <c r="BN10723" s="192"/>
      <c r="BO10723" s="197"/>
      <c r="BP10723" s="197"/>
      <c r="BQ10723" s="197"/>
    </row>
    <row r="10724" spans="66:69" x14ac:dyDescent="0.2">
      <c r="BN10724" s="192"/>
      <c r="BO10724" s="197"/>
      <c r="BP10724" s="197"/>
      <c r="BQ10724" s="197"/>
    </row>
    <row r="10725" spans="66:69" x14ac:dyDescent="0.2">
      <c r="BN10725" s="192"/>
      <c r="BO10725" s="197"/>
      <c r="BP10725" s="197"/>
      <c r="BQ10725" s="197"/>
    </row>
    <row r="10726" spans="66:69" x14ac:dyDescent="0.2">
      <c r="BN10726" s="192"/>
      <c r="BO10726" s="197"/>
      <c r="BP10726" s="197"/>
      <c r="BQ10726" s="197"/>
    </row>
    <row r="10727" spans="66:69" x14ac:dyDescent="0.2">
      <c r="BN10727" s="192"/>
      <c r="BO10727" s="197"/>
      <c r="BP10727" s="197"/>
      <c r="BQ10727" s="197"/>
    </row>
    <row r="10728" spans="66:69" x14ac:dyDescent="0.2">
      <c r="BN10728" s="192"/>
      <c r="BO10728" s="197"/>
      <c r="BP10728" s="197"/>
      <c r="BQ10728" s="197"/>
    </row>
    <row r="10729" spans="66:69" x14ac:dyDescent="0.2">
      <c r="BN10729" s="192"/>
      <c r="BO10729" s="197"/>
      <c r="BP10729" s="197"/>
      <c r="BQ10729" s="197"/>
    </row>
    <row r="10730" spans="66:69" x14ac:dyDescent="0.2">
      <c r="BN10730" s="192"/>
      <c r="BO10730" s="197"/>
      <c r="BP10730" s="197"/>
      <c r="BQ10730" s="197"/>
    </row>
    <row r="10731" spans="66:69" x14ac:dyDescent="0.2">
      <c r="BN10731" s="192"/>
      <c r="BO10731" s="197"/>
      <c r="BP10731" s="197"/>
      <c r="BQ10731" s="197"/>
    </row>
    <row r="10732" spans="66:69" x14ac:dyDescent="0.2">
      <c r="BN10732" s="192"/>
      <c r="BO10732" s="197"/>
      <c r="BP10732" s="197"/>
      <c r="BQ10732" s="197"/>
    </row>
    <row r="10733" spans="66:69" x14ac:dyDescent="0.2">
      <c r="BN10733" s="192"/>
      <c r="BO10733" s="197"/>
      <c r="BP10733" s="197"/>
      <c r="BQ10733" s="197"/>
    </row>
    <row r="10734" spans="66:69" x14ac:dyDescent="0.2">
      <c r="BN10734" s="192"/>
      <c r="BO10734" s="197"/>
      <c r="BP10734" s="197"/>
      <c r="BQ10734" s="197"/>
    </row>
    <row r="10735" spans="66:69" x14ac:dyDescent="0.2">
      <c r="BN10735" s="192"/>
      <c r="BO10735" s="197"/>
      <c r="BP10735" s="197"/>
      <c r="BQ10735" s="197"/>
    </row>
    <row r="10736" spans="66:69" x14ac:dyDescent="0.2">
      <c r="BN10736" s="192"/>
      <c r="BO10736" s="197"/>
      <c r="BP10736" s="197"/>
      <c r="BQ10736" s="197"/>
    </row>
    <row r="10737" spans="66:69" x14ac:dyDescent="0.2">
      <c r="BN10737" s="192"/>
      <c r="BO10737" s="197"/>
      <c r="BP10737" s="197"/>
      <c r="BQ10737" s="197"/>
    </row>
    <row r="10738" spans="66:69" x14ac:dyDescent="0.2">
      <c r="BN10738" s="192"/>
      <c r="BO10738" s="197"/>
      <c r="BP10738" s="197"/>
      <c r="BQ10738" s="197"/>
    </row>
    <row r="10739" spans="66:69" x14ac:dyDescent="0.2">
      <c r="BN10739" s="192"/>
      <c r="BO10739" s="197"/>
      <c r="BP10739" s="197"/>
      <c r="BQ10739" s="197"/>
    </row>
    <row r="10740" spans="66:69" x14ac:dyDescent="0.2">
      <c r="BN10740" s="192"/>
      <c r="BO10740" s="197"/>
      <c r="BP10740" s="197"/>
      <c r="BQ10740" s="197"/>
    </row>
    <row r="10741" spans="66:69" x14ac:dyDescent="0.2">
      <c r="BN10741" s="192"/>
      <c r="BO10741" s="197"/>
      <c r="BP10741" s="197"/>
      <c r="BQ10741" s="197"/>
    </row>
    <row r="10742" spans="66:69" x14ac:dyDescent="0.2">
      <c r="BN10742" s="192"/>
      <c r="BO10742" s="197"/>
      <c r="BP10742" s="197"/>
      <c r="BQ10742" s="197"/>
    </row>
    <row r="10743" spans="66:69" x14ac:dyDescent="0.2">
      <c r="BN10743" s="192"/>
      <c r="BO10743" s="197"/>
      <c r="BP10743" s="197"/>
      <c r="BQ10743" s="197"/>
    </row>
    <row r="10744" spans="66:69" x14ac:dyDescent="0.2">
      <c r="BN10744" s="192"/>
      <c r="BO10744" s="197"/>
      <c r="BP10744" s="197"/>
      <c r="BQ10744" s="197"/>
    </row>
    <row r="10745" spans="66:69" x14ac:dyDescent="0.2">
      <c r="BN10745" s="192"/>
      <c r="BO10745" s="197"/>
      <c r="BP10745" s="197"/>
      <c r="BQ10745" s="197"/>
    </row>
    <row r="10746" spans="66:69" x14ac:dyDescent="0.2">
      <c r="BN10746" s="192"/>
      <c r="BO10746" s="197"/>
      <c r="BP10746" s="197"/>
      <c r="BQ10746" s="197"/>
    </row>
    <row r="10747" spans="66:69" x14ac:dyDescent="0.2">
      <c r="BN10747" s="192"/>
      <c r="BO10747" s="197"/>
      <c r="BP10747" s="197"/>
      <c r="BQ10747" s="197"/>
    </row>
    <row r="10748" spans="66:69" x14ac:dyDescent="0.2">
      <c r="BN10748" s="192"/>
      <c r="BO10748" s="197"/>
      <c r="BP10748" s="197"/>
      <c r="BQ10748" s="197"/>
    </row>
    <row r="10749" spans="66:69" x14ac:dyDescent="0.2">
      <c r="BN10749" s="192"/>
      <c r="BO10749" s="197"/>
      <c r="BP10749" s="197"/>
      <c r="BQ10749" s="197"/>
    </row>
    <row r="10750" spans="66:69" x14ac:dyDescent="0.2">
      <c r="BN10750" s="192"/>
      <c r="BO10750" s="197"/>
      <c r="BP10750" s="197"/>
      <c r="BQ10750" s="197"/>
    </row>
    <row r="10751" spans="66:69" x14ac:dyDescent="0.2">
      <c r="BN10751" s="192"/>
      <c r="BO10751" s="197"/>
      <c r="BP10751" s="197"/>
      <c r="BQ10751" s="197"/>
    </row>
    <row r="10752" spans="66:69" x14ac:dyDescent="0.2">
      <c r="BN10752" s="192"/>
      <c r="BO10752" s="197"/>
      <c r="BP10752" s="197"/>
      <c r="BQ10752" s="197"/>
    </row>
    <row r="10753" spans="66:69" x14ac:dyDescent="0.2">
      <c r="BN10753" s="192"/>
      <c r="BO10753" s="197"/>
      <c r="BP10753" s="197"/>
      <c r="BQ10753" s="197"/>
    </row>
    <row r="10754" spans="66:69" x14ac:dyDescent="0.2">
      <c r="BN10754" s="192"/>
      <c r="BO10754" s="197"/>
      <c r="BP10754" s="197"/>
      <c r="BQ10754" s="197"/>
    </row>
    <row r="10755" spans="66:69" x14ac:dyDescent="0.2">
      <c r="BN10755" s="192"/>
      <c r="BO10755" s="197"/>
      <c r="BP10755" s="197"/>
      <c r="BQ10755" s="197"/>
    </row>
    <row r="10756" spans="66:69" x14ac:dyDescent="0.2">
      <c r="BN10756" s="192"/>
      <c r="BO10756" s="197"/>
      <c r="BP10756" s="197"/>
      <c r="BQ10756" s="197"/>
    </row>
    <row r="10757" spans="66:69" x14ac:dyDescent="0.2">
      <c r="BN10757" s="192"/>
      <c r="BO10757" s="197"/>
      <c r="BP10757" s="197"/>
      <c r="BQ10757" s="197"/>
    </row>
    <row r="10758" spans="66:69" x14ac:dyDescent="0.2">
      <c r="BN10758" s="192"/>
      <c r="BO10758" s="197"/>
      <c r="BP10758" s="197"/>
      <c r="BQ10758" s="197"/>
    </row>
    <row r="10759" spans="66:69" x14ac:dyDescent="0.2">
      <c r="BN10759" s="192"/>
      <c r="BO10759" s="197"/>
      <c r="BP10759" s="197"/>
      <c r="BQ10759" s="197"/>
    </row>
    <row r="10760" spans="66:69" x14ac:dyDescent="0.2">
      <c r="BN10760" s="192"/>
      <c r="BO10760" s="197"/>
      <c r="BP10760" s="197"/>
      <c r="BQ10760" s="197"/>
    </row>
    <row r="10761" spans="66:69" x14ac:dyDescent="0.2">
      <c r="BN10761" s="192"/>
      <c r="BO10761" s="197"/>
      <c r="BP10761" s="197"/>
      <c r="BQ10761" s="197"/>
    </row>
    <row r="10762" spans="66:69" x14ac:dyDescent="0.2">
      <c r="BN10762" s="192"/>
      <c r="BO10762" s="197"/>
      <c r="BP10762" s="197"/>
      <c r="BQ10762" s="197"/>
    </row>
    <row r="10763" spans="66:69" x14ac:dyDescent="0.2">
      <c r="BN10763" s="192"/>
      <c r="BO10763" s="197"/>
      <c r="BP10763" s="197"/>
      <c r="BQ10763" s="197"/>
    </row>
    <row r="10764" spans="66:69" x14ac:dyDescent="0.2">
      <c r="BN10764" s="192"/>
      <c r="BO10764" s="197"/>
      <c r="BP10764" s="197"/>
      <c r="BQ10764" s="197"/>
    </row>
    <row r="10765" spans="66:69" x14ac:dyDescent="0.2">
      <c r="BN10765" s="192"/>
      <c r="BO10765" s="197"/>
      <c r="BP10765" s="197"/>
      <c r="BQ10765" s="197"/>
    </row>
    <row r="10766" spans="66:69" x14ac:dyDescent="0.2">
      <c r="BN10766" s="192"/>
      <c r="BO10766" s="197"/>
      <c r="BP10766" s="197"/>
      <c r="BQ10766" s="197"/>
    </row>
    <row r="10767" spans="66:69" x14ac:dyDescent="0.2">
      <c r="BN10767" s="192"/>
      <c r="BO10767" s="197"/>
      <c r="BP10767" s="197"/>
      <c r="BQ10767" s="197"/>
    </row>
    <row r="10768" spans="66:69" x14ac:dyDescent="0.2">
      <c r="BN10768" s="192"/>
      <c r="BO10768" s="197"/>
      <c r="BP10768" s="197"/>
      <c r="BQ10768" s="197"/>
    </row>
    <row r="10769" spans="66:69" x14ac:dyDescent="0.2">
      <c r="BN10769" s="192"/>
      <c r="BO10769" s="197"/>
      <c r="BP10769" s="197"/>
      <c r="BQ10769" s="197"/>
    </row>
    <row r="10770" spans="66:69" x14ac:dyDescent="0.2">
      <c r="BN10770" s="192"/>
      <c r="BO10770" s="197"/>
      <c r="BP10770" s="197"/>
      <c r="BQ10770" s="197"/>
    </row>
    <row r="10771" spans="66:69" x14ac:dyDescent="0.2">
      <c r="BN10771" s="192"/>
      <c r="BO10771" s="197"/>
      <c r="BP10771" s="197"/>
      <c r="BQ10771" s="197"/>
    </row>
    <row r="10772" spans="66:69" x14ac:dyDescent="0.2">
      <c r="BN10772" s="192"/>
      <c r="BO10772" s="197"/>
      <c r="BP10772" s="197"/>
      <c r="BQ10772" s="197"/>
    </row>
    <row r="10773" spans="66:69" x14ac:dyDescent="0.2">
      <c r="BN10773" s="192"/>
      <c r="BO10773" s="197"/>
      <c r="BP10773" s="197"/>
      <c r="BQ10773" s="197"/>
    </row>
    <row r="10774" spans="66:69" x14ac:dyDescent="0.2">
      <c r="BN10774" s="192"/>
      <c r="BO10774" s="197"/>
      <c r="BP10774" s="197"/>
      <c r="BQ10774" s="197"/>
    </row>
    <row r="10775" spans="66:69" x14ac:dyDescent="0.2">
      <c r="BN10775" s="192"/>
      <c r="BO10775" s="197"/>
      <c r="BP10775" s="197"/>
      <c r="BQ10775" s="197"/>
    </row>
    <row r="10776" spans="66:69" x14ac:dyDescent="0.2">
      <c r="BN10776" s="192"/>
      <c r="BO10776" s="197"/>
      <c r="BP10776" s="197"/>
      <c r="BQ10776" s="197"/>
    </row>
    <row r="10777" spans="66:69" x14ac:dyDescent="0.2">
      <c r="BN10777" s="192"/>
      <c r="BO10777" s="197"/>
      <c r="BP10777" s="197"/>
      <c r="BQ10777" s="197"/>
    </row>
    <row r="10778" spans="66:69" x14ac:dyDescent="0.2">
      <c r="BN10778" s="192"/>
      <c r="BO10778" s="197"/>
      <c r="BP10778" s="197"/>
      <c r="BQ10778" s="197"/>
    </row>
    <row r="10779" spans="66:69" x14ac:dyDescent="0.2">
      <c r="BN10779" s="192"/>
      <c r="BO10779" s="197"/>
      <c r="BP10779" s="197"/>
      <c r="BQ10779" s="197"/>
    </row>
    <row r="10780" spans="66:69" x14ac:dyDescent="0.2">
      <c r="BN10780" s="192"/>
      <c r="BO10780" s="197"/>
      <c r="BP10780" s="197"/>
      <c r="BQ10780" s="197"/>
    </row>
    <row r="10781" spans="66:69" x14ac:dyDescent="0.2">
      <c r="BN10781" s="192"/>
      <c r="BO10781" s="197"/>
      <c r="BP10781" s="197"/>
      <c r="BQ10781" s="197"/>
    </row>
    <row r="10782" spans="66:69" x14ac:dyDescent="0.2">
      <c r="BN10782" s="192"/>
      <c r="BO10782" s="197"/>
      <c r="BP10782" s="197"/>
      <c r="BQ10782" s="197"/>
    </row>
    <row r="10783" spans="66:69" x14ac:dyDescent="0.2">
      <c r="BN10783" s="192"/>
      <c r="BO10783" s="197"/>
      <c r="BP10783" s="197"/>
      <c r="BQ10783" s="197"/>
    </row>
    <row r="10784" spans="66:69" x14ac:dyDescent="0.2">
      <c r="BN10784" s="192"/>
      <c r="BO10784" s="197"/>
      <c r="BP10784" s="197"/>
      <c r="BQ10784" s="197"/>
    </row>
    <row r="10785" spans="66:69" x14ac:dyDescent="0.2">
      <c r="BN10785" s="192"/>
      <c r="BO10785" s="197"/>
      <c r="BP10785" s="197"/>
      <c r="BQ10785" s="197"/>
    </row>
    <row r="10786" spans="66:69" x14ac:dyDescent="0.2">
      <c r="BN10786" s="192"/>
      <c r="BO10786" s="197"/>
      <c r="BP10786" s="197"/>
      <c r="BQ10786" s="197"/>
    </row>
    <row r="10787" spans="66:69" x14ac:dyDescent="0.2">
      <c r="BN10787" s="192"/>
      <c r="BO10787" s="197"/>
      <c r="BP10787" s="197"/>
      <c r="BQ10787" s="197"/>
    </row>
    <row r="10788" spans="66:69" x14ac:dyDescent="0.2">
      <c r="BN10788" s="192"/>
      <c r="BO10788" s="197"/>
      <c r="BP10788" s="197"/>
      <c r="BQ10788" s="197"/>
    </row>
    <row r="10789" spans="66:69" x14ac:dyDescent="0.2">
      <c r="BN10789" s="192"/>
      <c r="BO10789" s="197"/>
      <c r="BP10789" s="197"/>
      <c r="BQ10789" s="197"/>
    </row>
    <row r="10790" spans="66:69" x14ac:dyDescent="0.2">
      <c r="BN10790" s="192"/>
      <c r="BO10790" s="197"/>
      <c r="BP10790" s="197"/>
      <c r="BQ10790" s="197"/>
    </row>
    <row r="10791" spans="66:69" x14ac:dyDescent="0.2">
      <c r="BN10791" s="192"/>
      <c r="BO10791" s="197"/>
      <c r="BP10791" s="197"/>
      <c r="BQ10791" s="197"/>
    </row>
    <row r="10792" spans="66:69" x14ac:dyDescent="0.2">
      <c r="BN10792" s="192"/>
      <c r="BO10792" s="197"/>
      <c r="BP10792" s="197"/>
      <c r="BQ10792" s="197"/>
    </row>
    <row r="10793" spans="66:69" x14ac:dyDescent="0.2">
      <c r="BN10793" s="192"/>
      <c r="BO10793" s="197"/>
      <c r="BP10793" s="197"/>
      <c r="BQ10793" s="197"/>
    </row>
    <row r="10794" spans="66:69" x14ac:dyDescent="0.2">
      <c r="BN10794" s="192"/>
      <c r="BO10794" s="197"/>
      <c r="BP10794" s="197"/>
      <c r="BQ10794" s="197"/>
    </row>
    <row r="10795" spans="66:69" x14ac:dyDescent="0.2">
      <c r="BN10795" s="192"/>
      <c r="BO10795" s="197"/>
      <c r="BP10795" s="197"/>
      <c r="BQ10795" s="197"/>
    </row>
    <row r="10796" spans="66:69" x14ac:dyDescent="0.2">
      <c r="BN10796" s="192"/>
      <c r="BO10796" s="197"/>
      <c r="BP10796" s="197"/>
      <c r="BQ10796" s="197"/>
    </row>
    <row r="10797" spans="66:69" x14ac:dyDescent="0.2">
      <c r="BN10797" s="192"/>
      <c r="BO10797" s="197"/>
      <c r="BP10797" s="197"/>
      <c r="BQ10797" s="197"/>
    </row>
    <row r="10798" spans="66:69" x14ac:dyDescent="0.2">
      <c r="BN10798" s="192"/>
      <c r="BO10798" s="197"/>
      <c r="BP10798" s="197"/>
      <c r="BQ10798" s="197"/>
    </row>
    <row r="10799" spans="66:69" x14ac:dyDescent="0.2">
      <c r="BN10799" s="192"/>
      <c r="BO10799" s="197"/>
      <c r="BP10799" s="197"/>
      <c r="BQ10799" s="197"/>
    </row>
    <row r="10800" spans="66:69" x14ac:dyDescent="0.2">
      <c r="BN10800" s="192"/>
      <c r="BO10800" s="197"/>
      <c r="BP10800" s="197"/>
      <c r="BQ10800" s="197"/>
    </row>
    <row r="10801" spans="66:69" x14ac:dyDescent="0.2">
      <c r="BN10801" s="192"/>
      <c r="BO10801" s="197"/>
      <c r="BP10801" s="197"/>
      <c r="BQ10801" s="197"/>
    </row>
    <row r="10802" spans="66:69" x14ac:dyDescent="0.2">
      <c r="BN10802" s="192"/>
      <c r="BO10802" s="197"/>
      <c r="BP10802" s="197"/>
      <c r="BQ10802" s="197"/>
    </row>
    <row r="10803" spans="66:69" x14ac:dyDescent="0.2">
      <c r="BN10803" s="192"/>
      <c r="BO10803" s="197"/>
      <c r="BP10803" s="197"/>
      <c r="BQ10803" s="197"/>
    </row>
    <row r="10804" spans="66:69" x14ac:dyDescent="0.2">
      <c r="BN10804" s="192"/>
      <c r="BO10804" s="197"/>
      <c r="BP10804" s="197"/>
      <c r="BQ10804" s="197"/>
    </row>
    <row r="10805" spans="66:69" x14ac:dyDescent="0.2">
      <c r="BN10805" s="192"/>
      <c r="BO10805" s="197"/>
      <c r="BP10805" s="197"/>
      <c r="BQ10805" s="197"/>
    </row>
    <row r="10806" spans="66:69" x14ac:dyDescent="0.2">
      <c r="BN10806" s="192"/>
      <c r="BO10806" s="197"/>
      <c r="BP10806" s="197"/>
      <c r="BQ10806" s="197"/>
    </row>
    <row r="10807" spans="66:69" x14ac:dyDescent="0.2">
      <c r="BN10807" s="192"/>
      <c r="BO10807" s="197"/>
      <c r="BP10807" s="197"/>
      <c r="BQ10807" s="197"/>
    </row>
    <row r="10808" spans="66:69" x14ac:dyDescent="0.2">
      <c r="BN10808" s="192"/>
      <c r="BO10808" s="197"/>
      <c r="BP10808" s="197"/>
      <c r="BQ10808" s="197"/>
    </row>
    <row r="10809" spans="66:69" x14ac:dyDescent="0.2">
      <c r="BN10809" s="192"/>
      <c r="BO10809" s="197"/>
      <c r="BP10809" s="197"/>
      <c r="BQ10809" s="197"/>
    </row>
    <row r="10810" spans="66:69" x14ac:dyDescent="0.2">
      <c r="BN10810" s="192"/>
      <c r="BO10810" s="197"/>
      <c r="BP10810" s="197"/>
      <c r="BQ10810" s="197"/>
    </row>
    <row r="10811" spans="66:69" x14ac:dyDescent="0.2">
      <c r="BN10811" s="192"/>
      <c r="BO10811" s="197"/>
      <c r="BP10811" s="197"/>
      <c r="BQ10811" s="197"/>
    </row>
    <row r="10812" spans="66:69" x14ac:dyDescent="0.2">
      <c r="BN10812" s="192"/>
      <c r="BO10812" s="197"/>
      <c r="BP10812" s="197"/>
      <c r="BQ10812" s="197"/>
    </row>
    <row r="10813" spans="66:69" x14ac:dyDescent="0.2">
      <c r="BN10813" s="192"/>
      <c r="BO10813" s="197"/>
      <c r="BP10813" s="197"/>
      <c r="BQ10813" s="197"/>
    </row>
    <row r="10814" spans="66:69" x14ac:dyDescent="0.2">
      <c r="BN10814" s="192"/>
      <c r="BO10814" s="197"/>
      <c r="BP10814" s="197"/>
      <c r="BQ10814" s="197"/>
    </row>
    <row r="10815" spans="66:69" x14ac:dyDescent="0.2">
      <c r="BN10815" s="192"/>
      <c r="BO10815" s="197"/>
      <c r="BP10815" s="197"/>
      <c r="BQ10815" s="197"/>
    </row>
    <row r="10816" spans="66:69" x14ac:dyDescent="0.2">
      <c r="BN10816" s="192"/>
      <c r="BO10816" s="197"/>
      <c r="BP10816" s="197"/>
      <c r="BQ10816" s="197"/>
    </row>
    <row r="10817" spans="66:69" x14ac:dyDescent="0.2">
      <c r="BN10817" s="192"/>
      <c r="BO10817" s="197"/>
      <c r="BP10817" s="197"/>
      <c r="BQ10817" s="197"/>
    </row>
    <row r="10818" spans="66:69" x14ac:dyDescent="0.2">
      <c r="BN10818" s="192"/>
      <c r="BO10818" s="197"/>
      <c r="BP10818" s="197"/>
      <c r="BQ10818" s="197"/>
    </row>
    <row r="10819" spans="66:69" x14ac:dyDescent="0.2">
      <c r="BN10819" s="192"/>
      <c r="BO10819" s="197"/>
      <c r="BP10819" s="197"/>
      <c r="BQ10819" s="197"/>
    </row>
    <row r="10820" spans="66:69" x14ac:dyDescent="0.2">
      <c r="BN10820" s="192"/>
      <c r="BO10820" s="197"/>
      <c r="BP10820" s="197"/>
      <c r="BQ10820" s="197"/>
    </row>
    <row r="10821" spans="66:69" x14ac:dyDescent="0.2">
      <c r="BN10821" s="192"/>
      <c r="BO10821" s="197"/>
      <c r="BP10821" s="197"/>
      <c r="BQ10821" s="197"/>
    </row>
    <row r="10822" spans="66:69" x14ac:dyDescent="0.2">
      <c r="BN10822" s="192"/>
      <c r="BO10822" s="197"/>
      <c r="BP10822" s="197"/>
      <c r="BQ10822" s="197"/>
    </row>
    <row r="10823" spans="66:69" x14ac:dyDescent="0.2">
      <c r="BN10823" s="192"/>
      <c r="BO10823" s="197"/>
      <c r="BP10823" s="197"/>
      <c r="BQ10823" s="197"/>
    </row>
    <row r="10824" spans="66:69" x14ac:dyDescent="0.2">
      <c r="BN10824" s="192"/>
      <c r="BO10824" s="197"/>
      <c r="BP10824" s="197"/>
      <c r="BQ10824" s="197"/>
    </row>
    <row r="10825" spans="66:69" x14ac:dyDescent="0.2">
      <c r="BN10825" s="192"/>
      <c r="BO10825" s="197"/>
      <c r="BP10825" s="197"/>
      <c r="BQ10825" s="197"/>
    </row>
    <row r="10826" spans="66:69" x14ac:dyDescent="0.2">
      <c r="BN10826" s="192"/>
      <c r="BO10826" s="197"/>
      <c r="BP10826" s="197"/>
      <c r="BQ10826" s="197"/>
    </row>
    <row r="10827" spans="66:69" x14ac:dyDescent="0.2">
      <c r="BN10827" s="192"/>
      <c r="BO10827" s="197"/>
      <c r="BP10827" s="197"/>
      <c r="BQ10827" s="197"/>
    </row>
    <row r="10828" spans="66:69" x14ac:dyDescent="0.2">
      <c r="BN10828" s="192"/>
      <c r="BO10828" s="197"/>
      <c r="BP10828" s="197"/>
      <c r="BQ10828" s="197"/>
    </row>
    <row r="10829" spans="66:69" x14ac:dyDescent="0.2">
      <c r="BN10829" s="192"/>
      <c r="BO10829" s="197"/>
      <c r="BP10829" s="197"/>
      <c r="BQ10829" s="197"/>
    </row>
    <row r="10830" spans="66:69" x14ac:dyDescent="0.2">
      <c r="BN10830" s="192"/>
      <c r="BO10830" s="197"/>
      <c r="BP10830" s="197"/>
      <c r="BQ10830" s="197"/>
    </row>
    <row r="10831" spans="66:69" x14ac:dyDescent="0.2">
      <c r="BN10831" s="192"/>
      <c r="BO10831" s="197"/>
      <c r="BP10831" s="197"/>
      <c r="BQ10831" s="197"/>
    </row>
    <row r="10832" spans="66:69" x14ac:dyDescent="0.2">
      <c r="BN10832" s="192"/>
      <c r="BO10832" s="197"/>
      <c r="BP10832" s="197"/>
      <c r="BQ10832" s="197"/>
    </row>
    <row r="10833" spans="66:69" x14ac:dyDescent="0.2">
      <c r="BN10833" s="192"/>
      <c r="BO10833" s="197"/>
      <c r="BP10833" s="197"/>
      <c r="BQ10833" s="197"/>
    </row>
    <row r="10834" spans="66:69" x14ac:dyDescent="0.2">
      <c r="BN10834" s="192"/>
      <c r="BO10834" s="197"/>
      <c r="BP10834" s="197"/>
      <c r="BQ10834" s="197"/>
    </row>
    <row r="10835" spans="66:69" x14ac:dyDescent="0.2">
      <c r="BN10835" s="192"/>
      <c r="BO10835" s="197"/>
      <c r="BP10835" s="197"/>
      <c r="BQ10835" s="197"/>
    </row>
    <row r="10836" spans="66:69" x14ac:dyDescent="0.2">
      <c r="BN10836" s="192"/>
      <c r="BO10836" s="197"/>
      <c r="BP10836" s="197"/>
      <c r="BQ10836" s="197"/>
    </row>
    <row r="10837" spans="66:69" x14ac:dyDescent="0.2">
      <c r="BN10837" s="192"/>
      <c r="BO10837" s="197"/>
      <c r="BP10837" s="197"/>
      <c r="BQ10837" s="197"/>
    </row>
    <row r="10838" spans="66:69" x14ac:dyDescent="0.2">
      <c r="BN10838" s="192"/>
      <c r="BO10838" s="197"/>
      <c r="BP10838" s="197"/>
      <c r="BQ10838" s="197"/>
    </row>
    <row r="10839" spans="66:69" x14ac:dyDescent="0.2">
      <c r="BN10839" s="192"/>
      <c r="BO10839" s="197"/>
      <c r="BP10839" s="197"/>
      <c r="BQ10839" s="197"/>
    </row>
    <row r="10840" spans="66:69" x14ac:dyDescent="0.2">
      <c r="BN10840" s="192"/>
      <c r="BO10840" s="197"/>
      <c r="BP10840" s="197"/>
      <c r="BQ10840" s="197"/>
    </row>
    <row r="10841" spans="66:69" x14ac:dyDescent="0.2">
      <c r="BN10841" s="192"/>
      <c r="BO10841" s="197"/>
      <c r="BP10841" s="197"/>
      <c r="BQ10841" s="197"/>
    </row>
    <row r="10842" spans="66:69" x14ac:dyDescent="0.2">
      <c r="BN10842" s="192"/>
      <c r="BO10842" s="197"/>
      <c r="BP10842" s="197"/>
      <c r="BQ10842" s="197"/>
    </row>
    <row r="10843" spans="66:69" x14ac:dyDescent="0.2">
      <c r="BN10843" s="192"/>
      <c r="BO10843" s="197"/>
      <c r="BP10843" s="197"/>
      <c r="BQ10843" s="197"/>
    </row>
    <row r="10844" spans="66:69" x14ac:dyDescent="0.2">
      <c r="BN10844" s="192"/>
      <c r="BO10844" s="197"/>
      <c r="BP10844" s="197"/>
      <c r="BQ10844" s="197"/>
    </row>
    <row r="10845" spans="66:69" x14ac:dyDescent="0.2">
      <c r="BN10845" s="192"/>
      <c r="BO10845" s="197"/>
      <c r="BP10845" s="197"/>
      <c r="BQ10845" s="197"/>
    </row>
    <row r="10846" spans="66:69" x14ac:dyDescent="0.2">
      <c r="BN10846" s="192"/>
      <c r="BO10846" s="197"/>
      <c r="BP10846" s="197"/>
      <c r="BQ10846" s="197"/>
    </row>
    <row r="10847" spans="66:69" x14ac:dyDescent="0.2">
      <c r="BN10847" s="192"/>
      <c r="BO10847" s="197"/>
      <c r="BP10847" s="197"/>
      <c r="BQ10847" s="197"/>
    </row>
    <row r="10848" spans="66:69" x14ac:dyDescent="0.2">
      <c r="BN10848" s="192"/>
      <c r="BO10848" s="197"/>
      <c r="BP10848" s="197"/>
      <c r="BQ10848" s="197"/>
    </row>
    <row r="10849" spans="66:69" x14ac:dyDescent="0.2">
      <c r="BN10849" s="192"/>
      <c r="BO10849" s="197"/>
      <c r="BP10849" s="197"/>
      <c r="BQ10849" s="197"/>
    </row>
    <row r="10850" spans="66:69" x14ac:dyDescent="0.2">
      <c r="BN10850" s="192"/>
      <c r="BO10850" s="197"/>
      <c r="BP10850" s="197"/>
      <c r="BQ10850" s="197"/>
    </row>
    <row r="10851" spans="66:69" x14ac:dyDescent="0.2">
      <c r="BN10851" s="192"/>
      <c r="BO10851" s="197"/>
      <c r="BP10851" s="197"/>
      <c r="BQ10851" s="197"/>
    </row>
    <row r="10852" spans="66:69" x14ac:dyDescent="0.2">
      <c r="BN10852" s="192"/>
      <c r="BO10852" s="197"/>
      <c r="BP10852" s="197"/>
      <c r="BQ10852" s="197"/>
    </row>
    <row r="10853" spans="66:69" x14ac:dyDescent="0.2">
      <c r="BN10853" s="192"/>
      <c r="BO10853" s="197"/>
      <c r="BP10853" s="197"/>
      <c r="BQ10853" s="197"/>
    </row>
    <row r="10854" spans="66:69" x14ac:dyDescent="0.2">
      <c r="BN10854" s="192"/>
      <c r="BO10854" s="197"/>
      <c r="BP10854" s="197"/>
      <c r="BQ10854" s="197"/>
    </row>
    <row r="10855" spans="66:69" x14ac:dyDescent="0.2">
      <c r="BN10855" s="192"/>
      <c r="BO10855" s="197"/>
      <c r="BP10855" s="197"/>
      <c r="BQ10855" s="197"/>
    </row>
    <row r="10856" spans="66:69" x14ac:dyDescent="0.2">
      <c r="BN10856" s="192"/>
      <c r="BO10856" s="197"/>
      <c r="BP10856" s="197"/>
      <c r="BQ10856" s="197"/>
    </row>
    <row r="10857" spans="66:69" x14ac:dyDescent="0.2">
      <c r="BN10857" s="192"/>
      <c r="BO10857" s="197"/>
      <c r="BP10857" s="197"/>
      <c r="BQ10857" s="197"/>
    </row>
    <row r="10858" spans="66:69" x14ac:dyDescent="0.2">
      <c r="BN10858" s="192"/>
      <c r="BO10858" s="197"/>
      <c r="BP10858" s="197"/>
      <c r="BQ10858" s="197"/>
    </row>
    <row r="10859" spans="66:69" x14ac:dyDescent="0.2">
      <c r="BN10859" s="192"/>
      <c r="BO10859" s="197"/>
      <c r="BP10859" s="197"/>
      <c r="BQ10859" s="197"/>
    </row>
    <row r="10860" spans="66:69" x14ac:dyDescent="0.2">
      <c r="BN10860" s="192"/>
      <c r="BO10860" s="197"/>
      <c r="BP10860" s="197"/>
      <c r="BQ10860" s="197"/>
    </row>
    <row r="10861" spans="66:69" x14ac:dyDescent="0.2">
      <c r="BN10861" s="192"/>
      <c r="BO10861" s="197"/>
      <c r="BP10861" s="197"/>
      <c r="BQ10861" s="197"/>
    </row>
    <row r="10862" spans="66:69" x14ac:dyDescent="0.2">
      <c r="BN10862" s="192"/>
      <c r="BO10862" s="197"/>
      <c r="BP10862" s="197"/>
      <c r="BQ10862" s="197"/>
    </row>
    <row r="10863" spans="66:69" x14ac:dyDescent="0.2">
      <c r="BN10863" s="192"/>
      <c r="BO10863" s="197"/>
      <c r="BP10863" s="197"/>
      <c r="BQ10863" s="197"/>
    </row>
    <row r="10864" spans="66:69" x14ac:dyDescent="0.2">
      <c r="BN10864" s="192"/>
      <c r="BO10864" s="197"/>
      <c r="BP10864" s="197"/>
      <c r="BQ10864" s="197"/>
    </row>
    <row r="10865" spans="66:69" x14ac:dyDescent="0.2">
      <c r="BN10865" s="192"/>
      <c r="BO10865" s="197"/>
      <c r="BP10865" s="197"/>
      <c r="BQ10865" s="197"/>
    </row>
    <row r="10866" spans="66:69" x14ac:dyDescent="0.2">
      <c r="BN10866" s="192"/>
      <c r="BO10866" s="197"/>
      <c r="BP10866" s="197"/>
      <c r="BQ10866" s="197"/>
    </row>
    <row r="10867" spans="66:69" x14ac:dyDescent="0.2">
      <c r="BN10867" s="192"/>
      <c r="BO10867" s="197"/>
      <c r="BP10867" s="197"/>
      <c r="BQ10867" s="197"/>
    </row>
    <row r="10868" spans="66:69" x14ac:dyDescent="0.2">
      <c r="BN10868" s="192"/>
      <c r="BO10868" s="197"/>
      <c r="BP10868" s="197"/>
      <c r="BQ10868" s="197"/>
    </row>
    <row r="10869" spans="66:69" x14ac:dyDescent="0.2">
      <c r="BN10869" s="192"/>
      <c r="BO10869" s="197"/>
      <c r="BP10869" s="197"/>
      <c r="BQ10869" s="197"/>
    </row>
    <row r="10870" spans="66:69" x14ac:dyDescent="0.2">
      <c r="BN10870" s="192"/>
      <c r="BO10870" s="197"/>
      <c r="BP10870" s="197"/>
      <c r="BQ10870" s="197"/>
    </row>
    <row r="10871" spans="66:69" x14ac:dyDescent="0.2">
      <c r="BN10871" s="192"/>
      <c r="BO10871" s="197"/>
      <c r="BP10871" s="197"/>
      <c r="BQ10871" s="197"/>
    </row>
    <row r="10872" spans="66:69" x14ac:dyDescent="0.2">
      <c r="BN10872" s="192"/>
      <c r="BO10872" s="197"/>
      <c r="BP10872" s="197"/>
      <c r="BQ10872" s="197"/>
    </row>
    <row r="10873" spans="66:69" x14ac:dyDescent="0.2">
      <c r="BN10873" s="192"/>
      <c r="BO10873" s="197"/>
      <c r="BP10873" s="197"/>
      <c r="BQ10873" s="197"/>
    </row>
    <row r="10874" spans="66:69" x14ac:dyDescent="0.2">
      <c r="BN10874" s="192"/>
      <c r="BO10874" s="197"/>
      <c r="BP10874" s="197"/>
      <c r="BQ10874" s="197"/>
    </row>
    <row r="10875" spans="66:69" x14ac:dyDescent="0.2">
      <c r="BN10875" s="192"/>
      <c r="BO10875" s="197"/>
      <c r="BP10875" s="197"/>
      <c r="BQ10875" s="197"/>
    </row>
    <row r="10876" spans="66:69" x14ac:dyDescent="0.2">
      <c r="BN10876" s="192"/>
      <c r="BO10876" s="197"/>
      <c r="BP10876" s="197"/>
      <c r="BQ10876" s="197"/>
    </row>
    <row r="10877" spans="66:69" x14ac:dyDescent="0.2">
      <c r="BN10877" s="192"/>
      <c r="BO10877" s="197"/>
      <c r="BP10877" s="197"/>
      <c r="BQ10877" s="197"/>
    </row>
    <row r="10878" spans="66:69" x14ac:dyDescent="0.2">
      <c r="BN10878" s="192"/>
      <c r="BO10878" s="197"/>
      <c r="BP10878" s="197"/>
      <c r="BQ10878" s="197"/>
    </row>
    <row r="10879" spans="66:69" x14ac:dyDescent="0.2">
      <c r="BN10879" s="192"/>
      <c r="BO10879" s="197"/>
      <c r="BP10879" s="197"/>
      <c r="BQ10879" s="197"/>
    </row>
    <row r="10880" spans="66:69" x14ac:dyDescent="0.2">
      <c r="BN10880" s="192"/>
      <c r="BO10880" s="197"/>
      <c r="BP10880" s="197"/>
      <c r="BQ10880" s="197"/>
    </row>
    <row r="10881" spans="66:69" x14ac:dyDescent="0.2">
      <c r="BN10881" s="192"/>
      <c r="BO10881" s="197"/>
      <c r="BP10881" s="197"/>
      <c r="BQ10881" s="197"/>
    </row>
    <row r="10882" spans="66:69" x14ac:dyDescent="0.2">
      <c r="BN10882" s="192"/>
      <c r="BO10882" s="197"/>
      <c r="BP10882" s="197"/>
      <c r="BQ10882" s="197"/>
    </row>
    <row r="10883" spans="66:69" x14ac:dyDescent="0.2">
      <c r="BN10883" s="192"/>
      <c r="BO10883" s="197"/>
      <c r="BP10883" s="197"/>
      <c r="BQ10883" s="197"/>
    </row>
    <row r="10884" spans="66:69" x14ac:dyDescent="0.2">
      <c r="BN10884" s="192"/>
      <c r="BO10884" s="197"/>
      <c r="BP10884" s="197"/>
      <c r="BQ10884" s="197"/>
    </row>
    <row r="10885" spans="66:69" x14ac:dyDescent="0.2">
      <c r="BN10885" s="192"/>
      <c r="BO10885" s="197"/>
      <c r="BP10885" s="197"/>
      <c r="BQ10885" s="197"/>
    </row>
    <row r="10886" spans="66:69" x14ac:dyDescent="0.2">
      <c r="BN10886" s="192"/>
      <c r="BO10886" s="197"/>
      <c r="BP10886" s="197"/>
      <c r="BQ10886" s="197"/>
    </row>
    <row r="10887" spans="66:69" x14ac:dyDescent="0.2">
      <c r="BN10887" s="192"/>
      <c r="BO10887" s="197"/>
      <c r="BP10887" s="197"/>
      <c r="BQ10887" s="197"/>
    </row>
    <row r="10888" spans="66:69" x14ac:dyDescent="0.2">
      <c r="BN10888" s="192"/>
      <c r="BO10888" s="197"/>
      <c r="BP10888" s="197"/>
      <c r="BQ10888" s="197"/>
    </row>
    <row r="10889" spans="66:69" x14ac:dyDescent="0.2">
      <c r="BN10889" s="192"/>
      <c r="BO10889" s="197"/>
      <c r="BP10889" s="197"/>
      <c r="BQ10889" s="197"/>
    </row>
    <row r="10890" spans="66:69" x14ac:dyDescent="0.2">
      <c r="BN10890" s="192"/>
      <c r="BO10890" s="197"/>
      <c r="BP10890" s="197"/>
      <c r="BQ10890" s="197"/>
    </row>
    <row r="10891" spans="66:69" x14ac:dyDescent="0.2">
      <c r="BN10891" s="192"/>
      <c r="BO10891" s="197"/>
      <c r="BP10891" s="197"/>
      <c r="BQ10891" s="197"/>
    </row>
    <row r="10892" spans="66:69" x14ac:dyDescent="0.2">
      <c r="BN10892" s="192"/>
      <c r="BO10892" s="197"/>
      <c r="BP10892" s="197"/>
      <c r="BQ10892" s="197"/>
    </row>
    <row r="10893" spans="66:69" x14ac:dyDescent="0.2">
      <c r="BN10893" s="192"/>
      <c r="BO10893" s="197"/>
      <c r="BP10893" s="197"/>
      <c r="BQ10893" s="197"/>
    </row>
    <row r="10894" spans="66:69" x14ac:dyDescent="0.2">
      <c r="BN10894" s="192"/>
      <c r="BO10894" s="197"/>
      <c r="BP10894" s="197"/>
      <c r="BQ10894" s="197"/>
    </row>
    <row r="10895" spans="66:69" x14ac:dyDescent="0.2">
      <c r="BN10895" s="192"/>
      <c r="BO10895" s="197"/>
      <c r="BP10895" s="197"/>
      <c r="BQ10895" s="197"/>
    </row>
    <row r="10896" spans="66:69" x14ac:dyDescent="0.2">
      <c r="BN10896" s="192"/>
      <c r="BO10896" s="197"/>
      <c r="BP10896" s="197"/>
      <c r="BQ10896" s="197"/>
    </row>
    <row r="10897" spans="66:69" x14ac:dyDescent="0.2">
      <c r="BN10897" s="192"/>
      <c r="BO10897" s="197"/>
      <c r="BP10897" s="197"/>
      <c r="BQ10897" s="197"/>
    </row>
    <row r="10898" spans="66:69" x14ac:dyDescent="0.2">
      <c r="BN10898" s="192"/>
      <c r="BO10898" s="197"/>
      <c r="BP10898" s="197"/>
      <c r="BQ10898" s="197"/>
    </row>
    <row r="10899" spans="66:69" x14ac:dyDescent="0.2">
      <c r="BN10899" s="192"/>
      <c r="BO10899" s="197"/>
      <c r="BP10899" s="197"/>
      <c r="BQ10899" s="197"/>
    </row>
    <row r="10900" spans="66:69" x14ac:dyDescent="0.2">
      <c r="BN10900" s="192"/>
      <c r="BO10900" s="197"/>
      <c r="BP10900" s="197"/>
      <c r="BQ10900" s="197"/>
    </row>
    <row r="10901" spans="66:69" x14ac:dyDescent="0.2">
      <c r="BN10901" s="192"/>
      <c r="BO10901" s="197"/>
      <c r="BP10901" s="197"/>
      <c r="BQ10901" s="197"/>
    </row>
    <row r="10902" spans="66:69" x14ac:dyDescent="0.2">
      <c r="BN10902" s="192"/>
      <c r="BO10902" s="197"/>
      <c r="BP10902" s="197"/>
      <c r="BQ10902" s="197"/>
    </row>
    <row r="10903" spans="66:69" x14ac:dyDescent="0.2">
      <c r="BN10903" s="192"/>
      <c r="BO10903" s="197"/>
      <c r="BP10903" s="197"/>
      <c r="BQ10903" s="197"/>
    </row>
    <row r="10904" spans="66:69" x14ac:dyDescent="0.2">
      <c r="BN10904" s="192"/>
      <c r="BO10904" s="197"/>
      <c r="BP10904" s="197"/>
      <c r="BQ10904" s="197"/>
    </row>
    <row r="10905" spans="66:69" x14ac:dyDescent="0.2">
      <c r="BN10905" s="192"/>
      <c r="BO10905" s="197"/>
      <c r="BP10905" s="197"/>
      <c r="BQ10905" s="197"/>
    </row>
    <row r="10906" spans="66:69" x14ac:dyDescent="0.2">
      <c r="BN10906" s="192"/>
      <c r="BO10906" s="197"/>
      <c r="BP10906" s="197"/>
      <c r="BQ10906" s="197"/>
    </row>
    <row r="10907" spans="66:69" x14ac:dyDescent="0.2">
      <c r="BN10907" s="192"/>
      <c r="BO10907" s="197"/>
      <c r="BP10907" s="197"/>
      <c r="BQ10907" s="197"/>
    </row>
    <row r="10908" spans="66:69" x14ac:dyDescent="0.2">
      <c r="BN10908" s="192"/>
      <c r="BO10908" s="197"/>
      <c r="BP10908" s="197"/>
      <c r="BQ10908" s="197"/>
    </row>
    <row r="10909" spans="66:69" x14ac:dyDescent="0.2">
      <c r="BN10909" s="192"/>
      <c r="BO10909" s="197"/>
      <c r="BP10909" s="197"/>
      <c r="BQ10909" s="197"/>
    </row>
    <row r="10910" spans="66:69" x14ac:dyDescent="0.2">
      <c r="BN10910" s="192"/>
      <c r="BO10910" s="197"/>
      <c r="BP10910" s="197"/>
      <c r="BQ10910" s="197"/>
    </row>
    <row r="10911" spans="66:69" x14ac:dyDescent="0.2">
      <c r="BN10911" s="192"/>
      <c r="BO10911" s="197"/>
      <c r="BP10911" s="197"/>
      <c r="BQ10911" s="197"/>
    </row>
    <row r="10912" spans="66:69" x14ac:dyDescent="0.2">
      <c r="BN10912" s="192"/>
      <c r="BO10912" s="197"/>
      <c r="BP10912" s="197"/>
      <c r="BQ10912" s="197"/>
    </row>
    <row r="10913" spans="66:69" x14ac:dyDescent="0.2">
      <c r="BN10913" s="192"/>
      <c r="BO10913" s="197"/>
      <c r="BP10913" s="197"/>
      <c r="BQ10913" s="197"/>
    </row>
    <row r="10914" spans="66:69" x14ac:dyDescent="0.2">
      <c r="BN10914" s="192"/>
      <c r="BO10914" s="197"/>
      <c r="BP10914" s="197"/>
      <c r="BQ10914" s="197"/>
    </row>
    <row r="10915" spans="66:69" x14ac:dyDescent="0.2">
      <c r="BN10915" s="192"/>
      <c r="BO10915" s="197"/>
      <c r="BP10915" s="197"/>
      <c r="BQ10915" s="197"/>
    </row>
    <row r="10916" spans="66:69" x14ac:dyDescent="0.2">
      <c r="BN10916" s="192"/>
      <c r="BO10916" s="197"/>
      <c r="BP10916" s="197"/>
      <c r="BQ10916" s="197"/>
    </row>
    <row r="10917" spans="66:69" x14ac:dyDescent="0.2">
      <c r="BN10917" s="192"/>
      <c r="BO10917" s="197"/>
      <c r="BP10917" s="197"/>
      <c r="BQ10917" s="197"/>
    </row>
    <row r="10918" spans="66:69" x14ac:dyDescent="0.2">
      <c r="BN10918" s="192"/>
      <c r="BO10918" s="197"/>
      <c r="BP10918" s="197"/>
      <c r="BQ10918" s="197"/>
    </row>
    <row r="10919" spans="66:69" x14ac:dyDescent="0.2">
      <c r="BN10919" s="192"/>
      <c r="BO10919" s="197"/>
      <c r="BP10919" s="197"/>
      <c r="BQ10919" s="197"/>
    </row>
    <row r="10920" spans="66:69" x14ac:dyDescent="0.2">
      <c r="BN10920" s="192"/>
      <c r="BO10920" s="197"/>
      <c r="BP10920" s="197"/>
      <c r="BQ10920" s="197"/>
    </row>
    <row r="10921" spans="66:69" x14ac:dyDescent="0.2">
      <c r="BN10921" s="192"/>
      <c r="BO10921" s="197"/>
      <c r="BP10921" s="197"/>
      <c r="BQ10921" s="197"/>
    </row>
    <row r="10922" spans="66:69" x14ac:dyDescent="0.2">
      <c r="BN10922" s="192"/>
      <c r="BO10922" s="197"/>
      <c r="BP10922" s="197"/>
      <c r="BQ10922" s="197"/>
    </row>
    <row r="10923" spans="66:69" x14ac:dyDescent="0.2">
      <c r="BN10923" s="192"/>
      <c r="BO10923" s="197"/>
      <c r="BP10923" s="197"/>
      <c r="BQ10923" s="197"/>
    </row>
    <row r="10924" spans="66:69" x14ac:dyDescent="0.2">
      <c r="BN10924" s="192"/>
      <c r="BO10924" s="197"/>
      <c r="BP10924" s="197"/>
      <c r="BQ10924" s="197"/>
    </row>
    <row r="10925" spans="66:69" x14ac:dyDescent="0.2">
      <c r="BN10925" s="192"/>
      <c r="BO10925" s="197"/>
      <c r="BP10925" s="197"/>
      <c r="BQ10925" s="197"/>
    </row>
    <row r="10926" spans="66:69" x14ac:dyDescent="0.2">
      <c r="BN10926" s="192"/>
      <c r="BO10926" s="197"/>
      <c r="BP10926" s="197"/>
      <c r="BQ10926" s="197"/>
    </row>
    <row r="10927" spans="66:69" x14ac:dyDescent="0.2">
      <c r="BN10927" s="192"/>
      <c r="BO10927" s="197"/>
      <c r="BP10927" s="197"/>
      <c r="BQ10927" s="197"/>
    </row>
    <row r="10928" spans="66:69" x14ac:dyDescent="0.2">
      <c r="BN10928" s="192"/>
      <c r="BO10928" s="197"/>
      <c r="BP10928" s="197"/>
      <c r="BQ10928" s="197"/>
    </row>
    <row r="10929" spans="66:69" x14ac:dyDescent="0.2">
      <c r="BN10929" s="192"/>
      <c r="BO10929" s="197"/>
      <c r="BP10929" s="197"/>
      <c r="BQ10929" s="197"/>
    </row>
    <row r="10930" spans="66:69" x14ac:dyDescent="0.2">
      <c r="BN10930" s="192"/>
      <c r="BO10930" s="197"/>
      <c r="BP10930" s="197"/>
      <c r="BQ10930" s="197"/>
    </row>
    <row r="10931" spans="66:69" x14ac:dyDescent="0.2">
      <c r="BN10931" s="192"/>
      <c r="BO10931" s="197"/>
      <c r="BP10931" s="197"/>
      <c r="BQ10931" s="197"/>
    </row>
    <row r="10932" spans="66:69" x14ac:dyDescent="0.2">
      <c r="BN10932" s="192"/>
      <c r="BO10932" s="197"/>
      <c r="BP10932" s="197"/>
      <c r="BQ10932" s="197"/>
    </row>
    <row r="10933" spans="66:69" x14ac:dyDescent="0.2">
      <c r="BN10933" s="192"/>
      <c r="BO10933" s="197"/>
      <c r="BP10933" s="197"/>
      <c r="BQ10933" s="197"/>
    </row>
    <row r="10934" spans="66:69" x14ac:dyDescent="0.2">
      <c r="BN10934" s="192"/>
      <c r="BO10934" s="197"/>
      <c r="BP10934" s="197"/>
      <c r="BQ10934" s="197"/>
    </row>
    <row r="10935" spans="66:69" x14ac:dyDescent="0.2">
      <c r="BN10935" s="192"/>
      <c r="BO10935" s="197"/>
      <c r="BP10935" s="197"/>
      <c r="BQ10935" s="197"/>
    </row>
    <row r="10936" spans="66:69" x14ac:dyDescent="0.2">
      <c r="BN10936" s="192"/>
      <c r="BO10936" s="197"/>
      <c r="BP10936" s="197"/>
      <c r="BQ10936" s="197"/>
    </row>
    <row r="10937" spans="66:69" x14ac:dyDescent="0.2">
      <c r="BN10937" s="192"/>
      <c r="BO10937" s="197"/>
      <c r="BP10937" s="197"/>
      <c r="BQ10937" s="197"/>
    </row>
    <row r="10938" spans="66:69" x14ac:dyDescent="0.2">
      <c r="BN10938" s="192"/>
      <c r="BO10938" s="197"/>
      <c r="BP10938" s="197"/>
      <c r="BQ10938" s="197"/>
    </row>
    <row r="10939" spans="66:69" x14ac:dyDescent="0.2">
      <c r="BN10939" s="192"/>
      <c r="BO10939" s="197"/>
      <c r="BP10939" s="197"/>
      <c r="BQ10939" s="197"/>
    </row>
    <row r="10940" spans="66:69" x14ac:dyDescent="0.2">
      <c r="BN10940" s="192"/>
      <c r="BO10940" s="197"/>
      <c r="BP10940" s="197"/>
      <c r="BQ10940" s="197"/>
    </row>
    <row r="10941" spans="66:69" x14ac:dyDescent="0.2">
      <c r="BN10941" s="192"/>
      <c r="BO10941" s="197"/>
      <c r="BP10941" s="197"/>
      <c r="BQ10941" s="197"/>
    </row>
    <row r="10942" spans="66:69" x14ac:dyDescent="0.2">
      <c r="BN10942" s="192"/>
      <c r="BO10942" s="197"/>
      <c r="BP10942" s="197"/>
      <c r="BQ10942" s="197"/>
    </row>
    <row r="10943" spans="66:69" x14ac:dyDescent="0.2">
      <c r="BN10943" s="192"/>
      <c r="BO10943" s="197"/>
      <c r="BP10943" s="197"/>
      <c r="BQ10943" s="197"/>
    </row>
    <row r="10944" spans="66:69" x14ac:dyDescent="0.2">
      <c r="BN10944" s="192"/>
      <c r="BO10944" s="197"/>
      <c r="BP10944" s="197"/>
      <c r="BQ10944" s="197"/>
    </row>
    <row r="10945" spans="66:69" x14ac:dyDescent="0.2">
      <c r="BN10945" s="192"/>
      <c r="BO10945" s="197"/>
      <c r="BP10945" s="197"/>
      <c r="BQ10945" s="197"/>
    </row>
    <row r="10946" spans="66:69" x14ac:dyDescent="0.2">
      <c r="BN10946" s="192"/>
      <c r="BO10946" s="197"/>
      <c r="BP10946" s="197"/>
      <c r="BQ10946" s="197"/>
    </row>
    <row r="10947" spans="66:69" x14ac:dyDescent="0.2">
      <c r="BN10947" s="192"/>
      <c r="BO10947" s="197"/>
      <c r="BP10947" s="197"/>
      <c r="BQ10947" s="197"/>
    </row>
    <row r="10948" spans="66:69" x14ac:dyDescent="0.2">
      <c r="BN10948" s="192"/>
      <c r="BO10948" s="197"/>
      <c r="BP10948" s="197"/>
      <c r="BQ10948" s="197"/>
    </row>
    <row r="10949" spans="66:69" x14ac:dyDescent="0.2">
      <c r="BN10949" s="192"/>
      <c r="BO10949" s="197"/>
      <c r="BP10949" s="197"/>
      <c r="BQ10949" s="197"/>
    </row>
    <row r="10950" spans="66:69" x14ac:dyDescent="0.2">
      <c r="BN10950" s="192"/>
      <c r="BO10950" s="197"/>
      <c r="BP10950" s="197"/>
      <c r="BQ10950" s="197"/>
    </row>
    <row r="10951" spans="66:69" x14ac:dyDescent="0.2">
      <c r="BN10951" s="192"/>
      <c r="BO10951" s="197"/>
      <c r="BP10951" s="197"/>
      <c r="BQ10951" s="197"/>
    </row>
    <row r="10952" spans="66:69" x14ac:dyDescent="0.2">
      <c r="BN10952" s="192"/>
      <c r="BO10952" s="197"/>
      <c r="BP10952" s="197"/>
      <c r="BQ10952" s="197"/>
    </row>
    <row r="10953" spans="66:69" x14ac:dyDescent="0.2">
      <c r="BN10953" s="192"/>
      <c r="BO10953" s="197"/>
      <c r="BP10953" s="197"/>
      <c r="BQ10953" s="197"/>
    </row>
    <row r="10954" spans="66:69" x14ac:dyDescent="0.2">
      <c r="BN10954" s="192"/>
      <c r="BO10954" s="197"/>
      <c r="BP10954" s="197"/>
      <c r="BQ10954" s="197"/>
    </row>
    <row r="10955" spans="66:69" x14ac:dyDescent="0.2">
      <c r="BN10955" s="192"/>
      <c r="BO10955" s="197"/>
      <c r="BP10955" s="197"/>
      <c r="BQ10955" s="197"/>
    </row>
    <row r="10956" spans="66:69" x14ac:dyDescent="0.2">
      <c r="BN10956" s="192"/>
      <c r="BO10956" s="197"/>
      <c r="BP10956" s="197"/>
      <c r="BQ10956" s="197"/>
    </row>
    <row r="10957" spans="66:69" x14ac:dyDescent="0.2">
      <c r="BN10957" s="192"/>
      <c r="BO10957" s="197"/>
      <c r="BP10957" s="197"/>
      <c r="BQ10957" s="197"/>
    </row>
    <row r="10958" spans="66:69" x14ac:dyDescent="0.2">
      <c r="BN10958" s="192"/>
      <c r="BO10958" s="197"/>
      <c r="BP10958" s="197"/>
      <c r="BQ10958" s="197"/>
    </row>
    <row r="10959" spans="66:69" x14ac:dyDescent="0.2">
      <c r="BN10959" s="192"/>
      <c r="BO10959" s="197"/>
      <c r="BP10959" s="197"/>
      <c r="BQ10959" s="197"/>
    </row>
    <row r="10960" spans="66:69" x14ac:dyDescent="0.2">
      <c r="BN10960" s="192"/>
      <c r="BO10960" s="197"/>
      <c r="BP10960" s="197"/>
      <c r="BQ10960" s="197"/>
    </row>
    <row r="10961" spans="66:69" x14ac:dyDescent="0.2">
      <c r="BN10961" s="192"/>
      <c r="BO10961" s="197"/>
      <c r="BP10961" s="197"/>
      <c r="BQ10961" s="197"/>
    </row>
    <row r="10962" spans="66:69" x14ac:dyDescent="0.2">
      <c r="BN10962" s="192"/>
      <c r="BO10962" s="197"/>
      <c r="BP10962" s="197"/>
      <c r="BQ10962" s="197"/>
    </row>
    <row r="10963" spans="66:69" x14ac:dyDescent="0.2">
      <c r="BN10963" s="192"/>
      <c r="BO10963" s="197"/>
      <c r="BP10963" s="197"/>
      <c r="BQ10963" s="197"/>
    </row>
    <row r="10964" spans="66:69" x14ac:dyDescent="0.2">
      <c r="BN10964" s="192"/>
      <c r="BO10964" s="197"/>
      <c r="BP10964" s="197"/>
      <c r="BQ10964" s="197"/>
    </row>
    <row r="10965" spans="66:69" x14ac:dyDescent="0.2">
      <c r="BN10965" s="192"/>
      <c r="BO10965" s="197"/>
      <c r="BP10965" s="197"/>
      <c r="BQ10965" s="197"/>
    </row>
    <row r="10966" spans="66:69" x14ac:dyDescent="0.2">
      <c r="BN10966" s="192"/>
      <c r="BO10966" s="197"/>
      <c r="BP10966" s="197"/>
      <c r="BQ10966" s="197"/>
    </row>
    <row r="10967" spans="66:69" x14ac:dyDescent="0.2">
      <c r="BN10967" s="192"/>
      <c r="BO10967" s="197"/>
      <c r="BP10967" s="197"/>
      <c r="BQ10967" s="197"/>
    </row>
    <row r="10968" spans="66:69" x14ac:dyDescent="0.2">
      <c r="BN10968" s="192"/>
      <c r="BO10968" s="197"/>
      <c r="BP10968" s="197"/>
      <c r="BQ10968" s="197"/>
    </row>
    <row r="10969" spans="66:69" x14ac:dyDescent="0.2">
      <c r="BN10969" s="192"/>
      <c r="BO10969" s="197"/>
      <c r="BP10969" s="197"/>
      <c r="BQ10969" s="197"/>
    </row>
    <row r="10970" spans="66:69" x14ac:dyDescent="0.2">
      <c r="BN10970" s="192"/>
      <c r="BO10970" s="197"/>
      <c r="BP10970" s="197"/>
      <c r="BQ10970" s="197"/>
    </row>
    <row r="10971" spans="66:69" x14ac:dyDescent="0.2">
      <c r="BN10971" s="192"/>
      <c r="BO10971" s="197"/>
      <c r="BP10971" s="197"/>
      <c r="BQ10971" s="197"/>
    </row>
    <row r="10972" spans="66:69" x14ac:dyDescent="0.2">
      <c r="BN10972" s="192"/>
      <c r="BO10972" s="197"/>
      <c r="BP10972" s="197"/>
      <c r="BQ10972" s="197"/>
    </row>
    <row r="10973" spans="66:69" x14ac:dyDescent="0.2">
      <c r="BN10973" s="192"/>
      <c r="BO10973" s="197"/>
      <c r="BP10973" s="197"/>
      <c r="BQ10973" s="197"/>
    </row>
    <row r="10974" spans="66:69" x14ac:dyDescent="0.2">
      <c r="BN10974" s="192"/>
      <c r="BO10974" s="197"/>
      <c r="BP10974" s="197"/>
      <c r="BQ10974" s="197"/>
    </row>
    <row r="10975" spans="66:69" x14ac:dyDescent="0.2">
      <c r="BN10975" s="192"/>
      <c r="BO10975" s="197"/>
      <c r="BP10975" s="197"/>
      <c r="BQ10975" s="197"/>
    </row>
    <row r="10976" spans="66:69" x14ac:dyDescent="0.2">
      <c r="BN10976" s="192"/>
      <c r="BO10976" s="197"/>
      <c r="BP10976" s="197"/>
      <c r="BQ10976" s="197"/>
    </row>
    <row r="10977" spans="66:69" x14ac:dyDescent="0.2">
      <c r="BN10977" s="192"/>
      <c r="BO10977" s="197"/>
      <c r="BP10977" s="197"/>
      <c r="BQ10977" s="197"/>
    </row>
    <row r="10978" spans="66:69" x14ac:dyDescent="0.2">
      <c r="BN10978" s="192"/>
      <c r="BO10978" s="197"/>
      <c r="BP10978" s="197"/>
      <c r="BQ10978" s="197"/>
    </row>
    <row r="10979" spans="66:69" x14ac:dyDescent="0.2">
      <c r="BN10979" s="192"/>
      <c r="BO10979" s="197"/>
      <c r="BP10979" s="197"/>
      <c r="BQ10979" s="197"/>
    </row>
    <row r="10980" spans="66:69" x14ac:dyDescent="0.2">
      <c r="BN10980" s="192"/>
      <c r="BO10980" s="197"/>
      <c r="BP10980" s="197"/>
      <c r="BQ10980" s="197"/>
    </row>
    <row r="10981" spans="66:69" x14ac:dyDescent="0.2">
      <c r="BN10981" s="192"/>
      <c r="BO10981" s="197"/>
      <c r="BP10981" s="197"/>
      <c r="BQ10981" s="197"/>
    </row>
    <row r="10982" spans="66:69" x14ac:dyDescent="0.2">
      <c r="BN10982" s="192"/>
      <c r="BO10982" s="197"/>
      <c r="BP10982" s="197"/>
      <c r="BQ10982" s="197"/>
    </row>
    <row r="10983" spans="66:69" x14ac:dyDescent="0.2">
      <c r="BN10983" s="192"/>
      <c r="BO10983" s="197"/>
      <c r="BP10983" s="197"/>
      <c r="BQ10983" s="197"/>
    </row>
    <row r="10984" spans="66:69" x14ac:dyDescent="0.2">
      <c r="BN10984" s="192"/>
      <c r="BO10984" s="197"/>
      <c r="BP10984" s="197"/>
      <c r="BQ10984" s="197"/>
    </row>
    <row r="10985" spans="66:69" x14ac:dyDescent="0.2">
      <c r="BN10985" s="192"/>
      <c r="BO10985" s="197"/>
      <c r="BP10985" s="197"/>
      <c r="BQ10985" s="197"/>
    </row>
    <row r="10986" spans="66:69" x14ac:dyDescent="0.2">
      <c r="BN10986" s="192"/>
      <c r="BO10986" s="197"/>
      <c r="BP10986" s="197"/>
      <c r="BQ10986" s="197"/>
    </row>
    <row r="10987" spans="66:69" x14ac:dyDescent="0.2">
      <c r="BN10987" s="192"/>
      <c r="BO10987" s="197"/>
      <c r="BP10987" s="197"/>
      <c r="BQ10987" s="197"/>
    </row>
    <row r="10988" spans="66:69" x14ac:dyDescent="0.2">
      <c r="BN10988" s="192"/>
      <c r="BO10988" s="197"/>
      <c r="BP10988" s="197"/>
      <c r="BQ10988" s="197"/>
    </row>
    <row r="10989" spans="66:69" x14ac:dyDescent="0.2">
      <c r="BN10989" s="192"/>
      <c r="BO10989" s="197"/>
      <c r="BP10989" s="197"/>
      <c r="BQ10989" s="197"/>
    </row>
    <row r="10990" spans="66:69" x14ac:dyDescent="0.2">
      <c r="BN10990" s="192"/>
      <c r="BO10990" s="197"/>
      <c r="BP10990" s="197"/>
      <c r="BQ10990" s="197"/>
    </row>
    <row r="10991" spans="66:69" x14ac:dyDescent="0.2">
      <c r="BN10991" s="192"/>
      <c r="BO10991" s="197"/>
      <c r="BP10991" s="197"/>
      <c r="BQ10991" s="197"/>
    </row>
    <row r="10992" spans="66:69" x14ac:dyDescent="0.2">
      <c r="BN10992" s="192"/>
      <c r="BO10992" s="197"/>
      <c r="BP10992" s="197"/>
      <c r="BQ10992" s="197"/>
    </row>
    <row r="10993" spans="66:69" x14ac:dyDescent="0.2">
      <c r="BN10993" s="192"/>
      <c r="BO10993" s="197"/>
      <c r="BP10993" s="197"/>
      <c r="BQ10993" s="197"/>
    </row>
    <row r="10994" spans="66:69" x14ac:dyDescent="0.2">
      <c r="BN10994" s="192"/>
      <c r="BO10994" s="197"/>
      <c r="BP10994" s="197"/>
      <c r="BQ10994" s="197"/>
    </row>
    <row r="10995" spans="66:69" x14ac:dyDescent="0.2">
      <c r="BN10995" s="192"/>
      <c r="BO10995" s="197"/>
      <c r="BP10995" s="197"/>
      <c r="BQ10995" s="197"/>
    </row>
    <row r="10996" spans="66:69" x14ac:dyDescent="0.2">
      <c r="BN10996" s="192"/>
      <c r="BO10996" s="197"/>
      <c r="BP10996" s="197"/>
      <c r="BQ10996" s="197"/>
    </row>
    <row r="10997" spans="66:69" x14ac:dyDescent="0.2">
      <c r="BN10997" s="192"/>
      <c r="BO10997" s="197"/>
      <c r="BP10997" s="197"/>
      <c r="BQ10997" s="197"/>
    </row>
    <row r="10998" spans="66:69" x14ac:dyDescent="0.2">
      <c r="BN10998" s="192"/>
      <c r="BO10998" s="197"/>
      <c r="BP10998" s="197"/>
      <c r="BQ10998" s="197"/>
    </row>
    <row r="10999" spans="66:69" x14ac:dyDescent="0.2">
      <c r="BN10999" s="192"/>
      <c r="BO10999" s="197"/>
      <c r="BP10999" s="197"/>
      <c r="BQ10999" s="197"/>
    </row>
    <row r="11000" spans="66:69" x14ac:dyDescent="0.2">
      <c r="BN11000" s="192"/>
      <c r="BO11000" s="197"/>
      <c r="BP11000" s="197"/>
      <c r="BQ11000" s="197"/>
    </row>
    <row r="11001" spans="66:69" x14ac:dyDescent="0.2">
      <c r="BN11001" s="192"/>
      <c r="BO11001" s="197"/>
      <c r="BP11001" s="197"/>
      <c r="BQ11001" s="197"/>
    </row>
    <row r="11002" spans="66:69" x14ac:dyDescent="0.2">
      <c r="BN11002" s="192"/>
      <c r="BO11002" s="197"/>
      <c r="BP11002" s="197"/>
      <c r="BQ11002" s="197"/>
    </row>
    <row r="11003" spans="66:69" x14ac:dyDescent="0.2">
      <c r="BN11003" s="192"/>
      <c r="BO11003" s="197"/>
      <c r="BP11003" s="197"/>
      <c r="BQ11003" s="197"/>
    </row>
    <row r="11004" spans="66:69" x14ac:dyDescent="0.2">
      <c r="BN11004" s="192"/>
      <c r="BO11004" s="197"/>
      <c r="BP11004" s="197"/>
      <c r="BQ11004" s="197"/>
    </row>
    <row r="11005" spans="66:69" x14ac:dyDescent="0.2">
      <c r="BN11005" s="192"/>
      <c r="BO11005" s="197"/>
      <c r="BP11005" s="197"/>
      <c r="BQ11005" s="197"/>
    </row>
    <row r="11006" spans="66:69" x14ac:dyDescent="0.2">
      <c r="BN11006" s="192"/>
      <c r="BO11006" s="197"/>
      <c r="BP11006" s="197"/>
      <c r="BQ11006" s="197"/>
    </row>
    <row r="11007" spans="66:69" x14ac:dyDescent="0.2">
      <c r="BN11007" s="192"/>
      <c r="BO11007" s="197"/>
      <c r="BP11007" s="197"/>
      <c r="BQ11007" s="197"/>
    </row>
    <row r="11008" spans="66:69" x14ac:dyDescent="0.2">
      <c r="BN11008" s="192"/>
      <c r="BO11008" s="197"/>
      <c r="BP11008" s="197"/>
      <c r="BQ11008" s="197"/>
    </row>
    <row r="11009" spans="66:69" x14ac:dyDescent="0.2">
      <c r="BN11009" s="192"/>
      <c r="BO11009" s="197"/>
      <c r="BP11009" s="197"/>
      <c r="BQ11009" s="197"/>
    </row>
    <row r="11010" spans="66:69" x14ac:dyDescent="0.2">
      <c r="BN11010" s="192"/>
      <c r="BO11010" s="197"/>
      <c r="BP11010" s="197"/>
      <c r="BQ11010" s="197"/>
    </row>
    <row r="11011" spans="66:69" x14ac:dyDescent="0.2">
      <c r="BN11011" s="192"/>
      <c r="BO11011" s="197"/>
      <c r="BP11011" s="197"/>
      <c r="BQ11011" s="197"/>
    </row>
    <row r="11012" spans="66:69" x14ac:dyDescent="0.2">
      <c r="BN11012" s="192"/>
      <c r="BO11012" s="197"/>
      <c r="BP11012" s="197"/>
      <c r="BQ11012" s="197"/>
    </row>
    <row r="11013" spans="66:69" x14ac:dyDescent="0.2">
      <c r="BN11013" s="192"/>
      <c r="BO11013" s="197"/>
      <c r="BP11013" s="197"/>
      <c r="BQ11013" s="197"/>
    </row>
    <row r="11014" spans="66:69" x14ac:dyDescent="0.2">
      <c r="BN11014" s="192"/>
      <c r="BO11014" s="197"/>
      <c r="BP11014" s="197"/>
      <c r="BQ11014" s="197"/>
    </row>
    <row r="11015" spans="66:69" x14ac:dyDescent="0.2">
      <c r="BN11015" s="192"/>
      <c r="BO11015" s="197"/>
      <c r="BP11015" s="197"/>
      <c r="BQ11015" s="197"/>
    </row>
    <row r="11016" spans="66:69" x14ac:dyDescent="0.2">
      <c r="BN11016" s="192"/>
      <c r="BO11016" s="197"/>
      <c r="BP11016" s="197"/>
      <c r="BQ11016" s="197"/>
    </row>
    <row r="11017" spans="66:69" x14ac:dyDescent="0.2">
      <c r="BN11017" s="192"/>
      <c r="BO11017" s="197"/>
      <c r="BP11017" s="197"/>
      <c r="BQ11017" s="197"/>
    </row>
    <row r="11018" spans="66:69" x14ac:dyDescent="0.2">
      <c r="BN11018" s="192"/>
      <c r="BO11018" s="197"/>
      <c r="BP11018" s="197"/>
      <c r="BQ11018" s="197"/>
    </row>
    <row r="11019" spans="66:69" x14ac:dyDescent="0.2">
      <c r="BN11019" s="192"/>
      <c r="BO11019" s="197"/>
      <c r="BP11019" s="197"/>
      <c r="BQ11019" s="197"/>
    </row>
    <row r="11020" spans="66:69" x14ac:dyDescent="0.2">
      <c r="BN11020" s="192"/>
      <c r="BO11020" s="197"/>
      <c r="BP11020" s="197"/>
      <c r="BQ11020" s="197"/>
    </row>
    <row r="11021" spans="66:69" x14ac:dyDescent="0.2">
      <c r="BN11021" s="192"/>
      <c r="BO11021" s="197"/>
      <c r="BP11021" s="197"/>
      <c r="BQ11021" s="197"/>
    </row>
    <row r="11022" spans="66:69" x14ac:dyDescent="0.2">
      <c r="BN11022" s="192"/>
      <c r="BO11022" s="197"/>
      <c r="BP11022" s="197"/>
      <c r="BQ11022" s="197"/>
    </row>
    <row r="11023" spans="66:69" x14ac:dyDescent="0.2">
      <c r="BN11023" s="192"/>
      <c r="BO11023" s="197"/>
      <c r="BP11023" s="197"/>
      <c r="BQ11023" s="197"/>
    </row>
    <row r="11024" spans="66:69" x14ac:dyDescent="0.2">
      <c r="BN11024" s="192"/>
      <c r="BO11024" s="197"/>
      <c r="BP11024" s="197"/>
      <c r="BQ11024" s="197"/>
    </row>
    <row r="11025" spans="66:69" x14ac:dyDescent="0.2">
      <c r="BN11025" s="192"/>
      <c r="BO11025" s="197"/>
      <c r="BP11025" s="197"/>
      <c r="BQ11025" s="197"/>
    </row>
    <row r="11026" spans="66:69" x14ac:dyDescent="0.2">
      <c r="BN11026" s="192"/>
      <c r="BO11026" s="197"/>
      <c r="BP11026" s="197"/>
      <c r="BQ11026" s="197"/>
    </row>
    <row r="11027" spans="66:69" x14ac:dyDescent="0.2">
      <c r="BN11027" s="192"/>
      <c r="BO11027" s="197"/>
      <c r="BP11027" s="197"/>
      <c r="BQ11027" s="197"/>
    </row>
    <row r="11028" spans="66:69" x14ac:dyDescent="0.2">
      <c r="BN11028" s="192"/>
      <c r="BO11028" s="197"/>
      <c r="BP11028" s="197"/>
      <c r="BQ11028" s="197"/>
    </row>
    <row r="11029" spans="66:69" x14ac:dyDescent="0.2">
      <c r="BN11029" s="192"/>
      <c r="BO11029" s="197"/>
      <c r="BP11029" s="197"/>
      <c r="BQ11029" s="197"/>
    </row>
    <row r="11030" spans="66:69" x14ac:dyDescent="0.2">
      <c r="BN11030" s="192"/>
      <c r="BO11030" s="197"/>
      <c r="BP11030" s="197"/>
      <c r="BQ11030" s="197"/>
    </row>
    <row r="11031" spans="66:69" x14ac:dyDescent="0.2">
      <c r="BN11031" s="192"/>
      <c r="BO11031" s="197"/>
      <c r="BP11031" s="197"/>
      <c r="BQ11031" s="197"/>
    </row>
    <row r="11032" spans="66:69" x14ac:dyDescent="0.2">
      <c r="BN11032" s="192"/>
      <c r="BO11032" s="197"/>
      <c r="BP11032" s="197"/>
      <c r="BQ11032" s="197"/>
    </row>
    <row r="11033" spans="66:69" x14ac:dyDescent="0.2">
      <c r="BN11033" s="192"/>
      <c r="BO11033" s="197"/>
      <c r="BP11033" s="197"/>
      <c r="BQ11033" s="197"/>
    </row>
    <row r="11034" spans="66:69" x14ac:dyDescent="0.2">
      <c r="BN11034" s="192"/>
      <c r="BO11034" s="197"/>
      <c r="BP11034" s="197"/>
      <c r="BQ11034" s="197"/>
    </row>
    <row r="11035" spans="66:69" x14ac:dyDescent="0.2">
      <c r="BN11035" s="192"/>
      <c r="BO11035" s="197"/>
      <c r="BP11035" s="197"/>
      <c r="BQ11035" s="197"/>
    </row>
    <row r="11036" spans="66:69" x14ac:dyDescent="0.2">
      <c r="BN11036" s="192"/>
      <c r="BO11036" s="197"/>
      <c r="BP11036" s="197"/>
      <c r="BQ11036" s="197"/>
    </row>
    <row r="11037" spans="66:69" x14ac:dyDescent="0.2">
      <c r="BN11037" s="192"/>
      <c r="BO11037" s="197"/>
      <c r="BP11037" s="197"/>
      <c r="BQ11037" s="197"/>
    </row>
    <row r="11038" spans="66:69" x14ac:dyDescent="0.2">
      <c r="BN11038" s="192"/>
      <c r="BO11038" s="197"/>
      <c r="BP11038" s="197"/>
      <c r="BQ11038" s="197"/>
    </row>
    <row r="11039" spans="66:69" x14ac:dyDescent="0.2">
      <c r="BN11039" s="192"/>
      <c r="BO11039" s="197"/>
      <c r="BP11039" s="197"/>
      <c r="BQ11039" s="197"/>
    </row>
    <row r="11040" spans="66:69" x14ac:dyDescent="0.2">
      <c r="BN11040" s="192"/>
      <c r="BO11040" s="197"/>
      <c r="BP11040" s="197"/>
      <c r="BQ11040" s="197"/>
    </row>
    <row r="11041" spans="66:69" x14ac:dyDescent="0.2">
      <c r="BN11041" s="192"/>
      <c r="BO11041" s="197"/>
      <c r="BP11041" s="197"/>
      <c r="BQ11041" s="197"/>
    </row>
    <row r="11042" spans="66:69" x14ac:dyDescent="0.2">
      <c r="BN11042" s="192"/>
      <c r="BO11042" s="197"/>
      <c r="BP11042" s="197"/>
      <c r="BQ11042" s="197"/>
    </row>
    <row r="11043" spans="66:69" x14ac:dyDescent="0.2">
      <c r="BN11043" s="192"/>
      <c r="BO11043" s="197"/>
      <c r="BP11043" s="197"/>
      <c r="BQ11043" s="197"/>
    </row>
    <row r="11044" spans="66:69" x14ac:dyDescent="0.2">
      <c r="BN11044" s="192"/>
      <c r="BO11044" s="197"/>
      <c r="BP11044" s="197"/>
      <c r="BQ11044" s="197"/>
    </row>
    <row r="11045" spans="66:69" x14ac:dyDescent="0.2">
      <c r="BN11045" s="192"/>
      <c r="BO11045" s="197"/>
      <c r="BP11045" s="197"/>
      <c r="BQ11045" s="197"/>
    </row>
    <row r="11046" spans="66:69" x14ac:dyDescent="0.2">
      <c r="BN11046" s="192"/>
      <c r="BO11046" s="197"/>
      <c r="BP11046" s="197"/>
      <c r="BQ11046" s="197"/>
    </row>
    <row r="11047" spans="66:69" x14ac:dyDescent="0.2">
      <c r="BN11047" s="192"/>
      <c r="BO11047" s="197"/>
      <c r="BP11047" s="197"/>
      <c r="BQ11047" s="197"/>
    </row>
    <row r="11048" spans="66:69" x14ac:dyDescent="0.2">
      <c r="BN11048" s="192"/>
      <c r="BO11048" s="197"/>
      <c r="BP11048" s="197"/>
      <c r="BQ11048" s="197"/>
    </row>
    <row r="11049" spans="66:69" x14ac:dyDescent="0.2">
      <c r="BN11049" s="192"/>
      <c r="BO11049" s="197"/>
      <c r="BP11049" s="197"/>
      <c r="BQ11049" s="197"/>
    </row>
    <row r="11050" spans="66:69" x14ac:dyDescent="0.2">
      <c r="BN11050" s="192"/>
      <c r="BO11050" s="197"/>
      <c r="BP11050" s="197"/>
      <c r="BQ11050" s="197"/>
    </row>
    <row r="11051" spans="66:69" x14ac:dyDescent="0.2">
      <c r="BN11051" s="192"/>
      <c r="BO11051" s="197"/>
      <c r="BP11051" s="197"/>
      <c r="BQ11051" s="197"/>
    </row>
    <row r="11052" spans="66:69" x14ac:dyDescent="0.2">
      <c r="BN11052" s="192"/>
      <c r="BO11052" s="197"/>
      <c r="BP11052" s="197"/>
      <c r="BQ11052" s="197"/>
    </row>
    <row r="11053" spans="66:69" x14ac:dyDescent="0.2">
      <c r="BN11053" s="192"/>
      <c r="BO11053" s="197"/>
      <c r="BP11053" s="197"/>
      <c r="BQ11053" s="197"/>
    </row>
    <row r="11054" spans="66:69" x14ac:dyDescent="0.2">
      <c r="BN11054" s="192"/>
      <c r="BO11054" s="197"/>
      <c r="BP11054" s="197"/>
      <c r="BQ11054" s="197"/>
    </row>
    <row r="11055" spans="66:69" x14ac:dyDescent="0.2">
      <c r="BN11055" s="192"/>
      <c r="BO11055" s="197"/>
      <c r="BP11055" s="197"/>
      <c r="BQ11055" s="197"/>
    </row>
    <row r="11056" spans="66:69" x14ac:dyDescent="0.2">
      <c r="BN11056" s="192"/>
      <c r="BO11056" s="197"/>
      <c r="BP11056" s="197"/>
      <c r="BQ11056" s="197"/>
    </row>
    <row r="11057" spans="66:69" x14ac:dyDescent="0.2">
      <c r="BN11057" s="192"/>
      <c r="BO11057" s="197"/>
      <c r="BP11057" s="197"/>
      <c r="BQ11057" s="197"/>
    </row>
    <row r="11058" spans="66:69" x14ac:dyDescent="0.2">
      <c r="BN11058" s="192"/>
      <c r="BO11058" s="197"/>
      <c r="BP11058" s="197"/>
      <c r="BQ11058" s="197"/>
    </row>
    <row r="11059" spans="66:69" x14ac:dyDescent="0.2">
      <c r="BN11059" s="192"/>
      <c r="BO11059" s="197"/>
      <c r="BP11059" s="197"/>
      <c r="BQ11059" s="197"/>
    </row>
    <row r="11060" spans="66:69" x14ac:dyDescent="0.2">
      <c r="BN11060" s="192"/>
      <c r="BO11060" s="197"/>
      <c r="BP11060" s="197"/>
      <c r="BQ11060" s="197"/>
    </row>
    <row r="11061" spans="66:69" x14ac:dyDescent="0.2">
      <c r="BN11061" s="192"/>
      <c r="BO11061" s="197"/>
      <c r="BP11061" s="197"/>
      <c r="BQ11061" s="197"/>
    </row>
    <row r="11062" spans="66:69" x14ac:dyDescent="0.2">
      <c r="BN11062" s="192"/>
      <c r="BO11062" s="197"/>
      <c r="BP11062" s="197"/>
      <c r="BQ11062" s="197"/>
    </row>
    <row r="11063" spans="66:69" x14ac:dyDescent="0.2">
      <c r="BN11063" s="192"/>
      <c r="BO11063" s="197"/>
      <c r="BP11063" s="197"/>
      <c r="BQ11063" s="197"/>
    </row>
    <row r="11064" spans="66:69" x14ac:dyDescent="0.2">
      <c r="BN11064" s="192"/>
      <c r="BO11064" s="197"/>
      <c r="BP11064" s="197"/>
      <c r="BQ11064" s="197"/>
    </row>
    <row r="11065" spans="66:69" x14ac:dyDescent="0.2">
      <c r="BN11065" s="192"/>
      <c r="BO11065" s="197"/>
      <c r="BP11065" s="197"/>
      <c r="BQ11065" s="197"/>
    </row>
    <row r="11066" spans="66:69" x14ac:dyDescent="0.2">
      <c r="BN11066" s="192"/>
      <c r="BO11066" s="197"/>
      <c r="BP11066" s="197"/>
      <c r="BQ11066" s="197"/>
    </row>
    <row r="11067" spans="66:69" x14ac:dyDescent="0.2">
      <c r="BN11067" s="192"/>
      <c r="BO11067" s="197"/>
      <c r="BP11067" s="197"/>
      <c r="BQ11067" s="197"/>
    </row>
    <row r="11068" spans="66:69" x14ac:dyDescent="0.2">
      <c r="BN11068" s="192"/>
      <c r="BO11068" s="197"/>
      <c r="BP11068" s="197"/>
      <c r="BQ11068" s="197"/>
    </row>
    <row r="11069" spans="66:69" x14ac:dyDescent="0.2">
      <c r="BN11069" s="192"/>
      <c r="BO11069" s="197"/>
      <c r="BP11069" s="197"/>
      <c r="BQ11069" s="197"/>
    </row>
    <row r="11070" spans="66:69" x14ac:dyDescent="0.2">
      <c r="BN11070" s="192"/>
      <c r="BO11070" s="197"/>
      <c r="BP11070" s="197"/>
      <c r="BQ11070" s="197"/>
    </row>
    <row r="11071" spans="66:69" x14ac:dyDescent="0.2">
      <c r="BN11071" s="192"/>
      <c r="BO11071" s="197"/>
      <c r="BP11071" s="197"/>
      <c r="BQ11071" s="197"/>
    </row>
    <row r="11072" spans="66:69" x14ac:dyDescent="0.2">
      <c r="BN11072" s="192"/>
      <c r="BO11072" s="197"/>
      <c r="BP11072" s="197"/>
      <c r="BQ11072" s="197"/>
    </row>
    <row r="11073" spans="66:69" x14ac:dyDescent="0.2">
      <c r="BN11073" s="192"/>
      <c r="BO11073" s="197"/>
      <c r="BP11073" s="197"/>
      <c r="BQ11073" s="197"/>
    </row>
    <row r="11074" spans="66:69" x14ac:dyDescent="0.2">
      <c r="BN11074" s="192"/>
      <c r="BO11074" s="197"/>
      <c r="BP11074" s="197"/>
      <c r="BQ11074" s="197"/>
    </row>
    <row r="11075" spans="66:69" x14ac:dyDescent="0.2">
      <c r="BN11075" s="192"/>
      <c r="BO11075" s="197"/>
      <c r="BP11075" s="197"/>
      <c r="BQ11075" s="197"/>
    </row>
    <row r="11076" spans="66:69" x14ac:dyDescent="0.2">
      <c r="BN11076" s="192"/>
      <c r="BO11076" s="197"/>
      <c r="BP11076" s="197"/>
      <c r="BQ11076" s="197"/>
    </row>
    <row r="11077" spans="66:69" x14ac:dyDescent="0.2">
      <c r="BN11077" s="192"/>
      <c r="BO11077" s="197"/>
      <c r="BP11077" s="197"/>
      <c r="BQ11077" s="197"/>
    </row>
    <row r="11078" spans="66:69" x14ac:dyDescent="0.2">
      <c r="BN11078" s="192"/>
      <c r="BO11078" s="197"/>
      <c r="BP11078" s="197"/>
      <c r="BQ11078" s="197"/>
    </row>
    <row r="11079" spans="66:69" x14ac:dyDescent="0.2">
      <c r="BN11079" s="192"/>
      <c r="BO11079" s="197"/>
      <c r="BP11079" s="197"/>
      <c r="BQ11079" s="197"/>
    </row>
    <row r="11080" spans="66:69" x14ac:dyDescent="0.2">
      <c r="BN11080" s="192"/>
      <c r="BO11080" s="197"/>
      <c r="BP11080" s="197"/>
      <c r="BQ11080" s="197"/>
    </row>
    <row r="11081" spans="66:69" x14ac:dyDescent="0.2">
      <c r="BN11081" s="192"/>
      <c r="BO11081" s="197"/>
      <c r="BP11081" s="197"/>
      <c r="BQ11081" s="197"/>
    </row>
    <row r="11082" spans="66:69" x14ac:dyDescent="0.2">
      <c r="BN11082" s="192"/>
      <c r="BO11082" s="197"/>
      <c r="BP11082" s="197"/>
      <c r="BQ11082" s="197"/>
    </row>
    <row r="11083" spans="66:69" x14ac:dyDescent="0.2">
      <c r="BN11083" s="192"/>
      <c r="BO11083" s="197"/>
      <c r="BP11083" s="197"/>
      <c r="BQ11083" s="197"/>
    </row>
    <row r="11084" spans="66:69" x14ac:dyDescent="0.2">
      <c r="BN11084" s="192"/>
      <c r="BO11084" s="197"/>
      <c r="BP11084" s="197"/>
      <c r="BQ11084" s="197"/>
    </row>
    <row r="11085" spans="66:69" x14ac:dyDescent="0.2">
      <c r="BN11085" s="192"/>
      <c r="BO11085" s="197"/>
      <c r="BP11085" s="197"/>
      <c r="BQ11085" s="197"/>
    </row>
    <row r="11086" spans="66:69" x14ac:dyDescent="0.2">
      <c r="BN11086" s="192"/>
      <c r="BO11086" s="197"/>
      <c r="BP11086" s="197"/>
      <c r="BQ11086" s="197"/>
    </row>
    <row r="11087" spans="66:69" x14ac:dyDescent="0.2">
      <c r="BN11087" s="192"/>
      <c r="BO11087" s="197"/>
      <c r="BP11087" s="197"/>
      <c r="BQ11087" s="197"/>
    </row>
    <row r="11088" spans="66:69" x14ac:dyDescent="0.2">
      <c r="BN11088" s="192"/>
      <c r="BO11088" s="197"/>
      <c r="BP11088" s="197"/>
      <c r="BQ11088" s="197"/>
    </row>
    <row r="11089" spans="66:69" x14ac:dyDescent="0.2">
      <c r="BN11089" s="192"/>
      <c r="BO11089" s="197"/>
      <c r="BP11089" s="197"/>
      <c r="BQ11089" s="197"/>
    </row>
    <row r="11090" spans="66:69" x14ac:dyDescent="0.2">
      <c r="BN11090" s="192"/>
      <c r="BO11090" s="197"/>
      <c r="BP11090" s="197"/>
      <c r="BQ11090" s="197"/>
    </row>
    <row r="11091" spans="66:69" x14ac:dyDescent="0.2">
      <c r="BN11091" s="192"/>
      <c r="BO11091" s="197"/>
      <c r="BP11091" s="197"/>
      <c r="BQ11091" s="197"/>
    </row>
    <row r="11092" spans="66:69" x14ac:dyDescent="0.2">
      <c r="BN11092" s="192"/>
      <c r="BO11092" s="197"/>
      <c r="BP11092" s="197"/>
      <c r="BQ11092" s="197"/>
    </row>
    <row r="11093" spans="66:69" x14ac:dyDescent="0.2">
      <c r="BN11093" s="192"/>
      <c r="BO11093" s="197"/>
      <c r="BP11093" s="197"/>
      <c r="BQ11093" s="197"/>
    </row>
    <row r="11094" spans="66:69" x14ac:dyDescent="0.2">
      <c r="BN11094" s="192"/>
      <c r="BO11094" s="197"/>
      <c r="BP11094" s="197"/>
      <c r="BQ11094" s="197"/>
    </row>
    <row r="11095" spans="66:69" x14ac:dyDescent="0.2">
      <c r="BN11095" s="192"/>
      <c r="BO11095" s="197"/>
      <c r="BP11095" s="197"/>
      <c r="BQ11095" s="197"/>
    </row>
    <row r="11096" spans="66:69" x14ac:dyDescent="0.2">
      <c r="BN11096" s="192"/>
      <c r="BO11096" s="197"/>
      <c r="BP11096" s="197"/>
      <c r="BQ11096" s="197"/>
    </row>
    <row r="11097" spans="66:69" x14ac:dyDescent="0.2">
      <c r="BN11097" s="192"/>
      <c r="BO11097" s="197"/>
      <c r="BP11097" s="197"/>
      <c r="BQ11097" s="197"/>
    </row>
    <row r="11098" spans="66:69" x14ac:dyDescent="0.2">
      <c r="BN11098" s="192"/>
      <c r="BO11098" s="197"/>
      <c r="BP11098" s="197"/>
      <c r="BQ11098" s="197"/>
    </row>
    <row r="11099" spans="66:69" x14ac:dyDescent="0.2">
      <c r="BN11099" s="192"/>
      <c r="BO11099" s="197"/>
      <c r="BP11099" s="197"/>
      <c r="BQ11099" s="197"/>
    </row>
    <row r="11100" spans="66:69" x14ac:dyDescent="0.2">
      <c r="BN11100" s="192"/>
      <c r="BO11100" s="197"/>
      <c r="BP11100" s="197"/>
      <c r="BQ11100" s="197"/>
    </row>
    <row r="11101" spans="66:69" x14ac:dyDescent="0.2">
      <c r="BN11101" s="192"/>
      <c r="BO11101" s="197"/>
      <c r="BP11101" s="197"/>
      <c r="BQ11101" s="197"/>
    </row>
    <row r="11102" spans="66:69" x14ac:dyDescent="0.2">
      <c r="BN11102" s="192"/>
      <c r="BO11102" s="197"/>
      <c r="BP11102" s="197"/>
      <c r="BQ11102" s="197"/>
    </row>
    <row r="11103" spans="66:69" x14ac:dyDescent="0.2">
      <c r="BN11103" s="192"/>
      <c r="BO11103" s="197"/>
      <c r="BP11103" s="197"/>
      <c r="BQ11103" s="197"/>
    </row>
    <row r="11104" spans="66:69" x14ac:dyDescent="0.2">
      <c r="BN11104" s="192"/>
      <c r="BO11104" s="197"/>
      <c r="BP11104" s="197"/>
      <c r="BQ11104" s="197"/>
    </row>
    <row r="11105" spans="66:69" x14ac:dyDescent="0.2">
      <c r="BN11105" s="192"/>
      <c r="BO11105" s="197"/>
      <c r="BP11105" s="197"/>
      <c r="BQ11105" s="197"/>
    </row>
    <row r="11106" spans="66:69" x14ac:dyDescent="0.2">
      <c r="BN11106" s="192"/>
      <c r="BO11106" s="197"/>
      <c r="BP11106" s="197"/>
      <c r="BQ11106" s="197"/>
    </row>
    <row r="11107" spans="66:69" x14ac:dyDescent="0.2">
      <c r="BN11107" s="192"/>
      <c r="BO11107" s="197"/>
      <c r="BP11107" s="197"/>
      <c r="BQ11107" s="197"/>
    </row>
    <row r="11108" spans="66:69" x14ac:dyDescent="0.2">
      <c r="BN11108" s="192"/>
      <c r="BO11108" s="197"/>
      <c r="BP11108" s="197"/>
      <c r="BQ11108" s="197"/>
    </row>
    <row r="11109" spans="66:69" x14ac:dyDescent="0.2">
      <c r="BN11109" s="192"/>
      <c r="BO11109" s="197"/>
      <c r="BP11109" s="197"/>
      <c r="BQ11109" s="197"/>
    </row>
    <row r="11110" spans="66:69" x14ac:dyDescent="0.2">
      <c r="BN11110" s="192"/>
      <c r="BO11110" s="197"/>
      <c r="BP11110" s="197"/>
      <c r="BQ11110" s="197"/>
    </row>
    <row r="11111" spans="66:69" x14ac:dyDescent="0.2">
      <c r="BN11111" s="192"/>
      <c r="BO11111" s="197"/>
      <c r="BP11111" s="197"/>
      <c r="BQ11111" s="197"/>
    </row>
    <row r="11112" spans="66:69" x14ac:dyDescent="0.2">
      <c r="BN11112" s="192"/>
      <c r="BO11112" s="197"/>
      <c r="BP11112" s="197"/>
      <c r="BQ11112" s="197"/>
    </row>
    <row r="11113" spans="66:69" x14ac:dyDescent="0.2">
      <c r="BN11113" s="192"/>
      <c r="BO11113" s="197"/>
      <c r="BP11113" s="197"/>
      <c r="BQ11113" s="197"/>
    </row>
    <row r="11114" spans="66:69" x14ac:dyDescent="0.2">
      <c r="BN11114" s="192"/>
      <c r="BO11114" s="197"/>
      <c r="BP11114" s="197"/>
      <c r="BQ11114" s="197"/>
    </row>
    <row r="11115" spans="66:69" x14ac:dyDescent="0.2">
      <c r="BN11115" s="192"/>
      <c r="BO11115" s="197"/>
      <c r="BP11115" s="197"/>
      <c r="BQ11115" s="197"/>
    </row>
    <row r="11116" spans="66:69" x14ac:dyDescent="0.2">
      <c r="BN11116" s="192"/>
      <c r="BO11116" s="197"/>
      <c r="BP11116" s="197"/>
      <c r="BQ11116" s="197"/>
    </row>
    <row r="11117" spans="66:69" x14ac:dyDescent="0.2">
      <c r="BN11117" s="192"/>
      <c r="BO11117" s="197"/>
      <c r="BP11117" s="197"/>
      <c r="BQ11117" s="197"/>
    </row>
    <row r="11118" spans="66:69" x14ac:dyDescent="0.2">
      <c r="BN11118" s="192"/>
      <c r="BO11118" s="197"/>
      <c r="BP11118" s="197"/>
      <c r="BQ11118" s="197"/>
    </row>
    <row r="11119" spans="66:69" x14ac:dyDescent="0.2">
      <c r="BN11119" s="192"/>
      <c r="BO11119" s="197"/>
      <c r="BP11119" s="197"/>
      <c r="BQ11119" s="197"/>
    </row>
    <row r="11120" spans="66:69" x14ac:dyDescent="0.2">
      <c r="BN11120" s="192"/>
      <c r="BO11120" s="197"/>
      <c r="BP11120" s="197"/>
      <c r="BQ11120" s="197"/>
    </row>
    <row r="11121" spans="66:69" x14ac:dyDescent="0.2">
      <c r="BN11121" s="192"/>
      <c r="BO11121" s="197"/>
      <c r="BP11121" s="197"/>
      <c r="BQ11121" s="197"/>
    </row>
    <row r="11122" spans="66:69" x14ac:dyDescent="0.2">
      <c r="BN11122" s="192"/>
      <c r="BO11122" s="197"/>
      <c r="BP11122" s="197"/>
      <c r="BQ11122" s="197"/>
    </row>
    <row r="11123" spans="66:69" x14ac:dyDescent="0.2">
      <c r="BN11123" s="192"/>
      <c r="BO11123" s="197"/>
      <c r="BP11123" s="197"/>
      <c r="BQ11123" s="197"/>
    </row>
    <row r="11124" spans="66:69" x14ac:dyDescent="0.2">
      <c r="BN11124" s="192"/>
      <c r="BO11124" s="197"/>
      <c r="BP11124" s="197"/>
      <c r="BQ11124" s="197"/>
    </row>
    <row r="11125" spans="66:69" x14ac:dyDescent="0.2">
      <c r="BN11125" s="192"/>
      <c r="BO11125" s="197"/>
      <c r="BP11125" s="197"/>
      <c r="BQ11125" s="197"/>
    </row>
    <row r="11126" spans="66:69" x14ac:dyDescent="0.2">
      <c r="BN11126" s="192"/>
      <c r="BO11126" s="197"/>
      <c r="BP11126" s="197"/>
      <c r="BQ11126" s="197"/>
    </row>
    <row r="11127" spans="66:69" x14ac:dyDescent="0.2">
      <c r="BN11127" s="192"/>
      <c r="BO11127" s="197"/>
      <c r="BP11127" s="197"/>
      <c r="BQ11127" s="197"/>
    </row>
    <row r="11128" spans="66:69" x14ac:dyDescent="0.2">
      <c r="BN11128" s="192"/>
      <c r="BO11128" s="197"/>
      <c r="BP11128" s="197"/>
      <c r="BQ11128" s="197"/>
    </row>
    <row r="11129" spans="66:69" x14ac:dyDescent="0.2">
      <c r="BN11129" s="192"/>
      <c r="BO11129" s="197"/>
      <c r="BP11129" s="197"/>
      <c r="BQ11129" s="197"/>
    </row>
    <row r="11130" spans="66:69" x14ac:dyDescent="0.2">
      <c r="BN11130" s="192"/>
      <c r="BO11130" s="197"/>
      <c r="BP11130" s="197"/>
      <c r="BQ11130" s="197"/>
    </row>
    <row r="11131" spans="66:69" x14ac:dyDescent="0.2">
      <c r="BN11131" s="192"/>
      <c r="BO11131" s="197"/>
      <c r="BP11131" s="197"/>
      <c r="BQ11131" s="197"/>
    </row>
    <row r="11132" spans="66:69" x14ac:dyDescent="0.2">
      <c r="BN11132" s="192"/>
      <c r="BO11132" s="197"/>
      <c r="BP11132" s="197"/>
      <c r="BQ11132" s="197"/>
    </row>
    <row r="11133" spans="66:69" x14ac:dyDescent="0.2">
      <c r="BN11133" s="192"/>
      <c r="BO11133" s="197"/>
      <c r="BP11133" s="197"/>
      <c r="BQ11133" s="197"/>
    </row>
    <row r="11134" spans="66:69" x14ac:dyDescent="0.2">
      <c r="BN11134" s="192"/>
      <c r="BO11134" s="197"/>
      <c r="BP11134" s="197"/>
      <c r="BQ11134" s="197"/>
    </row>
    <row r="11135" spans="66:69" x14ac:dyDescent="0.2">
      <c r="BN11135" s="192"/>
      <c r="BO11135" s="197"/>
      <c r="BP11135" s="197"/>
      <c r="BQ11135" s="197"/>
    </row>
    <row r="11136" spans="66:69" x14ac:dyDescent="0.2">
      <c r="BN11136" s="192"/>
      <c r="BO11136" s="197"/>
      <c r="BP11136" s="197"/>
      <c r="BQ11136" s="197"/>
    </row>
    <row r="11137" spans="66:69" x14ac:dyDescent="0.2">
      <c r="BN11137" s="192"/>
      <c r="BO11137" s="197"/>
      <c r="BP11137" s="197"/>
      <c r="BQ11137" s="197"/>
    </row>
    <row r="11138" spans="66:69" x14ac:dyDescent="0.2">
      <c r="BN11138" s="192"/>
      <c r="BO11138" s="197"/>
      <c r="BP11138" s="197"/>
      <c r="BQ11138" s="197"/>
    </row>
    <row r="11139" spans="66:69" x14ac:dyDescent="0.2">
      <c r="BN11139" s="192"/>
      <c r="BO11139" s="197"/>
      <c r="BP11139" s="197"/>
      <c r="BQ11139" s="197"/>
    </row>
    <row r="11140" spans="66:69" x14ac:dyDescent="0.2">
      <c r="BN11140" s="192"/>
      <c r="BO11140" s="197"/>
      <c r="BP11140" s="197"/>
      <c r="BQ11140" s="197"/>
    </row>
    <row r="11141" spans="66:69" x14ac:dyDescent="0.2">
      <c r="BN11141" s="192"/>
      <c r="BO11141" s="197"/>
      <c r="BP11141" s="197"/>
      <c r="BQ11141" s="197"/>
    </row>
    <row r="11142" spans="66:69" x14ac:dyDescent="0.2">
      <c r="BN11142" s="192"/>
      <c r="BO11142" s="197"/>
      <c r="BP11142" s="197"/>
      <c r="BQ11142" s="197"/>
    </row>
    <row r="11143" spans="66:69" x14ac:dyDescent="0.2">
      <c r="BN11143" s="192"/>
      <c r="BO11143" s="197"/>
      <c r="BP11143" s="197"/>
      <c r="BQ11143" s="197"/>
    </row>
    <row r="11144" spans="66:69" x14ac:dyDescent="0.2">
      <c r="BN11144" s="192"/>
      <c r="BO11144" s="197"/>
      <c r="BP11144" s="197"/>
      <c r="BQ11144" s="197"/>
    </row>
    <row r="11145" spans="66:69" x14ac:dyDescent="0.2">
      <c r="BN11145" s="192"/>
      <c r="BO11145" s="197"/>
      <c r="BP11145" s="197"/>
      <c r="BQ11145" s="197"/>
    </row>
    <row r="11146" spans="66:69" x14ac:dyDescent="0.2">
      <c r="BN11146" s="192"/>
      <c r="BO11146" s="197"/>
      <c r="BP11146" s="197"/>
      <c r="BQ11146" s="197"/>
    </row>
    <row r="11147" spans="66:69" x14ac:dyDescent="0.2">
      <c r="BN11147" s="192"/>
      <c r="BO11147" s="197"/>
      <c r="BP11147" s="197"/>
      <c r="BQ11147" s="197"/>
    </row>
    <row r="11148" spans="66:69" x14ac:dyDescent="0.2">
      <c r="BN11148" s="192"/>
      <c r="BO11148" s="197"/>
      <c r="BP11148" s="197"/>
      <c r="BQ11148" s="197"/>
    </row>
    <row r="11149" spans="66:69" x14ac:dyDescent="0.2">
      <c r="BN11149" s="192"/>
      <c r="BO11149" s="197"/>
      <c r="BP11149" s="197"/>
      <c r="BQ11149" s="197"/>
    </row>
    <row r="11150" spans="66:69" x14ac:dyDescent="0.2">
      <c r="BN11150" s="192"/>
      <c r="BO11150" s="197"/>
      <c r="BP11150" s="197"/>
      <c r="BQ11150" s="197"/>
    </row>
    <row r="11151" spans="66:69" x14ac:dyDescent="0.2">
      <c r="BN11151" s="192"/>
      <c r="BO11151" s="197"/>
      <c r="BP11151" s="197"/>
      <c r="BQ11151" s="197"/>
    </row>
    <row r="11152" spans="66:69" x14ac:dyDescent="0.2">
      <c r="BN11152" s="192"/>
      <c r="BO11152" s="197"/>
      <c r="BP11152" s="197"/>
      <c r="BQ11152" s="197"/>
    </row>
    <row r="11153" spans="66:69" x14ac:dyDescent="0.2">
      <c r="BN11153" s="192"/>
      <c r="BO11153" s="197"/>
      <c r="BP11153" s="197"/>
      <c r="BQ11153" s="197"/>
    </row>
    <row r="11154" spans="66:69" x14ac:dyDescent="0.2">
      <c r="BN11154" s="192"/>
      <c r="BO11154" s="197"/>
      <c r="BP11154" s="197"/>
      <c r="BQ11154" s="197"/>
    </row>
    <row r="11155" spans="66:69" x14ac:dyDescent="0.2">
      <c r="BN11155" s="192"/>
      <c r="BO11155" s="197"/>
      <c r="BP11155" s="197"/>
      <c r="BQ11155" s="197"/>
    </row>
    <row r="11156" spans="66:69" x14ac:dyDescent="0.2">
      <c r="BN11156" s="192"/>
      <c r="BO11156" s="197"/>
      <c r="BP11156" s="197"/>
      <c r="BQ11156" s="197"/>
    </row>
    <row r="11157" spans="66:69" x14ac:dyDescent="0.2">
      <c r="BN11157" s="192"/>
      <c r="BO11157" s="197"/>
      <c r="BP11157" s="197"/>
      <c r="BQ11157" s="197"/>
    </row>
    <row r="11158" spans="66:69" x14ac:dyDescent="0.2">
      <c r="BN11158" s="192"/>
      <c r="BO11158" s="197"/>
      <c r="BP11158" s="197"/>
      <c r="BQ11158" s="197"/>
    </row>
    <row r="11159" spans="66:69" x14ac:dyDescent="0.2">
      <c r="BN11159" s="192"/>
      <c r="BO11159" s="197"/>
      <c r="BP11159" s="197"/>
      <c r="BQ11159" s="197"/>
    </row>
    <row r="11160" spans="66:69" x14ac:dyDescent="0.2">
      <c r="BN11160" s="192"/>
      <c r="BO11160" s="197"/>
      <c r="BP11160" s="197"/>
      <c r="BQ11160" s="197"/>
    </row>
    <row r="11161" spans="66:69" x14ac:dyDescent="0.2">
      <c r="BN11161" s="192"/>
      <c r="BO11161" s="197"/>
      <c r="BP11161" s="197"/>
      <c r="BQ11161" s="197"/>
    </row>
    <row r="11162" spans="66:69" x14ac:dyDescent="0.2">
      <c r="BN11162" s="192"/>
      <c r="BO11162" s="197"/>
      <c r="BP11162" s="197"/>
      <c r="BQ11162" s="197"/>
    </row>
    <row r="11163" spans="66:69" x14ac:dyDescent="0.2">
      <c r="BN11163" s="192"/>
      <c r="BO11163" s="197"/>
      <c r="BP11163" s="197"/>
      <c r="BQ11163" s="197"/>
    </row>
    <row r="11164" spans="66:69" x14ac:dyDescent="0.2">
      <c r="BN11164" s="192"/>
      <c r="BO11164" s="197"/>
      <c r="BP11164" s="197"/>
      <c r="BQ11164" s="197"/>
    </row>
    <row r="11165" spans="66:69" x14ac:dyDescent="0.2">
      <c r="BN11165" s="192"/>
      <c r="BO11165" s="197"/>
      <c r="BP11165" s="197"/>
      <c r="BQ11165" s="197"/>
    </row>
    <row r="11166" spans="66:69" x14ac:dyDescent="0.2">
      <c r="BN11166" s="192"/>
      <c r="BO11166" s="197"/>
      <c r="BP11166" s="197"/>
      <c r="BQ11166" s="197"/>
    </row>
    <row r="11167" spans="66:69" x14ac:dyDescent="0.2">
      <c r="BN11167" s="192"/>
      <c r="BO11167" s="197"/>
      <c r="BP11167" s="197"/>
      <c r="BQ11167" s="197"/>
    </row>
    <row r="11168" spans="66:69" x14ac:dyDescent="0.2">
      <c r="BN11168" s="192"/>
      <c r="BO11168" s="197"/>
      <c r="BP11168" s="197"/>
      <c r="BQ11168" s="197"/>
    </row>
    <row r="11169" spans="66:69" x14ac:dyDescent="0.2">
      <c r="BN11169" s="192"/>
      <c r="BO11169" s="197"/>
      <c r="BP11169" s="197"/>
      <c r="BQ11169" s="197"/>
    </row>
    <row r="11170" spans="66:69" x14ac:dyDescent="0.2">
      <c r="BN11170" s="192"/>
      <c r="BO11170" s="197"/>
      <c r="BP11170" s="197"/>
      <c r="BQ11170" s="197"/>
    </row>
    <row r="11171" spans="66:69" x14ac:dyDescent="0.2">
      <c r="BN11171" s="192"/>
      <c r="BO11171" s="197"/>
      <c r="BP11171" s="197"/>
      <c r="BQ11171" s="197"/>
    </row>
    <row r="11172" spans="66:69" x14ac:dyDescent="0.2">
      <c r="BN11172" s="192"/>
      <c r="BO11172" s="197"/>
      <c r="BP11172" s="197"/>
      <c r="BQ11172" s="197"/>
    </row>
    <row r="11173" spans="66:69" x14ac:dyDescent="0.2">
      <c r="BN11173" s="192"/>
      <c r="BO11173" s="197"/>
      <c r="BP11173" s="197"/>
      <c r="BQ11173" s="197"/>
    </row>
    <row r="11174" spans="66:69" x14ac:dyDescent="0.2">
      <c r="BN11174" s="192"/>
      <c r="BO11174" s="197"/>
      <c r="BP11174" s="197"/>
      <c r="BQ11174" s="197"/>
    </row>
    <row r="11175" spans="66:69" x14ac:dyDescent="0.2">
      <c r="BN11175" s="192"/>
      <c r="BO11175" s="197"/>
      <c r="BP11175" s="197"/>
      <c r="BQ11175" s="197"/>
    </row>
    <row r="11176" spans="66:69" x14ac:dyDescent="0.2">
      <c r="BN11176" s="192"/>
      <c r="BO11176" s="197"/>
      <c r="BP11176" s="197"/>
      <c r="BQ11176" s="197"/>
    </row>
    <row r="11177" spans="66:69" x14ac:dyDescent="0.2">
      <c r="BN11177" s="192"/>
      <c r="BO11177" s="197"/>
      <c r="BP11177" s="197"/>
      <c r="BQ11177" s="197"/>
    </row>
    <row r="11178" spans="66:69" x14ac:dyDescent="0.2">
      <c r="BN11178" s="192"/>
      <c r="BO11178" s="197"/>
      <c r="BP11178" s="197"/>
      <c r="BQ11178" s="197"/>
    </row>
    <row r="11179" spans="66:69" x14ac:dyDescent="0.2">
      <c r="BN11179" s="192"/>
      <c r="BO11179" s="197"/>
      <c r="BP11179" s="197"/>
      <c r="BQ11179" s="197"/>
    </row>
    <row r="11180" spans="66:69" x14ac:dyDescent="0.2">
      <c r="BN11180" s="192"/>
      <c r="BO11180" s="197"/>
      <c r="BP11180" s="197"/>
      <c r="BQ11180" s="197"/>
    </row>
    <row r="11181" spans="66:69" x14ac:dyDescent="0.2">
      <c r="BN11181" s="192"/>
      <c r="BO11181" s="197"/>
      <c r="BP11181" s="197"/>
      <c r="BQ11181" s="197"/>
    </row>
    <row r="11182" spans="66:69" x14ac:dyDescent="0.2">
      <c r="BN11182" s="192"/>
      <c r="BO11182" s="197"/>
      <c r="BP11182" s="197"/>
      <c r="BQ11182" s="197"/>
    </row>
    <row r="11183" spans="66:69" x14ac:dyDescent="0.2">
      <c r="BN11183" s="192"/>
      <c r="BO11183" s="197"/>
      <c r="BP11183" s="197"/>
      <c r="BQ11183" s="197"/>
    </row>
    <row r="11184" spans="66:69" x14ac:dyDescent="0.2">
      <c r="BN11184" s="192"/>
      <c r="BO11184" s="197"/>
      <c r="BP11184" s="197"/>
      <c r="BQ11184" s="197"/>
    </row>
    <row r="11185" spans="66:69" x14ac:dyDescent="0.2">
      <c r="BN11185" s="192"/>
      <c r="BO11185" s="197"/>
      <c r="BP11185" s="197"/>
      <c r="BQ11185" s="197"/>
    </row>
    <row r="11186" spans="66:69" x14ac:dyDescent="0.2">
      <c r="BN11186" s="192"/>
      <c r="BO11186" s="197"/>
      <c r="BP11186" s="197"/>
      <c r="BQ11186" s="197"/>
    </row>
    <row r="11187" spans="66:69" x14ac:dyDescent="0.2">
      <c r="BN11187" s="192"/>
      <c r="BO11187" s="197"/>
      <c r="BP11187" s="197"/>
      <c r="BQ11187" s="197"/>
    </row>
    <row r="11188" spans="66:69" x14ac:dyDescent="0.2">
      <c r="BN11188" s="192"/>
      <c r="BO11188" s="197"/>
      <c r="BP11188" s="197"/>
      <c r="BQ11188" s="197"/>
    </row>
    <row r="11189" spans="66:69" x14ac:dyDescent="0.2">
      <c r="BN11189" s="192"/>
      <c r="BO11189" s="197"/>
      <c r="BP11189" s="197"/>
      <c r="BQ11189" s="197"/>
    </row>
    <row r="11190" spans="66:69" x14ac:dyDescent="0.2">
      <c r="BN11190" s="192"/>
      <c r="BO11190" s="197"/>
      <c r="BP11190" s="197"/>
      <c r="BQ11190" s="197"/>
    </row>
    <row r="11191" spans="66:69" x14ac:dyDescent="0.2">
      <c r="BN11191" s="192"/>
      <c r="BO11191" s="197"/>
      <c r="BP11191" s="197"/>
      <c r="BQ11191" s="197"/>
    </row>
    <row r="11192" spans="66:69" x14ac:dyDescent="0.2">
      <c r="BN11192" s="192"/>
      <c r="BO11192" s="197"/>
      <c r="BP11192" s="197"/>
      <c r="BQ11192" s="197"/>
    </row>
    <row r="11193" spans="66:69" x14ac:dyDescent="0.2">
      <c r="BN11193" s="192"/>
      <c r="BO11193" s="197"/>
      <c r="BP11193" s="197"/>
      <c r="BQ11193" s="197"/>
    </row>
    <row r="11194" spans="66:69" x14ac:dyDescent="0.2">
      <c r="BN11194" s="192"/>
      <c r="BO11194" s="197"/>
      <c r="BP11194" s="197"/>
      <c r="BQ11194" s="197"/>
    </row>
    <row r="11195" spans="66:69" x14ac:dyDescent="0.2">
      <c r="BN11195" s="192"/>
      <c r="BO11195" s="197"/>
      <c r="BP11195" s="197"/>
      <c r="BQ11195" s="197"/>
    </row>
    <row r="11196" spans="66:69" x14ac:dyDescent="0.2">
      <c r="BN11196" s="192"/>
      <c r="BO11196" s="197"/>
      <c r="BP11196" s="197"/>
      <c r="BQ11196" s="197"/>
    </row>
    <row r="11197" spans="66:69" x14ac:dyDescent="0.2">
      <c r="BN11197" s="192"/>
      <c r="BO11197" s="197"/>
      <c r="BP11197" s="197"/>
      <c r="BQ11197" s="197"/>
    </row>
    <row r="11198" spans="66:69" x14ac:dyDescent="0.2">
      <c r="BN11198" s="192"/>
      <c r="BO11198" s="197"/>
      <c r="BP11198" s="197"/>
      <c r="BQ11198" s="197"/>
    </row>
    <row r="11199" spans="66:69" x14ac:dyDescent="0.2">
      <c r="BN11199" s="192"/>
      <c r="BO11199" s="197"/>
      <c r="BP11199" s="197"/>
      <c r="BQ11199" s="197"/>
    </row>
    <row r="11200" spans="66:69" x14ac:dyDescent="0.2">
      <c r="BN11200" s="192"/>
      <c r="BO11200" s="197"/>
      <c r="BP11200" s="197"/>
      <c r="BQ11200" s="197"/>
    </row>
    <row r="11201" spans="66:69" x14ac:dyDescent="0.2">
      <c r="BN11201" s="192"/>
      <c r="BO11201" s="197"/>
      <c r="BP11201" s="197"/>
      <c r="BQ11201" s="197"/>
    </row>
    <row r="11202" spans="66:69" x14ac:dyDescent="0.2">
      <c r="BN11202" s="192"/>
      <c r="BO11202" s="197"/>
      <c r="BP11202" s="197"/>
      <c r="BQ11202" s="197"/>
    </row>
    <row r="11203" spans="66:69" x14ac:dyDescent="0.2">
      <c r="BN11203" s="192"/>
      <c r="BO11203" s="197"/>
      <c r="BP11203" s="197"/>
      <c r="BQ11203" s="197"/>
    </row>
    <row r="11204" spans="66:69" x14ac:dyDescent="0.2">
      <c r="BN11204" s="192"/>
      <c r="BO11204" s="197"/>
      <c r="BP11204" s="197"/>
      <c r="BQ11204" s="197"/>
    </row>
    <row r="11205" spans="66:69" x14ac:dyDescent="0.2">
      <c r="BN11205" s="192"/>
      <c r="BO11205" s="197"/>
      <c r="BP11205" s="197"/>
      <c r="BQ11205" s="197"/>
    </row>
    <row r="11206" spans="66:69" x14ac:dyDescent="0.2">
      <c r="BN11206" s="192"/>
      <c r="BO11206" s="197"/>
      <c r="BP11206" s="197"/>
      <c r="BQ11206" s="197"/>
    </row>
    <row r="11207" spans="66:69" x14ac:dyDescent="0.2">
      <c r="BN11207" s="192"/>
      <c r="BO11207" s="197"/>
      <c r="BP11207" s="197"/>
      <c r="BQ11207" s="197"/>
    </row>
    <row r="11208" spans="66:69" x14ac:dyDescent="0.2">
      <c r="BN11208" s="192"/>
      <c r="BO11208" s="197"/>
      <c r="BP11208" s="197"/>
      <c r="BQ11208" s="197"/>
    </row>
    <row r="11209" spans="66:69" x14ac:dyDescent="0.2">
      <c r="BN11209" s="192"/>
      <c r="BO11209" s="197"/>
      <c r="BP11209" s="197"/>
      <c r="BQ11209" s="197"/>
    </row>
    <row r="11210" spans="66:69" x14ac:dyDescent="0.2">
      <c r="BN11210" s="192"/>
      <c r="BO11210" s="197"/>
      <c r="BP11210" s="197"/>
      <c r="BQ11210" s="197"/>
    </row>
    <row r="11211" spans="66:69" x14ac:dyDescent="0.2">
      <c r="BN11211" s="192"/>
      <c r="BO11211" s="197"/>
      <c r="BP11211" s="197"/>
      <c r="BQ11211" s="197"/>
    </row>
    <row r="11212" spans="66:69" x14ac:dyDescent="0.2">
      <c r="BN11212" s="192"/>
      <c r="BO11212" s="197"/>
      <c r="BP11212" s="197"/>
      <c r="BQ11212" s="197"/>
    </row>
    <row r="11213" spans="66:69" x14ac:dyDescent="0.2">
      <c r="BN11213" s="192"/>
      <c r="BO11213" s="197"/>
      <c r="BP11213" s="197"/>
      <c r="BQ11213" s="197"/>
    </row>
    <row r="11214" spans="66:69" x14ac:dyDescent="0.2">
      <c r="BN11214" s="192"/>
      <c r="BO11214" s="197"/>
      <c r="BP11214" s="197"/>
      <c r="BQ11214" s="197"/>
    </row>
    <row r="11215" spans="66:69" x14ac:dyDescent="0.2">
      <c r="BN11215" s="192"/>
      <c r="BO11215" s="197"/>
      <c r="BP11215" s="197"/>
      <c r="BQ11215" s="197"/>
    </row>
    <row r="11216" spans="66:69" x14ac:dyDescent="0.2">
      <c r="BN11216" s="192"/>
      <c r="BO11216" s="197"/>
      <c r="BP11216" s="197"/>
      <c r="BQ11216" s="197"/>
    </row>
    <row r="11217" spans="66:69" x14ac:dyDescent="0.2">
      <c r="BN11217" s="192"/>
      <c r="BO11217" s="197"/>
      <c r="BP11217" s="197"/>
      <c r="BQ11217" s="197"/>
    </row>
    <row r="11218" spans="66:69" x14ac:dyDescent="0.2">
      <c r="BN11218" s="192"/>
      <c r="BO11218" s="197"/>
      <c r="BP11218" s="197"/>
      <c r="BQ11218" s="197"/>
    </row>
    <row r="11219" spans="66:69" x14ac:dyDescent="0.2">
      <c r="BN11219" s="192"/>
      <c r="BO11219" s="197"/>
      <c r="BP11219" s="197"/>
      <c r="BQ11219" s="197"/>
    </row>
    <row r="11220" spans="66:69" x14ac:dyDescent="0.2">
      <c r="BN11220" s="192"/>
      <c r="BO11220" s="197"/>
      <c r="BP11220" s="197"/>
      <c r="BQ11220" s="197"/>
    </row>
    <row r="11221" spans="66:69" x14ac:dyDescent="0.2">
      <c r="BN11221" s="192"/>
      <c r="BO11221" s="197"/>
      <c r="BP11221" s="197"/>
      <c r="BQ11221" s="197"/>
    </row>
    <row r="11222" spans="66:69" x14ac:dyDescent="0.2">
      <c r="BN11222" s="192"/>
      <c r="BO11222" s="197"/>
      <c r="BP11222" s="197"/>
      <c r="BQ11222" s="197"/>
    </row>
    <row r="11223" spans="66:69" x14ac:dyDescent="0.2">
      <c r="BN11223" s="192"/>
      <c r="BO11223" s="197"/>
      <c r="BP11223" s="197"/>
      <c r="BQ11223" s="197"/>
    </row>
    <row r="11224" spans="66:69" x14ac:dyDescent="0.2">
      <c r="BN11224" s="192"/>
      <c r="BO11224" s="197"/>
      <c r="BP11224" s="197"/>
      <c r="BQ11224" s="197"/>
    </row>
    <row r="11225" spans="66:69" x14ac:dyDescent="0.2">
      <c r="BN11225" s="192"/>
      <c r="BO11225" s="197"/>
      <c r="BP11225" s="197"/>
      <c r="BQ11225" s="197"/>
    </row>
    <row r="11226" spans="66:69" x14ac:dyDescent="0.2">
      <c r="BN11226" s="192"/>
      <c r="BO11226" s="197"/>
      <c r="BP11226" s="197"/>
      <c r="BQ11226" s="197"/>
    </row>
    <row r="11227" spans="66:69" x14ac:dyDescent="0.2">
      <c r="BN11227" s="192"/>
      <c r="BO11227" s="197"/>
      <c r="BP11227" s="197"/>
      <c r="BQ11227" s="197"/>
    </row>
    <row r="11228" spans="66:69" x14ac:dyDescent="0.2">
      <c r="BN11228" s="192"/>
      <c r="BO11228" s="197"/>
      <c r="BP11228" s="197"/>
      <c r="BQ11228" s="197"/>
    </row>
    <row r="11229" spans="66:69" x14ac:dyDescent="0.2">
      <c r="BN11229" s="192"/>
      <c r="BO11229" s="197"/>
      <c r="BP11229" s="197"/>
      <c r="BQ11229" s="197"/>
    </row>
    <row r="11230" spans="66:69" x14ac:dyDescent="0.2">
      <c r="BN11230" s="192"/>
      <c r="BO11230" s="197"/>
      <c r="BP11230" s="197"/>
      <c r="BQ11230" s="197"/>
    </row>
    <row r="11231" spans="66:69" x14ac:dyDescent="0.2">
      <c r="BN11231" s="192"/>
      <c r="BO11231" s="197"/>
      <c r="BP11231" s="197"/>
      <c r="BQ11231" s="197"/>
    </row>
    <row r="11232" spans="66:69" x14ac:dyDescent="0.2">
      <c r="BN11232" s="192"/>
      <c r="BO11232" s="197"/>
      <c r="BP11232" s="197"/>
      <c r="BQ11232" s="197"/>
    </row>
    <row r="11233" spans="66:69" x14ac:dyDescent="0.2">
      <c r="BN11233" s="192"/>
      <c r="BO11233" s="197"/>
      <c r="BP11233" s="197"/>
      <c r="BQ11233" s="197"/>
    </row>
    <row r="11234" spans="66:69" x14ac:dyDescent="0.2">
      <c r="BN11234" s="192"/>
      <c r="BO11234" s="197"/>
      <c r="BP11234" s="197"/>
      <c r="BQ11234" s="197"/>
    </row>
    <row r="11235" spans="66:69" x14ac:dyDescent="0.2">
      <c r="BN11235" s="192"/>
      <c r="BO11235" s="197"/>
      <c r="BP11235" s="197"/>
      <c r="BQ11235" s="197"/>
    </row>
    <row r="11236" spans="66:69" x14ac:dyDescent="0.2">
      <c r="BN11236" s="192"/>
      <c r="BO11236" s="197"/>
      <c r="BP11236" s="197"/>
      <c r="BQ11236" s="197"/>
    </row>
    <row r="11237" spans="66:69" x14ac:dyDescent="0.2">
      <c r="BN11237" s="192"/>
      <c r="BO11237" s="197"/>
      <c r="BP11237" s="197"/>
      <c r="BQ11237" s="197"/>
    </row>
    <row r="11238" spans="66:69" x14ac:dyDescent="0.2">
      <c r="BN11238" s="192"/>
      <c r="BO11238" s="197"/>
      <c r="BP11238" s="197"/>
      <c r="BQ11238" s="197"/>
    </row>
    <row r="11239" spans="66:69" x14ac:dyDescent="0.2">
      <c r="BN11239" s="192"/>
      <c r="BO11239" s="197"/>
      <c r="BP11239" s="197"/>
      <c r="BQ11239" s="197"/>
    </row>
    <row r="11240" spans="66:69" x14ac:dyDescent="0.2">
      <c r="BN11240" s="192"/>
      <c r="BO11240" s="197"/>
      <c r="BP11240" s="197"/>
      <c r="BQ11240" s="197"/>
    </row>
    <row r="11241" spans="66:69" x14ac:dyDescent="0.2">
      <c r="BN11241" s="192"/>
      <c r="BO11241" s="197"/>
      <c r="BP11241" s="197"/>
      <c r="BQ11241" s="197"/>
    </row>
    <row r="11242" spans="66:69" x14ac:dyDescent="0.2">
      <c r="BN11242" s="192"/>
      <c r="BO11242" s="197"/>
      <c r="BP11242" s="197"/>
      <c r="BQ11242" s="197"/>
    </row>
    <row r="11243" spans="66:69" x14ac:dyDescent="0.2">
      <c r="BN11243" s="192"/>
      <c r="BO11243" s="197"/>
      <c r="BP11243" s="197"/>
      <c r="BQ11243" s="197"/>
    </row>
    <row r="11244" spans="66:69" x14ac:dyDescent="0.2">
      <c r="BN11244" s="192"/>
      <c r="BO11244" s="197"/>
      <c r="BP11244" s="197"/>
      <c r="BQ11244" s="197"/>
    </row>
    <row r="11245" spans="66:69" x14ac:dyDescent="0.2">
      <c r="BN11245" s="192"/>
      <c r="BO11245" s="197"/>
      <c r="BP11245" s="197"/>
      <c r="BQ11245" s="197"/>
    </row>
    <row r="11246" spans="66:69" x14ac:dyDescent="0.2">
      <c r="BN11246" s="192"/>
      <c r="BO11246" s="197"/>
      <c r="BP11246" s="197"/>
      <c r="BQ11246" s="197"/>
    </row>
    <row r="11247" spans="66:69" x14ac:dyDescent="0.2">
      <c r="BN11247" s="192"/>
      <c r="BO11247" s="197"/>
      <c r="BP11247" s="197"/>
      <c r="BQ11247" s="197"/>
    </row>
    <row r="11248" spans="66:69" x14ac:dyDescent="0.2">
      <c r="BN11248" s="192"/>
      <c r="BO11248" s="197"/>
      <c r="BP11248" s="197"/>
      <c r="BQ11248" s="197"/>
    </row>
    <row r="11249" spans="66:69" x14ac:dyDescent="0.2">
      <c r="BN11249" s="192"/>
      <c r="BO11249" s="197"/>
      <c r="BP11249" s="197"/>
      <c r="BQ11249" s="197"/>
    </row>
    <row r="11250" spans="66:69" x14ac:dyDescent="0.2">
      <c r="BN11250" s="192"/>
      <c r="BO11250" s="197"/>
      <c r="BP11250" s="197"/>
      <c r="BQ11250" s="197"/>
    </row>
    <row r="11251" spans="66:69" x14ac:dyDescent="0.2">
      <c r="BN11251" s="192"/>
      <c r="BO11251" s="197"/>
      <c r="BP11251" s="197"/>
      <c r="BQ11251" s="197"/>
    </row>
    <row r="11252" spans="66:69" x14ac:dyDescent="0.2">
      <c r="BN11252" s="192"/>
      <c r="BO11252" s="197"/>
      <c r="BP11252" s="197"/>
      <c r="BQ11252" s="197"/>
    </row>
    <row r="11253" spans="66:69" x14ac:dyDescent="0.2">
      <c r="BN11253" s="192"/>
      <c r="BO11253" s="197"/>
      <c r="BP11253" s="197"/>
      <c r="BQ11253" s="197"/>
    </row>
    <row r="11254" spans="66:69" x14ac:dyDescent="0.2">
      <c r="BN11254" s="192"/>
      <c r="BO11254" s="197"/>
      <c r="BP11254" s="197"/>
      <c r="BQ11254" s="197"/>
    </row>
    <row r="11255" spans="66:69" x14ac:dyDescent="0.2">
      <c r="BN11255" s="192"/>
      <c r="BO11255" s="197"/>
      <c r="BP11255" s="197"/>
      <c r="BQ11255" s="197"/>
    </row>
    <row r="11256" spans="66:69" x14ac:dyDescent="0.2">
      <c r="BN11256" s="192"/>
      <c r="BO11256" s="197"/>
      <c r="BP11256" s="197"/>
      <c r="BQ11256" s="197"/>
    </row>
    <row r="11257" spans="66:69" x14ac:dyDescent="0.2">
      <c r="BN11257" s="192"/>
      <c r="BO11257" s="197"/>
      <c r="BP11257" s="197"/>
      <c r="BQ11257" s="197"/>
    </row>
    <row r="11258" spans="66:69" x14ac:dyDescent="0.2">
      <c r="BN11258" s="192"/>
      <c r="BO11258" s="197"/>
      <c r="BP11258" s="197"/>
      <c r="BQ11258" s="197"/>
    </row>
    <row r="11259" spans="66:69" x14ac:dyDescent="0.2">
      <c r="BN11259" s="192"/>
      <c r="BO11259" s="197"/>
      <c r="BP11259" s="197"/>
      <c r="BQ11259" s="197"/>
    </row>
    <row r="11260" spans="66:69" x14ac:dyDescent="0.2">
      <c r="BN11260" s="192"/>
      <c r="BO11260" s="197"/>
      <c r="BP11260" s="197"/>
      <c r="BQ11260" s="197"/>
    </row>
    <row r="11261" spans="66:69" x14ac:dyDescent="0.2">
      <c r="BN11261" s="192"/>
      <c r="BO11261" s="197"/>
      <c r="BP11261" s="197"/>
      <c r="BQ11261" s="197"/>
    </row>
    <row r="11262" spans="66:69" x14ac:dyDescent="0.2">
      <c r="BN11262" s="192"/>
      <c r="BO11262" s="197"/>
      <c r="BP11262" s="197"/>
      <c r="BQ11262" s="197"/>
    </row>
    <row r="11263" spans="66:69" x14ac:dyDescent="0.2">
      <c r="BN11263" s="192"/>
      <c r="BO11263" s="197"/>
      <c r="BP11263" s="197"/>
      <c r="BQ11263" s="197"/>
    </row>
    <row r="11264" spans="66:69" x14ac:dyDescent="0.2">
      <c r="BN11264" s="192"/>
      <c r="BO11264" s="197"/>
      <c r="BP11264" s="197"/>
      <c r="BQ11264" s="197"/>
    </row>
    <row r="11265" spans="66:69" x14ac:dyDescent="0.2">
      <c r="BN11265" s="192"/>
      <c r="BO11265" s="197"/>
      <c r="BP11265" s="197"/>
      <c r="BQ11265" s="197"/>
    </row>
    <row r="11266" spans="66:69" x14ac:dyDescent="0.2">
      <c r="BN11266" s="192"/>
      <c r="BO11266" s="197"/>
      <c r="BP11266" s="197"/>
      <c r="BQ11266" s="197"/>
    </row>
    <row r="11267" spans="66:69" x14ac:dyDescent="0.2">
      <c r="BN11267" s="192"/>
      <c r="BO11267" s="197"/>
      <c r="BP11267" s="197"/>
      <c r="BQ11267" s="197"/>
    </row>
    <row r="11268" spans="66:69" x14ac:dyDescent="0.2">
      <c r="BN11268" s="192"/>
      <c r="BO11268" s="197"/>
      <c r="BP11268" s="197"/>
      <c r="BQ11268" s="197"/>
    </row>
    <row r="11269" spans="66:69" x14ac:dyDescent="0.2">
      <c r="BN11269" s="192"/>
      <c r="BO11269" s="197"/>
      <c r="BP11269" s="197"/>
      <c r="BQ11269" s="197"/>
    </row>
    <row r="11270" spans="66:69" x14ac:dyDescent="0.2">
      <c r="BN11270" s="192"/>
      <c r="BO11270" s="197"/>
      <c r="BP11270" s="197"/>
      <c r="BQ11270" s="197"/>
    </row>
    <row r="11271" spans="66:69" x14ac:dyDescent="0.2">
      <c r="BN11271" s="192"/>
      <c r="BO11271" s="197"/>
      <c r="BP11271" s="197"/>
      <c r="BQ11271" s="197"/>
    </row>
    <row r="11272" spans="66:69" x14ac:dyDescent="0.2">
      <c r="BN11272" s="192"/>
      <c r="BO11272" s="197"/>
      <c r="BP11272" s="197"/>
      <c r="BQ11272" s="197"/>
    </row>
    <row r="11273" spans="66:69" x14ac:dyDescent="0.2">
      <c r="BN11273" s="192"/>
      <c r="BO11273" s="197"/>
      <c r="BP11273" s="197"/>
      <c r="BQ11273" s="197"/>
    </row>
    <row r="11274" spans="66:69" x14ac:dyDescent="0.2">
      <c r="BN11274" s="192"/>
      <c r="BO11274" s="197"/>
      <c r="BP11274" s="197"/>
      <c r="BQ11274" s="197"/>
    </row>
    <row r="11275" spans="66:69" x14ac:dyDescent="0.2">
      <c r="BN11275" s="192"/>
      <c r="BO11275" s="197"/>
      <c r="BP11275" s="197"/>
      <c r="BQ11275" s="197"/>
    </row>
    <row r="11276" spans="66:69" x14ac:dyDescent="0.2">
      <c r="BN11276" s="192"/>
      <c r="BO11276" s="197"/>
      <c r="BP11276" s="197"/>
      <c r="BQ11276" s="197"/>
    </row>
    <row r="11277" spans="66:69" x14ac:dyDescent="0.2">
      <c r="BN11277" s="192"/>
      <c r="BO11277" s="197"/>
      <c r="BP11277" s="197"/>
      <c r="BQ11277" s="197"/>
    </row>
    <row r="11278" spans="66:69" x14ac:dyDescent="0.2">
      <c r="BN11278" s="192"/>
      <c r="BO11278" s="197"/>
      <c r="BP11278" s="197"/>
      <c r="BQ11278" s="197"/>
    </row>
    <row r="11279" spans="66:69" x14ac:dyDescent="0.2">
      <c r="BN11279" s="192"/>
      <c r="BO11279" s="197"/>
      <c r="BP11279" s="197"/>
      <c r="BQ11279" s="197"/>
    </row>
    <row r="11280" spans="66:69" x14ac:dyDescent="0.2">
      <c r="BN11280" s="192"/>
      <c r="BO11280" s="197"/>
      <c r="BP11280" s="197"/>
      <c r="BQ11280" s="197"/>
    </row>
    <row r="11281" spans="66:69" x14ac:dyDescent="0.2">
      <c r="BN11281" s="192"/>
      <c r="BO11281" s="197"/>
      <c r="BP11281" s="197"/>
      <c r="BQ11281" s="197"/>
    </row>
    <row r="11282" spans="66:69" x14ac:dyDescent="0.2">
      <c r="BN11282" s="192"/>
      <c r="BO11282" s="197"/>
      <c r="BP11282" s="197"/>
      <c r="BQ11282" s="197"/>
    </row>
    <row r="11283" spans="66:69" x14ac:dyDescent="0.2">
      <c r="BN11283" s="192"/>
      <c r="BO11283" s="197"/>
      <c r="BP11283" s="197"/>
      <c r="BQ11283" s="197"/>
    </row>
    <row r="11284" spans="66:69" x14ac:dyDescent="0.2">
      <c r="BN11284" s="192"/>
      <c r="BO11284" s="197"/>
      <c r="BP11284" s="197"/>
      <c r="BQ11284" s="197"/>
    </row>
    <row r="11285" spans="66:69" x14ac:dyDescent="0.2">
      <c r="BN11285" s="192"/>
      <c r="BO11285" s="197"/>
      <c r="BP11285" s="197"/>
      <c r="BQ11285" s="197"/>
    </row>
    <row r="11286" spans="66:69" x14ac:dyDescent="0.2">
      <c r="BN11286" s="192"/>
      <c r="BO11286" s="197"/>
      <c r="BP11286" s="197"/>
      <c r="BQ11286" s="197"/>
    </row>
    <row r="11287" spans="66:69" x14ac:dyDescent="0.2">
      <c r="BN11287" s="192"/>
      <c r="BO11287" s="197"/>
      <c r="BP11287" s="197"/>
      <c r="BQ11287" s="197"/>
    </row>
    <row r="11288" spans="66:69" x14ac:dyDescent="0.2">
      <c r="BN11288" s="192"/>
      <c r="BO11288" s="197"/>
      <c r="BP11288" s="197"/>
      <c r="BQ11288" s="197"/>
    </row>
    <row r="11289" spans="66:69" x14ac:dyDescent="0.2">
      <c r="BN11289" s="192"/>
      <c r="BO11289" s="197"/>
      <c r="BP11289" s="197"/>
      <c r="BQ11289" s="197"/>
    </row>
    <row r="11290" spans="66:69" x14ac:dyDescent="0.2">
      <c r="BN11290" s="192"/>
      <c r="BO11290" s="197"/>
      <c r="BP11290" s="197"/>
      <c r="BQ11290" s="197"/>
    </row>
    <row r="11291" spans="66:69" x14ac:dyDescent="0.2">
      <c r="BN11291" s="192"/>
      <c r="BO11291" s="197"/>
      <c r="BP11291" s="197"/>
      <c r="BQ11291" s="197"/>
    </row>
    <row r="11292" spans="66:69" x14ac:dyDescent="0.2">
      <c r="BN11292" s="192"/>
      <c r="BO11292" s="197"/>
      <c r="BP11292" s="197"/>
      <c r="BQ11292" s="197"/>
    </row>
    <row r="11293" spans="66:69" x14ac:dyDescent="0.2">
      <c r="BN11293" s="192"/>
      <c r="BO11293" s="197"/>
      <c r="BP11293" s="197"/>
      <c r="BQ11293" s="197"/>
    </row>
    <row r="11294" spans="66:69" x14ac:dyDescent="0.2">
      <c r="BN11294" s="192"/>
      <c r="BO11294" s="197"/>
      <c r="BP11294" s="197"/>
      <c r="BQ11294" s="197"/>
    </row>
    <row r="11295" spans="66:69" x14ac:dyDescent="0.2">
      <c r="BN11295" s="192"/>
      <c r="BO11295" s="197"/>
      <c r="BP11295" s="197"/>
      <c r="BQ11295" s="197"/>
    </row>
    <row r="11296" spans="66:69" x14ac:dyDescent="0.2">
      <c r="BN11296" s="192"/>
      <c r="BO11296" s="197"/>
      <c r="BP11296" s="197"/>
      <c r="BQ11296" s="197"/>
    </row>
    <row r="11297" spans="66:69" x14ac:dyDescent="0.2">
      <c r="BN11297" s="192"/>
      <c r="BO11297" s="197"/>
      <c r="BP11297" s="197"/>
      <c r="BQ11297" s="197"/>
    </row>
    <row r="11298" spans="66:69" x14ac:dyDescent="0.2">
      <c r="BN11298" s="192"/>
      <c r="BO11298" s="197"/>
      <c r="BP11298" s="197"/>
      <c r="BQ11298" s="197"/>
    </row>
    <row r="11299" spans="66:69" x14ac:dyDescent="0.2">
      <c r="BN11299" s="192"/>
      <c r="BO11299" s="197"/>
      <c r="BP11299" s="197"/>
      <c r="BQ11299" s="197"/>
    </row>
    <row r="11300" spans="66:69" x14ac:dyDescent="0.2">
      <c r="BN11300" s="192"/>
      <c r="BO11300" s="197"/>
      <c r="BP11300" s="197"/>
      <c r="BQ11300" s="197"/>
    </row>
    <row r="11301" spans="66:69" x14ac:dyDescent="0.2">
      <c r="BN11301" s="192"/>
      <c r="BO11301" s="197"/>
      <c r="BP11301" s="197"/>
      <c r="BQ11301" s="197"/>
    </row>
    <row r="11302" spans="66:69" x14ac:dyDescent="0.2">
      <c r="BN11302" s="192"/>
      <c r="BO11302" s="197"/>
      <c r="BP11302" s="197"/>
      <c r="BQ11302" s="197"/>
    </row>
    <row r="11303" spans="66:69" x14ac:dyDescent="0.2">
      <c r="BN11303" s="192"/>
      <c r="BO11303" s="197"/>
      <c r="BP11303" s="197"/>
      <c r="BQ11303" s="197"/>
    </row>
    <row r="11304" spans="66:69" x14ac:dyDescent="0.2">
      <c r="BN11304" s="192"/>
      <c r="BO11304" s="197"/>
      <c r="BP11304" s="197"/>
      <c r="BQ11304" s="197"/>
    </row>
    <row r="11305" spans="66:69" x14ac:dyDescent="0.2">
      <c r="BN11305" s="192"/>
      <c r="BO11305" s="197"/>
      <c r="BP11305" s="197"/>
      <c r="BQ11305" s="197"/>
    </row>
    <row r="11306" spans="66:69" x14ac:dyDescent="0.2">
      <c r="BN11306" s="192"/>
      <c r="BO11306" s="197"/>
      <c r="BP11306" s="197"/>
      <c r="BQ11306" s="197"/>
    </row>
    <row r="11307" spans="66:69" x14ac:dyDescent="0.2">
      <c r="BN11307" s="192"/>
      <c r="BO11307" s="197"/>
      <c r="BP11307" s="197"/>
      <c r="BQ11307" s="197"/>
    </row>
    <row r="11308" spans="66:69" x14ac:dyDescent="0.2">
      <c r="BN11308" s="192"/>
      <c r="BO11308" s="197"/>
      <c r="BP11308" s="197"/>
      <c r="BQ11308" s="197"/>
    </row>
    <row r="11309" spans="66:69" x14ac:dyDescent="0.2">
      <c r="BN11309" s="192"/>
      <c r="BO11309" s="197"/>
      <c r="BP11309" s="197"/>
      <c r="BQ11309" s="197"/>
    </row>
    <row r="11310" spans="66:69" x14ac:dyDescent="0.2">
      <c r="BN11310" s="192"/>
      <c r="BO11310" s="197"/>
      <c r="BP11310" s="197"/>
      <c r="BQ11310" s="197"/>
    </row>
    <row r="11311" spans="66:69" x14ac:dyDescent="0.2">
      <c r="BN11311" s="192"/>
      <c r="BO11311" s="197"/>
      <c r="BP11311" s="197"/>
      <c r="BQ11311" s="197"/>
    </row>
    <row r="11312" spans="66:69" x14ac:dyDescent="0.2">
      <c r="BN11312" s="192"/>
      <c r="BO11312" s="197"/>
      <c r="BP11312" s="197"/>
      <c r="BQ11312" s="197"/>
    </row>
    <row r="11313" spans="66:69" x14ac:dyDescent="0.2">
      <c r="BN11313" s="192"/>
      <c r="BO11313" s="197"/>
      <c r="BP11313" s="197"/>
      <c r="BQ11313" s="197"/>
    </row>
    <row r="11314" spans="66:69" x14ac:dyDescent="0.2">
      <c r="BN11314" s="192"/>
      <c r="BO11314" s="197"/>
      <c r="BP11314" s="197"/>
      <c r="BQ11314" s="197"/>
    </row>
    <row r="11315" spans="66:69" x14ac:dyDescent="0.2">
      <c r="BN11315" s="192"/>
      <c r="BO11315" s="197"/>
      <c r="BP11315" s="197"/>
      <c r="BQ11315" s="197"/>
    </row>
    <row r="11316" spans="66:69" x14ac:dyDescent="0.2">
      <c r="BN11316" s="192"/>
      <c r="BO11316" s="197"/>
      <c r="BP11316" s="197"/>
      <c r="BQ11316" s="197"/>
    </row>
    <row r="11317" spans="66:69" x14ac:dyDescent="0.2">
      <c r="BN11317" s="192"/>
      <c r="BO11317" s="197"/>
      <c r="BP11317" s="197"/>
      <c r="BQ11317" s="197"/>
    </row>
    <row r="11318" spans="66:69" x14ac:dyDescent="0.2">
      <c r="BN11318" s="192"/>
      <c r="BO11318" s="197"/>
      <c r="BP11318" s="197"/>
      <c r="BQ11318" s="197"/>
    </row>
    <row r="11319" spans="66:69" x14ac:dyDescent="0.2">
      <c r="BN11319" s="192"/>
      <c r="BO11319" s="197"/>
      <c r="BP11319" s="197"/>
      <c r="BQ11319" s="197"/>
    </row>
    <row r="11320" spans="66:69" x14ac:dyDescent="0.2">
      <c r="BN11320" s="192"/>
      <c r="BO11320" s="197"/>
      <c r="BP11320" s="197"/>
      <c r="BQ11320" s="197"/>
    </row>
    <row r="11321" spans="66:69" x14ac:dyDescent="0.2">
      <c r="BN11321" s="192"/>
      <c r="BO11321" s="197"/>
      <c r="BP11321" s="197"/>
      <c r="BQ11321" s="197"/>
    </row>
    <row r="11322" spans="66:69" x14ac:dyDescent="0.2">
      <c r="BN11322" s="192"/>
      <c r="BO11322" s="197"/>
      <c r="BP11322" s="197"/>
      <c r="BQ11322" s="197"/>
    </row>
    <row r="11323" spans="66:69" x14ac:dyDescent="0.2">
      <c r="BN11323" s="192"/>
      <c r="BO11323" s="197"/>
      <c r="BP11323" s="197"/>
      <c r="BQ11323" s="197"/>
    </row>
    <row r="11324" spans="66:69" x14ac:dyDescent="0.2">
      <c r="BN11324" s="192"/>
      <c r="BO11324" s="197"/>
      <c r="BP11324" s="197"/>
      <c r="BQ11324" s="197"/>
    </row>
    <row r="11325" spans="66:69" x14ac:dyDescent="0.2">
      <c r="BN11325" s="192"/>
      <c r="BO11325" s="197"/>
      <c r="BP11325" s="197"/>
      <c r="BQ11325" s="197"/>
    </row>
    <row r="11326" spans="66:69" x14ac:dyDescent="0.2">
      <c r="BN11326" s="192"/>
      <c r="BO11326" s="197"/>
      <c r="BP11326" s="197"/>
      <c r="BQ11326" s="197"/>
    </row>
    <row r="11327" spans="66:69" x14ac:dyDescent="0.2">
      <c r="BN11327" s="192"/>
      <c r="BO11327" s="197"/>
      <c r="BP11327" s="197"/>
      <c r="BQ11327" s="197"/>
    </row>
    <row r="11328" spans="66:69" x14ac:dyDescent="0.2">
      <c r="BN11328" s="192"/>
      <c r="BO11328" s="197"/>
      <c r="BP11328" s="197"/>
      <c r="BQ11328" s="197"/>
    </row>
    <row r="11329" spans="66:69" x14ac:dyDescent="0.2">
      <c r="BN11329" s="192"/>
      <c r="BO11329" s="197"/>
      <c r="BP11329" s="197"/>
      <c r="BQ11329" s="197"/>
    </row>
    <row r="11330" spans="66:69" x14ac:dyDescent="0.2">
      <c r="BN11330" s="192"/>
      <c r="BO11330" s="197"/>
      <c r="BP11330" s="197"/>
      <c r="BQ11330" s="197"/>
    </row>
    <row r="11331" spans="66:69" x14ac:dyDescent="0.2">
      <c r="BN11331" s="192"/>
      <c r="BO11331" s="197"/>
      <c r="BP11331" s="197"/>
      <c r="BQ11331" s="197"/>
    </row>
    <row r="11332" spans="66:69" x14ac:dyDescent="0.2">
      <c r="BN11332" s="192"/>
      <c r="BO11332" s="197"/>
      <c r="BP11332" s="197"/>
      <c r="BQ11332" s="197"/>
    </row>
    <row r="11333" spans="66:69" x14ac:dyDescent="0.2">
      <c r="BN11333" s="192"/>
      <c r="BO11333" s="197"/>
      <c r="BP11333" s="197"/>
      <c r="BQ11333" s="197"/>
    </row>
    <row r="11334" spans="66:69" x14ac:dyDescent="0.2">
      <c r="BN11334" s="192"/>
      <c r="BO11334" s="197"/>
      <c r="BP11334" s="197"/>
      <c r="BQ11334" s="197"/>
    </row>
    <row r="11335" spans="66:69" x14ac:dyDescent="0.2">
      <c r="BN11335" s="192"/>
      <c r="BO11335" s="197"/>
      <c r="BP11335" s="197"/>
      <c r="BQ11335" s="197"/>
    </row>
    <row r="11336" spans="66:69" x14ac:dyDescent="0.2">
      <c r="BN11336" s="192"/>
      <c r="BO11336" s="197"/>
      <c r="BP11336" s="197"/>
      <c r="BQ11336" s="197"/>
    </row>
    <row r="11337" spans="66:69" x14ac:dyDescent="0.2">
      <c r="BN11337" s="192"/>
      <c r="BO11337" s="197"/>
      <c r="BP11337" s="197"/>
      <c r="BQ11337" s="197"/>
    </row>
    <row r="11338" spans="66:69" x14ac:dyDescent="0.2">
      <c r="BN11338" s="192"/>
      <c r="BO11338" s="197"/>
      <c r="BP11338" s="197"/>
      <c r="BQ11338" s="197"/>
    </row>
    <row r="11339" spans="66:69" x14ac:dyDescent="0.2">
      <c r="BN11339" s="192"/>
      <c r="BO11339" s="197"/>
      <c r="BP11339" s="197"/>
      <c r="BQ11339" s="197"/>
    </row>
    <row r="11340" spans="66:69" x14ac:dyDescent="0.2">
      <c r="BN11340" s="192"/>
      <c r="BO11340" s="197"/>
      <c r="BP11340" s="197"/>
      <c r="BQ11340" s="197"/>
    </row>
    <row r="11341" spans="66:69" x14ac:dyDescent="0.2">
      <c r="BN11341" s="192"/>
      <c r="BO11341" s="197"/>
      <c r="BP11341" s="197"/>
      <c r="BQ11341" s="197"/>
    </row>
    <row r="11342" spans="66:69" x14ac:dyDescent="0.2">
      <c r="BN11342" s="192"/>
      <c r="BO11342" s="197"/>
      <c r="BP11342" s="197"/>
      <c r="BQ11342" s="197"/>
    </row>
    <row r="11343" spans="66:69" x14ac:dyDescent="0.2">
      <c r="BN11343" s="192"/>
      <c r="BO11343" s="197"/>
      <c r="BP11343" s="197"/>
      <c r="BQ11343" s="197"/>
    </row>
    <row r="11344" spans="66:69" x14ac:dyDescent="0.2">
      <c r="BN11344" s="192"/>
      <c r="BO11344" s="197"/>
      <c r="BP11344" s="197"/>
      <c r="BQ11344" s="197"/>
    </row>
    <row r="11345" spans="66:69" x14ac:dyDescent="0.2">
      <c r="BN11345" s="192"/>
      <c r="BO11345" s="197"/>
      <c r="BP11345" s="197"/>
      <c r="BQ11345" s="197"/>
    </row>
    <row r="11346" spans="66:69" x14ac:dyDescent="0.2">
      <c r="BN11346" s="192"/>
      <c r="BO11346" s="197"/>
      <c r="BP11346" s="197"/>
      <c r="BQ11346" s="197"/>
    </row>
    <row r="11347" spans="66:69" x14ac:dyDescent="0.2">
      <c r="BN11347" s="192"/>
      <c r="BO11347" s="197"/>
      <c r="BP11347" s="197"/>
      <c r="BQ11347" s="197"/>
    </row>
    <row r="11348" spans="66:69" x14ac:dyDescent="0.2">
      <c r="BN11348" s="192"/>
      <c r="BO11348" s="197"/>
      <c r="BP11348" s="197"/>
      <c r="BQ11348" s="197"/>
    </row>
    <row r="11349" spans="66:69" x14ac:dyDescent="0.2">
      <c r="BN11349" s="192"/>
      <c r="BO11349" s="197"/>
      <c r="BP11349" s="197"/>
      <c r="BQ11349" s="197"/>
    </row>
    <row r="11350" spans="66:69" x14ac:dyDescent="0.2">
      <c r="BN11350" s="192"/>
      <c r="BO11350" s="197"/>
      <c r="BP11350" s="197"/>
      <c r="BQ11350" s="197"/>
    </row>
    <row r="11351" spans="66:69" x14ac:dyDescent="0.2">
      <c r="BN11351" s="192"/>
      <c r="BO11351" s="197"/>
      <c r="BP11351" s="197"/>
      <c r="BQ11351" s="197"/>
    </row>
    <row r="11352" spans="66:69" x14ac:dyDescent="0.2">
      <c r="BN11352" s="192"/>
      <c r="BO11352" s="197"/>
      <c r="BP11352" s="197"/>
      <c r="BQ11352" s="197"/>
    </row>
    <row r="11353" spans="66:69" x14ac:dyDescent="0.2">
      <c r="BN11353" s="192"/>
      <c r="BO11353" s="197"/>
      <c r="BP11353" s="197"/>
      <c r="BQ11353" s="197"/>
    </row>
    <row r="11354" spans="66:69" x14ac:dyDescent="0.2">
      <c r="BN11354" s="192"/>
      <c r="BO11354" s="197"/>
      <c r="BP11354" s="197"/>
      <c r="BQ11354" s="197"/>
    </row>
    <row r="11355" spans="66:69" x14ac:dyDescent="0.2">
      <c r="BN11355" s="192"/>
      <c r="BO11355" s="197"/>
      <c r="BP11355" s="197"/>
      <c r="BQ11355" s="197"/>
    </row>
    <row r="11356" spans="66:69" x14ac:dyDescent="0.2">
      <c r="BN11356" s="192"/>
      <c r="BO11356" s="197"/>
      <c r="BP11356" s="197"/>
      <c r="BQ11356" s="197"/>
    </row>
    <row r="11357" spans="66:69" x14ac:dyDescent="0.2">
      <c r="BN11357" s="192"/>
      <c r="BO11357" s="197"/>
      <c r="BP11357" s="197"/>
      <c r="BQ11357" s="197"/>
    </row>
    <row r="11358" spans="66:69" x14ac:dyDescent="0.2">
      <c r="BN11358" s="192"/>
      <c r="BO11358" s="197"/>
      <c r="BP11358" s="197"/>
      <c r="BQ11358" s="197"/>
    </row>
    <row r="11359" spans="66:69" x14ac:dyDescent="0.2">
      <c r="BN11359" s="192"/>
      <c r="BO11359" s="197"/>
      <c r="BP11359" s="197"/>
      <c r="BQ11359" s="197"/>
    </row>
    <row r="11360" spans="66:69" x14ac:dyDescent="0.2">
      <c r="BN11360" s="192"/>
      <c r="BO11360" s="197"/>
      <c r="BP11360" s="197"/>
      <c r="BQ11360" s="197"/>
    </row>
    <row r="11361" spans="66:69" x14ac:dyDescent="0.2">
      <c r="BN11361" s="192"/>
      <c r="BO11361" s="197"/>
      <c r="BP11361" s="197"/>
      <c r="BQ11361" s="197"/>
    </row>
    <row r="11362" spans="66:69" x14ac:dyDescent="0.2">
      <c r="BN11362" s="192"/>
      <c r="BO11362" s="197"/>
      <c r="BP11362" s="197"/>
      <c r="BQ11362" s="197"/>
    </row>
    <row r="11363" spans="66:69" x14ac:dyDescent="0.2">
      <c r="BN11363" s="192"/>
      <c r="BO11363" s="197"/>
      <c r="BP11363" s="197"/>
      <c r="BQ11363" s="197"/>
    </row>
    <row r="11364" spans="66:69" x14ac:dyDescent="0.2">
      <c r="BN11364" s="192"/>
      <c r="BO11364" s="197"/>
      <c r="BP11364" s="197"/>
      <c r="BQ11364" s="197"/>
    </row>
    <row r="11365" spans="66:69" x14ac:dyDescent="0.2">
      <c r="BN11365" s="192"/>
      <c r="BO11365" s="197"/>
      <c r="BP11365" s="197"/>
      <c r="BQ11365" s="197"/>
    </row>
    <row r="11366" spans="66:69" x14ac:dyDescent="0.2">
      <c r="BN11366" s="192"/>
      <c r="BO11366" s="197"/>
      <c r="BP11366" s="197"/>
      <c r="BQ11366" s="197"/>
    </row>
    <row r="11367" spans="66:69" x14ac:dyDescent="0.2">
      <c r="BN11367" s="192"/>
      <c r="BO11367" s="197"/>
      <c r="BP11367" s="197"/>
      <c r="BQ11367" s="197"/>
    </row>
    <row r="11368" spans="66:69" x14ac:dyDescent="0.2">
      <c r="BN11368" s="192"/>
      <c r="BO11368" s="197"/>
      <c r="BP11368" s="197"/>
      <c r="BQ11368" s="197"/>
    </row>
    <row r="11369" spans="66:69" x14ac:dyDescent="0.2">
      <c r="BN11369" s="192"/>
      <c r="BO11369" s="197"/>
      <c r="BP11369" s="197"/>
      <c r="BQ11369" s="197"/>
    </row>
    <row r="11370" spans="66:69" x14ac:dyDescent="0.2">
      <c r="BN11370" s="192"/>
      <c r="BO11370" s="197"/>
      <c r="BP11370" s="197"/>
      <c r="BQ11370" s="197"/>
    </row>
    <row r="11371" spans="66:69" x14ac:dyDescent="0.2">
      <c r="BN11371" s="192"/>
      <c r="BO11371" s="197"/>
      <c r="BP11371" s="197"/>
      <c r="BQ11371" s="197"/>
    </row>
    <row r="11372" spans="66:69" x14ac:dyDescent="0.2">
      <c r="BN11372" s="192"/>
      <c r="BO11372" s="197"/>
      <c r="BP11372" s="197"/>
      <c r="BQ11372" s="197"/>
    </row>
    <row r="11373" spans="66:69" x14ac:dyDescent="0.2">
      <c r="BN11373" s="192"/>
      <c r="BO11373" s="197"/>
      <c r="BP11373" s="197"/>
      <c r="BQ11373" s="197"/>
    </row>
    <row r="11374" spans="66:69" x14ac:dyDescent="0.2">
      <c r="BN11374" s="192"/>
      <c r="BO11374" s="197"/>
      <c r="BP11374" s="197"/>
      <c r="BQ11374" s="197"/>
    </row>
    <row r="11375" spans="66:69" x14ac:dyDescent="0.2">
      <c r="BN11375" s="192"/>
      <c r="BO11375" s="197"/>
      <c r="BP11375" s="197"/>
      <c r="BQ11375" s="197"/>
    </row>
    <row r="11376" spans="66:69" x14ac:dyDescent="0.2">
      <c r="BN11376" s="192"/>
      <c r="BO11376" s="197"/>
      <c r="BP11376" s="197"/>
      <c r="BQ11376" s="197"/>
    </row>
    <row r="11377" spans="66:69" x14ac:dyDescent="0.2">
      <c r="BN11377" s="192"/>
      <c r="BO11377" s="197"/>
      <c r="BP11377" s="197"/>
      <c r="BQ11377" s="197"/>
    </row>
    <row r="11378" spans="66:69" x14ac:dyDescent="0.2">
      <c r="BN11378" s="192"/>
      <c r="BO11378" s="197"/>
      <c r="BP11378" s="197"/>
      <c r="BQ11378" s="197"/>
    </row>
    <row r="11379" spans="66:69" x14ac:dyDescent="0.2">
      <c r="BN11379" s="192"/>
      <c r="BO11379" s="197"/>
      <c r="BP11379" s="197"/>
      <c r="BQ11379" s="197"/>
    </row>
    <row r="11380" spans="66:69" x14ac:dyDescent="0.2">
      <c r="BN11380" s="192"/>
      <c r="BO11380" s="197"/>
      <c r="BP11380" s="197"/>
      <c r="BQ11380" s="197"/>
    </row>
    <row r="11381" spans="66:69" x14ac:dyDescent="0.2">
      <c r="BN11381" s="192"/>
      <c r="BO11381" s="197"/>
      <c r="BP11381" s="197"/>
      <c r="BQ11381" s="197"/>
    </row>
    <row r="11382" spans="66:69" x14ac:dyDescent="0.2">
      <c r="BN11382" s="192"/>
      <c r="BO11382" s="197"/>
      <c r="BP11382" s="197"/>
      <c r="BQ11382" s="197"/>
    </row>
    <row r="11383" spans="66:69" x14ac:dyDescent="0.2">
      <c r="BN11383" s="192"/>
      <c r="BO11383" s="197"/>
      <c r="BP11383" s="197"/>
      <c r="BQ11383" s="197"/>
    </row>
    <row r="11384" spans="66:69" x14ac:dyDescent="0.2">
      <c r="BN11384" s="192"/>
      <c r="BO11384" s="197"/>
      <c r="BP11384" s="197"/>
      <c r="BQ11384" s="197"/>
    </row>
    <row r="11385" spans="66:69" x14ac:dyDescent="0.2">
      <c r="BN11385" s="192"/>
      <c r="BO11385" s="197"/>
      <c r="BP11385" s="197"/>
      <c r="BQ11385" s="197"/>
    </row>
    <row r="11386" spans="66:69" x14ac:dyDescent="0.2">
      <c r="BN11386" s="192"/>
      <c r="BO11386" s="197"/>
      <c r="BP11386" s="197"/>
      <c r="BQ11386" s="197"/>
    </row>
    <row r="11387" spans="66:69" x14ac:dyDescent="0.2">
      <c r="BN11387" s="192"/>
      <c r="BO11387" s="197"/>
      <c r="BP11387" s="197"/>
      <c r="BQ11387" s="197"/>
    </row>
    <row r="11388" spans="66:69" x14ac:dyDescent="0.2">
      <c r="BN11388" s="192"/>
      <c r="BO11388" s="197"/>
      <c r="BP11388" s="197"/>
      <c r="BQ11388" s="197"/>
    </row>
    <row r="11389" spans="66:69" x14ac:dyDescent="0.2">
      <c r="BN11389" s="192"/>
      <c r="BO11389" s="197"/>
      <c r="BP11389" s="197"/>
      <c r="BQ11389" s="197"/>
    </row>
    <row r="11390" spans="66:69" x14ac:dyDescent="0.2">
      <c r="BN11390" s="192"/>
      <c r="BO11390" s="197"/>
      <c r="BP11390" s="197"/>
      <c r="BQ11390" s="197"/>
    </row>
    <row r="11391" spans="66:69" x14ac:dyDescent="0.2">
      <c r="BN11391" s="192"/>
      <c r="BO11391" s="197"/>
      <c r="BP11391" s="197"/>
      <c r="BQ11391" s="197"/>
    </row>
    <row r="11392" spans="66:69" x14ac:dyDescent="0.2">
      <c r="BN11392" s="192"/>
      <c r="BO11392" s="197"/>
      <c r="BP11392" s="197"/>
      <c r="BQ11392" s="197"/>
    </row>
    <row r="11393" spans="66:69" x14ac:dyDescent="0.2">
      <c r="BN11393" s="192"/>
      <c r="BO11393" s="197"/>
      <c r="BP11393" s="197"/>
      <c r="BQ11393" s="197"/>
    </row>
    <row r="11394" spans="66:69" x14ac:dyDescent="0.2">
      <c r="BN11394" s="192"/>
      <c r="BO11394" s="197"/>
      <c r="BP11394" s="197"/>
      <c r="BQ11394" s="197"/>
    </row>
    <row r="11395" spans="66:69" x14ac:dyDescent="0.2">
      <c r="BN11395" s="192"/>
      <c r="BO11395" s="197"/>
      <c r="BP11395" s="197"/>
      <c r="BQ11395" s="197"/>
    </row>
    <row r="11396" spans="66:69" x14ac:dyDescent="0.2">
      <c r="BN11396" s="192"/>
      <c r="BO11396" s="197"/>
      <c r="BP11396" s="197"/>
      <c r="BQ11396" s="197"/>
    </row>
    <row r="11397" spans="66:69" x14ac:dyDescent="0.2">
      <c r="BN11397" s="192"/>
      <c r="BO11397" s="197"/>
      <c r="BP11397" s="197"/>
      <c r="BQ11397" s="197"/>
    </row>
    <row r="11398" spans="66:69" x14ac:dyDescent="0.2">
      <c r="BN11398" s="192"/>
      <c r="BO11398" s="197"/>
      <c r="BP11398" s="197"/>
      <c r="BQ11398" s="197"/>
    </row>
    <row r="11399" spans="66:69" x14ac:dyDescent="0.2">
      <c r="BN11399" s="192"/>
      <c r="BO11399" s="197"/>
      <c r="BP11399" s="197"/>
      <c r="BQ11399" s="197"/>
    </row>
    <row r="11400" spans="66:69" x14ac:dyDescent="0.2">
      <c r="BN11400" s="192"/>
      <c r="BO11400" s="197"/>
      <c r="BP11400" s="197"/>
      <c r="BQ11400" s="197"/>
    </row>
    <row r="11401" spans="66:69" x14ac:dyDescent="0.2">
      <c r="BN11401" s="192"/>
      <c r="BO11401" s="197"/>
      <c r="BP11401" s="197"/>
      <c r="BQ11401" s="197"/>
    </row>
    <row r="11402" spans="66:69" x14ac:dyDescent="0.2">
      <c r="BN11402" s="192"/>
      <c r="BO11402" s="197"/>
      <c r="BP11402" s="197"/>
      <c r="BQ11402" s="197"/>
    </row>
    <row r="11403" spans="66:69" x14ac:dyDescent="0.2">
      <c r="BN11403" s="192"/>
      <c r="BO11403" s="197"/>
      <c r="BP11403" s="197"/>
      <c r="BQ11403" s="197"/>
    </row>
    <row r="11404" spans="66:69" x14ac:dyDescent="0.2">
      <c r="BN11404" s="192"/>
      <c r="BO11404" s="197"/>
      <c r="BP11404" s="197"/>
      <c r="BQ11404" s="197"/>
    </row>
    <row r="11405" spans="66:69" x14ac:dyDescent="0.2">
      <c r="BN11405" s="192"/>
      <c r="BO11405" s="197"/>
      <c r="BP11405" s="197"/>
      <c r="BQ11405" s="197"/>
    </row>
    <row r="11406" spans="66:69" x14ac:dyDescent="0.2">
      <c r="BN11406" s="192"/>
      <c r="BO11406" s="197"/>
      <c r="BP11406" s="197"/>
      <c r="BQ11406" s="197"/>
    </row>
    <row r="11407" spans="66:69" x14ac:dyDescent="0.2">
      <c r="BN11407" s="192"/>
      <c r="BO11407" s="197"/>
      <c r="BP11407" s="197"/>
      <c r="BQ11407" s="197"/>
    </row>
    <row r="11408" spans="66:69" x14ac:dyDescent="0.2">
      <c r="BN11408" s="192"/>
      <c r="BO11408" s="197"/>
      <c r="BP11408" s="197"/>
      <c r="BQ11408" s="197"/>
    </row>
    <row r="11409" spans="66:69" x14ac:dyDescent="0.2">
      <c r="BN11409" s="192"/>
      <c r="BO11409" s="197"/>
      <c r="BP11409" s="197"/>
      <c r="BQ11409" s="197"/>
    </row>
    <row r="11410" spans="66:69" x14ac:dyDescent="0.2">
      <c r="BN11410" s="192"/>
      <c r="BO11410" s="197"/>
      <c r="BP11410" s="197"/>
      <c r="BQ11410" s="197"/>
    </row>
    <row r="11411" spans="66:69" x14ac:dyDescent="0.2">
      <c r="BN11411" s="192"/>
      <c r="BO11411" s="197"/>
      <c r="BP11411" s="197"/>
      <c r="BQ11411" s="197"/>
    </row>
    <row r="11412" spans="66:69" x14ac:dyDescent="0.2">
      <c r="BN11412" s="192"/>
      <c r="BO11412" s="197"/>
      <c r="BP11412" s="197"/>
      <c r="BQ11412" s="197"/>
    </row>
    <row r="11413" spans="66:69" x14ac:dyDescent="0.2">
      <c r="BN11413" s="192"/>
      <c r="BO11413" s="197"/>
      <c r="BP11413" s="197"/>
      <c r="BQ11413" s="197"/>
    </row>
    <row r="11414" spans="66:69" x14ac:dyDescent="0.2">
      <c r="BN11414" s="192"/>
      <c r="BO11414" s="197"/>
      <c r="BP11414" s="197"/>
      <c r="BQ11414" s="197"/>
    </row>
    <row r="11415" spans="66:69" x14ac:dyDescent="0.2">
      <c r="BN11415" s="192"/>
      <c r="BO11415" s="197"/>
      <c r="BP11415" s="197"/>
      <c r="BQ11415" s="197"/>
    </row>
    <row r="11416" spans="66:69" x14ac:dyDescent="0.2">
      <c r="BN11416" s="192"/>
      <c r="BO11416" s="197"/>
      <c r="BP11416" s="197"/>
      <c r="BQ11416" s="197"/>
    </row>
    <row r="11417" spans="66:69" x14ac:dyDescent="0.2">
      <c r="BN11417" s="192"/>
      <c r="BO11417" s="197"/>
      <c r="BP11417" s="197"/>
      <c r="BQ11417" s="197"/>
    </row>
    <row r="11418" spans="66:69" x14ac:dyDescent="0.2">
      <c r="BN11418" s="192"/>
      <c r="BO11418" s="197"/>
      <c r="BP11418" s="197"/>
      <c r="BQ11418" s="197"/>
    </row>
    <row r="11419" spans="66:69" x14ac:dyDescent="0.2">
      <c r="BN11419" s="192"/>
      <c r="BO11419" s="197"/>
      <c r="BP11419" s="197"/>
      <c r="BQ11419" s="197"/>
    </row>
    <row r="11420" spans="66:69" x14ac:dyDescent="0.2">
      <c r="BN11420" s="192"/>
      <c r="BO11420" s="197"/>
      <c r="BP11420" s="197"/>
      <c r="BQ11420" s="197"/>
    </row>
    <row r="11421" spans="66:69" x14ac:dyDescent="0.2">
      <c r="BN11421" s="192"/>
      <c r="BO11421" s="197"/>
      <c r="BP11421" s="197"/>
      <c r="BQ11421" s="197"/>
    </row>
    <row r="11422" spans="66:69" x14ac:dyDescent="0.2">
      <c r="BN11422" s="192"/>
      <c r="BO11422" s="197"/>
      <c r="BP11422" s="197"/>
      <c r="BQ11422" s="197"/>
    </row>
    <row r="11423" spans="66:69" x14ac:dyDescent="0.2">
      <c r="BN11423" s="192"/>
      <c r="BO11423" s="197"/>
      <c r="BP11423" s="197"/>
      <c r="BQ11423" s="197"/>
    </row>
    <row r="11424" spans="66:69" x14ac:dyDescent="0.2">
      <c r="BN11424" s="192"/>
      <c r="BO11424" s="197"/>
      <c r="BP11424" s="197"/>
      <c r="BQ11424" s="197"/>
    </row>
    <row r="11425" spans="66:69" x14ac:dyDescent="0.2">
      <c r="BN11425" s="192"/>
      <c r="BO11425" s="197"/>
      <c r="BP11425" s="197"/>
      <c r="BQ11425" s="197"/>
    </row>
    <row r="11426" spans="66:69" x14ac:dyDescent="0.2">
      <c r="BN11426" s="192"/>
      <c r="BO11426" s="197"/>
      <c r="BP11426" s="197"/>
      <c r="BQ11426" s="197"/>
    </row>
    <row r="11427" spans="66:69" x14ac:dyDescent="0.2">
      <c r="BN11427" s="192"/>
      <c r="BO11427" s="197"/>
      <c r="BP11427" s="197"/>
      <c r="BQ11427" s="197"/>
    </row>
    <row r="11428" spans="66:69" x14ac:dyDescent="0.2">
      <c r="BN11428" s="192"/>
      <c r="BO11428" s="197"/>
      <c r="BP11428" s="197"/>
      <c r="BQ11428" s="197"/>
    </row>
    <row r="11429" spans="66:69" x14ac:dyDescent="0.2">
      <c r="BN11429" s="192"/>
      <c r="BO11429" s="197"/>
      <c r="BP11429" s="197"/>
      <c r="BQ11429" s="197"/>
    </row>
    <row r="11430" spans="66:69" x14ac:dyDescent="0.2">
      <c r="BN11430" s="192"/>
      <c r="BO11430" s="197"/>
      <c r="BP11430" s="197"/>
      <c r="BQ11430" s="197"/>
    </row>
    <row r="11431" spans="66:69" x14ac:dyDescent="0.2">
      <c r="BN11431" s="192"/>
      <c r="BO11431" s="197"/>
      <c r="BP11431" s="197"/>
      <c r="BQ11431" s="197"/>
    </row>
    <row r="11432" spans="66:69" x14ac:dyDescent="0.2">
      <c r="BN11432" s="192"/>
      <c r="BO11432" s="197"/>
      <c r="BP11432" s="197"/>
      <c r="BQ11432" s="197"/>
    </row>
    <row r="11433" spans="66:69" x14ac:dyDescent="0.2">
      <c r="BN11433" s="192"/>
      <c r="BO11433" s="197"/>
      <c r="BP11433" s="197"/>
      <c r="BQ11433" s="197"/>
    </row>
    <row r="11434" spans="66:69" x14ac:dyDescent="0.2">
      <c r="BN11434" s="192"/>
      <c r="BO11434" s="197"/>
      <c r="BP11434" s="197"/>
      <c r="BQ11434" s="197"/>
    </row>
    <row r="11435" spans="66:69" x14ac:dyDescent="0.2">
      <c r="BN11435" s="192"/>
      <c r="BO11435" s="197"/>
      <c r="BP11435" s="197"/>
      <c r="BQ11435" s="197"/>
    </row>
    <row r="11436" spans="66:69" x14ac:dyDescent="0.2">
      <c r="BN11436" s="192"/>
      <c r="BO11436" s="197"/>
      <c r="BP11436" s="197"/>
      <c r="BQ11436" s="197"/>
    </row>
    <row r="11437" spans="66:69" x14ac:dyDescent="0.2">
      <c r="BN11437" s="192"/>
      <c r="BO11437" s="197"/>
      <c r="BP11437" s="197"/>
      <c r="BQ11437" s="197"/>
    </row>
    <row r="11438" spans="66:69" x14ac:dyDescent="0.2">
      <c r="BN11438" s="192"/>
      <c r="BO11438" s="197"/>
      <c r="BP11438" s="197"/>
      <c r="BQ11438" s="197"/>
    </row>
    <row r="11439" spans="66:69" x14ac:dyDescent="0.2">
      <c r="BN11439" s="192"/>
      <c r="BO11439" s="197"/>
      <c r="BP11439" s="197"/>
      <c r="BQ11439" s="197"/>
    </row>
    <row r="11440" spans="66:69" x14ac:dyDescent="0.2">
      <c r="BN11440" s="192"/>
      <c r="BO11440" s="197"/>
      <c r="BP11440" s="197"/>
      <c r="BQ11440" s="197"/>
    </row>
    <row r="11441" spans="66:69" x14ac:dyDescent="0.2">
      <c r="BN11441" s="192"/>
      <c r="BO11441" s="197"/>
      <c r="BP11441" s="197"/>
      <c r="BQ11441" s="197"/>
    </row>
    <row r="11442" spans="66:69" x14ac:dyDescent="0.2">
      <c r="BN11442" s="192"/>
      <c r="BO11442" s="197"/>
      <c r="BP11442" s="197"/>
      <c r="BQ11442" s="197"/>
    </row>
    <row r="11443" spans="66:69" x14ac:dyDescent="0.2">
      <c r="BN11443" s="192"/>
      <c r="BO11443" s="197"/>
      <c r="BP11443" s="197"/>
      <c r="BQ11443" s="197"/>
    </row>
    <row r="11444" spans="66:69" x14ac:dyDescent="0.2">
      <c r="BN11444" s="192"/>
      <c r="BO11444" s="197"/>
      <c r="BP11444" s="197"/>
      <c r="BQ11444" s="197"/>
    </row>
    <row r="11445" spans="66:69" x14ac:dyDescent="0.2">
      <c r="BN11445" s="192"/>
      <c r="BO11445" s="197"/>
      <c r="BP11445" s="197"/>
      <c r="BQ11445" s="197"/>
    </row>
    <row r="11446" spans="66:69" x14ac:dyDescent="0.2">
      <c r="BN11446" s="192"/>
      <c r="BO11446" s="197"/>
      <c r="BP11446" s="197"/>
      <c r="BQ11446" s="197"/>
    </row>
    <row r="11447" spans="66:69" x14ac:dyDescent="0.2">
      <c r="BN11447" s="192"/>
      <c r="BO11447" s="197"/>
      <c r="BP11447" s="197"/>
      <c r="BQ11447" s="197"/>
    </row>
    <row r="11448" spans="66:69" x14ac:dyDescent="0.2">
      <c r="BN11448" s="192"/>
      <c r="BO11448" s="197"/>
      <c r="BP11448" s="197"/>
      <c r="BQ11448" s="197"/>
    </row>
    <row r="11449" spans="66:69" x14ac:dyDescent="0.2">
      <c r="BN11449" s="192"/>
      <c r="BO11449" s="197"/>
      <c r="BP11449" s="197"/>
      <c r="BQ11449" s="197"/>
    </row>
    <row r="11450" spans="66:69" x14ac:dyDescent="0.2">
      <c r="BN11450" s="192"/>
      <c r="BO11450" s="197"/>
      <c r="BP11450" s="197"/>
      <c r="BQ11450" s="197"/>
    </row>
    <row r="11451" spans="66:69" x14ac:dyDescent="0.2">
      <c r="BN11451" s="192"/>
      <c r="BO11451" s="197"/>
      <c r="BP11451" s="197"/>
      <c r="BQ11451" s="197"/>
    </row>
    <row r="11452" spans="66:69" x14ac:dyDescent="0.2">
      <c r="BN11452" s="192"/>
      <c r="BO11452" s="197"/>
      <c r="BP11452" s="197"/>
      <c r="BQ11452" s="197"/>
    </row>
    <row r="11453" spans="66:69" x14ac:dyDescent="0.2">
      <c r="BN11453" s="192"/>
      <c r="BO11453" s="197"/>
      <c r="BP11453" s="197"/>
      <c r="BQ11453" s="197"/>
    </row>
    <row r="11454" spans="66:69" x14ac:dyDescent="0.2">
      <c r="BN11454" s="192"/>
      <c r="BO11454" s="197"/>
      <c r="BP11454" s="197"/>
      <c r="BQ11454" s="197"/>
    </row>
    <row r="11455" spans="66:69" x14ac:dyDescent="0.2">
      <c r="BN11455" s="192"/>
      <c r="BO11455" s="197"/>
      <c r="BP11455" s="197"/>
      <c r="BQ11455" s="197"/>
    </row>
    <row r="11456" spans="66:69" x14ac:dyDescent="0.2">
      <c r="BN11456" s="192"/>
      <c r="BO11456" s="197"/>
      <c r="BP11456" s="197"/>
      <c r="BQ11456" s="197"/>
    </row>
    <row r="11457" spans="66:69" x14ac:dyDescent="0.2">
      <c r="BN11457" s="192"/>
      <c r="BO11457" s="197"/>
      <c r="BP11457" s="197"/>
      <c r="BQ11457" s="197"/>
    </row>
    <row r="11458" spans="66:69" x14ac:dyDescent="0.2">
      <c r="BN11458" s="192"/>
      <c r="BO11458" s="197"/>
      <c r="BP11458" s="197"/>
      <c r="BQ11458" s="197"/>
    </row>
    <row r="11459" spans="66:69" x14ac:dyDescent="0.2">
      <c r="BN11459" s="192"/>
      <c r="BO11459" s="197"/>
      <c r="BP11459" s="197"/>
      <c r="BQ11459" s="197"/>
    </row>
    <row r="11460" spans="66:69" x14ac:dyDescent="0.2">
      <c r="BN11460" s="192"/>
      <c r="BO11460" s="197"/>
      <c r="BP11460" s="197"/>
      <c r="BQ11460" s="197"/>
    </row>
    <row r="11461" spans="66:69" x14ac:dyDescent="0.2">
      <c r="BN11461" s="192"/>
      <c r="BO11461" s="197"/>
      <c r="BP11461" s="197"/>
      <c r="BQ11461" s="197"/>
    </row>
    <row r="11462" spans="66:69" x14ac:dyDescent="0.2">
      <c r="BN11462" s="192"/>
      <c r="BO11462" s="197"/>
      <c r="BP11462" s="197"/>
      <c r="BQ11462" s="197"/>
    </row>
    <row r="11463" spans="66:69" x14ac:dyDescent="0.2">
      <c r="BN11463" s="192"/>
      <c r="BO11463" s="197"/>
      <c r="BP11463" s="197"/>
      <c r="BQ11463" s="197"/>
    </row>
    <row r="11464" spans="66:69" x14ac:dyDescent="0.2">
      <c r="BN11464" s="192"/>
      <c r="BO11464" s="197"/>
      <c r="BP11464" s="197"/>
      <c r="BQ11464" s="197"/>
    </row>
    <row r="11465" spans="66:69" x14ac:dyDescent="0.2">
      <c r="BN11465" s="192"/>
      <c r="BO11465" s="197"/>
      <c r="BP11465" s="197"/>
      <c r="BQ11465" s="197"/>
    </row>
    <row r="11466" spans="66:69" x14ac:dyDescent="0.2">
      <c r="BN11466" s="192"/>
      <c r="BO11466" s="197"/>
      <c r="BP11466" s="197"/>
      <c r="BQ11466" s="197"/>
    </row>
    <row r="11467" spans="66:69" x14ac:dyDescent="0.2">
      <c r="BN11467" s="192"/>
      <c r="BO11467" s="197"/>
      <c r="BP11467" s="197"/>
      <c r="BQ11467" s="197"/>
    </row>
    <row r="11468" spans="66:69" x14ac:dyDescent="0.2">
      <c r="BN11468" s="192"/>
      <c r="BO11468" s="197"/>
      <c r="BP11468" s="197"/>
      <c r="BQ11468" s="197"/>
    </row>
    <row r="11469" spans="66:69" x14ac:dyDescent="0.2">
      <c r="BN11469" s="192"/>
      <c r="BO11469" s="197"/>
      <c r="BP11469" s="197"/>
      <c r="BQ11469" s="197"/>
    </row>
    <row r="11470" spans="66:69" x14ac:dyDescent="0.2">
      <c r="BN11470" s="192"/>
      <c r="BO11470" s="197"/>
      <c r="BP11470" s="197"/>
      <c r="BQ11470" s="197"/>
    </row>
    <row r="11471" spans="66:69" x14ac:dyDescent="0.2">
      <c r="BN11471" s="192"/>
      <c r="BO11471" s="197"/>
      <c r="BP11471" s="197"/>
      <c r="BQ11471" s="197"/>
    </row>
    <row r="11472" spans="66:69" x14ac:dyDescent="0.2">
      <c r="BN11472" s="192"/>
      <c r="BO11472" s="197"/>
      <c r="BP11472" s="197"/>
      <c r="BQ11472" s="197"/>
    </row>
    <row r="11473" spans="66:69" x14ac:dyDescent="0.2">
      <c r="BN11473" s="192"/>
      <c r="BO11473" s="197"/>
      <c r="BP11473" s="197"/>
      <c r="BQ11473" s="197"/>
    </row>
    <row r="11474" spans="66:69" x14ac:dyDescent="0.2">
      <c r="BN11474" s="192"/>
      <c r="BO11474" s="197"/>
      <c r="BP11474" s="197"/>
      <c r="BQ11474" s="197"/>
    </row>
    <row r="11475" spans="66:69" x14ac:dyDescent="0.2">
      <c r="BN11475" s="192"/>
      <c r="BO11475" s="197"/>
      <c r="BP11475" s="197"/>
      <c r="BQ11475" s="197"/>
    </row>
    <row r="11476" spans="66:69" x14ac:dyDescent="0.2">
      <c r="BN11476" s="192"/>
      <c r="BO11476" s="197"/>
      <c r="BP11476" s="197"/>
      <c r="BQ11476" s="197"/>
    </row>
    <row r="11477" spans="66:69" x14ac:dyDescent="0.2">
      <c r="BN11477" s="192"/>
      <c r="BO11477" s="197"/>
      <c r="BP11477" s="197"/>
      <c r="BQ11477" s="197"/>
    </row>
    <row r="11478" spans="66:69" x14ac:dyDescent="0.2">
      <c r="BN11478" s="192"/>
      <c r="BO11478" s="197"/>
      <c r="BP11478" s="197"/>
      <c r="BQ11478" s="197"/>
    </row>
    <row r="11479" spans="66:69" x14ac:dyDescent="0.2">
      <c r="BN11479" s="192"/>
      <c r="BO11479" s="197"/>
      <c r="BP11479" s="197"/>
      <c r="BQ11479" s="197"/>
    </row>
    <row r="11480" spans="66:69" x14ac:dyDescent="0.2">
      <c r="BN11480" s="192"/>
      <c r="BO11480" s="197"/>
      <c r="BP11480" s="197"/>
      <c r="BQ11480" s="197"/>
    </row>
    <row r="11481" spans="66:69" x14ac:dyDescent="0.2">
      <c r="BN11481" s="192"/>
      <c r="BO11481" s="197"/>
      <c r="BP11481" s="197"/>
      <c r="BQ11481" s="197"/>
    </row>
    <row r="11482" spans="66:69" x14ac:dyDescent="0.2">
      <c r="BN11482" s="192"/>
      <c r="BO11482" s="197"/>
      <c r="BP11482" s="197"/>
      <c r="BQ11482" s="197"/>
    </row>
    <row r="11483" spans="66:69" x14ac:dyDescent="0.2">
      <c r="BN11483" s="192"/>
      <c r="BO11483" s="197"/>
      <c r="BP11483" s="197"/>
      <c r="BQ11483" s="197"/>
    </row>
    <row r="11484" spans="66:69" x14ac:dyDescent="0.2">
      <c r="BN11484" s="192"/>
      <c r="BO11484" s="197"/>
      <c r="BP11484" s="197"/>
      <c r="BQ11484" s="197"/>
    </row>
    <row r="11485" spans="66:69" x14ac:dyDescent="0.2">
      <c r="BN11485" s="192"/>
      <c r="BO11485" s="197"/>
      <c r="BP11485" s="197"/>
      <c r="BQ11485" s="197"/>
    </row>
    <row r="11486" spans="66:69" x14ac:dyDescent="0.2">
      <c r="BN11486" s="192"/>
      <c r="BO11486" s="197"/>
      <c r="BP11486" s="197"/>
      <c r="BQ11486" s="197"/>
    </row>
    <row r="11487" spans="66:69" x14ac:dyDescent="0.2">
      <c r="BN11487" s="192"/>
      <c r="BO11487" s="197"/>
      <c r="BP11487" s="197"/>
      <c r="BQ11487" s="197"/>
    </row>
    <row r="11488" spans="66:69" x14ac:dyDescent="0.2">
      <c r="BN11488" s="192"/>
      <c r="BO11488" s="197"/>
      <c r="BP11488" s="197"/>
      <c r="BQ11488" s="197"/>
    </row>
    <row r="11489" spans="66:69" x14ac:dyDescent="0.2">
      <c r="BN11489" s="192"/>
      <c r="BO11489" s="197"/>
      <c r="BP11489" s="197"/>
      <c r="BQ11489" s="197"/>
    </row>
    <row r="11490" spans="66:69" x14ac:dyDescent="0.2">
      <c r="BN11490" s="192"/>
      <c r="BO11490" s="197"/>
      <c r="BP11490" s="197"/>
      <c r="BQ11490" s="197"/>
    </row>
    <row r="11491" spans="66:69" x14ac:dyDescent="0.2">
      <c r="BN11491" s="192"/>
      <c r="BO11491" s="197"/>
      <c r="BP11491" s="197"/>
      <c r="BQ11491" s="197"/>
    </row>
    <row r="11492" spans="66:69" x14ac:dyDescent="0.2">
      <c r="BN11492" s="192"/>
      <c r="BO11492" s="197"/>
      <c r="BP11492" s="197"/>
      <c r="BQ11492" s="197"/>
    </row>
    <row r="11493" spans="66:69" x14ac:dyDescent="0.2">
      <c r="BN11493" s="192"/>
      <c r="BO11493" s="197"/>
      <c r="BP11493" s="197"/>
      <c r="BQ11493" s="197"/>
    </row>
    <row r="11494" spans="66:69" x14ac:dyDescent="0.2">
      <c r="BN11494" s="192"/>
      <c r="BO11494" s="197"/>
      <c r="BP11494" s="197"/>
      <c r="BQ11494" s="197"/>
    </row>
    <row r="11495" spans="66:69" x14ac:dyDescent="0.2">
      <c r="BN11495" s="192"/>
      <c r="BO11495" s="197"/>
      <c r="BP11495" s="197"/>
      <c r="BQ11495" s="197"/>
    </row>
    <row r="11496" spans="66:69" x14ac:dyDescent="0.2">
      <c r="BN11496" s="192"/>
      <c r="BO11496" s="197"/>
      <c r="BP11496" s="197"/>
      <c r="BQ11496" s="197"/>
    </row>
    <row r="11497" spans="66:69" x14ac:dyDescent="0.2">
      <c r="BN11497" s="192"/>
      <c r="BO11497" s="197"/>
      <c r="BP11497" s="197"/>
      <c r="BQ11497" s="197"/>
    </row>
    <row r="11498" spans="66:69" x14ac:dyDescent="0.2">
      <c r="BN11498" s="192"/>
      <c r="BO11498" s="197"/>
      <c r="BP11498" s="197"/>
      <c r="BQ11498" s="197"/>
    </row>
    <row r="11499" spans="66:69" x14ac:dyDescent="0.2">
      <c r="BN11499" s="192"/>
      <c r="BO11499" s="197"/>
      <c r="BP11499" s="197"/>
      <c r="BQ11499" s="197"/>
    </row>
    <row r="11500" spans="66:69" x14ac:dyDescent="0.2">
      <c r="BN11500" s="192"/>
      <c r="BO11500" s="197"/>
      <c r="BP11500" s="197"/>
      <c r="BQ11500" s="197"/>
    </row>
    <row r="11501" spans="66:69" x14ac:dyDescent="0.2">
      <c r="BN11501" s="192"/>
      <c r="BO11501" s="197"/>
      <c r="BP11501" s="197"/>
      <c r="BQ11501" s="197"/>
    </row>
    <row r="11502" spans="66:69" x14ac:dyDescent="0.2">
      <c r="BN11502" s="192"/>
      <c r="BO11502" s="197"/>
      <c r="BP11502" s="197"/>
      <c r="BQ11502" s="197"/>
    </row>
    <row r="11503" spans="66:69" x14ac:dyDescent="0.2">
      <c r="BN11503" s="192"/>
      <c r="BO11503" s="197"/>
      <c r="BP11503" s="197"/>
      <c r="BQ11503" s="197"/>
    </row>
    <row r="11504" spans="66:69" x14ac:dyDescent="0.2">
      <c r="BN11504" s="192"/>
      <c r="BO11504" s="197"/>
      <c r="BP11504" s="197"/>
      <c r="BQ11504" s="197"/>
    </row>
    <row r="11505" spans="66:69" x14ac:dyDescent="0.2">
      <c r="BN11505" s="192"/>
      <c r="BO11505" s="197"/>
      <c r="BP11505" s="197"/>
      <c r="BQ11505" s="197"/>
    </row>
    <row r="11506" spans="66:69" x14ac:dyDescent="0.2">
      <c r="BN11506" s="192"/>
      <c r="BO11506" s="197"/>
      <c r="BP11506" s="197"/>
      <c r="BQ11506" s="197"/>
    </row>
    <row r="11507" spans="66:69" x14ac:dyDescent="0.2">
      <c r="BN11507" s="192"/>
      <c r="BO11507" s="197"/>
      <c r="BP11507" s="197"/>
      <c r="BQ11507" s="197"/>
    </row>
    <row r="11508" spans="66:69" x14ac:dyDescent="0.2">
      <c r="BN11508" s="192"/>
      <c r="BO11508" s="197"/>
      <c r="BP11508" s="197"/>
      <c r="BQ11508" s="197"/>
    </row>
    <row r="11509" spans="66:69" x14ac:dyDescent="0.2">
      <c r="BN11509" s="192"/>
      <c r="BO11509" s="197"/>
      <c r="BP11509" s="197"/>
      <c r="BQ11509" s="197"/>
    </row>
    <row r="11510" spans="66:69" x14ac:dyDescent="0.2">
      <c r="BN11510" s="192"/>
      <c r="BO11510" s="197"/>
      <c r="BP11510" s="197"/>
      <c r="BQ11510" s="197"/>
    </row>
    <row r="11511" spans="66:69" x14ac:dyDescent="0.2">
      <c r="BN11511" s="192"/>
      <c r="BO11511" s="197"/>
      <c r="BP11511" s="197"/>
      <c r="BQ11511" s="197"/>
    </row>
    <row r="11512" spans="66:69" x14ac:dyDescent="0.2">
      <c r="BN11512" s="192"/>
      <c r="BO11512" s="197"/>
      <c r="BP11512" s="197"/>
      <c r="BQ11512" s="197"/>
    </row>
    <row r="11513" spans="66:69" x14ac:dyDescent="0.2">
      <c r="BN11513" s="192"/>
      <c r="BO11513" s="197"/>
      <c r="BP11513" s="197"/>
      <c r="BQ11513" s="197"/>
    </row>
    <row r="11514" spans="66:69" x14ac:dyDescent="0.2">
      <c r="BN11514" s="192"/>
      <c r="BO11514" s="197"/>
      <c r="BP11514" s="197"/>
      <c r="BQ11514" s="197"/>
    </row>
    <row r="11515" spans="66:69" x14ac:dyDescent="0.2">
      <c r="BN11515" s="192"/>
      <c r="BO11515" s="197"/>
      <c r="BP11515" s="197"/>
      <c r="BQ11515" s="197"/>
    </row>
    <row r="11516" spans="66:69" x14ac:dyDescent="0.2">
      <c r="BN11516" s="192"/>
      <c r="BO11516" s="197"/>
      <c r="BP11516" s="197"/>
      <c r="BQ11516" s="197"/>
    </row>
    <row r="11517" spans="66:69" x14ac:dyDescent="0.2">
      <c r="BN11517" s="192"/>
      <c r="BO11517" s="197"/>
      <c r="BP11517" s="197"/>
      <c r="BQ11517" s="197"/>
    </row>
    <row r="11518" spans="66:69" x14ac:dyDescent="0.2">
      <c r="BN11518" s="192"/>
      <c r="BO11518" s="197"/>
      <c r="BP11518" s="197"/>
      <c r="BQ11518" s="197"/>
    </row>
    <row r="11519" spans="66:69" x14ac:dyDescent="0.2">
      <c r="BN11519" s="192"/>
      <c r="BO11519" s="197"/>
      <c r="BP11519" s="197"/>
      <c r="BQ11519" s="197"/>
    </row>
    <row r="11520" spans="66:69" x14ac:dyDescent="0.2">
      <c r="BN11520" s="192"/>
      <c r="BO11520" s="197"/>
      <c r="BP11520" s="197"/>
      <c r="BQ11520" s="197"/>
    </row>
    <row r="11521" spans="66:69" x14ac:dyDescent="0.2">
      <c r="BN11521" s="192"/>
      <c r="BO11521" s="197"/>
      <c r="BP11521" s="197"/>
      <c r="BQ11521" s="197"/>
    </row>
    <row r="11522" spans="66:69" x14ac:dyDescent="0.2">
      <c r="BN11522" s="192"/>
      <c r="BO11522" s="197"/>
      <c r="BP11522" s="197"/>
      <c r="BQ11522" s="197"/>
    </row>
    <row r="11523" spans="66:69" x14ac:dyDescent="0.2">
      <c r="BN11523" s="192"/>
      <c r="BO11523" s="197"/>
      <c r="BP11523" s="197"/>
      <c r="BQ11523" s="197"/>
    </row>
    <row r="11524" spans="66:69" x14ac:dyDescent="0.2">
      <c r="BN11524" s="192"/>
      <c r="BO11524" s="197"/>
      <c r="BP11524" s="197"/>
      <c r="BQ11524" s="197"/>
    </row>
    <row r="11525" spans="66:69" x14ac:dyDescent="0.2">
      <c r="BN11525" s="192"/>
      <c r="BO11525" s="197"/>
      <c r="BP11525" s="197"/>
      <c r="BQ11525" s="197"/>
    </row>
    <row r="11526" spans="66:69" x14ac:dyDescent="0.2">
      <c r="BN11526" s="192"/>
      <c r="BO11526" s="197"/>
      <c r="BP11526" s="197"/>
      <c r="BQ11526" s="197"/>
    </row>
    <row r="11527" spans="66:69" x14ac:dyDescent="0.2">
      <c r="BN11527" s="192"/>
      <c r="BO11527" s="197"/>
      <c r="BP11527" s="197"/>
      <c r="BQ11527" s="197"/>
    </row>
    <row r="11528" spans="66:69" x14ac:dyDescent="0.2">
      <c r="BN11528" s="192"/>
      <c r="BO11528" s="197"/>
      <c r="BP11528" s="197"/>
      <c r="BQ11528" s="197"/>
    </row>
    <row r="11529" spans="66:69" x14ac:dyDescent="0.2">
      <c r="BN11529" s="192"/>
      <c r="BO11529" s="197"/>
      <c r="BP11529" s="197"/>
      <c r="BQ11529" s="197"/>
    </row>
    <row r="11530" spans="66:69" x14ac:dyDescent="0.2">
      <c r="BN11530" s="192"/>
      <c r="BO11530" s="197"/>
      <c r="BP11530" s="197"/>
      <c r="BQ11530" s="197"/>
    </row>
    <row r="11531" spans="66:69" x14ac:dyDescent="0.2">
      <c r="BN11531" s="192"/>
      <c r="BO11531" s="197"/>
      <c r="BP11531" s="197"/>
      <c r="BQ11531" s="197"/>
    </row>
    <row r="11532" spans="66:69" x14ac:dyDescent="0.2">
      <c r="BN11532" s="192"/>
      <c r="BO11532" s="197"/>
      <c r="BP11532" s="197"/>
      <c r="BQ11532" s="197"/>
    </row>
    <row r="11533" spans="66:69" x14ac:dyDescent="0.2">
      <c r="BN11533" s="192"/>
      <c r="BO11533" s="197"/>
      <c r="BP11533" s="197"/>
      <c r="BQ11533" s="197"/>
    </row>
    <row r="11534" spans="66:69" x14ac:dyDescent="0.2">
      <c r="BN11534" s="192"/>
      <c r="BO11534" s="197"/>
      <c r="BP11534" s="197"/>
      <c r="BQ11534" s="197"/>
    </row>
    <row r="11535" spans="66:69" x14ac:dyDescent="0.2">
      <c r="BN11535" s="192"/>
      <c r="BO11535" s="197"/>
      <c r="BP11535" s="197"/>
      <c r="BQ11535" s="197"/>
    </row>
    <row r="11536" spans="66:69" x14ac:dyDescent="0.2">
      <c r="BN11536" s="192"/>
      <c r="BO11536" s="197"/>
      <c r="BP11536" s="197"/>
      <c r="BQ11536" s="197"/>
    </row>
    <row r="11537" spans="66:69" x14ac:dyDescent="0.2">
      <c r="BN11537" s="192"/>
      <c r="BO11537" s="197"/>
      <c r="BP11537" s="197"/>
      <c r="BQ11537" s="197"/>
    </row>
    <row r="11538" spans="66:69" x14ac:dyDescent="0.2">
      <c r="BN11538" s="192"/>
      <c r="BO11538" s="197"/>
      <c r="BP11538" s="197"/>
      <c r="BQ11538" s="197"/>
    </row>
    <row r="11539" spans="66:69" x14ac:dyDescent="0.2">
      <c r="BN11539" s="192"/>
      <c r="BO11539" s="197"/>
      <c r="BP11539" s="197"/>
      <c r="BQ11539" s="197"/>
    </row>
    <row r="11540" spans="66:69" x14ac:dyDescent="0.2">
      <c r="BN11540" s="192"/>
      <c r="BO11540" s="197"/>
      <c r="BP11540" s="197"/>
      <c r="BQ11540" s="197"/>
    </row>
    <row r="11541" spans="66:69" x14ac:dyDescent="0.2">
      <c r="BN11541" s="192"/>
      <c r="BO11541" s="197"/>
      <c r="BP11541" s="197"/>
      <c r="BQ11541" s="197"/>
    </row>
    <row r="11542" spans="66:69" x14ac:dyDescent="0.2">
      <c r="BN11542" s="192"/>
      <c r="BO11542" s="197"/>
      <c r="BP11542" s="197"/>
      <c r="BQ11542" s="197"/>
    </row>
    <row r="11543" spans="66:69" x14ac:dyDescent="0.2">
      <c r="BN11543" s="192"/>
      <c r="BO11543" s="197"/>
      <c r="BP11543" s="197"/>
      <c r="BQ11543" s="197"/>
    </row>
    <row r="11544" spans="66:69" x14ac:dyDescent="0.2">
      <c r="BN11544" s="192"/>
      <c r="BO11544" s="197"/>
      <c r="BP11544" s="197"/>
      <c r="BQ11544" s="197"/>
    </row>
    <row r="11545" spans="66:69" x14ac:dyDescent="0.2">
      <c r="BN11545" s="192"/>
      <c r="BO11545" s="197"/>
      <c r="BP11545" s="197"/>
      <c r="BQ11545" s="197"/>
    </row>
    <row r="11546" spans="66:69" x14ac:dyDescent="0.2">
      <c r="BN11546" s="192"/>
      <c r="BO11546" s="197"/>
      <c r="BP11546" s="197"/>
      <c r="BQ11546" s="197"/>
    </row>
    <row r="11547" spans="66:69" x14ac:dyDescent="0.2">
      <c r="BN11547" s="192"/>
      <c r="BO11547" s="197"/>
      <c r="BP11547" s="197"/>
      <c r="BQ11547" s="197"/>
    </row>
    <row r="11548" spans="66:69" x14ac:dyDescent="0.2">
      <c r="BN11548" s="192"/>
      <c r="BO11548" s="197"/>
      <c r="BP11548" s="197"/>
      <c r="BQ11548" s="197"/>
    </row>
    <row r="11549" spans="66:69" x14ac:dyDescent="0.2">
      <c r="BN11549" s="192"/>
      <c r="BO11549" s="197"/>
      <c r="BP11549" s="197"/>
      <c r="BQ11549" s="197"/>
    </row>
    <row r="11550" spans="66:69" x14ac:dyDescent="0.2">
      <c r="BN11550" s="192"/>
      <c r="BO11550" s="197"/>
      <c r="BP11550" s="197"/>
      <c r="BQ11550" s="197"/>
    </row>
    <row r="11551" spans="66:69" x14ac:dyDescent="0.2">
      <c r="BN11551" s="192"/>
      <c r="BO11551" s="197"/>
      <c r="BP11551" s="197"/>
      <c r="BQ11551" s="197"/>
    </row>
    <row r="11552" spans="66:69" x14ac:dyDescent="0.2">
      <c r="BN11552" s="192"/>
      <c r="BO11552" s="197"/>
      <c r="BP11552" s="197"/>
      <c r="BQ11552" s="197"/>
    </row>
    <row r="11553" spans="66:69" x14ac:dyDescent="0.2">
      <c r="BN11553" s="192"/>
      <c r="BO11553" s="197"/>
      <c r="BP11553" s="197"/>
      <c r="BQ11553" s="197"/>
    </row>
    <row r="11554" spans="66:69" x14ac:dyDescent="0.2">
      <c r="BN11554" s="192"/>
      <c r="BO11554" s="197"/>
      <c r="BP11554" s="197"/>
      <c r="BQ11554" s="197"/>
    </row>
    <row r="11555" spans="66:69" x14ac:dyDescent="0.2">
      <c r="BN11555" s="192"/>
      <c r="BO11555" s="197"/>
      <c r="BP11555" s="197"/>
      <c r="BQ11555" s="197"/>
    </row>
    <row r="11556" spans="66:69" x14ac:dyDescent="0.2">
      <c r="BN11556" s="192"/>
      <c r="BO11556" s="197"/>
      <c r="BP11556" s="197"/>
      <c r="BQ11556" s="197"/>
    </row>
    <row r="11557" spans="66:69" x14ac:dyDescent="0.2">
      <c r="BN11557" s="192"/>
      <c r="BO11557" s="197"/>
      <c r="BP11557" s="197"/>
      <c r="BQ11557" s="197"/>
    </row>
    <row r="11558" spans="66:69" x14ac:dyDescent="0.2">
      <c r="BN11558" s="192"/>
      <c r="BO11558" s="197"/>
      <c r="BP11558" s="197"/>
      <c r="BQ11558" s="197"/>
    </row>
    <row r="11559" spans="66:69" x14ac:dyDescent="0.2">
      <c r="BN11559" s="192"/>
      <c r="BO11559" s="197"/>
      <c r="BP11559" s="197"/>
      <c r="BQ11559" s="197"/>
    </row>
    <row r="11560" spans="66:69" x14ac:dyDescent="0.2">
      <c r="BN11560" s="192"/>
      <c r="BO11560" s="197"/>
      <c r="BP11560" s="197"/>
      <c r="BQ11560" s="197"/>
    </row>
    <row r="11561" spans="66:69" x14ac:dyDescent="0.2">
      <c r="BN11561" s="192"/>
      <c r="BO11561" s="197"/>
      <c r="BP11561" s="197"/>
      <c r="BQ11561" s="197"/>
    </row>
    <row r="11562" spans="66:69" x14ac:dyDescent="0.2">
      <c r="BN11562" s="192"/>
      <c r="BO11562" s="197"/>
      <c r="BP11562" s="197"/>
      <c r="BQ11562" s="197"/>
    </row>
    <row r="11563" spans="66:69" x14ac:dyDescent="0.2">
      <c r="BN11563" s="192"/>
      <c r="BO11563" s="197"/>
      <c r="BP11563" s="197"/>
      <c r="BQ11563" s="197"/>
    </row>
    <row r="11564" spans="66:69" x14ac:dyDescent="0.2">
      <c r="BN11564" s="192"/>
      <c r="BO11564" s="197"/>
      <c r="BP11564" s="197"/>
      <c r="BQ11564" s="197"/>
    </row>
    <row r="11565" spans="66:69" x14ac:dyDescent="0.2">
      <c r="BN11565" s="192"/>
      <c r="BO11565" s="197"/>
      <c r="BP11565" s="197"/>
      <c r="BQ11565" s="197"/>
    </row>
    <row r="11566" spans="66:69" x14ac:dyDescent="0.2">
      <c r="BN11566" s="192"/>
      <c r="BO11566" s="197"/>
      <c r="BP11566" s="197"/>
      <c r="BQ11566" s="197"/>
    </row>
    <row r="11567" spans="66:69" x14ac:dyDescent="0.2">
      <c r="BN11567" s="192"/>
      <c r="BO11567" s="197"/>
      <c r="BP11567" s="197"/>
      <c r="BQ11567" s="197"/>
    </row>
    <row r="11568" spans="66:69" x14ac:dyDescent="0.2">
      <c r="BN11568" s="192"/>
      <c r="BO11568" s="197"/>
      <c r="BP11568" s="197"/>
      <c r="BQ11568" s="197"/>
    </row>
    <row r="11569" spans="66:69" x14ac:dyDescent="0.2">
      <c r="BN11569" s="192"/>
      <c r="BO11569" s="197"/>
      <c r="BP11569" s="197"/>
      <c r="BQ11569" s="197"/>
    </row>
    <row r="11570" spans="66:69" x14ac:dyDescent="0.2">
      <c r="BN11570" s="192"/>
      <c r="BO11570" s="197"/>
      <c r="BP11570" s="197"/>
      <c r="BQ11570" s="197"/>
    </row>
    <row r="11571" spans="66:69" x14ac:dyDescent="0.2">
      <c r="BN11571" s="192"/>
      <c r="BO11571" s="197"/>
      <c r="BP11571" s="197"/>
      <c r="BQ11571" s="197"/>
    </row>
    <row r="11572" spans="66:69" x14ac:dyDescent="0.2">
      <c r="BN11572" s="192"/>
      <c r="BO11572" s="197"/>
      <c r="BP11572" s="197"/>
      <c r="BQ11572" s="197"/>
    </row>
    <row r="11573" spans="66:69" x14ac:dyDescent="0.2">
      <c r="BN11573" s="192"/>
      <c r="BO11573" s="197"/>
      <c r="BP11573" s="197"/>
      <c r="BQ11573" s="197"/>
    </row>
    <row r="11574" spans="66:69" x14ac:dyDescent="0.2">
      <c r="BN11574" s="192"/>
      <c r="BO11574" s="197"/>
      <c r="BP11574" s="197"/>
      <c r="BQ11574" s="197"/>
    </row>
    <row r="11575" spans="66:69" x14ac:dyDescent="0.2">
      <c r="BN11575" s="192"/>
      <c r="BO11575" s="197"/>
      <c r="BP11575" s="197"/>
      <c r="BQ11575" s="197"/>
    </row>
    <row r="11576" spans="66:69" x14ac:dyDescent="0.2">
      <c r="BN11576" s="192"/>
      <c r="BO11576" s="197"/>
      <c r="BP11576" s="197"/>
      <c r="BQ11576" s="197"/>
    </row>
    <row r="11577" spans="66:69" x14ac:dyDescent="0.2">
      <c r="BN11577" s="192"/>
      <c r="BO11577" s="197"/>
      <c r="BP11577" s="197"/>
      <c r="BQ11577" s="197"/>
    </row>
    <row r="11578" spans="66:69" x14ac:dyDescent="0.2">
      <c r="BN11578" s="192"/>
      <c r="BO11578" s="197"/>
      <c r="BP11578" s="197"/>
      <c r="BQ11578" s="197"/>
    </row>
    <row r="11579" spans="66:69" x14ac:dyDescent="0.2">
      <c r="BN11579" s="192"/>
      <c r="BO11579" s="197"/>
      <c r="BP11579" s="197"/>
      <c r="BQ11579" s="197"/>
    </row>
    <row r="11580" spans="66:69" x14ac:dyDescent="0.2">
      <c r="BN11580" s="192"/>
      <c r="BO11580" s="197"/>
      <c r="BP11580" s="197"/>
      <c r="BQ11580" s="197"/>
    </row>
    <row r="11581" spans="66:69" x14ac:dyDescent="0.2">
      <c r="BN11581" s="192"/>
      <c r="BO11581" s="197"/>
      <c r="BP11581" s="197"/>
      <c r="BQ11581" s="197"/>
    </row>
    <row r="11582" spans="66:69" x14ac:dyDescent="0.2">
      <c r="BN11582" s="192"/>
      <c r="BO11582" s="197"/>
      <c r="BP11582" s="197"/>
      <c r="BQ11582" s="197"/>
    </row>
    <row r="11583" spans="66:69" x14ac:dyDescent="0.2">
      <c r="BN11583" s="192"/>
      <c r="BO11583" s="197"/>
      <c r="BP11583" s="197"/>
      <c r="BQ11583" s="197"/>
    </row>
    <row r="11584" spans="66:69" x14ac:dyDescent="0.2">
      <c r="BN11584" s="192"/>
      <c r="BO11584" s="197"/>
      <c r="BP11584" s="197"/>
      <c r="BQ11584" s="197"/>
    </row>
    <row r="11585" spans="66:69" x14ac:dyDescent="0.2">
      <c r="BN11585" s="192"/>
      <c r="BO11585" s="197"/>
      <c r="BP11585" s="197"/>
      <c r="BQ11585" s="197"/>
    </row>
    <row r="11586" spans="66:69" x14ac:dyDescent="0.2">
      <c r="BN11586" s="192"/>
      <c r="BO11586" s="197"/>
      <c r="BP11586" s="197"/>
      <c r="BQ11586" s="197"/>
    </row>
    <row r="11587" spans="66:69" x14ac:dyDescent="0.2">
      <c r="BN11587" s="192"/>
      <c r="BO11587" s="197"/>
      <c r="BP11587" s="197"/>
      <c r="BQ11587" s="197"/>
    </row>
    <row r="11588" spans="66:69" x14ac:dyDescent="0.2">
      <c r="BN11588" s="192"/>
      <c r="BO11588" s="197"/>
      <c r="BP11588" s="197"/>
      <c r="BQ11588" s="197"/>
    </row>
    <row r="11589" spans="66:69" x14ac:dyDescent="0.2">
      <c r="BN11589" s="192"/>
      <c r="BO11589" s="197"/>
      <c r="BP11589" s="197"/>
      <c r="BQ11589" s="197"/>
    </row>
    <row r="11590" spans="66:69" x14ac:dyDescent="0.2">
      <c r="BN11590" s="192"/>
      <c r="BO11590" s="197"/>
      <c r="BP11590" s="197"/>
      <c r="BQ11590" s="197"/>
    </row>
    <row r="11591" spans="66:69" x14ac:dyDescent="0.2">
      <c r="BN11591" s="192"/>
      <c r="BO11591" s="197"/>
      <c r="BP11591" s="197"/>
      <c r="BQ11591" s="197"/>
    </row>
    <row r="11592" spans="66:69" x14ac:dyDescent="0.2">
      <c r="BN11592" s="192"/>
      <c r="BO11592" s="197"/>
      <c r="BP11592" s="197"/>
      <c r="BQ11592" s="197"/>
    </row>
    <row r="11593" spans="66:69" x14ac:dyDescent="0.2">
      <c r="BN11593" s="192"/>
      <c r="BO11593" s="197"/>
      <c r="BP11593" s="197"/>
      <c r="BQ11593" s="197"/>
    </row>
    <row r="11594" spans="66:69" x14ac:dyDescent="0.2">
      <c r="BN11594" s="192"/>
      <c r="BO11594" s="197"/>
      <c r="BP11594" s="197"/>
      <c r="BQ11594" s="197"/>
    </row>
    <row r="11595" spans="66:69" x14ac:dyDescent="0.2">
      <c r="BN11595" s="192"/>
      <c r="BO11595" s="197"/>
      <c r="BP11595" s="197"/>
      <c r="BQ11595" s="197"/>
    </row>
    <row r="11596" spans="66:69" x14ac:dyDescent="0.2">
      <c r="BN11596" s="192"/>
      <c r="BO11596" s="197"/>
      <c r="BP11596" s="197"/>
      <c r="BQ11596" s="197"/>
    </row>
    <row r="11597" spans="66:69" x14ac:dyDescent="0.2">
      <c r="BN11597" s="192"/>
      <c r="BO11597" s="197"/>
      <c r="BP11597" s="197"/>
      <c r="BQ11597" s="197"/>
    </row>
    <row r="11598" spans="66:69" x14ac:dyDescent="0.2">
      <c r="BN11598" s="192"/>
      <c r="BO11598" s="197"/>
      <c r="BP11598" s="197"/>
      <c r="BQ11598" s="197"/>
    </row>
    <row r="11599" spans="66:69" x14ac:dyDescent="0.2">
      <c r="BN11599" s="192"/>
      <c r="BO11599" s="197"/>
      <c r="BP11599" s="197"/>
      <c r="BQ11599" s="197"/>
    </row>
    <row r="11600" spans="66:69" x14ac:dyDescent="0.2">
      <c r="BN11600" s="192"/>
      <c r="BO11600" s="197"/>
      <c r="BP11600" s="197"/>
      <c r="BQ11600" s="197"/>
    </row>
    <row r="11601" spans="66:69" x14ac:dyDescent="0.2">
      <c r="BN11601" s="192"/>
      <c r="BO11601" s="197"/>
      <c r="BP11601" s="197"/>
      <c r="BQ11601" s="197"/>
    </row>
    <row r="11602" spans="66:69" x14ac:dyDescent="0.2">
      <c r="BN11602" s="192"/>
      <c r="BO11602" s="197"/>
      <c r="BP11602" s="197"/>
      <c r="BQ11602" s="197"/>
    </row>
    <row r="11603" spans="66:69" x14ac:dyDescent="0.2">
      <c r="BN11603" s="192"/>
      <c r="BO11603" s="197"/>
      <c r="BP11603" s="197"/>
      <c r="BQ11603" s="197"/>
    </row>
    <row r="11604" spans="66:69" x14ac:dyDescent="0.2">
      <c r="BN11604" s="192"/>
      <c r="BO11604" s="197"/>
      <c r="BP11604" s="197"/>
      <c r="BQ11604" s="197"/>
    </row>
    <row r="11605" spans="66:69" x14ac:dyDescent="0.2">
      <c r="BN11605" s="192"/>
      <c r="BO11605" s="197"/>
      <c r="BP11605" s="197"/>
      <c r="BQ11605" s="197"/>
    </row>
    <row r="11606" spans="66:69" x14ac:dyDescent="0.2">
      <c r="BN11606" s="192"/>
      <c r="BO11606" s="197"/>
      <c r="BP11606" s="197"/>
      <c r="BQ11606" s="197"/>
    </row>
    <row r="11607" spans="66:69" x14ac:dyDescent="0.2">
      <c r="BN11607" s="192"/>
      <c r="BO11607" s="197"/>
      <c r="BP11607" s="197"/>
      <c r="BQ11607" s="197"/>
    </row>
    <row r="11608" spans="66:69" x14ac:dyDescent="0.2">
      <c r="BN11608" s="192"/>
      <c r="BO11608" s="197"/>
      <c r="BP11608" s="197"/>
      <c r="BQ11608" s="197"/>
    </row>
    <row r="11609" spans="66:69" x14ac:dyDescent="0.2">
      <c r="BN11609" s="192"/>
      <c r="BO11609" s="197"/>
      <c r="BP11609" s="197"/>
      <c r="BQ11609" s="197"/>
    </row>
    <row r="11610" spans="66:69" x14ac:dyDescent="0.2">
      <c r="BN11610" s="192"/>
      <c r="BO11610" s="197"/>
      <c r="BP11610" s="197"/>
      <c r="BQ11610" s="197"/>
    </row>
    <row r="11611" spans="66:69" x14ac:dyDescent="0.2">
      <c r="BN11611" s="192"/>
      <c r="BO11611" s="197"/>
      <c r="BP11611" s="197"/>
      <c r="BQ11611" s="197"/>
    </row>
    <row r="11612" spans="66:69" x14ac:dyDescent="0.2">
      <c r="BN11612" s="192"/>
      <c r="BO11612" s="197"/>
      <c r="BP11612" s="197"/>
      <c r="BQ11612" s="197"/>
    </row>
    <row r="11613" spans="66:69" x14ac:dyDescent="0.2">
      <c r="BN11613" s="192"/>
      <c r="BO11613" s="197"/>
      <c r="BP11613" s="197"/>
      <c r="BQ11613" s="197"/>
    </row>
    <row r="11614" spans="66:69" x14ac:dyDescent="0.2">
      <c r="BN11614" s="192"/>
      <c r="BO11614" s="197"/>
      <c r="BP11614" s="197"/>
      <c r="BQ11614" s="197"/>
    </row>
    <row r="11615" spans="66:69" x14ac:dyDescent="0.2">
      <c r="BN11615" s="192"/>
      <c r="BO11615" s="197"/>
      <c r="BP11615" s="197"/>
      <c r="BQ11615" s="197"/>
    </row>
    <row r="11616" spans="66:69" x14ac:dyDescent="0.2">
      <c r="BN11616" s="192"/>
      <c r="BO11616" s="197"/>
      <c r="BP11616" s="197"/>
      <c r="BQ11616" s="197"/>
    </row>
    <row r="11617" spans="66:69" x14ac:dyDescent="0.2">
      <c r="BN11617" s="192"/>
      <c r="BO11617" s="197"/>
      <c r="BP11617" s="197"/>
      <c r="BQ11617" s="197"/>
    </row>
    <row r="11618" spans="66:69" x14ac:dyDescent="0.2">
      <c r="BN11618" s="192"/>
      <c r="BO11618" s="197"/>
      <c r="BP11618" s="197"/>
      <c r="BQ11618" s="197"/>
    </row>
    <row r="11619" spans="66:69" x14ac:dyDescent="0.2">
      <c r="BN11619" s="192"/>
      <c r="BO11619" s="197"/>
      <c r="BP11619" s="197"/>
      <c r="BQ11619" s="197"/>
    </row>
    <row r="11620" spans="66:69" x14ac:dyDescent="0.2">
      <c r="BN11620" s="192"/>
      <c r="BO11620" s="197"/>
      <c r="BP11620" s="197"/>
      <c r="BQ11620" s="197"/>
    </row>
    <row r="11621" spans="66:69" x14ac:dyDescent="0.2">
      <c r="BN11621" s="192"/>
      <c r="BO11621" s="197"/>
      <c r="BP11621" s="197"/>
      <c r="BQ11621" s="197"/>
    </row>
    <row r="11622" spans="66:69" x14ac:dyDescent="0.2">
      <c r="BN11622" s="192"/>
      <c r="BO11622" s="197"/>
      <c r="BP11622" s="197"/>
      <c r="BQ11622" s="197"/>
    </row>
    <row r="11623" spans="66:69" x14ac:dyDescent="0.2">
      <c r="BN11623" s="192"/>
      <c r="BO11623" s="197"/>
      <c r="BP11623" s="197"/>
      <c r="BQ11623" s="197"/>
    </row>
    <row r="11624" spans="66:69" x14ac:dyDescent="0.2">
      <c r="BN11624" s="192"/>
      <c r="BO11624" s="197"/>
      <c r="BP11624" s="197"/>
      <c r="BQ11624" s="197"/>
    </row>
    <row r="11625" spans="66:69" x14ac:dyDescent="0.2">
      <c r="BN11625" s="192"/>
      <c r="BO11625" s="197"/>
      <c r="BP11625" s="197"/>
      <c r="BQ11625" s="197"/>
    </row>
    <row r="11626" spans="66:69" x14ac:dyDescent="0.2">
      <c r="BN11626" s="192"/>
      <c r="BO11626" s="197"/>
      <c r="BP11626" s="197"/>
      <c r="BQ11626" s="197"/>
    </row>
    <row r="11627" spans="66:69" x14ac:dyDescent="0.2">
      <c r="BN11627" s="192"/>
      <c r="BO11627" s="197"/>
      <c r="BP11627" s="197"/>
      <c r="BQ11627" s="197"/>
    </row>
    <row r="11628" spans="66:69" x14ac:dyDescent="0.2">
      <c r="BN11628" s="192"/>
      <c r="BO11628" s="197"/>
      <c r="BP11628" s="197"/>
      <c r="BQ11628" s="197"/>
    </row>
    <row r="11629" spans="66:69" x14ac:dyDescent="0.2">
      <c r="BN11629" s="192"/>
      <c r="BO11629" s="197"/>
      <c r="BP11629" s="197"/>
      <c r="BQ11629" s="197"/>
    </row>
    <row r="11630" spans="66:69" x14ac:dyDescent="0.2">
      <c r="BN11630" s="192"/>
      <c r="BO11630" s="197"/>
      <c r="BP11630" s="197"/>
      <c r="BQ11630" s="197"/>
    </row>
    <row r="11631" spans="66:69" x14ac:dyDescent="0.2">
      <c r="BN11631" s="192"/>
      <c r="BO11631" s="197"/>
      <c r="BP11631" s="197"/>
      <c r="BQ11631" s="197"/>
    </row>
    <row r="11632" spans="66:69" x14ac:dyDescent="0.2">
      <c r="BN11632" s="192"/>
      <c r="BO11632" s="197"/>
      <c r="BP11632" s="197"/>
      <c r="BQ11632" s="197"/>
    </row>
    <row r="11633" spans="66:69" x14ac:dyDescent="0.2">
      <c r="BN11633" s="192"/>
      <c r="BO11633" s="197"/>
      <c r="BP11633" s="197"/>
      <c r="BQ11633" s="197"/>
    </row>
    <row r="11634" spans="66:69" x14ac:dyDescent="0.2">
      <c r="BN11634" s="192"/>
      <c r="BO11634" s="197"/>
      <c r="BP11634" s="197"/>
      <c r="BQ11634" s="197"/>
    </row>
    <row r="11635" spans="66:69" x14ac:dyDescent="0.2">
      <c r="BN11635" s="192"/>
      <c r="BO11635" s="197"/>
      <c r="BP11635" s="197"/>
      <c r="BQ11635" s="197"/>
    </row>
    <row r="11636" spans="66:69" x14ac:dyDescent="0.2">
      <c r="BN11636" s="192"/>
      <c r="BO11636" s="197"/>
      <c r="BP11636" s="197"/>
      <c r="BQ11636" s="197"/>
    </row>
    <row r="11637" spans="66:69" x14ac:dyDescent="0.2">
      <c r="BN11637" s="192"/>
      <c r="BO11637" s="197"/>
      <c r="BP11637" s="197"/>
      <c r="BQ11637" s="197"/>
    </row>
    <row r="11638" spans="66:69" x14ac:dyDescent="0.2">
      <c r="BN11638" s="192"/>
      <c r="BO11638" s="197"/>
      <c r="BP11638" s="197"/>
      <c r="BQ11638" s="197"/>
    </row>
    <row r="11639" spans="66:69" x14ac:dyDescent="0.2">
      <c r="BN11639" s="192"/>
      <c r="BO11639" s="197"/>
      <c r="BP11639" s="197"/>
      <c r="BQ11639" s="197"/>
    </row>
    <row r="11640" spans="66:69" x14ac:dyDescent="0.2">
      <c r="BN11640" s="192"/>
      <c r="BO11640" s="197"/>
      <c r="BP11640" s="197"/>
      <c r="BQ11640" s="197"/>
    </row>
    <row r="11641" spans="66:69" x14ac:dyDescent="0.2">
      <c r="BN11641" s="192"/>
      <c r="BO11641" s="197"/>
      <c r="BP11641" s="197"/>
      <c r="BQ11641" s="197"/>
    </row>
    <row r="11642" spans="66:69" x14ac:dyDescent="0.2">
      <c r="BN11642" s="192"/>
      <c r="BO11642" s="197"/>
      <c r="BP11642" s="197"/>
      <c r="BQ11642" s="197"/>
    </row>
    <row r="11643" spans="66:69" x14ac:dyDescent="0.2">
      <c r="BN11643" s="192"/>
      <c r="BO11643" s="197"/>
      <c r="BP11643" s="197"/>
      <c r="BQ11643" s="197"/>
    </row>
    <row r="11644" spans="66:69" x14ac:dyDescent="0.2">
      <c r="BN11644" s="192"/>
      <c r="BO11644" s="197"/>
      <c r="BP11644" s="197"/>
      <c r="BQ11644" s="197"/>
    </row>
    <row r="11645" spans="66:69" x14ac:dyDescent="0.2">
      <c r="BN11645" s="192"/>
      <c r="BO11645" s="197"/>
      <c r="BP11645" s="197"/>
      <c r="BQ11645" s="197"/>
    </row>
    <row r="11646" spans="66:69" x14ac:dyDescent="0.2">
      <c r="BN11646" s="192"/>
      <c r="BO11646" s="197"/>
      <c r="BP11646" s="197"/>
      <c r="BQ11646" s="197"/>
    </row>
    <row r="11647" spans="66:69" x14ac:dyDescent="0.2">
      <c r="BN11647" s="192"/>
      <c r="BO11647" s="197"/>
      <c r="BP11647" s="197"/>
      <c r="BQ11647" s="197"/>
    </row>
    <row r="11648" spans="66:69" x14ac:dyDescent="0.2">
      <c r="BN11648" s="192"/>
      <c r="BO11648" s="197"/>
      <c r="BP11648" s="197"/>
      <c r="BQ11648" s="197"/>
    </row>
    <row r="11649" spans="66:69" x14ac:dyDescent="0.2">
      <c r="BN11649" s="192"/>
      <c r="BO11649" s="197"/>
      <c r="BP11649" s="197"/>
      <c r="BQ11649" s="197"/>
    </row>
    <row r="11650" spans="66:69" x14ac:dyDescent="0.2">
      <c r="BN11650" s="192"/>
      <c r="BO11650" s="197"/>
      <c r="BP11650" s="197"/>
      <c r="BQ11650" s="197"/>
    </row>
    <row r="11651" spans="66:69" x14ac:dyDescent="0.2">
      <c r="BN11651" s="192"/>
      <c r="BO11651" s="197"/>
      <c r="BP11651" s="197"/>
      <c r="BQ11651" s="197"/>
    </row>
    <row r="11652" spans="66:69" x14ac:dyDescent="0.2">
      <c r="BN11652" s="192"/>
      <c r="BO11652" s="197"/>
      <c r="BP11652" s="197"/>
      <c r="BQ11652" s="197"/>
    </row>
    <row r="11653" spans="66:69" x14ac:dyDescent="0.2">
      <c r="BN11653" s="192"/>
      <c r="BO11653" s="197"/>
      <c r="BP11653" s="197"/>
      <c r="BQ11653" s="197"/>
    </row>
    <row r="11654" spans="66:69" x14ac:dyDescent="0.2">
      <c r="BN11654" s="192"/>
      <c r="BO11654" s="197"/>
      <c r="BP11654" s="197"/>
      <c r="BQ11654" s="197"/>
    </row>
    <row r="11655" spans="66:69" x14ac:dyDescent="0.2">
      <c r="BN11655" s="192"/>
      <c r="BO11655" s="197"/>
      <c r="BP11655" s="197"/>
      <c r="BQ11655" s="197"/>
    </row>
    <row r="11656" spans="66:69" x14ac:dyDescent="0.2">
      <c r="BN11656" s="192"/>
      <c r="BO11656" s="197"/>
      <c r="BP11656" s="197"/>
      <c r="BQ11656" s="197"/>
    </row>
    <row r="11657" spans="66:69" x14ac:dyDescent="0.2">
      <c r="BN11657" s="192"/>
      <c r="BO11657" s="197"/>
      <c r="BP11657" s="197"/>
      <c r="BQ11657" s="197"/>
    </row>
    <row r="11658" spans="66:69" x14ac:dyDescent="0.2">
      <c r="BN11658" s="192"/>
      <c r="BO11658" s="197"/>
      <c r="BP11658" s="197"/>
      <c r="BQ11658" s="197"/>
    </row>
    <row r="11659" spans="66:69" x14ac:dyDescent="0.2">
      <c r="BN11659" s="192"/>
      <c r="BO11659" s="197"/>
      <c r="BP11659" s="197"/>
      <c r="BQ11659" s="197"/>
    </row>
    <row r="11660" spans="66:69" x14ac:dyDescent="0.2">
      <c r="BN11660" s="192"/>
      <c r="BO11660" s="197"/>
      <c r="BP11660" s="197"/>
      <c r="BQ11660" s="197"/>
    </row>
    <row r="11661" spans="66:69" x14ac:dyDescent="0.2">
      <c r="BN11661" s="192"/>
      <c r="BO11661" s="197"/>
      <c r="BP11661" s="197"/>
      <c r="BQ11661" s="197"/>
    </row>
    <row r="11662" spans="66:69" x14ac:dyDescent="0.2">
      <c r="BN11662" s="192"/>
      <c r="BO11662" s="197"/>
      <c r="BP11662" s="197"/>
      <c r="BQ11662" s="197"/>
    </row>
    <row r="11663" spans="66:69" x14ac:dyDescent="0.2">
      <c r="BN11663" s="192"/>
      <c r="BO11663" s="197"/>
      <c r="BP11663" s="197"/>
      <c r="BQ11663" s="197"/>
    </row>
    <row r="11664" spans="66:69" x14ac:dyDescent="0.2">
      <c r="BN11664" s="192"/>
      <c r="BO11664" s="197"/>
      <c r="BP11664" s="197"/>
      <c r="BQ11664" s="197"/>
    </row>
    <row r="11665" spans="66:69" x14ac:dyDescent="0.2">
      <c r="BN11665" s="192"/>
      <c r="BO11665" s="197"/>
      <c r="BP11665" s="197"/>
      <c r="BQ11665" s="197"/>
    </row>
    <row r="11666" spans="66:69" x14ac:dyDescent="0.2">
      <c r="BN11666" s="192"/>
      <c r="BO11666" s="197"/>
      <c r="BP11666" s="197"/>
      <c r="BQ11666" s="197"/>
    </row>
    <row r="11667" spans="66:69" x14ac:dyDescent="0.2">
      <c r="BN11667" s="192"/>
      <c r="BO11667" s="197"/>
      <c r="BP11667" s="197"/>
      <c r="BQ11667" s="197"/>
    </row>
    <row r="11668" spans="66:69" x14ac:dyDescent="0.2">
      <c r="BN11668" s="192"/>
      <c r="BO11668" s="197"/>
      <c r="BP11668" s="197"/>
      <c r="BQ11668" s="197"/>
    </row>
    <row r="11669" spans="66:69" x14ac:dyDescent="0.2">
      <c r="BN11669" s="192"/>
      <c r="BO11669" s="197"/>
      <c r="BP11669" s="197"/>
      <c r="BQ11669" s="197"/>
    </row>
    <row r="11670" spans="66:69" x14ac:dyDescent="0.2">
      <c r="BN11670" s="192"/>
      <c r="BO11670" s="197"/>
      <c r="BP11670" s="197"/>
      <c r="BQ11670" s="197"/>
    </row>
    <row r="11671" spans="66:69" x14ac:dyDescent="0.2">
      <c r="BN11671" s="192"/>
      <c r="BO11671" s="197"/>
      <c r="BP11671" s="197"/>
      <c r="BQ11671" s="197"/>
    </row>
    <row r="11672" spans="66:69" x14ac:dyDescent="0.2">
      <c r="BN11672" s="192"/>
      <c r="BO11672" s="197"/>
      <c r="BP11672" s="197"/>
      <c r="BQ11672" s="197"/>
    </row>
    <row r="11673" spans="66:69" x14ac:dyDescent="0.2">
      <c r="BN11673" s="192"/>
      <c r="BO11673" s="197"/>
      <c r="BP11673" s="197"/>
      <c r="BQ11673" s="197"/>
    </row>
    <row r="11674" spans="66:69" x14ac:dyDescent="0.2">
      <c r="BN11674" s="192"/>
      <c r="BO11674" s="197"/>
      <c r="BP11674" s="197"/>
      <c r="BQ11674" s="197"/>
    </row>
    <row r="11675" spans="66:69" x14ac:dyDescent="0.2">
      <c r="BN11675" s="192"/>
      <c r="BO11675" s="197"/>
      <c r="BP11675" s="197"/>
      <c r="BQ11675" s="197"/>
    </row>
    <row r="11676" spans="66:69" x14ac:dyDescent="0.2">
      <c r="BN11676" s="192"/>
      <c r="BO11676" s="197"/>
      <c r="BP11676" s="197"/>
      <c r="BQ11676" s="197"/>
    </row>
    <row r="11677" spans="66:69" x14ac:dyDescent="0.2">
      <c r="BN11677" s="192"/>
      <c r="BO11677" s="197"/>
      <c r="BP11677" s="197"/>
      <c r="BQ11677" s="197"/>
    </row>
    <row r="11678" spans="66:69" x14ac:dyDescent="0.2">
      <c r="BN11678" s="192"/>
      <c r="BO11678" s="197"/>
      <c r="BP11678" s="197"/>
      <c r="BQ11678" s="197"/>
    </row>
    <row r="11679" spans="66:69" x14ac:dyDescent="0.2">
      <c r="BN11679" s="192"/>
      <c r="BO11679" s="197"/>
      <c r="BP11679" s="197"/>
      <c r="BQ11679" s="197"/>
    </row>
    <row r="11680" spans="66:69" x14ac:dyDescent="0.2">
      <c r="BN11680" s="192"/>
      <c r="BO11680" s="197"/>
      <c r="BP11680" s="197"/>
      <c r="BQ11680" s="197"/>
    </row>
    <row r="11681" spans="66:69" x14ac:dyDescent="0.2">
      <c r="BN11681" s="192"/>
      <c r="BO11681" s="197"/>
      <c r="BP11681" s="197"/>
      <c r="BQ11681" s="197"/>
    </row>
    <row r="11682" spans="66:69" x14ac:dyDescent="0.2">
      <c r="BN11682" s="192"/>
      <c r="BO11682" s="197"/>
      <c r="BP11682" s="197"/>
      <c r="BQ11682" s="197"/>
    </row>
    <row r="11683" spans="66:69" x14ac:dyDescent="0.2">
      <c r="BN11683" s="192"/>
      <c r="BO11683" s="197"/>
      <c r="BP11683" s="197"/>
      <c r="BQ11683" s="197"/>
    </row>
    <row r="11684" spans="66:69" x14ac:dyDescent="0.2">
      <c r="BN11684" s="192"/>
      <c r="BO11684" s="197"/>
      <c r="BP11684" s="197"/>
      <c r="BQ11684" s="197"/>
    </row>
    <row r="11685" spans="66:69" x14ac:dyDescent="0.2">
      <c r="BN11685" s="192"/>
      <c r="BO11685" s="197"/>
      <c r="BP11685" s="197"/>
      <c r="BQ11685" s="197"/>
    </row>
    <row r="11686" spans="66:69" x14ac:dyDescent="0.2">
      <c r="BN11686" s="192"/>
      <c r="BO11686" s="197"/>
      <c r="BP11686" s="197"/>
      <c r="BQ11686" s="197"/>
    </row>
    <row r="11687" spans="66:69" x14ac:dyDescent="0.2">
      <c r="BN11687" s="192"/>
      <c r="BO11687" s="197"/>
      <c r="BP11687" s="197"/>
      <c r="BQ11687" s="197"/>
    </row>
    <row r="11688" spans="66:69" x14ac:dyDescent="0.2">
      <c r="BN11688" s="192"/>
      <c r="BO11688" s="197"/>
      <c r="BP11688" s="197"/>
      <c r="BQ11688" s="197"/>
    </row>
    <row r="11689" spans="66:69" x14ac:dyDescent="0.2">
      <c r="BN11689" s="192"/>
      <c r="BO11689" s="197"/>
      <c r="BP11689" s="197"/>
      <c r="BQ11689" s="197"/>
    </row>
    <row r="11690" spans="66:69" x14ac:dyDescent="0.2">
      <c r="BN11690" s="192"/>
      <c r="BO11690" s="197"/>
      <c r="BP11690" s="197"/>
      <c r="BQ11690" s="197"/>
    </row>
    <row r="11691" spans="66:69" x14ac:dyDescent="0.2">
      <c r="BN11691" s="192"/>
      <c r="BO11691" s="197"/>
      <c r="BP11691" s="197"/>
      <c r="BQ11691" s="197"/>
    </row>
    <row r="11692" spans="66:69" x14ac:dyDescent="0.2">
      <c r="BN11692" s="192"/>
      <c r="BO11692" s="197"/>
      <c r="BP11692" s="197"/>
      <c r="BQ11692" s="197"/>
    </row>
    <row r="11693" spans="66:69" x14ac:dyDescent="0.2">
      <c r="BN11693" s="192"/>
      <c r="BO11693" s="197"/>
      <c r="BP11693" s="197"/>
      <c r="BQ11693" s="197"/>
    </row>
    <row r="11694" spans="66:69" x14ac:dyDescent="0.2">
      <c r="BN11694" s="192"/>
      <c r="BO11694" s="197"/>
      <c r="BP11694" s="197"/>
      <c r="BQ11694" s="197"/>
    </row>
    <row r="11695" spans="66:69" x14ac:dyDescent="0.2">
      <c r="BN11695" s="192"/>
      <c r="BO11695" s="197"/>
      <c r="BP11695" s="197"/>
      <c r="BQ11695" s="197"/>
    </row>
    <row r="11696" spans="66:69" x14ac:dyDescent="0.2">
      <c r="BN11696" s="192"/>
      <c r="BO11696" s="197"/>
      <c r="BP11696" s="197"/>
      <c r="BQ11696" s="197"/>
    </row>
    <row r="11697" spans="66:69" x14ac:dyDescent="0.2">
      <c r="BN11697" s="192"/>
      <c r="BO11697" s="197"/>
      <c r="BP11697" s="197"/>
      <c r="BQ11697" s="197"/>
    </row>
    <row r="11698" spans="66:69" x14ac:dyDescent="0.2">
      <c r="BN11698" s="192"/>
      <c r="BO11698" s="197"/>
      <c r="BP11698" s="197"/>
      <c r="BQ11698" s="197"/>
    </row>
    <row r="11699" spans="66:69" x14ac:dyDescent="0.2">
      <c r="BN11699" s="192"/>
      <c r="BO11699" s="197"/>
      <c r="BP11699" s="197"/>
      <c r="BQ11699" s="197"/>
    </row>
    <row r="11700" spans="66:69" x14ac:dyDescent="0.2">
      <c r="BN11700" s="192"/>
      <c r="BO11700" s="197"/>
      <c r="BP11700" s="197"/>
      <c r="BQ11700" s="197"/>
    </row>
    <row r="11701" spans="66:69" x14ac:dyDescent="0.2">
      <c r="BN11701" s="192"/>
      <c r="BO11701" s="197"/>
      <c r="BP11701" s="197"/>
      <c r="BQ11701" s="197"/>
    </row>
    <row r="11702" spans="66:69" x14ac:dyDescent="0.2">
      <c r="BN11702" s="192"/>
      <c r="BO11702" s="197"/>
      <c r="BP11702" s="197"/>
      <c r="BQ11702" s="197"/>
    </row>
    <row r="11703" spans="66:69" x14ac:dyDescent="0.2">
      <c r="BN11703" s="192"/>
      <c r="BO11703" s="197"/>
      <c r="BP11703" s="197"/>
      <c r="BQ11703" s="197"/>
    </row>
    <row r="11704" spans="66:69" x14ac:dyDescent="0.2">
      <c r="BN11704" s="192"/>
      <c r="BO11704" s="197"/>
      <c r="BP11704" s="197"/>
      <c r="BQ11704" s="197"/>
    </row>
    <row r="11705" spans="66:69" x14ac:dyDescent="0.2">
      <c r="BN11705" s="192"/>
      <c r="BO11705" s="197"/>
      <c r="BP11705" s="197"/>
      <c r="BQ11705" s="197"/>
    </row>
    <row r="11706" spans="66:69" x14ac:dyDescent="0.2">
      <c r="BN11706" s="192"/>
      <c r="BO11706" s="197"/>
      <c r="BP11706" s="197"/>
      <c r="BQ11706" s="197"/>
    </row>
    <row r="11707" spans="66:69" x14ac:dyDescent="0.2">
      <c r="BN11707" s="192"/>
      <c r="BO11707" s="197"/>
      <c r="BP11707" s="197"/>
      <c r="BQ11707" s="197"/>
    </row>
    <row r="11708" spans="66:69" x14ac:dyDescent="0.2">
      <c r="BN11708" s="192"/>
      <c r="BO11708" s="197"/>
      <c r="BP11708" s="197"/>
      <c r="BQ11708" s="197"/>
    </row>
    <row r="11709" spans="66:69" x14ac:dyDescent="0.2">
      <c r="BN11709" s="192"/>
      <c r="BO11709" s="197"/>
      <c r="BP11709" s="197"/>
      <c r="BQ11709" s="197"/>
    </row>
    <row r="11710" spans="66:69" x14ac:dyDescent="0.2">
      <c r="BN11710" s="192"/>
      <c r="BO11710" s="197"/>
      <c r="BP11710" s="197"/>
      <c r="BQ11710" s="197"/>
    </row>
    <row r="11711" spans="66:69" x14ac:dyDescent="0.2">
      <c r="BN11711" s="192"/>
      <c r="BO11711" s="197"/>
      <c r="BP11711" s="197"/>
      <c r="BQ11711" s="197"/>
    </row>
    <row r="11712" spans="66:69" x14ac:dyDescent="0.2">
      <c r="BN11712" s="192"/>
      <c r="BO11712" s="197"/>
      <c r="BP11712" s="197"/>
      <c r="BQ11712" s="197"/>
    </row>
    <row r="11713" spans="66:69" x14ac:dyDescent="0.2">
      <c r="BN11713" s="192"/>
      <c r="BO11713" s="197"/>
      <c r="BP11713" s="197"/>
      <c r="BQ11713" s="197"/>
    </row>
    <row r="11714" spans="66:69" x14ac:dyDescent="0.2">
      <c r="BN11714" s="192"/>
      <c r="BO11714" s="197"/>
      <c r="BP11714" s="197"/>
      <c r="BQ11714" s="197"/>
    </row>
    <row r="11715" spans="66:69" x14ac:dyDescent="0.2">
      <c r="BN11715" s="192"/>
      <c r="BO11715" s="197"/>
      <c r="BP11715" s="197"/>
      <c r="BQ11715" s="197"/>
    </row>
    <row r="11716" spans="66:69" x14ac:dyDescent="0.2">
      <c r="BN11716" s="192"/>
      <c r="BO11716" s="197"/>
      <c r="BP11716" s="197"/>
      <c r="BQ11716" s="197"/>
    </row>
    <row r="11717" spans="66:69" x14ac:dyDescent="0.2">
      <c r="BN11717" s="192"/>
      <c r="BO11717" s="197"/>
      <c r="BP11717" s="197"/>
      <c r="BQ11717" s="197"/>
    </row>
    <row r="11718" spans="66:69" x14ac:dyDescent="0.2">
      <c r="BN11718" s="192"/>
      <c r="BO11718" s="197"/>
      <c r="BP11718" s="197"/>
      <c r="BQ11718" s="197"/>
    </row>
    <row r="11719" spans="66:69" x14ac:dyDescent="0.2">
      <c r="BN11719" s="192"/>
      <c r="BO11719" s="197"/>
      <c r="BP11719" s="197"/>
      <c r="BQ11719" s="197"/>
    </row>
    <row r="11720" spans="66:69" x14ac:dyDescent="0.2">
      <c r="BN11720" s="192"/>
      <c r="BO11720" s="197"/>
      <c r="BP11720" s="197"/>
      <c r="BQ11720" s="197"/>
    </row>
    <row r="11721" spans="66:69" x14ac:dyDescent="0.2">
      <c r="BN11721" s="192"/>
      <c r="BO11721" s="197"/>
      <c r="BP11721" s="197"/>
      <c r="BQ11721" s="197"/>
    </row>
    <row r="11722" spans="66:69" x14ac:dyDescent="0.2">
      <c r="BN11722" s="192"/>
      <c r="BO11722" s="197"/>
      <c r="BP11722" s="197"/>
      <c r="BQ11722" s="197"/>
    </row>
    <row r="11723" spans="66:69" x14ac:dyDescent="0.2">
      <c r="BN11723" s="192"/>
      <c r="BO11723" s="197"/>
      <c r="BP11723" s="197"/>
      <c r="BQ11723" s="197"/>
    </row>
    <row r="11724" spans="66:69" x14ac:dyDescent="0.2">
      <c r="BN11724" s="192"/>
      <c r="BO11724" s="197"/>
      <c r="BP11724" s="197"/>
      <c r="BQ11724" s="197"/>
    </row>
    <row r="11725" spans="66:69" x14ac:dyDescent="0.2">
      <c r="BN11725" s="192"/>
      <c r="BO11725" s="197"/>
      <c r="BP11725" s="197"/>
      <c r="BQ11725" s="197"/>
    </row>
    <row r="11726" spans="66:69" x14ac:dyDescent="0.2">
      <c r="BN11726" s="192"/>
      <c r="BO11726" s="197"/>
      <c r="BP11726" s="197"/>
      <c r="BQ11726" s="197"/>
    </row>
    <row r="11727" spans="66:69" x14ac:dyDescent="0.2">
      <c r="BN11727" s="192"/>
      <c r="BO11727" s="197"/>
      <c r="BP11727" s="197"/>
      <c r="BQ11727" s="197"/>
    </row>
    <row r="11728" spans="66:69" x14ac:dyDescent="0.2">
      <c r="BN11728" s="192"/>
      <c r="BO11728" s="197"/>
      <c r="BP11728" s="197"/>
      <c r="BQ11728" s="197"/>
    </row>
    <row r="11729" spans="66:69" x14ac:dyDescent="0.2">
      <c r="BN11729" s="192"/>
      <c r="BO11729" s="197"/>
      <c r="BP11729" s="197"/>
      <c r="BQ11729" s="197"/>
    </row>
    <row r="11730" spans="66:69" x14ac:dyDescent="0.2">
      <c r="BN11730" s="192"/>
      <c r="BO11730" s="197"/>
      <c r="BP11730" s="197"/>
      <c r="BQ11730" s="197"/>
    </row>
    <row r="11731" spans="66:69" x14ac:dyDescent="0.2">
      <c r="BN11731" s="192"/>
      <c r="BO11731" s="197"/>
      <c r="BP11731" s="197"/>
      <c r="BQ11731" s="197"/>
    </row>
    <row r="11732" spans="66:69" x14ac:dyDescent="0.2">
      <c r="BN11732" s="192"/>
      <c r="BO11732" s="197"/>
      <c r="BP11732" s="197"/>
      <c r="BQ11732" s="197"/>
    </row>
    <row r="11733" spans="66:69" x14ac:dyDescent="0.2">
      <c r="BN11733" s="192"/>
      <c r="BO11733" s="197"/>
      <c r="BP11733" s="197"/>
      <c r="BQ11733" s="197"/>
    </row>
    <row r="11734" spans="66:69" x14ac:dyDescent="0.2">
      <c r="BN11734" s="192"/>
      <c r="BO11734" s="197"/>
      <c r="BP11734" s="197"/>
      <c r="BQ11734" s="197"/>
    </row>
    <row r="11735" spans="66:69" x14ac:dyDescent="0.2">
      <c r="BN11735" s="192"/>
      <c r="BO11735" s="197"/>
      <c r="BP11735" s="197"/>
      <c r="BQ11735" s="197"/>
    </row>
    <row r="11736" spans="66:69" x14ac:dyDescent="0.2">
      <c r="BN11736" s="192"/>
      <c r="BO11736" s="197"/>
      <c r="BP11736" s="197"/>
      <c r="BQ11736" s="197"/>
    </row>
    <row r="11737" spans="66:69" x14ac:dyDescent="0.2">
      <c r="BN11737" s="192"/>
      <c r="BO11737" s="197"/>
      <c r="BP11737" s="197"/>
      <c r="BQ11737" s="197"/>
    </row>
    <row r="11738" spans="66:69" x14ac:dyDescent="0.2">
      <c r="BN11738" s="192"/>
      <c r="BO11738" s="197"/>
      <c r="BP11738" s="197"/>
      <c r="BQ11738" s="197"/>
    </row>
    <row r="11739" spans="66:69" x14ac:dyDescent="0.2">
      <c r="BN11739" s="192"/>
      <c r="BO11739" s="197"/>
      <c r="BP11739" s="197"/>
      <c r="BQ11739" s="197"/>
    </row>
    <row r="11740" spans="66:69" x14ac:dyDescent="0.2">
      <c r="BN11740" s="192"/>
      <c r="BO11740" s="197"/>
      <c r="BP11740" s="197"/>
      <c r="BQ11740" s="197"/>
    </row>
    <row r="11741" spans="66:69" x14ac:dyDescent="0.2">
      <c r="BN11741" s="192"/>
      <c r="BO11741" s="197"/>
      <c r="BP11741" s="197"/>
      <c r="BQ11741" s="197"/>
    </row>
    <row r="11742" spans="66:69" x14ac:dyDescent="0.2">
      <c r="BN11742" s="192"/>
      <c r="BO11742" s="197"/>
      <c r="BP11742" s="197"/>
      <c r="BQ11742" s="197"/>
    </row>
    <row r="11743" spans="66:69" x14ac:dyDescent="0.2">
      <c r="BN11743" s="192"/>
      <c r="BO11743" s="197"/>
      <c r="BP11743" s="197"/>
      <c r="BQ11743" s="197"/>
    </row>
    <row r="11744" spans="66:69" x14ac:dyDescent="0.2">
      <c r="BN11744" s="192"/>
      <c r="BO11744" s="197"/>
      <c r="BP11744" s="197"/>
      <c r="BQ11744" s="197"/>
    </row>
    <row r="11745" spans="66:69" x14ac:dyDescent="0.2">
      <c r="BN11745" s="192"/>
      <c r="BO11745" s="197"/>
      <c r="BP11745" s="197"/>
      <c r="BQ11745" s="197"/>
    </row>
    <row r="11746" spans="66:69" x14ac:dyDescent="0.2">
      <c r="BN11746" s="192"/>
      <c r="BO11746" s="197"/>
      <c r="BP11746" s="197"/>
      <c r="BQ11746" s="197"/>
    </row>
    <row r="11747" spans="66:69" x14ac:dyDescent="0.2">
      <c r="BN11747" s="192"/>
      <c r="BO11747" s="197"/>
      <c r="BP11747" s="197"/>
      <c r="BQ11747" s="197"/>
    </row>
    <row r="11748" spans="66:69" x14ac:dyDescent="0.2">
      <c r="BN11748" s="192"/>
      <c r="BO11748" s="197"/>
      <c r="BP11748" s="197"/>
      <c r="BQ11748" s="197"/>
    </row>
    <row r="11749" spans="66:69" x14ac:dyDescent="0.2">
      <c r="BN11749" s="192"/>
      <c r="BO11749" s="197"/>
      <c r="BP11749" s="197"/>
      <c r="BQ11749" s="197"/>
    </row>
    <row r="11750" spans="66:69" x14ac:dyDescent="0.2">
      <c r="BN11750" s="192"/>
      <c r="BO11750" s="197"/>
      <c r="BP11750" s="197"/>
      <c r="BQ11750" s="197"/>
    </row>
    <row r="11751" spans="66:69" x14ac:dyDescent="0.2">
      <c r="BN11751" s="192"/>
      <c r="BO11751" s="197"/>
      <c r="BP11751" s="197"/>
      <c r="BQ11751" s="197"/>
    </row>
    <row r="11752" spans="66:69" x14ac:dyDescent="0.2">
      <c r="BN11752" s="192"/>
      <c r="BO11752" s="197"/>
      <c r="BP11752" s="197"/>
      <c r="BQ11752" s="197"/>
    </row>
    <row r="11753" spans="66:69" x14ac:dyDescent="0.2">
      <c r="BN11753" s="192"/>
      <c r="BO11753" s="197"/>
      <c r="BP11753" s="197"/>
      <c r="BQ11753" s="197"/>
    </row>
    <row r="11754" spans="66:69" x14ac:dyDescent="0.2">
      <c r="BN11754" s="192"/>
      <c r="BO11754" s="197"/>
      <c r="BP11754" s="197"/>
      <c r="BQ11754" s="197"/>
    </row>
    <row r="11755" spans="66:69" x14ac:dyDescent="0.2">
      <c r="BN11755" s="192"/>
      <c r="BO11755" s="197"/>
      <c r="BP11755" s="197"/>
      <c r="BQ11755" s="197"/>
    </row>
    <row r="11756" spans="66:69" x14ac:dyDescent="0.2">
      <c r="BN11756" s="192"/>
      <c r="BO11756" s="197"/>
      <c r="BP11756" s="197"/>
      <c r="BQ11756" s="197"/>
    </row>
    <row r="11757" spans="66:69" x14ac:dyDescent="0.2">
      <c r="BN11757" s="192"/>
      <c r="BO11757" s="197"/>
      <c r="BP11757" s="197"/>
      <c r="BQ11757" s="197"/>
    </row>
    <row r="11758" spans="66:69" x14ac:dyDescent="0.2">
      <c r="BN11758" s="192"/>
      <c r="BO11758" s="197"/>
      <c r="BP11758" s="197"/>
      <c r="BQ11758" s="197"/>
    </row>
    <row r="11759" spans="66:69" x14ac:dyDescent="0.2">
      <c r="BN11759" s="192"/>
      <c r="BO11759" s="197"/>
      <c r="BP11759" s="197"/>
      <c r="BQ11759" s="197"/>
    </row>
    <row r="11760" spans="66:69" x14ac:dyDescent="0.2">
      <c r="BN11760" s="192"/>
      <c r="BO11760" s="197"/>
      <c r="BP11760" s="197"/>
      <c r="BQ11760" s="197"/>
    </row>
    <row r="11761" spans="66:69" x14ac:dyDescent="0.2">
      <c r="BN11761" s="192"/>
      <c r="BO11761" s="197"/>
      <c r="BP11761" s="197"/>
      <c r="BQ11761" s="197"/>
    </row>
    <row r="11762" spans="66:69" x14ac:dyDescent="0.2">
      <c r="BN11762" s="192"/>
      <c r="BO11762" s="197"/>
      <c r="BP11762" s="197"/>
      <c r="BQ11762" s="197"/>
    </row>
    <row r="11763" spans="66:69" x14ac:dyDescent="0.2">
      <c r="BN11763" s="192"/>
      <c r="BO11763" s="197"/>
      <c r="BP11763" s="197"/>
      <c r="BQ11763" s="197"/>
    </row>
    <row r="11764" spans="66:69" x14ac:dyDescent="0.2">
      <c r="BN11764" s="192"/>
      <c r="BO11764" s="197"/>
      <c r="BP11764" s="197"/>
      <c r="BQ11764" s="197"/>
    </row>
    <row r="11765" spans="66:69" x14ac:dyDescent="0.2">
      <c r="BN11765" s="192"/>
      <c r="BO11765" s="197"/>
      <c r="BP11765" s="197"/>
      <c r="BQ11765" s="197"/>
    </row>
    <row r="11766" spans="66:69" x14ac:dyDescent="0.2">
      <c r="BN11766" s="192"/>
      <c r="BO11766" s="197"/>
      <c r="BP11766" s="197"/>
      <c r="BQ11766" s="197"/>
    </row>
    <row r="11767" spans="66:69" x14ac:dyDescent="0.2">
      <c r="BN11767" s="192"/>
      <c r="BO11767" s="197"/>
      <c r="BP11767" s="197"/>
      <c r="BQ11767" s="197"/>
    </row>
    <row r="11768" spans="66:69" x14ac:dyDescent="0.2">
      <c r="BN11768" s="192"/>
      <c r="BO11768" s="197"/>
      <c r="BP11768" s="197"/>
      <c r="BQ11768" s="197"/>
    </row>
    <row r="11769" spans="66:69" x14ac:dyDescent="0.2">
      <c r="BN11769" s="192"/>
      <c r="BO11769" s="197"/>
      <c r="BP11769" s="197"/>
      <c r="BQ11769" s="197"/>
    </row>
    <row r="11770" spans="66:69" x14ac:dyDescent="0.2">
      <c r="BN11770" s="192"/>
      <c r="BO11770" s="197"/>
      <c r="BP11770" s="197"/>
      <c r="BQ11770" s="197"/>
    </row>
    <row r="11771" spans="66:69" x14ac:dyDescent="0.2">
      <c r="BN11771" s="192"/>
      <c r="BO11771" s="197"/>
      <c r="BP11771" s="197"/>
      <c r="BQ11771" s="197"/>
    </row>
    <row r="11772" spans="66:69" x14ac:dyDescent="0.2">
      <c r="BN11772" s="192"/>
      <c r="BO11772" s="197"/>
      <c r="BP11772" s="197"/>
      <c r="BQ11772" s="197"/>
    </row>
    <row r="11773" spans="66:69" x14ac:dyDescent="0.2">
      <c r="BN11773" s="192"/>
      <c r="BO11773" s="197"/>
      <c r="BP11773" s="197"/>
      <c r="BQ11773" s="197"/>
    </row>
    <row r="11774" spans="66:69" x14ac:dyDescent="0.2">
      <c r="BN11774" s="192"/>
      <c r="BO11774" s="197"/>
      <c r="BP11774" s="197"/>
      <c r="BQ11774" s="197"/>
    </row>
    <row r="11775" spans="66:69" x14ac:dyDescent="0.2">
      <c r="BN11775" s="192"/>
      <c r="BO11775" s="197"/>
      <c r="BP11775" s="197"/>
      <c r="BQ11775" s="197"/>
    </row>
    <row r="11776" spans="66:69" x14ac:dyDescent="0.2">
      <c r="BN11776" s="192"/>
      <c r="BO11776" s="197"/>
      <c r="BP11776" s="197"/>
      <c r="BQ11776" s="197"/>
    </row>
    <row r="11777" spans="66:69" x14ac:dyDescent="0.2">
      <c r="BN11777" s="192"/>
      <c r="BO11777" s="197"/>
      <c r="BP11777" s="197"/>
      <c r="BQ11777" s="197"/>
    </row>
    <row r="11778" spans="66:69" x14ac:dyDescent="0.2">
      <c r="BN11778" s="192"/>
      <c r="BO11778" s="197"/>
      <c r="BP11778" s="197"/>
      <c r="BQ11778" s="197"/>
    </row>
    <row r="11779" spans="66:69" x14ac:dyDescent="0.2">
      <c r="BN11779" s="192"/>
      <c r="BO11779" s="197"/>
      <c r="BP11779" s="197"/>
      <c r="BQ11779" s="197"/>
    </row>
    <row r="11780" spans="66:69" x14ac:dyDescent="0.2">
      <c r="BN11780" s="192"/>
      <c r="BO11780" s="197"/>
      <c r="BP11780" s="197"/>
      <c r="BQ11780" s="197"/>
    </row>
    <row r="11781" spans="66:69" x14ac:dyDescent="0.2">
      <c r="BN11781" s="192"/>
      <c r="BO11781" s="197"/>
      <c r="BP11781" s="197"/>
      <c r="BQ11781" s="197"/>
    </row>
    <row r="11782" spans="66:69" x14ac:dyDescent="0.2">
      <c r="BN11782" s="192"/>
      <c r="BO11782" s="197"/>
      <c r="BP11782" s="197"/>
      <c r="BQ11782" s="197"/>
    </row>
    <row r="11783" spans="66:69" x14ac:dyDescent="0.2">
      <c r="BN11783" s="192"/>
      <c r="BO11783" s="197"/>
      <c r="BP11783" s="197"/>
      <c r="BQ11783" s="197"/>
    </row>
    <row r="11784" spans="66:69" x14ac:dyDescent="0.2">
      <c r="BN11784" s="192"/>
      <c r="BO11784" s="197"/>
      <c r="BP11784" s="197"/>
      <c r="BQ11784" s="197"/>
    </row>
    <row r="11785" spans="66:69" x14ac:dyDescent="0.2">
      <c r="BN11785" s="192"/>
      <c r="BO11785" s="197"/>
      <c r="BP11785" s="197"/>
      <c r="BQ11785" s="197"/>
    </row>
    <row r="11786" spans="66:69" x14ac:dyDescent="0.2">
      <c r="BN11786" s="192"/>
      <c r="BO11786" s="197"/>
      <c r="BP11786" s="197"/>
      <c r="BQ11786" s="197"/>
    </row>
    <row r="11787" spans="66:69" x14ac:dyDescent="0.2">
      <c r="BN11787" s="192"/>
      <c r="BO11787" s="197"/>
      <c r="BP11787" s="197"/>
      <c r="BQ11787" s="197"/>
    </row>
    <row r="11788" spans="66:69" x14ac:dyDescent="0.2">
      <c r="BN11788" s="192"/>
      <c r="BO11788" s="197"/>
      <c r="BP11788" s="197"/>
      <c r="BQ11788" s="197"/>
    </row>
    <row r="11789" spans="66:69" x14ac:dyDescent="0.2">
      <c r="BN11789" s="192"/>
      <c r="BO11789" s="197"/>
      <c r="BP11789" s="197"/>
      <c r="BQ11789" s="197"/>
    </row>
    <row r="11790" spans="66:69" x14ac:dyDescent="0.2">
      <c r="BN11790" s="192"/>
      <c r="BO11790" s="197"/>
      <c r="BP11790" s="197"/>
      <c r="BQ11790" s="197"/>
    </row>
    <row r="11791" spans="66:69" x14ac:dyDescent="0.2">
      <c r="BN11791" s="192"/>
      <c r="BO11791" s="197"/>
      <c r="BP11791" s="197"/>
      <c r="BQ11791" s="197"/>
    </row>
    <row r="11792" spans="66:69" x14ac:dyDescent="0.2">
      <c r="BN11792" s="192"/>
      <c r="BO11792" s="197"/>
      <c r="BP11792" s="197"/>
      <c r="BQ11792" s="197"/>
    </row>
    <row r="11793" spans="66:69" x14ac:dyDescent="0.2">
      <c r="BN11793" s="192"/>
      <c r="BO11793" s="197"/>
      <c r="BP11793" s="197"/>
      <c r="BQ11793" s="197"/>
    </row>
    <row r="11794" spans="66:69" x14ac:dyDescent="0.2">
      <c r="BN11794" s="192"/>
      <c r="BO11794" s="197"/>
      <c r="BP11794" s="197"/>
      <c r="BQ11794" s="197"/>
    </row>
    <row r="11795" spans="66:69" x14ac:dyDescent="0.2">
      <c r="BN11795" s="192"/>
      <c r="BO11795" s="197"/>
      <c r="BP11795" s="197"/>
      <c r="BQ11795" s="197"/>
    </row>
    <row r="11796" spans="66:69" x14ac:dyDescent="0.2">
      <c r="BN11796" s="192"/>
      <c r="BO11796" s="197"/>
      <c r="BP11796" s="197"/>
      <c r="BQ11796" s="197"/>
    </row>
    <row r="11797" spans="66:69" x14ac:dyDescent="0.2">
      <c r="BN11797" s="192"/>
      <c r="BO11797" s="197"/>
      <c r="BP11797" s="197"/>
      <c r="BQ11797" s="197"/>
    </row>
    <row r="11798" spans="66:69" x14ac:dyDescent="0.2">
      <c r="BN11798" s="192"/>
      <c r="BO11798" s="197"/>
      <c r="BP11798" s="197"/>
      <c r="BQ11798" s="197"/>
    </row>
    <row r="11799" spans="66:69" x14ac:dyDescent="0.2">
      <c r="BN11799" s="192"/>
      <c r="BO11799" s="197"/>
      <c r="BP11799" s="197"/>
      <c r="BQ11799" s="197"/>
    </row>
    <row r="11800" spans="66:69" x14ac:dyDescent="0.2">
      <c r="BN11800" s="192"/>
      <c r="BO11800" s="197"/>
      <c r="BP11800" s="197"/>
      <c r="BQ11800" s="197"/>
    </row>
    <row r="11801" spans="66:69" x14ac:dyDescent="0.2">
      <c r="BN11801" s="192"/>
      <c r="BO11801" s="197"/>
      <c r="BP11801" s="197"/>
      <c r="BQ11801" s="197"/>
    </row>
    <row r="11802" spans="66:69" x14ac:dyDescent="0.2">
      <c r="BN11802" s="192"/>
      <c r="BO11802" s="197"/>
      <c r="BP11802" s="197"/>
      <c r="BQ11802" s="197"/>
    </row>
    <row r="11803" spans="66:69" x14ac:dyDescent="0.2">
      <c r="BN11803" s="192"/>
      <c r="BO11803" s="197"/>
      <c r="BP11803" s="197"/>
      <c r="BQ11803" s="197"/>
    </row>
    <row r="11804" spans="66:69" x14ac:dyDescent="0.2">
      <c r="BN11804" s="192"/>
      <c r="BO11804" s="197"/>
      <c r="BP11804" s="197"/>
      <c r="BQ11804" s="197"/>
    </row>
    <row r="11805" spans="66:69" x14ac:dyDescent="0.2">
      <c r="BN11805" s="192"/>
      <c r="BO11805" s="197"/>
      <c r="BP11805" s="197"/>
      <c r="BQ11805" s="197"/>
    </row>
    <row r="11806" spans="66:69" x14ac:dyDescent="0.2">
      <c r="BN11806" s="192"/>
      <c r="BO11806" s="197"/>
      <c r="BP11806" s="197"/>
      <c r="BQ11806" s="197"/>
    </row>
    <row r="11807" spans="66:69" x14ac:dyDescent="0.2">
      <c r="BN11807" s="192"/>
      <c r="BO11807" s="197"/>
      <c r="BP11807" s="197"/>
      <c r="BQ11807" s="197"/>
    </row>
    <row r="11808" spans="66:69" x14ac:dyDescent="0.2">
      <c r="BN11808" s="192"/>
      <c r="BO11808" s="197"/>
      <c r="BP11808" s="197"/>
      <c r="BQ11808" s="197"/>
    </row>
    <row r="11809" spans="66:69" x14ac:dyDescent="0.2">
      <c r="BN11809" s="192"/>
      <c r="BO11809" s="197"/>
      <c r="BP11809" s="197"/>
      <c r="BQ11809" s="197"/>
    </row>
    <row r="11810" spans="66:69" x14ac:dyDescent="0.2">
      <c r="BN11810" s="192"/>
      <c r="BO11810" s="197"/>
      <c r="BP11810" s="197"/>
      <c r="BQ11810" s="197"/>
    </row>
    <row r="11811" spans="66:69" x14ac:dyDescent="0.2">
      <c r="BN11811" s="192"/>
      <c r="BO11811" s="197"/>
      <c r="BP11811" s="197"/>
      <c r="BQ11811" s="197"/>
    </row>
    <row r="11812" spans="66:69" x14ac:dyDescent="0.2">
      <c r="BN11812" s="192"/>
      <c r="BO11812" s="197"/>
      <c r="BP11812" s="197"/>
      <c r="BQ11812" s="197"/>
    </row>
    <row r="11813" spans="66:69" x14ac:dyDescent="0.2">
      <c r="BN11813" s="192"/>
      <c r="BO11813" s="197"/>
      <c r="BP11813" s="197"/>
      <c r="BQ11813" s="197"/>
    </row>
    <row r="11814" spans="66:69" x14ac:dyDescent="0.2">
      <c r="BN11814" s="192"/>
      <c r="BO11814" s="197"/>
      <c r="BP11814" s="197"/>
      <c r="BQ11814" s="197"/>
    </row>
    <row r="11815" spans="66:69" x14ac:dyDescent="0.2">
      <c r="BN11815" s="192"/>
      <c r="BO11815" s="197"/>
      <c r="BP11815" s="197"/>
      <c r="BQ11815" s="197"/>
    </row>
    <row r="11816" spans="66:69" x14ac:dyDescent="0.2">
      <c r="BN11816" s="192"/>
      <c r="BO11816" s="197"/>
      <c r="BP11816" s="197"/>
      <c r="BQ11816" s="197"/>
    </row>
    <row r="11817" spans="66:69" x14ac:dyDescent="0.2">
      <c r="BN11817" s="192"/>
      <c r="BO11817" s="197"/>
      <c r="BP11817" s="197"/>
      <c r="BQ11817" s="197"/>
    </row>
    <row r="11818" spans="66:69" x14ac:dyDescent="0.2">
      <c r="BN11818" s="192"/>
      <c r="BO11818" s="197"/>
      <c r="BP11818" s="197"/>
      <c r="BQ11818" s="197"/>
    </row>
    <row r="11819" spans="66:69" x14ac:dyDescent="0.2">
      <c r="BN11819" s="192"/>
      <c r="BO11819" s="197"/>
      <c r="BP11819" s="197"/>
      <c r="BQ11819" s="197"/>
    </row>
    <row r="11820" spans="66:69" x14ac:dyDescent="0.2">
      <c r="BN11820" s="192"/>
      <c r="BO11820" s="197"/>
      <c r="BP11820" s="197"/>
      <c r="BQ11820" s="197"/>
    </row>
    <row r="11821" spans="66:69" x14ac:dyDescent="0.2">
      <c r="BN11821" s="192"/>
      <c r="BO11821" s="197"/>
      <c r="BP11821" s="197"/>
      <c r="BQ11821" s="197"/>
    </row>
    <row r="11822" spans="66:69" x14ac:dyDescent="0.2">
      <c r="BN11822" s="192"/>
      <c r="BO11822" s="197"/>
      <c r="BP11822" s="197"/>
      <c r="BQ11822" s="197"/>
    </row>
    <row r="11823" spans="66:69" x14ac:dyDescent="0.2">
      <c r="BN11823" s="192"/>
      <c r="BO11823" s="197"/>
      <c r="BP11823" s="197"/>
      <c r="BQ11823" s="197"/>
    </row>
    <row r="11824" spans="66:69" x14ac:dyDescent="0.2">
      <c r="BN11824" s="192"/>
      <c r="BO11824" s="197"/>
      <c r="BP11824" s="197"/>
      <c r="BQ11824" s="197"/>
    </row>
    <row r="11825" spans="66:69" x14ac:dyDescent="0.2">
      <c r="BN11825" s="192"/>
      <c r="BO11825" s="197"/>
      <c r="BP11825" s="197"/>
      <c r="BQ11825" s="197"/>
    </row>
    <row r="11826" spans="66:69" x14ac:dyDescent="0.2">
      <c r="BN11826" s="192"/>
      <c r="BO11826" s="197"/>
      <c r="BP11826" s="197"/>
      <c r="BQ11826" s="197"/>
    </row>
    <row r="11827" spans="66:69" x14ac:dyDescent="0.2">
      <c r="BN11827" s="192"/>
      <c r="BO11827" s="197"/>
      <c r="BP11827" s="197"/>
      <c r="BQ11827" s="197"/>
    </row>
    <row r="11828" spans="66:69" x14ac:dyDescent="0.2">
      <c r="BN11828" s="192"/>
      <c r="BO11828" s="197"/>
      <c r="BP11828" s="197"/>
      <c r="BQ11828" s="197"/>
    </row>
    <row r="11829" spans="66:69" x14ac:dyDescent="0.2">
      <c r="BN11829" s="192"/>
      <c r="BO11829" s="197"/>
      <c r="BP11829" s="197"/>
      <c r="BQ11829" s="197"/>
    </row>
    <row r="11830" spans="66:69" x14ac:dyDescent="0.2">
      <c r="BN11830" s="192"/>
      <c r="BO11830" s="197"/>
      <c r="BP11830" s="197"/>
      <c r="BQ11830" s="197"/>
    </row>
    <row r="11831" spans="66:69" x14ac:dyDescent="0.2">
      <c r="BN11831" s="192"/>
      <c r="BO11831" s="197"/>
      <c r="BP11831" s="197"/>
      <c r="BQ11831" s="197"/>
    </row>
    <row r="11832" spans="66:69" x14ac:dyDescent="0.2">
      <c r="BN11832" s="192"/>
      <c r="BO11832" s="197"/>
      <c r="BP11832" s="197"/>
      <c r="BQ11832" s="197"/>
    </row>
    <row r="11833" spans="66:69" x14ac:dyDescent="0.2">
      <c r="BN11833" s="192"/>
      <c r="BO11833" s="197"/>
      <c r="BP11833" s="197"/>
      <c r="BQ11833" s="197"/>
    </row>
    <row r="11834" spans="66:69" x14ac:dyDescent="0.2">
      <c r="BN11834" s="192"/>
      <c r="BO11834" s="197"/>
      <c r="BP11834" s="197"/>
      <c r="BQ11834" s="197"/>
    </row>
    <row r="11835" spans="66:69" x14ac:dyDescent="0.2">
      <c r="BN11835" s="192"/>
      <c r="BO11835" s="197"/>
      <c r="BP11835" s="197"/>
      <c r="BQ11835" s="197"/>
    </row>
    <row r="11836" spans="66:69" x14ac:dyDescent="0.2">
      <c r="BN11836" s="192"/>
      <c r="BO11836" s="197"/>
      <c r="BP11836" s="197"/>
      <c r="BQ11836" s="197"/>
    </row>
    <row r="11837" spans="66:69" x14ac:dyDescent="0.2">
      <c r="BN11837" s="192"/>
      <c r="BO11837" s="197"/>
      <c r="BP11837" s="197"/>
      <c r="BQ11837" s="197"/>
    </row>
    <row r="11838" spans="66:69" x14ac:dyDescent="0.2">
      <c r="BN11838" s="192"/>
      <c r="BO11838" s="197"/>
      <c r="BP11838" s="197"/>
      <c r="BQ11838" s="197"/>
    </row>
    <row r="11839" spans="66:69" x14ac:dyDescent="0.2">
      <c r="BN11839" s="192"/>
      <c r="BO11839" s="197"/>
      <c r="BP11839" s="197"/>
      <c r="BQ11839" s="197"/>
    </row>
    <row r="11840" spans="66:69" x14ac:dyDescent="0.2">
      <c r="BN11840" s="192"/>
      <c r="BO11840" s="197"/>
      <c r="BP11840" s="197"/>
      <c r="BQ11840" s="197"/>
    </row>
    <row r="11841" spans="66:69" x14ac:dyDescent="0.2">
      <c r="BN11841" s="192"/>
      <c r="BO11841" s="197"/>
      <c r="BP11841" s="197"/>
      <c r="BQ11841" s="197"/>
    </row>
    <row r="11842" spans="66:69" x14ac:dyDescent="0.2">
      <c r="BN11842" s="192"/>
      <c r="BO11842" s="197"/>
      <c r="BP11842" s="197"/>
      <c r="BQ11842" s="197"/>
    </row>
    <row r="11843" spans="66:69" x14ac:dyDescent="0.2">
      <c r="BN11843" s="192"/>
      <c r="BO11843" s="197"/>
      <c r="BP11843" s="197"/>
      <c r="BQ11843" s="197"/>
    </row>
    <row r="11844" spans="66:69" x14ac:dyDescent="0.2">
      <c r="BN11844" s="192"/>
      <c r="BO11844" s="197"/>
      <c r="BP11844" s="197"/>
      <c r="BQ11844" s="197"/>
    </row>
    <row r="11845" spans="66:69" x14ac:dyDescent="0.2">
      <c r="BN11845" s="192"/>
      <c r="BO11845" s="197"/>
      <c r="BP11845" s="197"/>
      <c r="BQ11845" s="197"/>
    </row>
    <row r="11846" spans="66:69" x14ac:dyDescent="0.2">
      <c r="BN11846" s="192"/>
      <c r="BO11846" s="197"/>
      <c r="BP11846" s="197"/>
      <c r="BQ11846" s="197"/>
    </row>
    <row r="11847" spans="66:69" x14ac:dyDescent="0.2">
      <c r="BN11847" s="192"/>
      <c r="BO11847" s="197"/>
      <c r="BP11847" s="197"/>
      <c r="BQ11847" s="197"/>
    </row>
    <row r="11848" spans="66:69" x14ac:dyDescent="0.2">
      <c r="BN11848" s="192"/>
      <c r="BO11848" s="197"/>
      <c r="BP11848" s="197"/>
      <c r="BQ11848" s="197"/>
    </row>
    <row r="11849" spans="66:69" x14ac:dyDescent="0.2">
      <c r="BN11849" s="192"/>
      <c r="BO11849" s="197"/>
      <c r="BP11849" s="197"/>
      <c r="BQ11849" s="197"/>
    </row>
    <row r="11850" spans="66:69" x14ac:dyDescent="0.2">
      <c r="BN11850" s="192"/>
      <c r="BO11850" s="197"/>
      <c r="BP11850" s="197"/>
      <c r="BQ11850" s="197"/>
    </row>
    <row r="11851" spans="66:69" x14ac:dyDescent="0.2">
      <c r="BN11851" s="192"/>
      <c r="BO11851" s="197"/>
      <c r="BP11851" s="197"/>
      <c r="BQ11851" s="197"/>
    </row>
    <row r="11852" spans="66:69" x14ac:dyDescent="0.2">
      <c r="BN11852" s="192"/>
      <c r="BO11852" s="197"/>
      <c r="BP11852" s="197"/>
      <c r="BQ11852" s="197"/>
    </row>
    <row r="11853" spans="66:69" x14ac:dyDescent="0.2">
      <c r="BN11853" s="192"/>
      <c r="BO11853" s="197"/>
      <c r="BP11853" s="197"/>
      <c r="BQ11853" s="197"/>
    </row>
    <row r="11854" spans="66:69" x14ac:dyDescent="0.2">
      <c r="BN11854" s="192"/>
      <c r="BO11854" s="197"/>
      <c r="BP11854" s="197"/>
      <c r="BQ11854" s="197"/>
    </row>
    <row r="11855" spans="66:69" x14ac:dyDescent="0.2">
      <c r="BN11855" s="192"/>
      <c r="BO11855" s="197"/>
      <c r="BP11855" s="197"/>
      <c r="BQ11855" s="197"/>
    </row>
    <row r="11856" spans="66:69" x14ac:dyDescent="0.2">
      <c r="BN11856" s="192"/>
      <c r="BO11856" s="197"/>
      <c r="BP11856" s="197"/>
      <c r="BQ11856" s="197"/>
    </row>
    <row r="11857" spans="66:69" x14ac:dyDescent="0.2">
      <c r="BN11857" s="192"/>
      <c r="BO11857" s="197"/>
      <c r="BP11857" s="197"/>
      <c r="BQ11857" s="197"/>
    </row>
    <row r="11858" spans="66:69" x14ac:dyDescent="0.2">
      <c r="BN11858" s="192"/>
      <c r="BO11858" s="197"/>
      <c r="BP11858" s="197"/>
      <c r="BQ11858" s="197"/>
    </row>
    <row r="11859" spans="66:69" x14ac:dyDescent="0.2">
      <c r="BN11859" s="192"/>
      <c r="BO11859" s="197"/>
      <c r="BP11859" s="197"/>
      <c r="BQ11859" s="197"/>
    </row>
    <row r="11860" spans="66:69" x14ac:dyDescent="0.2">
      <c r="BN11860" s="192"/>
      <c r="BO11860" s="197"/>
      <c r="BP11860" s="197"/>
      <c r="BQ11860" s="197"/>
    </row>
    <row r="11861" spans="66:69" x14ac:dyDescent="0.2">
      <c r="BN11861" s="192"/>
      <c r="BO11861" s="197"/>
      <c r="BP11861" s="197"/>
      <c r="BQ11861" s="197"/>
    </row>
    <row r="11862" spans="66:69" x14ac:dyDescent="0.2">
      <c r="BN11862" s="192"/>
      <c r="BO11862" s="197"/>
      <c r="BP11862" s="197"/>
      <c r="BQ11862" s="197"/>
    </row>
    <row r="11863" spans="66:69" x14ac:dyDescent="0.2">
      <c r="BN11863" s="192"/>
      <c r="BO11863" s="197"/>
      <c r="BP11863" s="197"/>
      <c r="BQ11863" s="197"/>
    </row>
    <row r="11864" spans="66:69" x14ac:dyDescent="0.2">
      <c r="BN11864" s="192"/>
      <c r="BO11864" s="197"/>
      <c r="BP11864" s="197"/>
      <c r="BQ11864" s="197"/>
    </row>
    <row r="11865" spans="66:69" x14ac:dyDescent="0.2">
      <c r="BN11865" s="192"/>
      <c r="BO11865" s="197"/>
      <c r="BP11865" s="197"/>
      <c r="BQ11865" s="197"/>
    </row>
    <row r="11866" spans="66:69" x14ac:dyDescent="0.2">
      <c r="BN11866" s="192"/>
      <c r="BO11866" s="197"/>
      <c r="BP11866" s="197"/>
      <c r="BQ11866" s="197"/>
    </row>
    <row r="11867" spans="66:69" x14ac:dyDescent="0.2">
      <c r="BN11867" s="192"/>
      <c r="BO11867" s="197"/>
      <c r="BP11867" s="197"/>
      <c r="BQ11867" s="197"/>
    </row>
    <row r="11868" spans="66:69" x14ac:dyDescent="0.2">
      <c r="BN11868" s="192"/>
      <c r="BO11868" s="197"/>
      <c r="BP11868" s="197"/>
      <c r="BQ11868" s="197"/>
    </row>
    <row r="11869" spans="66:69" x14ac:dyDescent="0.2">
      <c r="BN11869" s="192"/>
      <c r="BO11869" s="197"/>
      <c r="BP11869" s="197"/>
      <c r="BQ11869" s="197"/>
    </row>
    <row r="11870" spans="66:69" x14ac:dyDescent="0.2">
      <c r="BN11870" s="192"/>
      <c r="BO11870" s="197"/>
      <c r="BP11870" s="197"/>
      <c r="BQ11870" s="197"/>
    </row>
    <row r="11871" spans="66:69" x14ac:dyDescent="0.2">
      <c r="BN11871" s="192"/>
      <c r="BO11871" s="197"/>
      <c r="BP11871" s="197"/>
      <c r="BQ11871" s="197"/>
    </row>
    <row r="11872" spans="66:69" x14ac:dyDescent="0.2">
      <c r="BN11872" s="192"/>
      <c r="BO11872" s="197"/>
      <c r="BP11872" s="197"/>
      <c r="BQ11872" s="197"/>
    </row>
    <row r="11873" spans="66:69" x14ac:dyDescent="0.2">
      <c r="BN11873" s="192"/>
      <c r="BO11873" s="197"/>
      <c r="BP11873" s="197"/>
      <c r="BQ11873" s="197"/>
    </row>
    <row r="11874" spans="66:69" x14ac:dyDescent="0.2">
      <c r="BN11874" s="192"/>
      <c r="BO11874" s="197"/>
      <c r="BP11874" s="197"/>
      <c r="BQ11874" s="197"/>
    </row>
    <row r="11875" spans="66:69" x14ac:dyDescent="0.2">
      <c r="BN11875" s="192"/>
      <c r="BO11875" s="197"/>
      <c r="BP11875" s="197"/>
      <c r="BQ11875" s="197"/>
    </row>
    <row r="11876" spans="66:69" x14ac:dyDescent="0.2">
      <c r="BN11876" s="192"/>
      <c r="BO11876" s="197"/>
      <c r="BP11876" s="197"/>
      <c r="BQ11876" s="197"/>
    </row>
    <row r="11877" spans="66:69" x14ac:dyDescent="0.2">
      <c r="BN11877" s="192"/>
      <c r="BO11877" s="197"/>
      <c r="BP11877" s="197"/>
      <c r="BQ11877" s="197"/>
    </row>
    <row r="11878" spans="66:69" x14ac:dyDescent="0.2">
      <c r="BN11878" s="192"/>
      <c r="BO11878" s="197"/>
      <c r="BP11878" s="197"/>
      <c r="BQ11878" s="197"/>
    </row>
    <row r="11879" spans="66:69" x14ac:dyDescent="0.2">
      <c r="BN11879" s="192"/>
      <c r="BO11879" s="197"/>
      <c r="BP11879" s="197"/>
      <c r="BQ11879" s="197"/>
    </row>
    <row r="11880" spans="66:69" x14ac:dyDescent="0.2">
      <c r="BN11880" s="192"/>
      <c r="BO11880" s="197"/>
      <c r="BP11880" s="197"/>
      <c r="BQ11880" s="197"/>
    </row>
    <row r="11881" spans="66:69" x14ac:dyDescent="0.2">
      <c r="BN11881" s="192"/>
      <c r="BO11881" s="197"/>
      <c r="BP11881" s="197"/>
      <c r="BQ11881" s="197"/>
    </row>
    <row r="11882" spans="66:69" x14ac:dyDescent="0.2">
      <c r="BN11882" s="192"/>
      <c r="BO11882" s="197"/>
      <c r="BP11882" s="197"/>
      <c r="BQ11882" s="197"/>
    </row>
    <row r="11883" spans="66:69" x14ac:dyDescent="0.2">
      <c r="BN11883" s="192"/>
      <c r="BO11883" s="197"/>
      <c r="BP11883" s="197"/>
      <c r="BQ11883" s="197"/>
    </row>
    <row r="11884" spans="66:69" x14ac:dyDescent="0.2">
      <c r="BN11884" s="192"/>
      <c r="BO11884" s="197"/>
      <c r="BP11884" s="197"/>
      <c r="BQ11884" s="197"/>
    </row>
    <row r="11885" spans="66:69" x14ac:dyDescent="0.2">
      <c r="BN11885" s="192"/>
      <c r="BO11885" s="197"/>
      <c r="BP11885" s="197"/>
      <c r="BQ11885" s="197"/>
    </row>
    <row r="11886" spans="66:69" x14ac:dyDescent="0.2">
      <c r="BN11886" s="192"/>
      <c r="BO11886" s="197"/>
      <c r="BP11886" s="197"/>
      <c r="BQ11886" s="197"/>
    </row>
    <row r="11887" spans="66:69" x14ac:dyDescent="0.2">
      <c r="BN11887" s="192"/>
      <c r="BO11887" s="197"/>
      <c r="BP11887" s="197"/>
      <c r="BQ11887" s="197"/>
    </row>
    <row r="11888" spans="66:69" x14ac:dyDescent="0.2">
      <c r="BN11888" s="192"/>
      <c r="BO11888" s="197"/>
      <c r="BP11888" s="197"/>
      <c r="BQ11888" s="197"/>
    </row>
    <row r="11889" spans="66:69" x14ac:dyDescent="0.2">
      <c r="BN11889" s="192"/>
      <c r="BO11889" s="197"/>
      <c r="BP11889" s="197"/>
      <c r="BQ11889" s="197"/>
    </row>
    <row r="11890" spans="66:69" x14ac:dyDescent="0.2">
      <c r="BN11890" s="192"/>
      <c r="BO11890" s="197"/>
      <c r="BP11890" s="197"/>
      <c r="BQ11890" s="197"/>
    </row>
    <row r="11891" spans="66:69" x14ac:dyDescent="0.2">
      <c r="BN11891" s="192"/>
      <c r="BO11891" s="197"/>
      <c r="BP11891" s="197"/>
      <c r="BQ11891" s="197"/>
    </row>
    <row r="11892" spans="66:69" x14ac:dyDescent="0.2">
      <c r="BN11892" s="192"/>
      <c r="BO11892" s="197"/>
      <c r="BP11892" s="197"/>
      <c r="BQ11892" s="197"/>
    </row>
    <row r="11893" spans="66:69" x14ac:dyDescent="0.2">
      <c r="BN11893" s="192"/>
      <c r="BO11893" s="197"/>
      <c r="BP11893" s="197"/>
      <c r="BQ11893" s="197"/>
    </row>
    <row r="11894" spans="66:69" x14ac:dyDescent="0.2">
      <c r="BN11894" s="192"/>
      <c r="BO11894" s="197"/>
      <c r="BP11894" s="197"/>
      <c r="BQ11894" s="197"/>
    </row>
    <row r="11895" spans="66:69" x14ac:dyDescent="0.2">
      <c r="BN11895" s="192"/>
      <c r="BO11895" s="197"/>
      <c r="BP11895" s="197"/>
      <c r="BQ11895" s="197"/>
    </row>
    <row r="11896" spans="66:69" x14ac:dyDescent="0.2">
      <c r="BN11896" s="192"/>
      <c r="BO11896" s="197"/>
      <c r="BP11896" s="197"/>
      <c r="BQ11896" s="197"/>
    </row>
    <row r="11897" spans="66:69" x14ac:dyDescent="0.2">
      <c r="BN11897" s="192"/>
      <c r="BO11897" s="197"/>
      <c r="BP11897" s="197"/>
      <c r="BQ11897" s="197"/>
    </row>
    <row r="11898" spans="66:69" x14ac:dyDescent="0.2">
      <c r="BN11898" s="192"/>
      <c r="BO11898" s="197"/>
      <c r="BP11898" s="197"/>
      <c r="BQ11898" s="197"/>
    </row>
    <row r="11899" spans="66:69" x14ac:dyDescent="0.2">
      <c r="BN11899" s="192"/>
      <c r="BO11899" s="197"/>
      <c r="BP11899" s="197"/>
      <c r="BQ11899" s="197"/>
    </row>
    <row r="11900" spans="66:69" x14ac:dyDescent="0.2">
      <c r="BN11900" s="192"/>
      <c r="BO11900" s="197"/>
      <c r="BP11900" s="197"/>
      <c r="BQ11900" s="197"/>
    </row>
    <row r="11901" spans="66:69" x14ac:dyDescent="0.2">
      <c r="BN11901" s="192"/>
      <c r="BO11901" s="197"/>
      <c r="BP11901" s="197"/>
      <c r="BQ11901" s="197"/>
    </row>
    <row r="11902" spans="66:69" x14ac:dyDescent="0.2">
      <c r="BN11902" s="192"/>
      <c r="BO11902" s="197"/>
      <c r="BP11902" s="197"/>
      <c r="BQ11902" s="197"/>
    </row>
    <row r="11903" spans="66:69" x14ac:dyDescent="0.2">
      <c r="BN11903" s="192"/>
      <c r="BO11903" s="197"/>
      <c r="BP11903" s="197"/>
      <c r="BQ11903" s="197"/>
    </row>
    <row r="11904" spans="66:69" x14ac:dyDescent="0.2">
      <c r="BN11904" s="192"/>
      <c r="BO11904" s="197"/>
      <c r="BP11904" s="197"/>
      <c r="BQ11904" s="197"/>
    </row>
    <row r="11905" spans="66:69" x14ac:dyDescent="0.2">
      <c r="BN11905" s="192"/>
      <c r="BO11905" s="197"/>
      <c r="BP11905" s="197"/>
      <c r="BQ11905" s="197"/>
    </row>
    <row r="11906" spans="66:69" x14ac:dyDescent="0.2">
      <c r="BN11906" s="192"/>
      <c r="BO11906" s="197"/>
      <c r="BP11906" s="197"/>
      <c r="BQ11906" s="197"/>
    </row>
    <row r="11907" spans="66:69" x14ac:dyDescent="0.2">
      <c r="BN11907" s="192"/>
      <c r="BO11907" s="197"/>
      <c r="BP11907" s="197"/>
      <c r="BQ11907" s="197"/>
    </row>
    <row r="11908" spans="66:69" x14ac:dyDescent="0.2">
      <c r="BN11908" s="192"/>
      <c r="BO11908" s="197"/>
      <c r="BP11908" s="197"/>
      <c r="BQ11908" s="197"/>
    </row>
    <row r="11909" spans="66:69" x14ac:dyDescent="0.2">
      <c r="BN11909" s="192"/>
      <c r="BO11909" s="197"/>
      <c r="BP11909" s="197"/>
      <c r="BQ11909" s="197"/>
    </row>
    <row r="11910" spans="66:69" x14ac:dyDescent="0.2">
      <c r="BN11910" s="192"/>
      <c r="BO11910" s="197"/>
      <c r="BP11910" s="197"/>
      <c r="BQ11910" s="197"/>
    </row>
    <row r="11911" spans="66:69" x14ac:dyDescent="0.2">
      <c r="BN11911" s="192"/>
      <c r="BO11911" s="197"/>
      <c r="BP11911" s="197"/>
      <c r="BQ11911" s="197"/>
    </row>
    <row r="11912" spans="66:69" x14ac:dyDescent="0.2">
      <c r="BN11912" s="192"/>
      <c r="BO11912" s="197"/>
      <c r="BP11912" s="197"/>
      <c r="BQ11912" s="197"/>
    </row>
    <row r="11913" spans="66:69" x14ac:dyDescent="0.2">
      <c r="BN11913" s="192"/>
      <c r="BO11913" s="197"/>
      <c r="BP11913" s="197"/>
      <c r="BQ11913" s="197"/>
    </row>
    <row r="11914" spans="66:69" x14ac:dyDescent="0.2">
      <c r="BN11914" s="192"/>
      <c r="BO11914" s="197"/>
      <c r="BP11914" s="197"/>
      <c r="BQ11914" s="197"/>
    </row>
    <row r="11915" spans="66:69" x14ac:dyDescent="0.2">
      <c r="BN11915" s="192"/>
      <c r="BO11915" s="197"/>
      <c r="BP11915" s="197"/>
      <c r="BQ11915" s="197"/>
    </row>
    <row r="11916" spans="66:69" x14ac:dyDescent="0.2">
      <c r="BN11916" s="192"/>
      <c r="BO11916" s="197"/>
      <c r="BP11916" s="197"/>
      <c r="BQ11916" s="197"/>
    </row>
    <row r="11917" spans="66:69" x14ac:dyDescent="0.2">
      <c r="BN11917" s="192"/>
      <c r="BO11917" s="197"/>
      <c r="BP11917" s="197"/>
      <c r="BQ11917" s="197"/>
    </row>
    <row r="11918" spans="66:69" x14ac:dyDescent="0.2">
      <c r="BN11918" s="192"/>
      <c r="BO11918" s="197"/>
      <c r="BP11918" s="197"/>
      <c r="BQ11918" s="197"/>
    </row>
    <row r="11919" spans="66:69" x14ac:dyDescent="0.2">
      <c r="BN11919" s="192"/>
      <c r="BO11919" s="197"/>
      <c r="BP11919" s="197"/>
      <c r="BQ11919" s="197"/>
    </row>
    <row r="11920" spans="66:69" x14ac:dyDescent="0.2">
      <c r="BN11920" s="192"/>
      <c r="BO11920" s="197"/>
      <c r="BP11920" s="197"/>
      <c r="BQ11920" s="197"/>
    </row>
    <row r="11921" spans="66:69" x14ac:dyDescent="0.2">
      <c r="BN11921" s="192"/>
      <c r="BO11921" s="197"/>
      <c r="BP11921" s="197"/>
      <c r="BQ11921" s="197"/>
    </row>
    <row r="11922" spans="66:69" x14ac:dyDescent="0.2">
      <c r="BN11922" s="192"/>
      <c r="BO11922" s="197"/>
      <c r="BP11922" s="197"/>
      <c r="BQ11922" s="197"/>
    </row>
    <row r="11923" spans="66:69" x14ac:dyDescent="0.2">
      <c r="BN11923" s="192"/>
      <c r="BO11923" s="197"/>
      <c r="BP11923" s="197"/>
      <c r="BQ11923" s="197"/>
    </row>
    <row r="11924" spans="66:69" x14ac:dyDescent="0.2">
      <c r="BN11924" s="192"/>
      <c r="BO11924" s="197"/>
      <c r="BP11924" s="197"/>
      <c r="BQ11924" s="197"/>
    </row>
    <row r="11925" spans="66:69" x14ac:dyDescent="0.2">
      <c r="BN11925" s="192"/>
      <c r="BO11925" s="197"/>
      <c r="BP11925" s="197"/>
      <c r="BQ11925" s="197"/>
    </row>
    <row r="11926" spans="66:69" x14ac:dyDescent="0.2">
      <c r="BN11926" s="192"/>
      <c r="BO11926" s="197"/>
      <c r="BP11926" s="197"/>
      <c r="BQ11926" s="197"/>
    </row>
    <row r="11927" spans="66:69" x14ac:dyDescent="0.2">
      <c r="BN11927" s="192"/>
      <c r="BO11927" s="197"/>
      <c r="BP11927" s="197"/>
      <c r="BQ11927" s="197"/>
    </row>
    <row r="11928" spans="66:69" x14ac:dyDescent="0.2">
      <c r="BN11928" s="192"/>
      <c r="BO11928" s="197"/>
      <c r="BP11928" s="197"/>
      <c r="BQ11928" s="197"/>
    </row>
    <row r="11929" spans="66:69" x14ac:dyDescent="0.2">
      <c r="BN11929" s="192"/>
      <c r="BO11929" s="197"/>
      <c r="BP11929" s="197"/>
      <c r="BQ11929" s="197"/>
    </row>
    <row r="11930" spans="66:69" x14ac:dyDescent="0.2">
      <c r="BN11930" s="192"/>
      <c r="BO11930" s="197"/>
      <c r="BP11930" s="197"/>
      <c r="BQ11930" s="197"/>
    </row>
    <row r="11931" spans="66:69" x14ac:dyDescent="0.2">
      <c r="BN11931" s="192"/>
      <c r="BO11931" s="197"/>
      <c r="BP11931" s="197"/>
      <c r="BQ11931" s="197"/>
    </row>
    <row r="11932" spans="66:69" x14ac:dyDescent="0.2">
      <c r="BN11932" s="192"/>
      <c r="BO11932" s="197"/>
      <c r="BP11932" s="197"/>
      <c r="BQ11932" s="197"/>
    </row>
    <row r="11933" spans="66:69" x14ac:dyDescent="0.2">
      <c r="BN11933" s="192"/>
      <c r="BO11933" s="197"/>
      <c r="BP11933" s="197"/>
      <c r="BQ11933" s="197"/>
    </row>
    <row r="11934" spans="66:69" x14ac:dyDescent="0.2">
      <c r="BN11934" s="192"/>
      <c r="BO11934" s="197"/>
      <c r="BP11934" s="197"/>
      <c r="BQ11934" s="197"/>
    </row>
    <row r="11935" spans="66:69" x14ac:dyDescent="0.2">
      <c r="BN11935" s="192"/>
      <c r="BO11935" s="197"/>
      <c r="BP11935" s="197"/>
      <c r="BQ11935" s="197"/>
    </row>
    <row r="11936" spans="66:69" x14ac:dyDescent="0.2">
      <c r="BN11936" s="192"/>
      <c r="BO11936" s="197"/>
      <c r="BP11936" s="197"/>
      <c r="BQ11936" s="197"/>
    </row>
    <row r="11937" spans="66:69" x14ac:dyDescent="0.2">
      <c r="BN11937" s="192"/>
      <c r="BO11937" s="197"/>
      <c r="BP11937" s="197"/>
      <c r="BQ11937" s="197"/>
    </row>
    <row r="11938" spans="66:69" x14ac:dyDescent="0.2">
      <c r="BN11938" s="192"/>
      <c r="BO11938" s="197"/>
      <c r="BP11938" s="197"/>
      <c r="BQ11938" s="197"/>
    </row>
    <row r="11939" spans="66:69" x14ac:dyDescent="0.2">
      <c r="BN11939" s="192"/>
      <c r="BO11939" s="197"/>
      <c r="BP11939" s="197"/>
      <c r="BQ11939" s="197"/>
    </row>
    <row r="11940" spans="66:69" x14ac:dyDescent="0.2">
      <c r="BN11940" s="192"/>
      <c r="BO11940" s="197"/>
      <c r="BP11940" s="197"/>
      <c r="BQ11940" s="197"/>
    </row>
    <row r="11941" spans="66:69" x14ac:dyDescent="0.2">
      <c r="BN11941" s="192"/>
      <c r="BO11941" s="197"/>
      <c r="BP11941" s="197"/>
      <c r="BQ11941" s="197"/>
    </row>
    <row r="11942" spans="66:69" x14ac:dyDescent="0.2">
      <c r="BN11942" s="192"/>
      <c r="BO11942" s="197"/>
      <c r="BP11942" s="197"/>
      <c r="BQ11942" s="197"/>
    </row>
    <row r="11943" spans="66:69" x14ac:dyDescent="0.2">
      <c r="BN11943" s="192"/>
      <c r="BO11943" s="197"/>
      <c r="BP11943" s="197"/>
      <c r="BQ11943" s="197"/>
    </row>
    <row r="11944" spans="66:69" x14ac:dyDescent="0.2">
      <c r="BN11944" s="192"/>
      <c r="BO11944" s="197"/>
      <c r="BP11944" s="197"/>
      <c r="BQ11944" s="197"/>
    </row>
    <row r="11945" spans="66:69" x14ac:dyDescent="0.2">
      <c r="BN11945" s="192"/>
      <c r="BO11945" s="197"/>
      <c r="BP11945" s="197"/>
      <c r="BQ11945" s="197"/>
    </row>
    <row r="11946" spans="66:69" x14ac:dyDescent="0.2">
      <c r="BN11946" s="192"/>
      <c r="BO11946" s="197"/>
      <c r="BP11946" s="197"/>
      <c r="BQ11946" s="197"/>
    </row>
    <row r="11947" spans="66:69" x14ac:dyDescent="0.2">
      <c r="BN11947" s="192"/>
      <c r="BO11947" s="197"/>
      <c r="BP11947" s="197"/>
      <c r="BQ11947" s="197"/>
    </row>
    <row r="11948" spans="66:69" x14ac:dyDescent="0.2">
      <c r="BN11948" s="192"/>
      <c r="BO11948" s="197"/>
      <c r="BP11948" s="197"/>
      <c r="BQ11948" s="197"/>
    </row>
    <row r="11949" spans="66:69" x14ac:dyDescent="0.2">
      <c r="BN11949" s="192"/>
      <c r="BO11949" s="197"/>
      <c r="BP11949" s="197"/>
      <c r="BQ11949" s="197"/>
    </row>
    <row r="11950" spans="66:69" x14ac:dyDescent="0.2">
      <c r="BN11950" s="192"/>
      <c r="BO11950" s="197"/>
      <c r="BP11950" s="197"/>
      <c r="BQ11950" s="197"/>
    </row>
    <row r="11951" spans="66:69" x14ac:dyDescent="0.2">
      <c r="BN11951" s="192"/>
      <c r="BO11951" s="197"/>
      <c r="BP11951" s="197"/>
      <c r="BQ11951" s="197"/>
    </row>
    <row r="11952" spans="66:69" x14ac:dyDescent="0.2">
      <c r="BN11952" s="192"/>
      <c r="BO11952" s="197"/>
      <c r="BP11952" s="197"/>
      <c r="BQ11952" s="197"/>
    </row>
    <row r="11953" spans="66:69" x14ac:dyDescent="0.2">
      <c r="BN11953" s="192"/>
      <c r="BO11953" s="197"/>
      <c r="BP11953" s="197"/>
      <c r="BQ11953" s="197"/>
    </row>
    <row r="11954" spans="66:69" x14ac:dyDescent="0.2">
      <c r="BN11954" s="192"/>
      <c r="BO11954" s="197"/>
      <c r="BP11954" s="197"/>
      <c r="BQ11954" s="197"/>
    </row>
    <row r="11955" spans="66:69" x14ac:dyDescent="0.2">
      <c r="BN11955" s="192"/>
      <c r="BO11955" s="197"/>
      <c r="BP11955" s="197"/>
      <c r="BQ11955" s="197"/>
    </row>
    <row r="11956" spans="66:69" x14ac:dyDescent="0.2">
      <c r="BN11956" s="192"/>
      <c r="BO11956" s="197"/>
      <c r="BP11956" s="197"/>
      <c r="BQ11956" s="197"/>
    </row>
    <row r="11957" spans="66:69" x14ac:dyDescent="0.2">
      <c r="BN11957" s="192"/>
      <c r="BO11957" s="197"/>
      <c r="BP11957" s="197"/>
      <c r="BQ11957" s="197"/>
    </row>
    <row r="11958" spans="66:69" x14ac:dyDescent="0.2">
      <c r="BN11958" s="192"/>
      <c r="BO11958" s="197"/>
      <c r="BP11958" s="197"/>
      <c r="BQ11958" s="197"/>
    </row>
    <row r="11959" spans="66:69" x14ac:dyDescent="0.2">
      <c r="BN11959" s="192"/>
      <c r="BO11959" s="197"/>
      <c r="BP11959" s="197"/>
      <c r="BQ11959" s="197"/>
    </row>
    <row r="11960" spans="66:69" x14ac:dyDescent="0.2">
      <c r="BN11960" s="192"/>
      <c r="BO11960" s="197"/>
      <c r="BP11960" s="197"/>
      <c r="BQ11960" s="197"/>
    </row>
    <row r="11961" spans="66:69" x14ac:dyDescent="0.2">
      <c r="BN11961" s="192"/>
      <c r="BO11961" s="197"/>
      <c r="BP11961" s="197"/>
      <c r="BQ11961" s="197"/>
    </row>
    <row r="11962" spans="66:69" x14ac:dyDescent="0.2">
      <c r="BN11962" s="192"/>
      <c r="BO11962" s="197"/>
      <c r="BP11962" s="197"/>
      <c r="BQ11962" s="197"/>
    </row>
    <row r="11963" spans="66:69" x14ac:dyDescent="0.2">
      <c r="BN11963" s="192"/>
      <c r="BO11963" s="197"/>
      <c r="BP11963" s="197"/>
      <c r="BQ11963" s="197"/>
    </row>
    <row r="11964" spans="66:69" x14ac:dyDescent="0.2">
      <c r="BN11964" s="192"/>
      <c r="BO11964" s="197"/>
      <c r="BP11964" s="197"/>
      <c r="BQ11964" s="197"/>
    </row>
    <row r="11965" spans="66:69" x14ac:dyDescent="0.2">
      <c r="BN11965" s="192"/>
      <c r="BO11965" s="197"/>
      <c r="BP11965" s="197"/>
      <c r="BQ11965" s="197"/>
    </row>
    <row r="11966" spans="66:69" x14ac:dyDescent="0.2">
      <c r="BN11966" s="192"/>
      <c r="BO11966" s="197"/>
      <c r="BP11966" s="197"/>
      <c r="BQ11966" s="197"/>
    </row>
    <row r="11967" spans="66:69" x14ac:dyDescent="0.2">
      <c r="BN11967" s="192"/>
      <c r="BO11967" s="197"/>
      <c r="BP11967" s="197"/>
      <c r="BQ11967" s="197"/>
    </row>
    <row r="11968" spans="66:69" x14ac:dyDescent="0.2">
      <c r="BN11968" s="192"/>
      <c r="BO11968" s="197"/>
      <c r="BP11968" s="197"/>
      <c r="BQ11968" s="197"/>
    </row>
    <row r="11969" spans="66:69" x14ac:dyDescent="0.2">
      <c r="BN11969" s="192"/>
      <c r="BO11969" s="197"/>
      <c r="BP11969" s="197"/>
      <c r="BQ11969" s="197"/>
    </row>
    <row r="11970" spans="66:69" x14ac:dyDescent="0.2">
      <c r="BN11970" s="192"/>
      <c r="BO11970" s="197"/>
      <c r="BP11970" s="197"/>
      <c r="BQ11970" s="197"/>
    </row>
    <row r="11971" spans="66:69" x14ac:dyDescent="0.2">
      <c r="BN11971" s="192"/>
      <c r="BO11971" s="197"/>
      <c r="BP11971" s="197"/>
      <c r="BQ11971" s="197"/>
    </row>
    <row r="11972" spans="66:69" x14ac:dyDescent="0.2">
      <c r="BN11972" s="192"/>
      <c r="BO11972" s="197"/>
      <c r="BP11972" s="197"/>
      <c r="BQ11972" s="197"/>
    </row>
    <row r="11973" spans="66:69" x14ac:dyDescent="0.2">
      <c r="BN11973" s="192"/>
      <c r="BO11973" s="197"/>
      <c r="BP11973" s="197"/>
      <c r="BQ11973" s="197"/>
    </row>
    <row r="11974" spans="66:69" x14ac:dyDescent="0.2">
      <c r="BN11974" s="192"/>
      <c r="BO11974" s="197"/>
      <c r="BP11974" s="197"/>
      <c r="BQ11974" s="197"/>
    </row>
    <row r="11975" spans="66:69" x14ac:dyDescent="0.2">
      <c r="BN11975" s="192"/>
      <c r="BO11975" s="197"/>
      <c r="BP11975" s="197"/>
      <c r="BQ11975" s="197"/>
    </row>
    <row r="11976" spans="66:69" x14ac:dyDescent="0.2">
      <c r="BN11976" s="192"/>
      <c r="BO11976" s="197"/>
      <c r="BP11976" s="197"/>
      <c r="BQ11976" s="197"/>
    </row>
    <row r="11977" spans="66:69" x14ac:dyDescent="0.2">
      <c r="BN11977" s="192"/>
      <c r="BO11977" s="197"/>
      <c r="BP11977" s="197"/>
      <c r="BQ11977" s="197"/>
    </row>
    <row r="11978" spans="66:69" x14ac:dyDescent="0.2">
      <c r="BN11978" s="192"/>
      <c r="BO11978" s="197"/>
      <c r="BP11978" s="197"/>
      <c r="BQ11978" s="197"/>
    </row>
    <row r="11979" spans="66:69" x14ac:dyDescent="0.2">
      <c r="BN11979" s="192"/>
      <c r="BO11979" s="197"/>
      <c r="BP11979" s="197"/>
      <c r="BQ11979" s="197"/>
    </row>
    <row r="11980" spans="66:69" x14ac:dyDescent="0.2">
      <c r="BN11980" s="192"/>
      <c r="BO11980" s="197"/>
      <c r="BP11980" s="197"/>
      <c r="BQ11980" s="197"/>
    </row>
    <row r="11981" spans="66:69" x14ac:dyDescent="0.2">
      <c r="BN11981" s="192"/>
      <c r="BO11981" s="197"/>
      <c r="BP11981" s="197"/>
      <c r="BQ11981" s="197"/>
    </row>
    <row r="11982" spans="66:69" x14ac:dyDescent="0.2">
      <c r="BN11982" s="192"/>
      <c r="BO11982" s="197"/>
      <c r="BP11982" s="197"/>
      <c r="BQ11982" s="197"/>
    </row>
    <row r="11983" spans="66:69" x14ac:dyDescent="0.2">
      <c r="BN11983" s="192"/>
      <c r="BO11983" s="197"/>
      <c r="BP11983" s="197"/>
      <c r="BQ11983" s="197"/>
    </row>
    <row r="11984" spans="66:69" x14ac:dyDescent="0.2">
      <c r="BN11984" s="192"/>
      <c r="BO11984" s="197"/>
      <c r="BP11984" s="197"/>
      <c r="BQ11984" s="197"/>
    </row>
    <row r="11985" spans="66:69" x14ac:dyDescent="0.2">
      <c r="BN11985" s="192"/>
      <c r="BO11985" s="197"/>
      <c r="BP11985" s="197"/>
      <c r="BQ11985" s="197"/>
    </row>
    <row r="11986" spans="66:69" x14ac:dyDescent="0.2">
      <c r="BN11986" s="192"/>
      <c r="BO11986" s="197"/>
      <c r="BP11986" s="197"/>
      <c r="BQ11986" s="197"/>
    </row>
    <row r="11987" spans="66:69" x14ac:dyDescent="0.2">
      <c r="BN11987" s="192"/>
      <c r="BO11987" s="197"/>
      <c r="BP11987" s="197"/>
      <c r="BQ11987" s="197"/>
    </row>
    <row r="11988" spans="66:69" x14ac:dyDescent="0.2">
      <c r="BN11988" s="192"/>
      <c r="BO11988" s="197"/>
      <c r="BP11988" s="197"/>
      <c r="BQ11988" s="197"/>
    </row>
    <row r="11989" spans="66:69" x14ac:dyDescent="0.2">
      <c r="BN11989" s="192"/>
      <c r="BO11989" s="197"/>
      <c r="BP11989" s="197"/>
      <c r="BQ11989" s="197"/>
    </row>
    <row r="11990" spans="66:69" x14ac:dyDescent="0.2">
      <c r="BN11990" s="192"/>
      <c r="BO11990" s="197"/>
      <c r="BP11990" s="197"/>
      <c r="BQ11990" s="197"/>
    </row>
    <row r="11991" spans="66:69" x14ac:dyDescent="0.2">
      <c r="BN11991" s="192"/>
      <c r="BO11991" s="197"/>
      <c r="BP11991" s="197"/>
      <c r="BQ11991" s="197"/>
    </row>
    <row r="11992" spans="66:69" x14ac:dyDescent="0.2">
      <c r="BN11992" s="192"/>
      <c r="BO11992" s="197"/>
      <c r="BP11992" s="197"/>
      <c r="BQ11992" s="197"/>
    </row>
    <row r="11993" spans="66:69" x14ac:dyDescent="0.2">
      <c r="BN11993" s="192"/>
      <c r="BO11993" s="197"/>
      <c r="BP11993" s="197"/>
      <c r="BQ11993" s="197"/>
    </row>
    <row r="11994" spans="66:69" x14ac:dyDescent="0.2">
      <c r="BN11994" s="192"/>
      <c r="BO11994" s="197"/>
      <c r="BP11994" s="197"/>
      <c r="BQ11994" s="197"/>
    </row>
    <row r="11995" spans="66:69" x14ac:dyDescent="0.2">
      <c r="BN11995" s="192"/>
      <c r="BO11995" s="197"/>
      <c r="BP11995" s="197"/>
      <c r="BQ11995" s="197"/>
    </row>
    <row r="11996" spans="66:69" x14ac:dyDescent="0.2">
      <c r="BN11996" s="192"/>
      <c r="BO11996" s="197"/>
      <c r="BP11996" s="197"/>
      <c r="BQ11996" s="197"/>
    </row>
    <row r="11997" spans="66:69" x14ac:dyDescent="0.2">
      <c r="BN11997" s="192"/>
      <c r="BO11997" s="197"/>
      <c r="BP11997" s="197"/>
      <c r="BQ11997" s="197"/>
    </row>
    <row r="11998" spans="66:69" x14ac:dyDescent="0.2">
      <c r="BN11998" s="192"/>
      <c r="BO11998" s="197"/>
      <c r="BP11998" s="197"/>
      <c r="BQ11998" s="197"/>
    </row>
    <row r="11999" spans="66:69" x14ac:dyDescent="0.2">
      <c r="BN11999" s="192"/>
      <c r="BO11999" s="197"/>
      <c r="BP11999" s="197"/>
      <c r="BQ11999" s="197"/>
    </row>
    <row r="12000" spans="66:69" x14ac:dyDescent="0.2">
      <c r="BN12000" s="192"/>
      <c r="BO12000" s="197"/>
      <c r="BP12000" s="197"/>
      <c r="BQ12000" s="197"/>
    </row>
    <row r="12001" spans="66:69" x14ac:dyDescent="0.2">
      <c r="BN12001" s="192"/>
      <c r="BO12001" s="197"/>
      <c r="BP12001" s="197"/>
      <c r="BQ12001" s="197"/>
    </row>
    <row r="12002" spans="66:69" x14ac:dyDescent="0.2">
      <c r="BN12002" s="192"/>
      <c r="BO12002" s="197"/>
      <c r="BP12002" s="197"/>
      <c r="BQ12002" s="197"/>
    </row>
    <row r="12003" spans="66:69" x14ac:dyDescent="0.2">
      <c r="BN12003" s="192"/>
      <c r="BO12003" s="197"/>
      <c r="BP12003" s="197"/>
      <c r="BQ12003" s="197"/>
    </row>
    <row r="12004" spans="66:69" x14ac:dyDescent="0.2">
      <c r="BN12004" s="192"/>
      <c r="BO12004" s="197"/>
      <c r="BP12004" s="197"/>
      <c r="BQ12004" s="197"/>
    </row>
    <row r="12005" spans="66:69" x14ac:dyDescent="0.2">
      <c r="BN12005" s="192"/>
      <c r="BO12005" s="197"/>
      <c r="BP12005" s="197"/>
      <c r="BQ12005" s="197"/>
    </row>
    <row r="12006" spans="66:69" x14ac:dyDescent="0.2">
      <c r="BN12006" s="192"/>
      <c r="BO12006" s="197"/>
      <c r="BP12006" s="197"/>
      <c r="BQ12006" s="197"/>
    </row>
    <row r="12007" spans="66:69" x14ac:dyDescent="0.2">
      <c r="BN12007" s="192"/>
      <c r="BO12007" s="197"/>
      <c r="BP12007" s="197"/>
      <c r="BQ12007" s="197"/>
    </row>
    <row r="12008" spans="66:69" x14ac:dyDescent="0.2">
      <c r="BN12008" s="192"/>
      <c r="BO12008" s="197"/>
      <c r="BP12008" s="197"/>
      <c r="BQ12008" s="197"/>
    </row>
    <row r="12009" spans="66:69" x14ac:dyDescent="0.2">
      <c r="BN12009" s="192"/>
      <c r="BO12009" s="197"/>
      <c r="BP12009" s="197"/>
      <c r="BQ12009" s="197"/>
    </row>
    <row r="12010" spans="66:69" x14ac:dyDescent="0.2">
      <c r="BN12010" s="192"/>
      <c r="BO12010" s="197"/>
      <c r="BP12010" s="197"/>
      <c r="BQ12010" s="197"/>
    </row>
    <row r="12011" spans="66:69" x14ac:dyDescent="0.2">
      <c r="BN12011" s="192"/>
      <c r="BO12011" s="197"/>
      <c r="BP12011" s="197"/>
      <c r="BQ12011" s="197"/>
    </row>
    <row r="12012" spans="66:69" x14ac:dyDescent="0.2">
      <c r="BN12012" s="192"/>
      <c r="BO12012" s="197"/>
      <c r="BP12012" s="197"/>
      <c r="BQ12012" s="197"/>
    </row>
    <row r="12013" spans="66:69" x14ac:dyDescent="0.2">
      <c r="BN12013" s="192"/>
      <c r="BO12013" s="197"/>
      <c r="BP12013" s="197"/>
      <c r="BQ12013" s="197"/>
    </row>
    <row r="12014" spans="66:69" x14ac:dyDescent="0.2">
      <c r="BN12014" s="192"/>
      <c r="BO12014" s="197"/>
      <c r="BP12014" s="197"/>
      <c r="BQ12014" s="197"/>
    </row>
    <row r="12015" spans="66:69" x14ac:dyDescent="0.2">
      <c r="BN12015" s="192"/>
      <c r="BO12015" s="197"/>
      <c r="BP12015" s="197"/>
      <c r="BQ12015" s="197"/>
    </row>
    <row r="12016" spans="66:69" x14ac:dyDescent="0.2">
      <c r="BN12016" s="192"/>
      <c r="BO12016" s="197"/>
      <c r="BP12016" s="197"/>
      <c r="BQ12016" s="197"/>
    </row>
    <row r="12017" spans="66:69" x14ac:dyDescent="0.2">
      <c r="BN12017" s="192"/>
      <c r="BO12017" s="197"/>
      <c r="BP12017" s="197"/>
      <c r="BQ12017" s="197"/>
    </row>
    <row r="12018" spans="66:69" x14ac:dyDescent="0.2">
      <c r="BN12018" s="192"/>
      <c r="BO12018" s="197"/>
      <c r="BP12018" s="197"/>
      <c r="BQ12018" s="197"/>
    </row>
    <row r="12019" spans="66:69" x14ac:dyDescent="0.2">
      <c r="BN12019" s="192"/>
      <c r="BO12019" s="197"/>
      <c r="BP12019" s="197"/>
      <c r="BQ12019" s="197"/>
    </row>
    <row r="12020" spans="66:69" x14ac:dyDescent="0.2">
      <c r="BN12020" s="192"/>
      <c r="BO12020" s="197"/>
      <c r="BP12020" s="197"/>
      <c r="BQ12020" s="197"/>
    </row>
    <row r="12021" spans="66:69" x14ac:dyDescent="0.2">
      <c r="BN12021" s="192"/>
      <c r="BO12021" s="197"/>
      <c r="BP12021" s="197"/>
      <c r="BQ12021" s="197"/>
    </row>
    <row r="12022" spans="66:69" x14ac:dyDescent="0.2">
      <c r="BN12022" s="192"/>
      <c r="BO12022" s="197"/>
      <c r="BP12022" s="197"/>
      <c r="BQ12022" s="197"/>
    </row>
    <row r="12023" spans="66:69" x14ac:dyDescent="0.2">
      <c r="BN12023" s="192"/>
      <c r="BO12023" s="197"/>
      <c r="BP12023" s="197"/>
      <c r="BQ12023" s="197"/>
    </row>
    <row r="12024" spans="66:69" x14ac:dyDescent="0.2">
      <c r="BN12024" s="192"/>
      <c r="BO12024" s="197"/>
      <c r="BP12024" s="197"/>
      <c r="BQ12024" s="197"/>
    </row>
    <row r="12025" spans="66:69" x14ac:dyDescent="0.2">
      <c r="BN12025" s="192"/>
      <c r="BO12025" s="197"/>
      <c r="BP12025" s="197"/>
      <c r="BQ12025" s="197"/>
    </row>
    <row r="12026" spans="66:69" x14ac:dyDescent="0.2">
      <c r="BN12026" s="192"/>
      <c r="BO12026" s="197"/>
      <c r="BP12026" s="197"/>
      <c r="BQ12026" s="197"/>
    </row>
    <row r="12027" spans="66:69" x14ac:dyDescent="0.2">
      <c r="BN12027" s="192"/>
      <c r="BO12027" s="197"/>
      <c r="BP12027" s="197"/>
      <c r="BQ12027" s="197"/>
    </row>
    <row r="12028" spans="66:69" x14ac:dyDescent="0.2">
      <c r="BN12028" s="192"/>
      <c r="BO12028" s="197"/>
      <c r="BP12028" s="197"/>
      <c r="BQ12028" s="197"/>
    </row>
    <row r="12029" spans="66:69" x14ac:dyDescent="0.2">
      <c r="BN12029" s="192"/>
      <c r="BO12029" s="197"/>
      <c r="BP12029" s="197"/>
      <c r="BQ12029" s="197"/>
    </row>
    <row r="12030" spans="66:69" x14ac:dyDescent="0.2">
      <c r="BN12030" s="192"/>
      <c r="BO12030" s="197"/>
      <c r="BP12030" s="197"/>
      <c r="BQ12030" s="197"/>
    </row>
    <row r="12031" spans="66:69" x14ac:dyDescent="0.2">
      <c r="BN12031" s="192"/>
      <c r="BO12031" s="197"/>
      <c r="BP12031" s="197"/>
      <c r="BQ12031" s="197"/>
    </row>
    <row r="12032" spans="66:69" x14ac:dyDescent="0.2">
      <c r="BN12032" s="192"/>
      <c r="BO12032" s="197"/>
      <c r="BP12032" s="197"/>
      <c r="BQ12032" s="197"/>
    </row>
    <row r="12033" spans="66:69" x14ac:dyDescent="0.2">
      <c r="BN12033" s="192"/>
      <c r="BO12033" s="197"/>
      <c r="BP12033" s="197"/>
      <c r="BQ12033" s="197"/>
    </row>
    <row r="12034" spans="66:69" x14ac:dyDescent="0.2">
      <c r="BN12034" s="192"/>
      <c r="BO12034" s="197"/>
      <c r="BP12034" s="197"/>
      <c r="BQ12034" s="197"/>
    </row>
    <row r="12035" spans="66:69" x14ac:dyDescent="0.2">
      <c r="BN12035" s="192"/>
      <c r="BO12035" s="197"/>
      <c r="BP12035" s="197"/>
      <c r="BQ12035" s="197"/>
    </row>
    <row r="12036" spans="66:69" x14ac:dyDescent="0.2">
      <c r="BN12036" s="192"/>
      <c r="BO12036" s="197"/>
      <c r="BP12036" s="197"/>
      <c r="BQ12036" s="197"/>
    </row>
    <row r="12037" spans="66:69" x14ac:dyDescent="0.2">
      <c r="BN12037" s="192"/>
      <c r="BO12037" s="197"/>
      <c r="BP12037" s="197"/>
      <c r="BQ12037" s="197"/>
    </row>
    <row r="12038" spans="66:69" x14ac:dyDescent="0.2">
      <c r="BN12038" s="192"/>
      <c r="BO12038" s="197"/>
      <c r="BP12038" s="197"/>
      <c r="BQ12038" s="197"/>
    </row>
    <row r="12039" spans="66:69" x14ac:dyDescent="0.2">
      <c r="BN12039" s="192"/>
      <c r="BO12039" s="197"/>
      <c r="BP12039" s="197"/>
      <c r="BQ12039" s="197"/>
    </row>
    <row r="12040" spans="66:69" x14ac:dyDescent="0.2">
      <c r="BN12040" s="192"/>
      <c r="BO12040" s="197"/>
      <c r="BP12040" s="197"/>
      <c r="BQ12040" s="197"/>
    </row>
    <row r="12041" spans="66:69" x14ac:dyDescent="0.2">
      <c r="BN12041" s="192"/>
      <c r="BO12041" s="197"/>
      <c r="BP12041" s="197"/>
      <c r="BQ12041" s="197"/>
    </row>
    <row r="12042" spans="66:69" x14ac:dyDescent="0.2">
      <c r="BN12042" s="192"/>
      <c r="BO12042" s="197"/>
      <c r="BP12042" s="197"/>
      <c r="BQ12042" s="197"/>
    </row>
    <row r="12043" spans="66:69" x14ac:dyDescent="0.2">
      <c r="BN12043" s="192"/>
      <c r="BO12043" s="197"/>
      <c r="BP12043" s="197"/>
      <c r="BQ12043" s="197"/>
    </row>
    <row r="12044" spans="66:69" x14ac:dyDescent="0.2">
      <c r="BN12044" s="192"/>
      <c r="BO12044" s="197"/>
      <c r="BP12044" s="197"/>
      <c r="BQ12044" s="197"/>
    </row>
    <row r="12045" spans="66:69" x14ac:dyDescent="0.2">
      <c r="BN12045" s="192"/>
      <c r="BO12045" s="197"/>
      <c r="BP12045" s="197"/>
      <c r="BQ12045" s="197"/>
    </row>
    <row r="12046" spans="66:69" x14ac:dyDescent="0.2">
      <c r="BN12046" s="192"/>
      <c r="BO12046" s="197"/>
      <c r="BP12046" s="197"/>
      <c r="BQ12046" s="197"/>
    </row>
    <row r="12047" spans="66:69" x14ac:dyDescent="0.2">
      <c r="BN12047" s="192"/>
      <c r="BO12047" s="197"/>
      <c r="BP12047" s="197"/>
      <c r="BQ12047" s="197"/>
    </row>
    <row r="12048" spans="66:69" x14ac:dyDescent="0.2">
      <c r="BN12048" s="192"/>
      <c r="BO12048" s="197"/>
      <c r="BP12048" s="197"/>
      <c r="BQ12048" s="197"/>
    </row>
    <row r="12049" spans="66:69" x14ac:dyDescent="0.2">
      <c r="BN12049" s="192"/>
      <c r="BO12049" s="197"/>
      <c r="BP12049" s="197"/>
      <c r="BQ12049" s="197"/>
    </row>
    <row r="12050" spans="66:69" x14ac:dyDescent="0.2">
      <c r="BN12050" s="192"/>
      <c r="BO12050" s="197"/>
      <c r="BP12050" s="197"/>
      <c r="BQ12050" s="197"/>
    </row>
    <row r="12051" spans="66:69" x14ac:dyDescent="0.2">
      <c r="BN12051" s="192"/>
      <c r="BO12051" s="197"/>
      <c r="BP12051" s="197"/>
      <c r="BQ12051" s="197"/>
    </row>
    <row r="12052" spans="66:69" x14ac:dyDescent="0.2">
      <c r="BN12052" s="192"/>
      <c r="BO12052" s="197"/>
      <c r="BP12052" s="197"/>
      <c r="BQ12052" s="197"/>
    </row>
    <row r="12053" spans="66:69" x14ac:dyDescent="0.2">
      <c r="BN12053" s="192"/>
      <c r="BO12053" s="197"/>
      <c r="BP12053" s="197"/>
      <c r="BQ12053" s="197"/>
    </row>
    <row r="12054" spans="66:69" x14ac:dyDescent="0.2">
      <c r="BN12054" s="192"/>
      <c r="BO12054" s="197"/>
      <c r="BP12054" s="197"/>
      <c r="BQ12054" s="197"/>
    </row>
    <row r="12055" spans="66:69" x14ac:dyDescent="0.2">
      <c r="BN12055" s="192"/>
      <c r="BO12055" s="197"/>
      <c r="BP12055" s="197"/>
      <c r="BQ12055" s="197"/>
    </row>
    <row r="12056" spans="66:69" x14ac:dyDescent="0.2">
      <c r="BN12056" s="192"/>
      <c r="BO12056" s="197"/>
      <c r="BP12056" s="197"/>
      <c r="BQ12056" s="197"/>
    </row>
    <row r="12057" spans="66:69" x14ac:dyDescent="0.2">
      <c r="BN12057" s="192"/>
      <c r="BO12057" s="197"/>
      <c r="BP12057" s="197"/>
      <c r="BQ12057" s="197"/>
    </row>
    <row r="12058" spans="66:69" x14ac:dyDescent="0.2">
      <c r="BN12058" s="192"/>
      <c r="BO12058" s="197"/>
      <c r="BP12058" s="197"/>
      <c r="BQ12058" s="197"/>
    </row>
    <row r="12059" spans="66:69" x14ac:dyDescent="0.2">
      <c r="BN12059" s="192"/>
      <c r="BO12059" s="197"/>
      <c r="BP12059" s="197"/>
      <c r="BQ12059" s="197"/>
    </row>
    <row r="12060" spans="66:69" x14ac:dyDescent="0.2">
      <c r="BN12060" s="192"/>
      <c r="BO12060" s="197"/>
      <c r="BP12060" s="197"/>
      <c r="BQ12060" s="197"/>
    </row>
    <row r="12061" spans="66:69" x14ac:dyDescent="0.2">
      <c r="BN12061" s="192"/>
      <c r="BO12061" s="197"/>
      <c r="BP12061" s="197"/>
      <c r="BQ12061" s="197"/>
    </row>
    <row r="12062" spans="66:69" x14ac:dyDescent="0.2">
      <c r="BN12062" s="192"/>
      <c r="BO12062" s="197"/>
      <c r="BP12062" s="197"/>
      <c r="BQ12062" s="197"/>
    </row>
    <row r="12063" spans="66:69" x14ac:dyDescent="0.2">
      <c r="BN12063" s="192"/>
      <c r="BO12063" s="197"/>
      <c r="BP12063" s="197"/>
      <c r="BQ12063" s="197"/>
    </row>
    <row r="12064" spans="66:69" x14ac:dyDescent="0.2">
      <c r="BN12064" s="192"/>
      <c r="BO12064" s="197"/>
      <c r="BP12064" s="197"/>
      <c r="BQ12064" s="197"/>
    </row>
    <row r="12065" spans="66:69" x14ac:dyDescent="0.2">
      <c r="BN12065" s="192"/>
      <c r="BO12065" s="197"/>
      <c r="BP12065" s="197"/>
      <c r="BQ12065" s="197"/>
    </row>
    <row r="12066" spans="66:69" x14ac:dyDescent="0.2">
      <c r="BN12066" s="192"/>
      <c r="BO12066" s="197"/>
      <c r="BP12066" s="197"/>
      <c r="BQ12066" s="197"/>
    </row>
    <row r="12067" spans="66:69" x14ac:dyDescent="0.2">
      <c r="BN12067" s="192"/>
      <c r="BO12067" s="197"/>
      <c r="BP12067" s="197"/>
      <c r="BQ12067" s="197"/>
    </row>
    <row r="12068" spans="66:69" x14ac:dyDescent="0.2">
      <c r="BN12068" s="192"/>
      <c r="BO12068" s="197"/>
      <c r="BP12068" s="197"/>
      <c r="BQ12068" s="197"/>
    </row>
    <row r="12069" spans="66:69" x14ac:dyDescent="0.2">
      <c r="BN12069" s="192"/>
      <c r="BO12069" s="197"/>
      <c r="BP12069" s="197"/>
      <c r="BQ12069" s="197"/>
    </row>
    <row r="12070" spans="66:69" x14ac:dyDescent="0.2">
      <c r="BN12070" s="192"/>
      <c r="BO12070" s="197"/>
      <c r="BP12070" s="197"/>
      <c r="BQ12070" s="197"/>
    </row>
    <row r="12071" spans="66:69" x14ac:dyDescent="0.2">
      <c r="BN12071" s="192"/>
      <c r="BO12071" s="197"/>
      <c r="BP12071" s="197"/>
      <c r="BQ12071" s="197"/>
    </row>
    <row r="12072" spans="66:69" x14ac:dyDescent="0.2">
      <c r="BN12072" s="192"/>
      <c r="BO12072" s="197"/>
      <c r="BP12072" s="197"/>
      <c r="BQ12072" s="197"/>
    </row>
    <row r="12073" spans="66:69" x14ac:dyDescent="0.2">
      <c r="BN12073" s="192"/>
      <c r="BO12073" s="197"/>
      <c r="BP12073" s="197"/>
      <c r="BQ12073" s="197"/>
    </row>
    <row r="12074" spans="66:69" x14ac:dyDescent="0.2">
      <c r="BN12074" s="192"/>
      <c r="BO12074" s="197"/>
      <c r="BP12074" s="197"/>
      <c r="BQ12074" s="197"/>
    </row>
    <row r="12075" spans="66:69" x14ac:dyDescent="0.2">
      <c r="BN12075" s="192"/>
      <c r="BO12075" s="197"/>
      <c r="BP12075" s="197"/>
      <c r="BQ12075" s="197"/>
    </row>
    <row r="12076" spans="66:69" x14ac:dyDescent="0.2">
      <c r="BN12076" s="192"/>
      <c r="BO12076" s="197"/>
      <c r="BP12076" s="197"/>
      <c r="BQ12076" s="197"/>
    </row>
    <row r="12077" spans="66:69" x14ac:dyDescent="0.2">
      <c r="BN12077" s="192"/>
      <c r="BO12077" s="197"/>
      <c r="BP12077" s="197"/>
      <c r="BQ12077" s="197"/>
    </row>
    <row r="12078" spans="66:69" x14ac:dyDescent="0.2">
      <c r="BN12078" s="192"/>
      <c r="BO12078" s="197"/>
      <c r="BP12078" s="197"/>
      <c r="BQ12078" s="197"/>
    </row>
    <row r="12079" spans="66:69" x14ac:dyDescent="0.2">
      <c r="BN12079" s="192"/>
      <c r="BO12079" s="197"/>
      <c r="BP12079" s="197"/>
      <c r="BQ12079" s="197"/>
    </row>
    <row r="12080" spans="66:69" x14ac:dyDescent="0.2">
      <c r="BN12080" s="192"/>
      <c r="BO12080" s="197"/>
      <c r="BP12080" s="197"/>
      <c r="BQ12080" s="197"/>
    </row>
    <row r="12081" spans="66:69" x14ac:dyDescent="0.2">
      <c r="BN12081" s="192"/>
      <c r="BO12081" s="197"/>
      <c r="BP12081" s="197"/>
      <c r="BQ12081" s="197"/>
    </row>
    <row r="12082" spans="66:69" x14ac:dyDescent="0.2">
      <c r="BN12082" s="192"/>
      <c r="BO12082" s="197"/>
      <c r="BP12082" s="197"/>
      <c r="BQ12082" s="197"/>
    </row>
    <row r="12083" spans="66:69" x14ac:dyDescent="0.2">
      <c r="BN12083" s="192"/>
      <c r="BO12083" s="197"/>
      <c r="BP12083" s="197"/>
      <c r="BQ12083" s="197"/>
    </row>
    <row r="12084" spans="66:69" x14ac:dyDescent="0.2">
      <c r="BN12084" s="192"/>
      <c r="BO12084" s="197"/>
      <c r="BP12084" s="197"/>
      <c r="BQ12084" s="197"/>
    </row>
    <row r="12085" spans="66:69" x14ac:dyDescent="0.2">
      <c r="BN12085" s="192"/>
      <c r="BO12085" s="197"/>
      <c r="BP12085" s="197"/>
      <c r="BQ12085" s="197"/>
    </row>
    <row r="12086" spans="66:69" x14ac:dyDescent="0.2">
      <c r="BN12086" s="192"/>
      <c r="BO12086" s="197"/>
      <c r="BP12086" s="197"/>
      <c r="BQ12086" s="197"/>
    </row>
    <row r="12087" spans="66:69" x14ac:dyDescent="0.2">
      <c r="BN12087" s="192"/>
      <c r="BO12087" s="197"/>
      <c r="BP12087" s="197"/>
      <c r="BQ12087" s="197"/>
    </row>
    <row r="12088" spans="66:69" x14ac:dyDescent="0.2">
      <c r="BN12088" s="192"/>
      <c r="BO12088" s="197"/>
      <c r="BP12088" s="197"/>
      <c r="BQ12088" s="197"/>
    </row>
    <row r="12089" spans="66:69" x14ac:dyDescent="0.2">
      <c r="BN12089" s="192"/>
      <c r="BO12089" s="197"/>
      <c r="BP12089" s="197"/>
      <c r="BQ12089" s="197"/>
    </row>
    <row r="12090" spans="66:69" x14ac:dyDescent="0.2">
      <c r="BN12090" s="192"/>
      <c r="BO12090" s="197"/>
      <c r="BP12090" s="197"/>
      <c r="BQ12090" s="197"/>
    </row>
    <row r="12091" spans="66:69" x14ac:dyDescent="0.2">
      <c r="BN12091" s="192"/>
      <c r="BO12091" s="197"/>
      <c r="BP12091" s="197"/>
      <c r="BQ12091" s="197"/>
    </row>
    <row r="12092" spans="66:69" x14ac:dyDescent="0.2">
      <c r="BN12092" s="192"/>
      <c r="BO12092" s="197"/>
      <c r="BP12092" s="197"/>
      <c r="BQ12092" s="197"/>
    </row>
    <row r="12093" spans="66:69" x14ac:dyDescent="0.2">
      <c r="BN12093" s="192"/>
      <c r="BO12093" s="197"/>
      <c r="BP12093" s="197"/>
      <c r="BQ12093" s="197"/>
    </row>
    <row r="12094" spans="66:69" x14ac:dyDescent="0.2">
      <c r="BN12094" s="192"/>
      <c r="BO12094" s="197"/>
      <c r="BP12094" s="197"/>
      <c r="BQ12094" s="197"/>
    </row>
    <row r="12095" spans="66:69" x14ac:dyDescent="0.2">
      <c r="BN12095" s="192"/>
      <c r="BO12095" s="197"/>
      <c r="BP12095" s="197"/>
      <c r="BQ12095" s="197"/>
    </row>
    <row r="12096" spans="66:69" x14ac:dyDescent="0.2">
      <c r="BN12096" s="192"/>
      <c r="BO12096" s="197"/>
      <c r="BP12096" s="197"/>
      <c r="BQ12096" s="197"/>
    </row>
    <row r="12097" spans="66:69" x14ac:dyDescent="0.2">
      <c r="BN12097" s="192"/>
      <c r="BO12097" s="197"/>
      <c r="BP12097" s="197"/>
      <c r="BQ12097" s="197"/>
    </row>
    <row r="12098" spans="66:69" x14ac:dyDescent="0.2">
      <c r="BN12098" s="192"/>
      <c r="BO12098" s="197"/>
      <c r="BP12098" s="197"/>
      <c r="BQ12098" s="197"/>
    </row>
    <row r="12099" spans="66:69" x14ac:dyDescent="0.2">
      <c r="BN12099" s="192"/>
      <c r="BO12099" s="197"/>
      <c r="BP12099" s="197"/>
      <c r="BQ12099" s="197"/>
    </row>
    <row r="12100" spans="66:69" x14ac:dyDescent="0.2">
      <c r="BN12100" s="192"/>
      <c r="BO12100" s="197"/>
      <c r="BP12100" s="197"/>
      <c r="BQ12100" s="197"/>
    </row>
    <row r="12101" spans="66:69" x14ac:dyDescent="0.2">
      <c r="BN12101" s="192"/>
      <c r="BO12101" s="197"/>
      <c r="BP12101" s="197"/>
      <c r="BQ12101" s="197"/>
    </row>
    <row r="12102" spans="66:69" x14ac:dyDescent="0.2">
      <c r="BN12102" s="192"/>
      <c r="BO12102" s="197"/>
      <c r="BP12102" s="197"/>
      <c r="BQ12102" s="197"/>
    </row>
    <row r="12103" spans="66:69" x14ac:dyDescent="0.2">
      <c r="BN12103" s="192"/>
      <c r="BO12103" s="197"/>
      <c r="BP12103" s="197"/>
      <c r="BQ12103" s="197"/>
    </row>
    <row r="12104" spans="66:69" x14ac:dyDescent="0.2">
      <c r="BN12104" s="192"/>
      <c r="BO12104" s="197"/>
      <c r="BP12104" s="197"/>
      <c r="BQ12104" s="197"/>
    </row>
    <row r="12105" spans="66:69" x14ac:dyDescent="0.2">
      <c r="BN12105" s="192"/>
      <c r="BO12105" s="197"/>
      <c r="BP12105" s="197"/>
      <c r="BQ12105" s="197"/>
    </row>
    <row r="12106" spans="66:69" x14ac:dyDescent="0.2">
      <c r="BN12106" s="192"/>
      <c r="BO12106" s="197"/>
      <c r="BP12106" s="197"/>
      <c r="BQ12106" s="197"/>
    </row>
    <row r="12107" spans="66:69" x14ac:dyDescent="0.2">
      <c r="BN12107" s="192"/>
      <c r="BO12107" s="197"/>
      <c r="BP12107" s="197"/>
      <c r="BQ12107" s="197"/>
    </row>
    <row r="12108" spans="66:69" x14ac:dyDescent="0.2">
      <c r="BN12108" s="192"/>
      <c r="BO12108" s="197"/>
      <c r="BP12108" s="197"/>
      <c r="BQ12108" s="197"/>
    </row>
    <row r="12109" spans="66:69" x14ac:dyDescent="0.2">
      <c r="BN12109" s="192"/>
      <c r="BO12109" s="197"/>
      <c r="BP12109" s="197"/>
      <c r="BQ12109" s="197"/>
    </row>
    <row r="12110" spans="66:69" x14ac:dyDescent="0.2">
      <c r="BN12110" s="192"/>
      <c r="BO12110" s="197"/>
      <c r="BP12110" s="197"/>
      <c r="BQ12110" s="197"/>
    </row>
    <row r="12111" spans="66:69" x14ac:dyDescent="0.2">
      <c r="BN12111" s="192"/>
      <c r="BO12111" s="197"/>
      <c r="BP12111" s="197"/>
      <c r="BQ12111" s="197"/>
    </row>
    <row r="12112" spans="66:69" x14ac:dyDescent="0.2">
      <c r="BN12112" s="192"/>
      <c r="BO12112" s="197"/>
      <c r="BP12112" s="197"/>
      <c r="BQ12112" s="197"/>
    </row>
    <row r="12113" spans="66:69" x14ac:dyDescent="0.2">
      <c r="BN12113" s="192"/>
      <c r="BO12113" s="197"/>
      <c r="BP12113" s="197"/>
      <c r="BQ12113" s="197"/>
    </row>
    <row r="12114" spans="66:69" x14ac:dyDescent="0.2">
      <c r="BN12114" s="192"/>
      <c r="BO12114" s="197"/>
      <c r="BP12114" s="197"/>
      <c r="BQ12114" s="197"/>
    </row>
    <row r="12115" spans="66:69" x14ac:dyDescent="0.2">
      <c r="BN12115" s="192"/>
      <c r="BO12115" s="197"/>
      <c r="BP12115" s="197"/>
      <c r="BQ12115" s="197"/>
    </row>
    <row r="12116" spans="66:69" x14ac:dyDescent="0.2">
      <c r="BN12116" s="192"/>
      <c r="BO12116" s="197"/>
      <c r="BP12116" s="197"/>
      <c r="BQ12116" s="197"/>
    </row>
    <row r="12117" spans="66:69" x14ac:dyDescent="0.2">
      <c r="BN12117" s="192"/>
      <c r="BO12117" s="197"/>
      <c r="BP12117" s="197"/>
      <c r="BQ12117" s="197"/>
    </row>
    <row r="12118" spans="66:69" x14ac:dyDescent="0.2">
      <c r="BN12118" s="192"/>
      <c r="BO12118" s="197"/>
      <c r="BP12118" s="197"/>
      <c r="BQ12118" s="197"/>
    </row>
    <row r="12119" spans="66:69" x14ac:dyDescent="0.2">
      <c r="BN12119" s="192"/>
      <c r="BO12119" s="197"/>
      <c r="BP12119" s="197"/>
      <c r="BQ12119" s="197"/>
    </row>
    <row r="12120" spans="66:69" x14ac:dyDescent="0.2">
      <c r="BN12120" s="192"/>
      <c r="BO12120" s="197"/>
      <c r="BP12120" s="197"/>
      <c r="BQ12120" s="197"/>
    </row>
    <row r="12121" spans="66:69" x14ac:dyDescent="0.2">
      <c r="BN12121" s="192"/>
      <c r="BO12121" s="197"/>
      <c r="BP12121" s="197"/>
      <c r="BQ12121" s="197"/>
    </row>
    <row r="12122" spans="66:69" x14ac:dyDescent="0.2">
      <c r="BN12122" s="192"/>
      <c r="BO12122" s="197"/>
      <c r="BP12122" s="197"/>
      <c r="BQ12122" s="197"/>
    </row>
    <row r="12123" spans="66:69" x14ac:dyDescent="0.2">
      <c r="BN12123" s="192"/>
      <c r="BO12123" s="197"/>
      <c r="BP12123" s="197"/>
      <c r="BQ12123" s="197"/>
    </row>
    <row r="12124" spans="66:69" x14ac:dyDescent="0.2">
      <c r="BN12124" s="192"/>
      <c r="BO12124" s="197"/>
      <c r="BP12124" s="197"/>
      <c r="BQ12124" s="197"/>
    </row>
    <row r="12125" spans="66:69" x14ac:dyDescent="0.2">
      <c r="BN12125" s="192"/>
      <c r="BO12125" s="197"/>
      <c r="BP12125" s="197"/>
      <c r="BQ12125" s="197"/>
    </row>
    <row r="12126" spans="66:69" x14ac:dyDescent="0.2">
      <c r="BN12126" s="192"/>
      <c r="BO12126" s="197"/>
      <c r="BP12126" s="197"/>
      <c r="BQ12126" s="197"/>
    </row>
    <row r="12127" spans="66:69" x14ac:dyDescent="0.2">
      <c r="BN12127" s="192"/>
      <c r="BO12127" s="197"/>
      <c r="BP12127" s="197"/>
      <c r="BQ12127" s="197"/>
    </row>
    <row r="12128" spans="66:69" x14ac:dyDescent="0.2">
      <c r="BN12128" s="192"/>
      <c r="BO12128" s="197"/>
      <c r="BP12128" s="197"/>
      <c r="BQ12128" s="197"/>
    </row>
    <row r="12129" spans="66:69" x14ac:dyDescent="0.2">
      <c r="BN12129" s="192"/>
      <c r="BO12129" s="197"/>
      <c r="BP12129" s="197"/>
      <c r="BQ12129" s="197"/>
    </row>
    <row r="12130" spans="66:69" x14ac:dyDescent="0.2">
      <c r="BN12130" s="192"/>
      <c r="BO12130" s="197"/>
      <c r="BP12130" s="197"/>
      <c r="BQ12130" s="197"/>
    </row>
    <row r="12131" spans="66:69" x14ac:dyDescent="0.2">
      <c r="BN12131" s="192"/>
      <c r="BO12131" s="197"/>
      <c r="BP12131" s="197"/>
      <c r="BQ12131" s="197"/>
    </row>
    <row r="12132" spans="66:69" x14ac:dyDescent="0.2">
      <c r="BN12132" s="192"/>
      <c r="BO12132" s="197"/>
      <c r="BP12132" s="197"/>
      <c r="BQ12132" s="197"/>
    </row>
    <row r="12133" spans="66:69" x14ac:dyDescent="0.2">
      <c r="BN12133" s="192"/>
      <c r="BO12133" s="197"/>
      <c r="BP12133" s="197"/>
      <c r="BQ12133" s="197"/>
    </row>
    <row r="12134" spans="66:69" x14ac:dyDescent="0.2">
      <c r="BN12134" s="192"/>
      <c r="BO12134" s="197"/>
      <c r="BP12134" s="197"/>
      <c r="BQ12134" s="197"/>
    </row>
    <row r="12135" spans="66:69" x14ac:dyDescent="0.2">
      <c r="BN12135" s="192"/>
      <c r="BO12135" s="197"/>
      <c r="BP12135" s="197"/>
      <c r="BQ12135" s="197"/>
    </row>
    <row r="12136" spans="66:69" x14ac:dyDescent="0.2">
      <c r="BN12136" s="192"/>
      <c r="BO12136" s="197"/>
      <c r="BP12136" s="197"/>
      <c r="BQ12136" s="197"/>
    </row>
    <row r="12137" spans="66:69" x14ac:dyDescent="0.2">
      <c r="BN12137" s="192"/>
      <c r="BO12137" s="197"/>
      <c r="BP12137" s="197"/>
      <c r="BQ12137" s="197"/>
    </row>
    <row r="12138" spans="66:69" x14ac:dyDescent="0.2">
      <c r="BN12138" s="192"/>
      <c r="BO12138" s="197"/>
      <c r="BP12138" s="197"/>
      <c r="BQ12138" s="197"/>
    </row>
    <row r="12139" spans="66:69" x14ac:dyDescent="0.2">
      <c r="BN12139" s="192"/>
      <c r="BO12139" s="197"/>
      <c r="BP12139" s="197"/>
      <c r="BQ12139" s="197"/>
    </row>
    <row r="12140" spans="66:69" x14ac:dyDescent="0.2">
      <c r="BN12140" s="192"/>
      <c r="BO12140" s="197"/>
      <c r="BP12140" s="197"/>
      <c r="BQ12140" s="197"/>
    </row>
    <row r="12141" spans="66:69" x14ac:dyDescent="0.2">
      <c r="BN12141" s="192"/>
      <c r="BO12141" s="197"/>
      <c r="BP12141" s="197"/>
      <c r="BQ12141" s="197"/>
    </row>
    <row r="12142" spans="66:69" x14ac:dyDescent="0.2">
      <c r="BN12142" s="192"/>
      <c r="BO12142" s="197"/>
      <c r="BP12142" s="197"/>
      <c r="BQ12142" s="197"/>
    </row>
    <row r="12143" spans="66:69" x14ac:dyDescent="0.2">
      <c r="BN12143" s="192"/>
      <c r="BO12143" s="197"/>
      <c r="BP12143" s="197"/>
      <c r="BQ12143" s="197"/>
    </row>
    <row r="12144" spans="66:69" x14ac:dyDescent="0.2">
      <c r="BN12144" s="192"/>
      <c r="BO12144" s="197"/>
      <c r="BP12144" s="197"/>
      <c r="BQ12144" s="197"/>
    </row>
    <row r="12145" spans="66:69" x14ac:dyDescent="0.2">
      <c r="BN12145" s="192"/>
      <c r="BO12145" s="197"/>
      <c r="BP12145" s="197"/>
      <c r="BQ12145" s="197"/>
    </row>
    <row r="12146" spans="66:69" x14ac:dyDescent="0.2">
      <c r="BN12146" s="192"/>
      <c r="BO12146" s="197"/>
      <c r="BP12146" s="197"/>
      <c r="BQ12146" s="197"/>
    </row>
    <row r="12147" spans="66:69" x14ac:dyDescent="0.2">
      <c r="BN12147" s="192"/>
      <c r="BO12147" s="197"/>
      <c r="BP12147" s="197"/>
      <c r="BQ12147" s="197"/>
    </row>
    <row r="12148" spans="66:69" x14ac:dyDescent="0.2">
      <c r="BN12148" s="192"/>
      <c r="BO12148" s="197"/>
      <c r="BP12148" s="197"/>
      <c r="BQ12148" s="197"/>
    </row>
    <row r="12149" spans="66:69" x14ac:dyDescent="0.2">
      <c r="BN12149" s="192"/>
      <c r="BO12149" s="197"/>
      <c r="BP12149" s="197"/>
      <c r="BQ12149" s="197"/>
    </row>
    <row r="12150" spans="66:69" x14ac:dyDescent="0.2">
      <c r="BN12150" s="192"/>
      <c r="BO12150" s="197"/>
      <c r="BP12150" s="197"/>
      <c r="BQ12150" s="197"/>
    </row>
    <row r="12151" spans="66:69" x14ac:dyDescent="0.2">
      <c r="BN12151" s="192"/>
      <c r="BO12151" s="197"/>
      <c r="BP12151" s="197"/>
      <c r="BQ12151" s="197"/>
    </row>
    <row r="12152" spans="66:69" x14ac:dyDescent="0.2">
      <c r="BN12152" s="192"/>
      <c r="BO12152" s="197"/>
      <c r="BP12152" s="197"/>
      <c r="BQ12152" s="197"/>
    </row>
    <row r="12153" spans="66:69" x14ac:dyDescent="0.2">
      <c r="BN12153" s="192"/>
      <c r="BO12153" s="197"/>
      <c r="BP12153" s="197"/>
      <c r="BQ12153" s="197"/>
    </row>
    <row r="12154" spans="66:69" x14ac:dyDescent="0.2">
      <c r="BN12154" s="192"/>
      <c r="BO12154" s="197"/>
      <c r="BP12154" s="197"/>
      <c r="BQ12154" s="197"/>
    </row>
    <row r="12155" spans="66:69" x14ac:dyDescent="0.2">
      <c r="BN12155" s="192"/>
      <c r="BO12155" s="197"/>
      <c r="BP12155" s="197"/>
      <c r="BQ12155" s="197"/>
    </row>
    <row r="12156" spans="66:69" x14ac:dyDescent="0.2">
      <c r="BN12156" s="192"/>
      <c r="BO12156" s="197"/>
      <c r="BP12156" s="197"/>
      <c r="BQ12156" s="197"/>
    </row>
    <row r="12157" spans="66:69" x14ac:dyDescent="0.2">
      <c r="BN12157" s="192"/>
      <c r="BO12157" s="197"/>
      <c r="BP12157" s="197"/>
      <c r="BQ12157" s="197"/>
    </row>
    <row r="12158" spans="66:69" x14ac:dyDescent="0.2">
      <c r="BN12158" s="192"/>
      <c r="BO12158" s="197"/>
      <c r="BP12158" s="197"/>
      <c r="BQ12158" s="197"/>
    </row>
    <row r="12159" spans="66:69" x14ac:dyDescent="0.2">
      <c r="BN12159" s="192"/>
      <c r="BO12159" s="197"/>
      <c r="BP12159" s="197"/>
      <c r="BQ12159" s="197"/>
    </row>
    <row r="12160" spans="66:69" x14ac:dyDescent="0.2">
      <c r="BN12160" s="192"/>
      <c r="BO12160" s="197"/>
      <c r="BP12160" s="197"/>
      <c r="BQ12160" s="197"/>
    </row>
    <row r="12161" spans="66:69" x14ac:dyDescent="0.2">
      <c r="BN12161" s="192"/>
      <c r="BO12161" s="197"/>
      <c r="BP12161" s="197"/>
      <c r="BQ12161" s="197"/>
    </row>
    <row r="12162" spans="66:69" x14ac:dyDescent="0.2">
      <c r="BN12162" s="192"/>
      <c r="BO12162" s="197"/>
      <c r="BP12162" s="197"/>
      <c r="BQ12162" s="197"/>
    </row>
    <row r="12163" spans="66:69" x14ac:dyDescent="0.2">
      <c r="BN12163" s="192"/>
      <c r="BO12163" s="197"/>
      <c r="BP12163" s="197"/>
      <c r="BQ12163" s="197"/>
    </row>
    <row r="12164" spans="66:69" x14ac:dyDescent="0.2">
      <c r="BN12164" s="192"/>
      <c r="BO12164" s="197"/>
      <c r="BP12164" s="197"/>
      <c r="BQ12164" s="197"/>
    </row>
    <row r="12165" spans="66:69" x14ac:dyDescent="0.2">
      <c r="BN12165" s="192"/>
      <c r="BO12165" s="197"/>
      <c r="BP12165" s="197"/>
      <c r="BQ12165" s="197"/>
    </row>
    <row r="12166" spans="66:69" x14ac:dyDescent="0.2">
      <c r="BN12166" s="192"/>
      <c r="BO12166" s="197"/>
      <c r="BP12166" s="197"/>
      <c r="BQ12166" s="197"/>
    </row>
    <row r="12167" spans="66:69" x14ac:dyDescent="0.2">
      <c r="BN12167" s="192"/>
      <c r="BO12167" s="197"/>
      <c r="BP12167" s="197"/>
      <c r="BQ12167" s="197"/>
    </row>
    <row r="12168" spans="66:69" x14ac:dyDescent="0.2">
      <c r="BN12168" s="192"/>
      <c r="BO12168" s="197"/>
      <c r="BP12168" s="197"/>
      <c r="BQ12168" s="197"/>
    </row>
    <row r="12169" spans="66:69" x14ac:dyDescent="0.2">
      <c r="BN12169" s="192"/>
      <c r="BO12169" s="197"/>
      <c r="BP12169" s="197"/>
      <c r="BQ12169" s="197"/>
    </row>
    <row r="12170" spans="66:69" x14ac:dyDescent="0.2">
      <c r="BN12170" s="192"/>
      <c r="BO12170" s="197"/>
      <c r="BP12170" s="197"/>
      <c r="BQ12170" s="197"/>
    </row>
    <row r="12171" spans="66:69" x14ac:dyDescent="0.2">
      <c r="BN12171" s="192"/>
      <c r="BO12171" s="197"/>
      <c r="BP12171" s="197"/>
      <c r="BQ12171" s="197"/>
    </row>
    <row r="12172" spans="66:69" x14ac:dyDescent="0.2">
      <c r="BN12172" s="192"/>
      <c r="BO12172" s="197"/>
      <c r="BP12172" s="197"/>
      <c r="BQ12172" s="197"/>
    </row>
    <row r="12173" spans="66:69" x14ac:dyDescent="0.2">
      <c r="BN12173" s="192"/>
      <c r="BO12173" s="197"/>
      <c r="BP12173" s="197"/>
      <c r="BQ12173" s="197"/>
    </row>
    <row r="12174" spans="66:69" x14ac:dyDescent="0.2">
      <c r="BN12174" s="192"/>
      <c r="BO12174" s="197"/>
      <c r="BP12174" s="197"/>
      <c r="BQ12174" s="197"/>
    </row>
    <row r="12175" spans="66:69" x14ac:dyDescent="0.2">
      <c r="BN12175" s="192"/>
      <c r="BO12175" s="197"/>
      <c r="BP12175" s="197"/>
      <c r="BQ12175" s="197"/>
    </row>
    <row r="12176" spans="66:69" x14ac:dyDescent="0.2">
      <c r="BN12176" s="192"/>
      <c r="BO12176" s="197"/>
      <c r="BP12176" s="197"/>
      <c r="BQ12176" s="197"/>
    </row>
    <row r="12177" spans="66:69" x14ac:dyDescent="0.2">
      <c r="BN12177" s="192"/>
      <c r="BO12177" s="197"/>
      <c r="BP12177" s="197"/>
      <c r="BQ12177" s="197"/>
    </row>
    <row r="12178" spans="66:69" x14ac:dyDescent="0.2">
      <c r="BN12178" s="192"/>
      <c r="BO12178" s="197"/>
      <c r="BP12178" s="197"/>
      <c r="BQ12178" s="197"/>
    </row>
    <row r="12179" spans="66:69" x14ac:dyDescent="0.2">
      <c r="BN12179" s="192"/>
      <c r="BO12179" s="197"/>
      <c r="BP12179" s="197"/>
      <c r="BQ12179" s="197"/>
    </row>
    <row r="12180" spans="66:69" x14ac:dyDescent="0.2">
      <c r="BN12180" s="192"/>
      <c r="BO12180" s="197"/>
      <c r="BP12180" s="197"/>
      <c r="BQ12180" s="197"/>
    </row>
    <row r="12181" spans="66:69" x14ac:dyDescent="0.2">
      <c r="BN12181" s="192"/>
      <c r="BO12181" s="197"/>
      <c r="BP12181" s="197"/>
      <c r="BQ12181" s="197"/>
    </row>
    <row r="12182" spans="66:69" x14ac:dyDescent="0.2">
      <c r="BN12182" s="192"/>
      <c r="BO12182" s="197"/>
      <c r="BP12182" s="197"/>
      <c r="BQ12182" s="197"/>
    </row>
    <row r="12183" spans="66:69" x14ac:dyDescent="0.2">
      <c r="BN12183" s="192"/>
      <c r="BO12183" s="197"/>
      <c r="BP12183" s="197"/>
      <c r="BQ12183" s="197"/>
    </row>
    <row r="12184" spans="66:69" x14ac:dyDescent="0.2">
      <c r="BN12184" s="192"/>
      <c r="BO12184" s="197"/>
      <c r="BP12184" s="197"/>
      <c r="BQ12184" s="197"/>
    </row>
    <row r="12185" spans="66:69" x14ac:dyDescent="0.2">
      <c r="BN12185" s="192"/>
      <c r="BO12185" s="197"/>
      <c r="BP12185" s="197"/>
      <c r="BQ12185" s="197"/>
    </row>
    <row r="12186" spans="66:69" x14ac:dyDescent="0.2">
      <c r="BN12186" s="192"/>
      <c r="BO12186" s="197"/>
      <c r="BP12186" s="197"/>
      <c r="BQ12186" s="197"/>
    </row>
    <row r="12187" spans="66:69" x14ac:dyDescent="0.2">
      <c r="BN12187" s="192"/>
      <c r="BO12187" s="197"/>
      <c r="BP12187" s="197"/>
      <c r="BQ12187" s="197"/>
    </row>
    <row r="12188" spans="66:69" x14ac:dyDescent="0.2">
      <c r="BN12188" s="192"/>
      <c r="BO12188" s="197"/>
      <c r="BP12188" s="197"/>
      <c r="BQ12188" s="197"/>
    </row>
    <row r="12189" spans="66:69" x14ac:dyDescent="0.2">
      <c r="BN12189" s="192"/>
      <c r="BO12189" s="197"/>
      <c r="BP12189" s="197"/>
      <c r="BQ12189" s="197"/>
    </row>
    <row r="12190" spans="66:69" x14ac:dyDescent="0.2">
      <c r="BN12190" s="192"/>
      <c r="BO12190" s="197"/>
      <c r="BP12190" s="197"/>
      <c r="BQ12190" s="197"/>
    </row>
    <row r="12191" spans="66:69" x14ac:dyDescent="0.2">
      <c r="BN12191" s="192"/>
      <c r="BO12191" s="197"/>
      <c r="BP12191" s="197"/>
      <c r="BQ12191" s="197"/>
    </row>
    <row r="12192" spans="66:69" x14ac:dyDescent="0.2">
      <c r="BN12192" s="192"/>
      <c r="BO12192" s="197"/>
      <c r="BP12192" s="197"/>
      <c r="BQ12192" s="197"/>
    </row>
    <row r="12193" spans="66:69" x14ac:dyDescent="0.2">
      <c r="BN12193" s="192"/>
      <c r="BO12193" s="197"/>
      <c r="BP12193" s="197"/>
      <c r="BQ12193" s="197"/>
    </row>
    <row r="12194" spans="66:69" x14ac:dyDescent="0.2">
      <c r="BN12194" s="192"/>
      <c r="BO12194" s="197"/>
      <c r="BP12194" s="197"/>
      <c r="BQ12194" s="197"/>
    </row>
    <row r="12195" spans="66:69" x14ac:dyDescent="0.2">
      <c r="BN12195" s="192"/>
      <c r="BO12195" s="197"/>
      <c r="BP12195" s="197"/>
      <c r="BQ12195" s="197"/>
    </row>
    <row r="12196" spans="66:69" x14ac:dyDescent="0.2">
      <c r="BN12196" s="192"/>
      <c r="BO12196" s="197"/>
      <c r="BP12196" s="197"/>
      <c r="BQ12196" s="197"/>
    </row>
    <row r="12197" spans="66:69" x14ac:dyDescent="0.2">
      <c r="BN12197" s="192"/>
      <c r="BO12197" s="197"/>
      <c r="BP12197" s="197"/>
      <c r="BQ12197" s="197"/>
    </row>
    <row r="12198" spans="66:69" x14ac:dyDescent="0.2">
      <c r="BN12198" s="192"/>
      <c r="BO12198" s="197"/>
      <c r="BP12198" s="197"/>
      <c r="BQ12198" s="197"/>
    </row>
    <row r="12199" spans="66:69" x14ac:dyDescent="0.2">
      <c r="BN12199" s="192"/>
      <c r="BO12199" s="197"/>
      <c r="BP12199" s="197"/>
      <c r="BQ12199" s="197"/>
    </row>
    <row r="12200" spans="66:69" x14ac:dyDescent="0.2">
      <c r="BN12200" s="192"/>
      <c r="BO12200" s="197"/>
      <c r="BP12200" s="197"/>
      <c r="BQ12200" s="197"/>
    </row>
    <row r="12201" spans="66:69" x14ac:dyDescent="0.2">
      <c r="BN12201" s="192"/>
      <c r="BO12201" s="197"/>
      <c r="BP12201" s="197"/>
      <c r="BQ12201" s="197"/>
    </row>
    <row r="12202" spans="66:69" x14ac:dyDescent="0.2">
      <c r="BN12202" s="192"/>
      <c r="BO12202" s="197"/>
      <c r="BP12202" s="197"/>
      <c r="BQ12202" s="197"/>
    </row>
    <row r="12203" spans="66:69" x14ac:dyDescent="0.2">
      <c r="BN12203" s="192"/>
      <c r="BO12203" s="197"/>
      <c r="BP12203" s="197"/>
      <c r="BQ12203" s="197"/>
    </row>
    <row r="12204" spans="66:69" x14ac:dyDescent="0.2">
      <c r="BN12204" s="192"/>
      <c r="BO12204" s="197"/>
      <c r="BP12204" s="197"/>
      <c r="BQ12204" s="197"/>
    </row>
    <row r="12205" spans="66:69" x14ac:dyDescent="0.2">
      <c r="BN12205" s="192"/>
      <c r="BO12205" s="197"/>
      <c r="BP12205" s="197"/>
      <c r="BQ12205" s="197"/>
    </row>
    <row r="12206" spans="66:69" x14ac:dyDescent="0.2">
      <c r="BN12206" s="192"/>
      <c r="BO12206" s="197"/>
      <c r="BP12206" s="197"/>
      <c r="BQ12206" s="197"/>
    </row>
    <row r="12207" spans="66:69" x14ac:dyDescent="0.2">
      <c r="BN12207" s="192"/>
      <c r="BO12207" s="197"/>
      <c r="BP12207" s="197"/>
      <c r="BQ12207" s="197"/>
    </row>
    <row r="12208" spans="66:69" x14ac:dyDescent="0.2">
      <c r="BN12208" s="192"/>
      <c r="BO12208" s="197"/>
      <c r="BP12208" s="197"/>
      <c r="BQ12208" s="197"/>
    </row>
    <row r="12209" spans="66:69" x14ac:dyDescent="0.2">
      <c r="BN12209" s="192"/>
      <c r="BO12209" s="197"/>
      <c r="BP12209" s="197"/>
      <c r="BQ12209" s="197"/>
    </row>
    <row r="12210" spans="66:69" x14ac:dyDescent="0.2">
      <c r="BN12210" s="192"/>
      <c r="BO12210" s="197"/>
      <c r="BP12210" s="197"/>
      <c r="BQ12210" s="197"/>
    </row>
    <row r="12211" spans="66:69" x14ac:dyDescent="0.2">
      <c r="BN12211" s="192"/>
      <c r="BO12211" s="197"/>
      <c r="BP12211" s="197"/>
      <c r="BQ12211" s="197"/>
    </row>
    <row r="12212" spans="66:69" x14ac:dyDescent="0.2">
      <c r="BN12212" s="192"/>
      <c r="BO12212" s="197"/>
      <c r="BP12212" s="197"/>
      <c r="BQ12212" s="197"/>
    </row>
    <row r="12213" spans="66:69" x14ac:dyDescent="0.2">
      <c r="BN12213" s="192"/>
      <c r="BO12213" s="197"/>
      <c r="BP12213" s="197"/>
      <c r="BQ12213" s="197"/>
    </row>
    <row r="12214" spans="66:69" x14ac:dyDescent="0.2">
      <c r="BN12214" s="192"/>
      <c r="BO12214" s="197"/>
      <c r="BP12214" s="197"/>
      <c r="BQ12214" s="197"/>
    </row>
    <row r="12215" spans="66:69" x14ac:dyDescent="0.2">
      <c r="BN12215" s="192"/>
      <c r="BO12215" s="197"/>
      <c r="BP12215" s="197"/>
      <c r="BQ12215" s="197"/>
    </row>
    <row r="12216" spans="66:69" x14ac:dyDescent="0.2">
      <c r="BN12216" s="192"/>
      <c r="BO12216" s="197"/>
      <c r="BP12216" s="197"/>
      <c r="BQ12216" s="197"/>
    </row>
    <row r="12217" spans="66:69" x14ac:dyDescent="0.2">
      <c r="BN12217" s="192"/>
      <c r="BO12217" s="197"/>
      <c r="BP12217" s="197"/>
      <c r="BQ12217" s="197"/>
    </row>
    <row r="12218" spans="66:69" x14ac:dyDescent="0.2">
      <c r="BN12218" s="192"/>
      <c r="BO12218" s="197"/>
      <c r="BP12218" s="197"/>
      <c r="BQ12218" s="197"/>
    </row>
    <row r="12219" spans="66:69" x14ac:dyDescent="0.2">
      <c r="BN12219" s="192"/>
      <c r="BO12219" s="197"/>
      <c r="BP12219" s="197"/>
      <c r="BQ12219" s="197"/>
    </row>
    <row r="12220" spans="66:69" x14ac:dyDescent="0.2">
      <c r="BN12220" s="192"/>
      <c r="BO12220" s="197"/>
      <c r="BP12220" s="197"/>
      <c r="BQ12220" s="197"/>
    </row>
    <row r="12221" spans="66:69" x14ac:dyDescent="0.2">
      <c r="BN12221" s="192"/>
      <c r="BO12221" s="197"/>
      <c r="BP12221" s="197"/>
      <c r="BQ12221" s="197"/>
    </row>
    <row r="12222" spans="66:69" x14ac:dyDescent="0.2">
      <c r="BN12222" s="192"/>
      <c r="BO12222" s="197"/>
      <c r="BP12222" s="197"/>
      <c r="BQ12222" s="197"/>
    </row>
    <row r="12223" spans="66:69" x14ac:dyDescent="0.2">
      <c r="BN12223" s="192"/>
      <c r="BO12223" s="197"/>
      <c r="BP12223" s="197"/>
      <c r="BQ12223" s="197"/>
    </row>
    <row r="12224" spans="66:69" x14ac:dyDescent="0.2">
      <c r="BN12224" s="192"/>
      <c r="BO12224" s="197"/>
      <c r="BP12224" s="197"/>
      <c r="BQ12224" s="197"/>
    </row>
    <row r="12225" spans="66:69" x14ac:dyDescent="0.2">
      <c r="BN12225" s="192"/>
      <c r="BO12225" s="197"/>
      <c r="BP12225" s="197"/>
      <c r="BQ12225" s="197"/>
    </row>
    <row r="12226" spans="66:69" x14ac:dyDescent="0.2">
      <c r="BN12226" s="192"/>
      <c r="BO12226" s="197"/>
      <c r="BP12226" s="197"/>
      <c r="BQ12226" s="197"/>
    </row>
    <row r="12227" spans="66:69" x14ac:dyDescent="0.2">
      <c r="BN12227" s="192"/>
      <c r="BO12227" s="197"/>
      <c r="BP12227" s="197"/>
      <c r="BQ12227" s="197"/>
    </row>
    <row r="12228" spans="66:69" x14ac:dyDescent="0.2">
      <c r="BN12228" s="192"/>
      <c r="BO12228" s="197"/>
      <c r="BP12228" s="197"/>
      <c r="BQ12228" s="197"/>
    </row>
    <row r="12229" spans="66:69" x14ac:dyDescent="0.2">
      <c r="BN12229" s="192"/>
      <c r="BO12229" s="197"/>
      <c r="BP12229" s="197"/>
      <c r="BQ12229" s="197"/>
    </row>
    <row r="12230" spans="66:69" x14ac:dyDescent="0.2">
      <c r="BN12230" s="192"/>
      <c r="BO12230" s="197"/>
      <c r="BP12230" s="197"/>
      <c r="BQ12230" s="197"/>
    </row>
    <row r="12231" spans="66:69" x14ac:dyDescent="0.2">
      <c r="BN12231" s="192"/>
      <c r="BO12231" s="197"/>
      <c r="BP12231" s="197"/>
      <c r="BQ12231" s="197"/>
    </row>
    <row r="12232" spans="66:69" x14ac:dyDescent="0.2">
      <c r="BN12232" s="192"/>
      <c r="BO12232" s="197"/>
      <c r="BP12232" s="197"/>
      <c r="BQ12232" s="197"/>
    </row>
    <row r="12233" spans="66:69" x14ac:dyDescent="0.2">
      <c r="BN12233" s="192"/>
      <c r="BO12233" s="197"/>
      <c r="BP12233" s="197"/>
      <c r="BQ12233" s="197"/>
    </row>
    <row r="12234" spans="66:69" x14ac:dyDescent="0.2">
      <c r="BN12234" s="192"/>
      <c r="BO12234" s="197"/>
      <c r="BP12234" s="197"/>
      <c r="BQ12234" s="197"/>
    </row>
    <row r="12235" spans="66:69" x14ac:dyDescent="0.2">
      <c r="BN12235" s="192"/>
      <c r="BO12235" s="197"/>
      <c r="BP12235" s="197"/>
      <c r="BQ12235" s="197"/>
    </row>
    <row r="12236" spans="66:69" x14ac:dyDescent="0.2">
      <c r="BN12236" s="192"/>
      <c r="BO12236" s="197"/>
      <c r="BP12236" s="197"/>
      <c r="BQ12236" s="197"/>
    </row>
    <row r="12237" spans="66:69" x14ac:dyDescent="0.2">
      <c r="BN12237" s="192"/>
      <c r="BO12237" s="197"/>
      <c r="BP12237" s="197"/>
      <c r="BQ12237" s="197"/>
    </row>
    <row r="12238" spans="66:69" x14ac:dyDescent="0.2">
      <c r="BN12238" s="192"/>
      <c r="BO12238" s="197"/>
      <c r="BP12238" s="197"/>
      <c r="BQ12238" s="197"/>
    </row>
    <row r="12239" spans="66:69" x14ac:dyDescent="0.2">
      <c r="BN12239" s="192"/>
      <c r="BO12239" s="197"/>
      <c r="BP12239" s="197"/>
      <c r="BQ12239" s="197"/>
    </row>
    <row r="12240" spans="66:69" x14ac:dyDescent="0.2">
      <c r="BN12240" s="192"/>
      <c r="BO12240" s="197"/>
      <c r="BP12240" s="197"/>
      <c r="BQ12240" s="197"/>
    </row>
    <row r="12241" spans="66:69" x14ac:dyDescent="0.2">
      <c r="BN12241" s="192"/>
      <c r="BO12241" s="197"/>
      <c r="BP12241" s="197"/>
      <c r="BQ12241" s="197"/>
    </row>
    <row r="12242" spans="66:69" x14ac:dyDescent="0.2">
      <c r="BN12242" s="192"/>
      <c r="BO12242" s="197"/>
      <c r="BP12242" s="197"/>
      <c r="BQ12242" s="197"/>
    </row>
    <row r="12243" spans="66:69" x14ac:dyDescent="0.2">
      <c r="BN12243" s="192"/>
      <c r="BO12243" s="197"/>
      <c r="BP12243" s="197"/>
      <c r="BQ12243" s="197"/>
    </row>
    <row r="12244" spans="66:69" x14ac:dyDescent="0.2">
      <c r="BN12244" s="192"/>
      <c r="BO12244" s="197"/>
      <c r="BP12244" s="197"/>
      <c r="BQ12244" s="197"/>
    </row>
    <row r="12245" spans="66:69" x14ac:dyDescent="0.2">
      <c r="BN12245" s="192"/>
      <c r="BO12245" s="197"/>
      <c r="BP12245" s="197"/>
      <c r="BQ12245" s="197"/>
    </row>
    <row r="12246" spans="66:69" x14ac:dyDescent="0.2">
      <c r="BN12246" s="192"/>
      <c r="BO12246" s="197"/>
      <c r="BP12246" s="197"/>
      <c r="BQ12246" s="197"/>
    </row>
    <row r="12247" spans="66:69" x14ac:dyDescent="0.2">
      <c r="BN12247" s="192"/>
      <c r="BO12247" s="197"/>
      <c r="BP12247" s="197"/>
      <c r="BQ12247" s="197"/>
    </row>
    <row r="12248" spans="66:69" x14ac:dyDescent="0.2">
      <c r="BN12248" s="192"/>
      <c r="BO12248" s="197"/>
      <c r="BP12248" s="197"/>
      <c r="BQ12248" s="197"/>
    </row>
    <row r="12249" spans="66:69" x14ac:dyDescent="0.2">
      <c r="BN12249" s="192"/>
      <c r="BO12249" s="197"/>
      <c r="BP12249" s="197"/>
      <c r="BQ12249" s="197"/>
    </row>
    <row r="12250" spans="66:69" x14ac:dyDescent="0.2">
      <c r="BN12250" s="192"/>
      <c r="BO12250" s="197"/>
      <c r="BP12250" s="197"/>
      <c r="BQ12250" s="197"/>
    </row>
    <row r="12251" spans="66:69" x14ac:dyDescent="0.2">
      <c r="BN12251" s="192"/>
      <c r="BO12251" s="197"/>
      <c r="BP12251" s="197"/>
      <c r="BQ12251" s="197"/>
    </row>
    <row r="12252" spans="66:69" x14ac:dyDescent="0.2">
      <c r="BN12252" s="192"/>
      <c r="BO12252" s="197"/>
      <c r="BP12252" s="197"/>
      <c r="BQ12252" s="197"/>
    </row>
    <row r="12253" spans="66:69" x14ac:dyDescent="0.2">
      <c r="BN12253" s="192"/>
      <c r="BO12253" s="197"/>
      <c r="BP12253" s="197"/>
      <c r="BQ12253" s="197"/>
    </row>
    <row r="12254" spans="66:69" x14ac:dyDescent="0.2">
      <c r="BN12254" s="192"/>
      <c r="BO12254" s="197"/>
      <c r="BP12254" s="197"/>
      <c r="BQ12254" s="197"/>
    </row>
    <row r="12255" spans="66:69" x14ac:dyDescent="0.2">
      <c r="BN12255" s="192"/>
      <c r="BO12255" s="197"/>
      <c r="BP12255" s="197"/>
      <c r="BQ12255" s="197"/>
    </row>
    <row r="12256" spans="66:69" x14ac:dyDescent="0.2">
      <c r="BN12256" s="192"/>
      <c r="BO12256" s="197"/>
      <c r="BP12256" s="197"/>
      <c r="BQ12256" s="197"/>
    </row>
    <row r="12257" spans="66:69" x14ac:dyDescent="0.2">
      <c r="BN12257" s="192"/>
      <c r="BO12257" s="197"/>
      <c r="BP12257" s="197"/>
      <c r="BQ12257" s="197"/>
    </row>
    <row r="12258" spans="66:69" x14ac:dyDescent="0.2">
      <c r="BN12258" s="192"/>
      <c r="BO12258" s="197"/>
      <c r="BP12258" s="197"/>
      <c r="BQ12258" s="197"/>
    </row>
    <row r="12259" spans="66:69" x14ac:dyDescent="0.2">
      <c r="BN12259" s="192"/>
      <c r="BO12259" s="197"/>
      <c r="BP12259" s="197"/>
      <c r="BQ12259" s="197"/>
    </row>
    <row r="12260" spans="66:69" x14ac:dyDescent="0.2">
      <c r="BN12260" s="192"/>
      <c r="BO12260" s="197"/>
      <c r="BP12260" s="197"/>
      <c r="BQ12260" s="197"/>
    </row>
    <row r="12261" spans="66:69" x14ac:dyDescent="0.2">
      <c r="BN12261" s="192"/>
      <c r="BO12261" s="197"/>
      <c r="BP12261" s="197"/>
      <c r="BQ12261" s="197"/>
    </row>
    <row r="12262" spans="66:69" x14ac:dyDescent="0.2">
      <c r="BN12262" s="192"/>
      <c r="BO12262" s="197"/>
      <c r="BP12262" s="197"/>
      <c r="BQ12262" s="197"/>
    </row>
    <row r="12263" spans="66:69" x14ac:dyDescent="0.2">
      <c r="BN12263" s="192"/>
      <c r="BO12263" s="197"/>
      <c r="BP12263" s="197"/>
      <c r="BQ12263" s="197"/>
    </row>
    <row r="12264" spans="66:69" x14ac:dyDescent="0.2">
      <c r="BN12264" s="192"/>
      <c r="BO12264" s="197"/>
      <c r="BP12264" s="197"/>
      <c r="BQ12264" s="197"/>
    </row>
    <row r="12265" spans="66:69" x14ac:dyDescent="0.2">
      <c r="BN12265" s="192"/>
      <c r="BO12265" s="197"/>
      <c r="BP12265" s="197"/>
      <c r="BQ12265" s="197"/>
    </row>
    <row r="12266" spans="66:69" x14ac:dyDescent="0.2">
      <c r="BN12266" s="192"/>
      <c r="BO12266" s="197"/>
      <c r="BP12266" s="197"/>
      <c r="BQ12266" s="197"/>
    </row>
    <row r="12267" spans="66:69" x14ac:dyDescent="0.2">
      <c r="BN12267" s="192"/>
      <c r="BO12267" s="197"/>
      <c r="BP12267" s="197"/>
      <c r="BQ12267" s="197"/>
    </row>
    <row r="12268" spans="66:69" x14ac:dyDescent="0.2">
      <c r="BN12268" s="192"/>
      <c r="BO12268" s="197"/>
      <c r="BP12268" s="197"/>
      <c r="BQ12268" s="197"/>
    </row>
    <row r="12269" spans="66:69" x14ac:dyDescent="0.2">
      <c r="BN12269" s="192"/>
      <c r="BO12269" s="197"/>
      <c r="BP12269" s="197"/>
      <c r="BQ12269" s="197"/>
    </row>
    <row r="12270" spans="66:69" x14ac:dyDescent="0.2">
      <c r="BN12270" s="192"/>
      <c r="BO12270" s="197"/>
      <c r="BP12270" s="197"/>
      <c r="BQ12270" s="197"/>
    </row>
    <row r="12271" spans="66:69" x14ac:dyDescent="0.2">
      <c r="BN12271" s="192"/>
      <c r="BO12271" s="197"/>
      <c r="BP12271" s="197"/>
      <c r="BQ12271" s="197"/>
    </row>
    <row r="12272" spans="66:69" x14ac:dyDescent="0.2">
      <c r="BN12272" s="192"/>
      <c r="BO12272" s="197"/>
      <c r="BP12272" s="197"/>
      <c r="BQ12272" s="197"/>
    </row>
    <row r="12273" spans="66:69" x14ac:dyDescent="0.2">
      <c r="BN12273" s="192"/>
      <c r="BO12273" s="197"/>
      <c r="BP12273" s="197"/>
      <c r="BQ12273" s="197"/>
    </row>
    <row r="12274" spans="66:69" x14ac:dyDescent="0.2">
      <c r="BN12274" s="192"/>
      <c r="BO12274" s="197"/>
      <c r="BP12274" s="197"/>
      <c r="BQ12274" s="197"/>
    </row>
    <row r="12275" spans="66:69" x14ac:dyDescent="0.2">
      <c r="BN12275" s="192"/>
      <c r="BO12275" s="197"/>
      <c r="BP12275" s="197"/>
      <c r="BQ12275" s="197"/>
    </row>
    <row r="12276" spans="66:69" x14ac:dyDescent="0.2">
      <c r="BN12276" s="192"/>
      <c r="BO12276" s="197"/>
      <c r="BP12276" s="197"/>
      <c r="BQ12276" s="197"/>
    </row>
    <row r="12277" spans="66:69" x14ac:dyDescent="0.2">
      <c r="BN12277" s="192"/>
      <c r="BO12277" s="197"/>
      <c r="BP12277" s="197"/>
      <c r="BQ12277" s="197"/>
    </row>
    <row r="12278" spans="66:69" x14ac:dyDescent="0.2">
      <c r="BN12278" s="192"/>
      <c r="BO12278" s="197"/>
      <c r="BP12278" s="197"/>
      <c r="BQ12278" s="197"/>
    </row>
    <row r="12279" spans="66:69" x14ac:dyDescent="0.2">
      <c r="BN12279" s="192"/>
      <c r="BO12279" s="197"/>
      <c r="BP12279" s="197"/>
      <c r="BQ12279" s="197"/>
    </row>
    <row r="12280" spans="66:69" x14ac:dyDescent="0.2">
      <c r="BN12280" s="192"/>
      <c r="BO12280" s="197"/>
      <c r="BP12280" s="197"/>
      <c r="BQ12280" s="197"/>
    </row>
    <row r="12281" spans="66:69" x14ac:dyDescent="0.2">
      <c r="BN12281" s="192"/>
      <c r="BO12281" s="197"/>
      <c r="BP12281" s="197"/>
      <c r="BQ12281" s="197"/>
    </row>
    <row r="12282" spans="66:69" x14ac:dyDescent="0.2">
      <c r="BN12282" s="192"/>
      <c r="BO12282" s="197"/>
      <c r="BP12282" s="197"/>
      <c r="BQ12282" s="197"/>
    </row>
    <row r="12283" spans="66:69" x14ac:dyDescent="0.2">
      <c r="BN12283" s="192"/>
      <c r="BO12283" s="197"/>
      <c r="BP12283" s="197"/>
      <c r="BQ12283" s="197"/>
    </row>
    <row r="12284" spans="66:69" x14ac:dyDescent="0.2">
      <c r="BN12284" s="192"/>
      <c r="BO12284" s="197"/>
      <c r="BP12284" s="197"/>
      <c r="BQ12284" s="197"/>
    </row>
    <row r="12285" spans="66:69" x14ac:dyDescent="0.2">
      <c r="BN12285" s="192"/>
      <c r="BO12285" s="197"/>
      <c r="BP12285" s="197"/>
      <c r="BQ12285" s="197"/>
    </row>
    <row r="12286" spans="66:69" x14ac:dyDescent="0.2">
      <c r="BN12286" s="192"/>
      <c r="BO12286" s="197"/>
      <c r="BP12286" s="197"/>
      <c r="BQ12286" s="197"/>
    </row>
    <row r="12287" spans="66:69" x14ac:dyDescent="0.2">
      <c r="BN12287" s="192"/>
      <c r="BO12287" s="197"/>
      <c r="BP12287" s="197"/>
      <c r="BQ12287" s="197"/>
    </row>
    <row r="12288" spans="66:69" x14ac:dyDescent="0.2">
      <c r="BN12288" s="192"/>
      <c r="BO12288" s="197"/>
      <c r="BP12288" s="197"/>
      <c r="BQ12288" s="197"/>
    </row>
    <row r="12289" spans="66:69" x14ac:dyDescent="0.2">
      <c r="BN12289" s="192"/>
      <c r="BO12289" s="197"/>
      <c r="BP12289" s="197"/>
      <c r="BQ12289" s="197"/>
    </row>
    <row r="12290" spans="66:69" x14ac:dyDescent="0.2">
      <c r="BN12290" s="192"/>
      <c r="BO12290" s="197"/>
      <c r="BP12290" s="197"/>
      <c r="BQ12290" s="197"/>
    </row>
    <row r="12291" spans="66:69" x14ac:dyDescent="0.2">
      <c r="BN12291" s="192"/>
      <c r="BO12291" s="197"/>
      <c r="BP12291" s="197"/>
      <c r="BQ12291" s="197"/>
    </row>
    <row r="12292" spans="66:69" x14ac:dyDescent="0.2">
      <c r="BN12292" s="192"/>
      <c r="BO12292" s="197"/>
      <c r="BP12292" s="197"/>
      <c r="BQ12292" s="197"/>
    </row>
    <row r="12293" spans="66:69" x14ac:dyDescent="0.2">
      <c r="BN12293" s="192"/>
      <c r="BO12293" s="197"/>
      <c r="BP12293" s="197"/>
      <c r="BQ12293" s="197"/>
    </row>
    <row r="12294" spans="66:69" x14ac:dyDescent="0.2">
      <c r="BN12294" s="192"/>
      <c r="BO12294" s="197"/>
      <c r="BP12294" s="197"/>
      <c r="BQ12294" s="197"/>
    </row>
    <row r="12295" spans="66:69" x14ac:dyDescent="0.2">
      <c r="BN12295" s="192"/>
      <c r="BO12295" s="197"/>
      <c r="BP12295" s="197"/>
      <c r="BQ12295" s="197"/>
    </row>
    <row r="12296" spans="66:69" x14ac:dyDescent="0.2">
      <c r="BN12296" s="192"/>
      <c r="BO12296" s="197"/>
      <c r="BP12296" s="197"/>
      <c r="BQ12296" s="197"/>
    </row>
    <row r="12297" spans="66:69" x14ac:dyDescent="0.2">
      <c r="BN12297" s="192"/>
      <c r="BO12297" s="197"/>
      <c r="BP12297" s="197"/>
      <c r="BQ12297" s="197"/>
    </row>
    <row r="12298" spans="66:69" x14ac:dyDescent="0.2">
      <c r="BN12298" s="192"/>
      <c r="BO12298" s="197"/>
      <c r="BP12298" s="197"/>
      <c r="BQ12298" s="197"/>
    </row>
    <row r="12299" spans="66:69" x14ac:dyDescent="0.2">
      <c r="BN12299" s="192"/>
      <c r="BO12299" s="197"/>
      <c r="BP12299" s="197"/>
      <c r="BQ12299" s="197"/>
    </row>
    <row r="12300" spans="66:69" x14ac:dyDescent="0.2">
      <c r="BN12300" s="192"/>
      <c r="BO12300" s="197"/>
      <c r="BP12300" s="197"/>
      <c r="BQ12300" s="197"/>
    </row>
    <row r="12301" spans="66:69" x14ac:dyDescent="0.2">
      <c r="BN12301" s="192"/>
      <c r="BO12301" s="197"/>
      <c r="BP12301" s="197"/>
      <c r="BQ12301" s="197"/>
    </row>
    <row r="12302" spans="66:69" x14ac:dyDescent="0.2">
      <c r="BN12302" s="192"/>
      <c r="BO12302" s="197"/>
      <c r="BP12302" s="197"/>
      <c r="BQ12302" s="197"/>
    </row>
    <row r="12303" spans="66:69" x14ac:dyDescent="0.2">
      <c r="BN12303" s="192"/>
      <c r="BO12303" s="197"/>
      <c r="BP12303" s="197"/>
      <c r="BQ12303" s="197"/>
    </row>
    <row r="12304" spans="66:69" x14ac:dyDescent="0.2">
      <c r="BN12304" s="192"/>
      <c r="BO12304" s="197"/>
      <c r="BP12304" s="197"/>
      <c r="BQ12304" s="197"/>
    </row>
    <row r="12305" spans="66:69" x14ac:dyDescent="0.2">
      <c r="BN12305" s="192"/>
      <c r="BO12305" s="197"/>
      <c r="BP12305" s="197"/>
      <c r="BQ12305" s="197"/>
    </row>
    <row r="12306" spans="66:69" x14ac:dyDescent="0.2">
      <c r="BN12306" s="192"/>
      <c r="BO12306" s="197"/>
      <c r="BP12306" s="197"/>
      <c r="BQ12306" s="197"/>
    </row>
    <row r="12307" spans="66:69" x14ac:dyDescent="0.2">
      <c r="BN12307" s="192"/>
      <c r="BO12307" s="197"/>
      <c r="BP12307" s="197"/>
      <c r="BQ12307" s="197"/>
    </row>
    <row r="12308" spans="66:69" x14ac:dyDescent="0.2">
      <c r="BN12308" s="192"/>
      <c r="BO12308" s="197"/>
      <c r="BP12308" s="197"/>
      <c r="BQ12308" s="197"/>
    </row>
    <row r="12309" spans="66:69" x14ac:dyDescent="0.2">
      <c r="BN12309" s="192"/>
      <c r="BO12309" s="197"/>
      <c r="BP12309" s="197"/>
      <c r="BQ12309" s="197"/>
    </row>
    <row r="12310" spans="66:69" x14ac:dyDescent="0.2">
      <c r="BN12310" s="192"/>
      <c r="BO12310" s="197"/>
      <c r="BP12310" s="197"/>
      <c r="BQ12310" s="197"/>
    </row>
    <row r="12311" spans="66:69" x14ac:dyDescent="0.2">
      <c r="BN12311" s="192"/>
      <c r="BO12311" s="197"/>
      <c r="BP12311" s="197"/>
      <c r="BQ12311" s="197"/>
    </row>
    <row r="12312" spans="66:69" x14ac:dyDescent="0.2">
      <c r="BN12312" s="192"/>
      <c r="BO12312" s="197"/>
      <c r="BP12312" s="197"/>
      <c r="BQ12312" s="197"/>
    </row>
    <row r="12313" spans="66:69" x14ac:dyDescent="0.2">
      <c r="BN12313" s="192"/>
      <c r="BO12313" s="197"/>
      <c r="BP12313" s="197"/>
      <c r="BQ12313" s="197"/>
    </row>
    <row r="12314" spans="66:69" x14ac:dyDescent="0.2">
      <c r="BN12314" s="192"/>
      <c r="BO12314" s="197"/>
      <c r="BP12314" s="197"/>
      <c r="BQ12314" s="197"/>
    </row>
    <row r="12315" spans="66:69" x14ac:dyDescent="0.2">
      <c r="BN12315" s="192"/>
      <c r="BO12315" s="197"/>
      <c r="BP12315" s="197"/>
      <c r="BQ12315" s="197"/>
    </row>
    <row r="12316" spans="66:69" x14ac:dyDescent="0.2">
      <c r="BN12316" s="192"/>
      <c r="BO12316" s="197"/>
      <c r="BP12316" s="197"/>
      <c r="BQ12316" s="197"/>
    </row>
    <row r="12317" spans="66:69" x14ac:dyDescent="0.2">
      <c r="BN12317" s="192"/>
      <c r="BO12317" s="197"/>
      <c r="BP12317" s="197"/>
      <c r="BQ12317" s="197"/>
    </row>
    <row r="12318" spans="66:69" x14ac:dyDescent="0.2">
      <c r="BN12318" s="192"/>
      <c r="BO12318" s="197"/>
      <c r="BP12318" s="197"/>
      <c r="BQ12318" s="197"/>
    </row>
    <row r="12319" spans="66:69" x14ac:dyDescent="0.2">
      <c r="BN12319" s="192"/>
      <c r="BO12319" s="197"/>
      <c r="BP12319" s="197"/>
      <c r="BQ12319" s="197"/>
    </row>
    <row r="12320" spans="66:69" x14ac:dyDescent="0.2">
      <c r="BN12320" s="192"/>
      <c r="BO12320" s="197"/>
      <c r="BP12320" s="197"/>
      <c r="BQ12320" s="197"/>
    </row>
    <row r="12321" spans="66:69" x14ac:dyDescent="0.2">
      <c r="BN12321" s="192"/>
      <c r="BO12321" s="197"/>
      <c r="BP12321" s="197"/>
      <c r="BQ12321" s="197"/>
    </row>
    <row r="12322" spans="66:69" x14ac:dyDescent="0.2">
      <c r="BN12322" s="192"/>
      <c r="BO12322" s="197"/>
      <c r="BP12322" s="197"/>
      <c r="BQ12322" s="197"/>
    </row>
    <row r="12323" spans="66:69" x14ac:dyDescent="0.2">
      <c r="BN12323" s="192"/>
      <c r="BO12323" s="197"/>
      <c r="BP12323" s="197"/>
      <c r="BQ12323" s="197"/>
    </row>
    <row r="12324" spans="66:69" x14ac:dyDescent="0.2">
      <c r="BN12324" s="192"/>
      <c r="BO12324" s="197"/>
      <c r="BP12324" s="197"/>
      <c r="BQ12324" s="197"/>
    </row>
    <row r="12325" spans="66:69" x14ac:dyDescent="0.2">
      <c r="BN12325" s="192"/>
      <c r="BO12325" s="197"/>
      <c r="BP12325" s="197"/>
      <c r="BQ12325" s="197"/>
    </row>
    <row r="12326" spans="66:69" x14ac:dyDescent="0.2">
      <c r="BN12326" s="192"/>
      <c r="BO12326" s="197"/>
      <c r="BP12326" s="197"/>
      <c r="BQ12326" s="197"/>
    </row>
    <row r="12327" spans="66:69" x14ac:dyDescent="0.2">
      <c r="BN12327" s="192"/>
      <c r="BO12327" s="197"/>
      <c r="BP12327" s="197"/>
      <c r="BQ12327" s="197"/>
    </row>
    <row r="12328" spans="66:69" x14ac:dyDescent="0.2">
      <c r="BN12328" s="192"/>
      <c r="BO12328" s="197"/>
      <c r="BP12328" s="197"/>
      <c r="BQ12328" s="197"/>
    </row>
    <row r="12329" spans="66:69" x14ac:dyDescent="0.2">
      <c r="BN12329" s="192"/>
      <c r="BO12329" s="197"/>
      <c r="BP12329" s="197"/>
      <c r="BQ12329" s="197"/>
    </row>
    <row r="12330" spans="66:69" x14ac:dyDescent="0.2">
      <c r="BN12330" s="192"/>
      <c r="BO12330" s="197"/>
      <c r="BP12330" s="197"/>
      <c r="BQ12330" s="197"/>
    </row>
    <row r="12331" spans="66:69" x14ac:dyDescent="0.2">
      <c r="BN12331" s="192"/>
      <c r="BO12331" s="197"/>
      <c r="BP12331" s="197"/>
      <c r="BQ12331" s="197"/>
    </row>
    <row r="12332" spans="66:69" x14ac:dyDescent="0.2">
      <c r="BN12332" s="192"/>
      <c r="BO12332" s="197"/>
      <c r="BP12332" s="197"/>
      <c r="BQ12332" s="197"/>
    </row>
    <row r="12333" spans="66:69" x14ac:dyDescent="0.2">
      <c r="BN12333" s="192"/>
      <c r="BO12333" s="197"/>
      <c r="BP12333" s="197"/>
      <c r="BQ12333" s="197"/>
    </row>
    <row r="12334" spans="66:69" x14ac:dyDescent="0.2">
      <c r="BN12334" s="192"/>
      <c r="BO12334" s="197"/>
      <c r="BP12334" s="197"/>
      <c r="BQ12334" s="197"/>
    </row>
    <row r="12335" spans="66:69" x14ac:dyDescent="0.2">
      <c r="BN12335" s="192"/>
      <c r="BO12335" s="197"/>
      <c r="BP12335" s="197"/>
      <c r="BQ12335" s="197"/>
    </row>
    <row r="12336" spans="66:69" x14ac:dyDescent="0.2">
      <c r="BN12336" s="192"/>
      <c r="BO12336" s="197"/>
      <c r="BP12336" s="197"/>
      <c r="BQ12336" s="197"/>
    </row>
    <row r="12337" spans="66:69" x14ac:dyDescent="0.2">
      <c r="BN12337" s="192"/>
      <c r="BO12337" s="197"/>
      <c r="BP12337" s="197"/>
      <c r="BQ12337" s="197"/>
    </row>
    <row r="12338" spans="66:69" x14ac:dyDescent="0.2">
      <c r="BN12338" s="192"/>
      <c r="BO12338" s="197"/>
      <c r="BP12338" s="197"/>
      <c r="BQ12338" s="197"/>
    </row>
    <row r="12339" spans="66:69" x14ac:dyDescent="0.2">
      <c r="BN12339" s="192"/>
      <c r="BO12339" s="197"/>
      <c r="BP12339" s="197"/>
      <c r="BQ12339" s="197"/>
    </row>
    <row r="12340" spans="66:69" x14ac:dyDescent="0.2">
      <c r="BN12340" s="192"/>
      <c r="BO12340" s="197"/>
      <c r="BP12340" s="197"/>
      <c r="BQ12340" s="197"/>
    </row>
    <row r="12341" spans="66:69" x14ac:dyDescent="0.2">
      <c r="BN12341" s="192"/>
      <c r="BO12341" s="197"/>
      <c r="BP12341" s="197"/>
      <c r="BQ12341" s="197"/>
    </row>
    <row r="12342" spans="66:69" x14ac:dyDescent="0.2">
      <c r="BN12342" s="192"/>
      <c r="BO12342" s="197"/>
      <c r="BP12342" s="197"/>
      <c r="BQ12342" s="197"/>
    </row>
    <row r="12343" spans="66:69" x14ac:dyDescent="0.2">
      <c r="BN12343" s="192"/>
      <c r="BO12343" s="197"/>
      <c r="BP12343" s="197"/>
      <c r="BQ12343" s="197"/>
    </row>
    <row r="12344" spans="66:69" x14ac:dyDescent="0.2">
      <c r="BN12344" s="192"/>
      <c r="BO12344" s="197"/>
      <c r="BP12344" s="197"/>
      <c r="BQ12344" s="197"/>
    </row>
    <row r="12345" spans="66:69" x14ac:dyDescent="0.2">
      <c r="BN12345" s="192"/>
      <c r="BO12345" s="197"/>
      <c r="BP12345" s="197"/>
      <c r="BQ12345" s="197"/>
    </row>
    <row r="12346" spans="66:69" x14ac:dyDescent="0.2">
      <c r="BN12346" s="192"/>
      <c r="BO12346" s="197"/>
      <c r="BP12346" s="197"/>
      <c r="BQ12346" s="197"/>
    </row>
    <row r="12347" spans="66:69" x14ac:dyDescent="0.2">
      <c r="BN12347" s="192"/>
      <c r="BO12347" s="197"/>
      <c r="BP12347" s="197"/>
      <c r="BQ12347" s="197"/>
    </row>
    <row r="12348" spans="66:69" x14ac:dyDescent="0.2">
      <c r="BN12348" s="192"/>
      <c r="BO12348" s="197"/>
      <c r="BP12348" s="197"/>
      <c r="BQ12348" s="197"/>
    </row>
    <row r="12349" spans="66:69" x14ac:dyDescent="0.2">
      <c r="BN12349" s="192"/>
      <c r="BO12349" s="197"/>
      <c r="BP12349" s="197"/>
      <c r="BQ12349" s="197"/>
    </row>
    <row r="12350" spans="66:69" x14ac:dyDescent="0.2">
      <c r="BN12350" s="192"/>
      <c r="BO12350" s="197"/>
      <c r="BP12350" s="197"/>
      <c r="BQ12350" s="197"/>
    </row>
    <row r="12351" spans="66:69" x14ac:dyDescent="0.2">
      <c r="BN12351" s="192"/>
      <c r="BO12351" s="197"/>
      <c r="BP12351" s="197"/>
      <c r="BQ12351" s="197"/>
    </row>
    <row r="12352" spans="66:69" x14ac:dyDescent="0.2">
      <c r="BN12352" s="192"/>
      <c r="BO12352" s="197"/>
      <c r="BP12352" s="197"/>
      <c r="BQ12352" s="197"/>
    </row>
    <row r="12353" spans="66:69" x14ac:dyDescent="0.2">
      <c r="BN12353" s="192"/>
      <c r="BO12353" s="197"/>
      <c r="BP12353" s="197"/>
      <c r="BQ12353" s="197"/>
    </row>
    <row r="12354" spans="66:69" x14ac:dyDescent="0.2">
      <c r="BN12354" s="192"/>
      <c r="BO12354" s="197"/>
      <c r="BP12354" s="197"/>
      <c r="BQ12354" s="197"/>
    </row>
    <row r="12355" spans="66:69" x14ac:dyDescent="0.2">
      <c r="BN12355" s="192"/>
      <c r="BO12355" s="197"/>
      <c r="BP12355" s="197"/>
      <c r="BQ12355" s="197"/>
    </row>
    <row r="12356" spans="66:69" x14ac:dyDescent="0.2">
      <c r="BN12356" s="192"/>
      <c r="BO12356" s="197"/>
      <c r="BP12356" s="197"/>
      <c r="BQ12356" s="197"/>
    </row>
    <row r="12357" spans="66:69" x14ac:dyDescent="0.2">
      <c r="BN12357" s="192"/>
      <c r="BO12357" s="197"/>
      <c r="BP12357" s="197"/>
      <c r="BQ12357" s="197"/>
    </row>
    <row r="12358" spans="66:69" x14ac:dyDescent="0.2">
      <c r="BN12358" s="192"/>
      <c r="BO12358" s="197"/>
      <c r="BP12358" s="197"/>
      <c r="BQ12358" s="197"/>
    </row>
    <row r="12359" spans="66:69" x14ac:dyDescent="0.2">
      <c r="BN12359" s="192"/>
      <c r="BO12359" s="197"/>
      <c r="BP12359" s="197"/>
      <c r="BQ12359" s="197"/>
    </row>
    <row r="12360" spans="66:69" x14ac:dyDescent="0.2">
      <c r="BN12360" s="192"/>
      <c r="BO12360" s="197"/>
      <c r="BP12360" s="197"/>
      <c r="BQ12360" s="197"/>
    </row>
    <row r="12361" spans="66:69" x14ac:dyDescent="0.2">
      <c r="BN12361" s="192"/>
      <c r="BO12361" s="197"/>
      <c r="BP12361" s="197"/>
      <c r="BQ12361" s="197"/>
    </row>
    <row r="12362" spans="66:69" x14ac:dyDescent="0.2">
      <c r="BN12362" s="192"/>
      <c r="BO12362" s="197"/>
      <c r="BP12362" s="197"/>
      <c r="BQ12362" s="197"/>
    </row>
    <row r="12363" spans="66:69" x14ac:dyDescent="0.2">
      <c r="BN12363" s="192"/>
      <c r="BO12363" s="197"/>
      <c r="BP12363" s="197"/>
      <c r="BQ12363" s="197"/>
    </row>
    <row r="12364" spans="66:69" x14ac:dyDescent="0.2">
      <c r="BN12364" s="192"/>
      <c r="BO12364" s="197"/>
      <c r="BP12364" s="197"/>
      <c r="BQ12364" s="197"/>
    </row>
    <row r="12365" spans="66:69" x14ac:dyDescent="0.2">
      <c r="BN12365" s="192"/>
      <c r="BO12365" s="197"/>
      <c r="BP12365" s="197"/>
      <c r="BQ12365" s="197"/>
    </row>
    <row r="12366" spans="66:69" x14ac:dyDescent="0.2">
      <c r="BN12366" s="192"/>
      <c r="BO12366" s="197"/>
      <c r="BP12366" s="197"/>
      <c r="BQ12366" s="197"/>
    </row>
    <row r="12367" spans="66:69" x14ac:dyDescent="0.2">
      <c r="BN12367" s="192"/>
      <c r="BO12367" s="197"/>
      <c r="BP12367" s="197"/>
      <c r="BQ12367" s="197"/>
    </row>
    <row r="12368" spans="66:69" x14ac:dyDescent="0.2">
      <c r="BN12368" s="192"/>
      <c r="BO12368" s="197"/>
      <c r="BP12368" s="197"/>
      <c r="BQ12368" s="197"/>
    </row>
    <row r="12369" spans="66:69" x14ac:dyDescent="0.2">
      <c r="BN12369" s="192"/>
      <c r="BO12369" s="197"/>
      <c r="BP12369" s="197"/>
      <c r="BQ12369" s="197"/>
    </row>
    <row r="12370" spans="66:69" x14ac:dyDescent="0.2">
      <c r="BN12370" s="192"/>
      <c r="BO12370" s="197"/>
      <c r="BP12370" s="197"/>
      <c r="BQ12370" s="197"/>
    </row>
    <row r="12371" spans="66:69" x14ac:dyDescent="0.2">
      <c r="BN12371" s="192"/>
      <c r="BO12371" s="197"/>
      <c r="BP12371" s="197"/>
      <c r="BQ12371" s="197"/>
    </row>
    <row r="12372" spans="66:69" x14ac:dyDescent="0.2">
      <c r="BN12372" s="192"/>
      <c r="BO12372" s="197"/>
      <c r="BP12372" s="197"/>
      <c r="BQ12372" s="197"/>
    </row>
    <row r="12373" spans="66:69" x14ac:dyDescent="0.2">
      <c r="BN12373" s="192"/>
      <c r="BO12373" s="197"/>
      <c r="BP12373" s="197"/>
      <c r="BQ12373" s="197"/>
    </row>
    <row r="12374" spans="66:69" x14ac:dyDescent="0.2">
      <c r="BN12374" s="192"/>
      <c r="BO12374" s="197"/>
      <c r="BP12374" s="197"/>
      <c r="BQ12374" s="197"/>
    </row>
    <row r="12375" spans="66:69" x14ac:dyDescent="0.2">
      <c r="BN12375" s="192"/>
      <c r="BO12375" s="197"/>
      <c r="BP12375" s="197"/>
      <c r="BQ12375" s="197"/>
    </row>
    <row r="12376" spans="66:69" x14ac:dyDescent="0.2">
      <c r="BN12376" s="192"/>
      <c r="BO12376" s="197"/>
      <c r="BP12376" s="197"/>
      <c r="BQ12376" s="197"/>
    </row>
    <row r="12377" spans="66:69" x14ac:dyDescent="0.2">
      <c r="BN12377" s="192"/>
      <c r="BO12377" s="197"/>
      <c r="BP12377" s="197"/>
      <c r="BQ12377" s="197"/>
    </row>
    <row r="12378" spans="66:69" x14ac:dyDescent="0.2">
      <c r="BN12378" s="192"/>
      <c r="BO12378" s="197"/>
      <c r="BP12378" s="197"/>
      <c r="BQ12378" s="197"/>
    </row>
    <row r="12379" spans="66:69" x14ac:dyDescent="0.2">
      <c r="BN12379" s="192"/>
      <c r="BO12379" s="197"/>
      <c r="BP12379" s="197"/>
      <c r="BQ12379" s="197"/>
    </row>
    <row r="12380" spans="66:69" x14ac:dyDescent="0.2">
      <c r="BN12380" s="192"/>
      <c r="BO12380" s="197"/>
      <c r="BP12380" s="197"/>
      <c r="BQ12380" s="197"/>
    </row>
    <row r="12381" spans="66:69" x14ac:dyDescent="0.2">
      <c r="BN12381" s="192"/>
      <c r="BO12381" s="197"/>
      <c r="BP12381" s="197"/>
      <c r="BQ12381" s="197"/>
    </row>
    <row r="12382" spans="66:69" x14ac:dyDescent="0.2">
      <c r="BN12382" s="192"/>
      <c r="BO12382" s="197"/>
      <c r="BP12382" s="197"/>
      <c r="BQ12382" s="197"/>
    </row>
    <row r="12383" spans="66:69" x14ac:dyDescent="0.2">
      <c r="BN12383" s="192"/>
      <c r="BO12383" s="197"/>
      <c r="BP12383" s="197"/>
      <c r="BQ12383" s="197"/>
    </row>
    <row r="12384" spans="66:69" x14ac:dyDescent="0.2">
      <c r="BN12384" s="192"/>
      <c r="BO12384" s="197"/>
      <c r="BP12384" s="197"/>
      <c r="BQ12384" s="197"/>
    </row>
    <row r="12385" spans="66:69" x14ac:dyDescent="0.2">
      <c r="BN12385" s="192"/>
      <c r="BO12385" s="197"/>
      <c r="BP12385" s="197"/>
      <c r="BQ12385" s="197"/>
    </row>
    <row r="12386" spans="66:69" x14ac:dyDescent="0.2">
      <c r="BN12386" s="192"/>
      <c r="BO12386" s="197"/>
      <c r="BP12386" s="197"/>
      <c r="BQ12386" s="197"/>
    </row>
    <row r="12387" spans="66:69" x14ac:dyDescent="0.2">
      <c r="BN12387" s="192"/>
      <c r="BO12387" s="197"/>
      <c r="BP12387" s="197"/>
      <c r="BQ12387" s="197"/>
    </row>
    <row r="12388" spans="66:69" x14ac:dyDescent="0.2">
      <c r="BN12388" s="192"/>
      <c r="BO12388" s="197"/>
      <c r="BP12388" s="197"/>
      <c r="BQ12388" s="197"/>
    </row>
    <row r="12389" spans="66:69" x14ac:dyDescent="0.2">
      <c r="BN12389" s="192"/>
      <c r="BO12389" s="197"/>
      <c r="BP12389" s="197"/>
      <c r="BQ12389" s="197"/>
    </row>
    <row r="12390" spans="66:69" x14ac:dyDescent="0.2">
      <c r="BN12390" s="192"/>
      <c r="BO12390" s="197"/>
      <c r="BP12390" s="197"/>
      <c r="BQ12390" s="197"/>
    </row>
    <row r="12391" spans="66:69" x14ac:dyDescent="0.2">
      <c r="BN12391" s="192"/>
      <c r="BO12391" s="197"/>
      <c r="BP12391" s="197"/>
      <c r="BQ12391" s="197"/>
    </row>
    <row r="12392" spans="66:69" x14ac:dyDescent="0.2">
      <c r="BN12392" s="192"/>
      <c r="BO12392" s="197"/>
      <c r="BP12392" s="197"/>
      <c r="BQ12392" s="197"/>
    </row>
    <row r="12393" spans="66:69" x14ac:dyDescent="0.2">
      <c r="BN12393" s="192"/>
      <c r="BO12393" s="197"/>
      <c r="BP12393" s="197"/>
      <c r="BQ12393" s="197"/>
    </row>
    <row r="12394" spans="66:69" x14ac:dyDescent="0.2">
      <c r="BN12394" s="192"/>
      <c r="BO12394" s="197"/>
      <c r="BP12394" s="197"/>
      <c r="BQ12394" s="197"/>
    </row>
    <row r="12395" spans="66:69" x14ac:dyDescent="0.2">
      <c r="BN12395" s="192"/>
      <c r="BO12395" s="197"/>
      <c r="BP12395" s="197"/>
      <c r="BQ12395" s="197"/>
    </row>
    <row r="12396" spans="66:69" x14ac:dyDescent="0.2">
      <c r="BN12396" s="192"/>
      <c r="BO12396" s="197"/>
      <c r="BP12396" s="197"/>
      <c r="BQ12396" s="197"/>
    </row>
    <row r="12397" spans="66:69" x14ac:dyDescent="0.2">
      <c r="BN12397" s="192"/>
      <c r="BO12397" s="197"/>
      <c r="BP12397" s="197"/>
      <c r="BQ12397" s="197"/>
    </row>
    <row r="12398" spans="66:69" x14ac:dyDescent="0.2">
      <c r="BN12398" s="192"/>
      <c r="BO12398" s="197"/>
      <c r="BP12398" s="197"/>
      <c r="BQ12398" s="197"/>
    </row>
    <row r="12399" spans="66:69" x14ac:dyDescent="0.2">
      <c r="BN12399" s="192"/>
      <c r="BO12399" s="197"/>
      <c r="BP12399" s="197"/>
      <c r="BQ12399" s="197"/>
    </row>
    <row r="12400" spans="66:69" x14ac:dyDescent="0.2">
      <c r="BN12400" s="192"/>
      <c r="BO12400" s="197"/>
      <c r="BP12400" s="197"/>
      <c r="BQ12400" s="197"/>
    </row>
    <row r="12401" spans="66:69" x14ac:dyDescent="0.2">
      <c r="BN12401" s="192"/>
      <c r="BO12401" s="197"/>
      <c r="BP12401" s="197"/>
      <c r="BQ12401" s="197"/>
    </row>
    <row r="12402" spans="66:69" x14ac:dyDescent="0.2">
      <c r="BN12402" s="192"/>
      <c r="BO12402" s="197"/>
      <c r="BP12402" s="197"/>
      <c r="BQ12402" s="197"/>
    </row>
    <row r="12403" spans="66:69" x14ac:dyDescent="0.2">
      <c r="BN12403" s="192"/>
      <c r="BO12403" s="197"/>
      <c r="BP12403" s="197"/>
      <c r="BQ12403" s="197"/>
    </row>
    <row r="12404" spans="66:69" x14ac:dyDescent="0.2">
      <c r="BN12404" s="192"/>
      <c r="BO12404" s="197"/>
      <c r="BP12404" s="197"/>
      <c r="BQ12404" s="197"/>
    </row>
    <row r="12405" spans="66:69" x14ac:dyDescent="0.2">
      <c r="BN12405" s="192"/>
      <c r="BO12405" s="197"/>
      <c r="BP12405" s="197"/>
      <c r="BQ12405" s="197"/>
    </row>
    <row r="12406" spans="66:69" x14ac:dyDescent="0.2">
      <c r="BN12406" s="192"/>
      <c r="BO12406" s="197"/>
      <c r="BP12406" s="197"/>
      <c r="BQ12406" s="197"/>
    </row>
    <row r="12407" spans="66:69" x14ac:dyDescent="0.2">
      <c r="BN12407" s="192"/>
      <c r="BO12407" s="197"/>
      <c r="BP12407" s="197"/>
      <c r="BQ12407" s="197"/>
    </row>
    <row r="12408" spans="66:69" x14ac:dyDescent="0.2">
      <c r="BN12408" s="192"/>
      <c r="BO12408" s="197"/>
      <c r="BP12408" s="197"/>
      <c r="BQ12408" s="197"/>
    </row>
    <row r="12409" spans="66:69" x14ac:dyDescent="0.2">
      <c r="BN12409" s="192"/>
      <c r="BO12409" s="197"/>
      <c r="BP12409" s="197"/>
      <c r="BQ12409" s="197"/>
    </row>
    <row r="12410" spans="66:69" x14ac:dyDescent="0.2">
      <c r="BN12410" s="192"/>
      <c r="BO12410" s="197"/>
      <c r="BP12410" s="197"/>
      <c r="BQ12410" s="197"/>
    </row>
    <row r="12411" spans="66:69" x14ac:dyDescent="0.2">
      <c r="BN12411" s="192"/>
      <c r="BO12411" s="197"/>
      <c r="BP12411" s="197"/>
      <c r="BQ12411" s="197"/>
    </row>
    <row r="12412" spans="66:69" x14ac:dyDescent="0.2">
      <c r="BN12412" s="192"/>
      <c r="BO12412" s="197"/>
      <c r="BP12412" s="197"/>
      <c r="BQ12412" s="197"/>
    </row>
    <row r="12413" spans="66:69" x14ac:dyDescent="0.2">
      <c r="BN12413" s="192"/>
      <c r="BO12413" s="197"/>
      <c r="BP12413" s="197"/>
      <c r="BQ12413" s="197"/>
    </row>
    <row r="12414" spans="66:69" x14ac:dyDescent="0.2">
      <c r="BN12414" s="192"/>
      <c r="BO12414" s="197"/>
      <c r="BP12414" s="197"/>
      <c r="BQ12414" s="197"/>
    </row>
    <row r="12415" spans="66:69" x14ac:dyDescent="0.2">
      <c r="BN12415" s="192"/>
      <c r="BO12415" s="197"/>
      <c r="BP12415" s="197"/>
      <c r="BQ12415" s="197"/>
    </row>
    <row r="12416" spans="66:69" x14ac:dyDescent="0.2">
      <c r="BN12416" s="192"/>
      <c r="BO12416" s="197"/>
      <c r="BP12416" s="197"/>
      <c r="BQ12416" s="197"/>
    </row>
    <row r="12417" spans="66:69" x14ac:dyDescent="0.2">
      <c r="BN12417" s="192"/>
      <c r="BO12417" s="197"/>
      <c r="BP12417" s="197"/>
      <c r="BQ12417" s="197"/>
    </row>
    <row r="12418" spans="66:69" x14ac:dyDescent="0.2">
      <c r="BN12418" s="192"/>
      <c r="BO12418" s="197"/>
      <c r="BP12418" s="197"/>
      <c r="BQ12418" s="197"/>
    </row>
    <row r="12419" spans="66:69" x14ac:dyDescent="0.2">
      <c r="BN12419" s="192"/>
      <c r="BO12419" s="197"/>
      <c r="BP12419" s="197"/>
      <c r="BQ12419" s="197"/>
    </row>
    <row r="12420" spans="66:69" x14ac:dyDescent="0.2">
      <c r="BN12420" s="192"/>
      <c r="BO12420" s="197"/>
      <c r="BP12420" s="197"/>
      <c r="BQ12420" s="197"/>
    </row>
    <row r="12421" spans="66:69" x14ac:dyDescent="0.2">
      <c r="BN12421" s="192"/>
      <c r="BO12421" s="197"/>
      <c r="BP12421" s="197"/>
      <c r="BQ12421" s="197"/>
    </row>
    <row r="12422" spans="66:69" x14ac:dyDescent="0.2">
      <c r="BN12422" s="192"/>
      <c r="BO12422" s="197"/>
      <c r="BP12422" s="197"/>
      <c r="BQ12422" s="197"/>
    </row>
    <row r="12423" spans="66:69" x14ac:dyDescent="0.2">
      <c r="BN12423" s="192"/>
      <c r="BO12423" s="197"/>
      <c r="BP12423" s="197"/>
      <c r="BQ12423" s="197"/>
    </row>
    <row r="12424" spans="66:69" x14ac:dyDescent="0.2">
      <c r="BN12424" s="192"/>
      <c r="BO12424" s="197"/>
      <c r="BP12424" s="197"/>
      <c r="BQ12424" s="197"/>
    </row>
    <row r="12425" spans="66:69" x14ac:dyDescent="0.2">
      <c r="BN12425" s="192"/>
      <c r="BO12425" s="197"/>
      <c r="BP12425" s="197"/>
      <c r="BQ12425" s="197"/>
    </row>
    <row r="12426" spans="66:69" x14ac:dyDescent="0.2">
      <c r="BN12426" s="192"/>
      <c r="BO12426" s="197"/>
      <c r="BP12426" s="197"/>
      <c r="BQ12426" s="197"/>
    </row>
    <row r="12427" spans="66:69" x14ac:dyDescent="0.2">
      <c r="BN12427" s="192"/>
      <c r="BO12427" s="197"/>
      <c r="BP12427" s="197"/>
      <c r="BQ12427" s="197"/>
    </row>
    <row r="12428" spans="66:69" x14ac:dyDescent="0.2">
      <c r="BN12428" s="192"/>
      <c r="BO12428" s="197"/>
      <c r="BP12428" s="197"/>
      <c r="BQ12428" s="197"/>
    </row>
    <row r="12429" spans="66:69" x14ac:dyDescent="0.2">
      <c r="BN12429" s="192"/>
      <c r="BO12429" s="197"/>
      <c r="BP12429" s="197"/>
      <c r="BQ12429" s="197"/>
    </row>
    <row r="12430" spans="66:69" x14ac:dyDescent="0.2">
      <c r="BN12430" s="192"/>
      <c r="BO12430" s="197"/>
      <c r="BP12430" s="197"/>
      <c r="BQ12430" s="197"/>
    </row>
    <row r="12431" spans="66:69" x14ac:dyDescent="0.2">
      <c r="BN12431" s="192"/>
      <c r="BO12431" s="197"/>
      <c r="BP12431" s="197"/>
      <c r="BQ12431" s="197"/>
    </row>
    <row r="12432" spans="66:69" x14ac:dyDescent="0.2">
      <c r="BN12432" s="192"/>
      <c r="BO12432" s="197"/>
      <c r="BP12432" s="197"/>
      <c r="BQ12432" s="197"/>
    </row>
    <row r="12433" spans="66:69" x14ac:dyDescent="0.2">
      <c r="BN12433" s="192"/>
      <c r="BO12433" s="197"/>
      <c r="BP12433" s="197"/>
      <c r="BQ12433" s="197"/>
    </row>
    <row r="12434" spans="66:69" x14ac:dyDescent="0.2">
      <c r="BN12434" s="192"/>
      <c r="BO12434" s="197"/>
      <c r="BP12434" s="197"/>
      <c r="BQ12434" s="197"/>
    </row>
    <row r="12435" spans="66:69" x14ac:dyDescent="0.2">
      <c r="BN12435" s="192"/>
      <c r="BO12435" s="197"/>
      <c r="BP12435" s="197"/>
      <c r="BQ12435" s="197"/>
    </row>
    <row r="12436" spans="66:69" x14ac:dyDescent="0.2">
      <c r="BN12436" s="192"/>
      <c r="BO12436" s="197"/>
      <c r="BP12436" s="197"/>
      <c r="BQ12436" s="197"/>
    </row>
    <row r="12437" spans="66:69" x14ac:dyDescent="0.2">
      <c r="BN12437" s="192"/>
      <c r="BO12437" s="197"/>
      <c r="BP12437" s="197"/>
      <c r="BQ12437" s="197"/>
    </row>
    <row r="12438" spans="66:69" x14ac:dyDescent="0.2">
      <c r="BN12438" s="192"/>
      <c r="BO12438" s="197"/>
      <c r="BP12438" s="197"/>
      <c r="BQ12438" s="197"/>
    </row>
    <row r="12439" spans="66:69" x14ac:dyDescent="0.2">
      <c r="BN12439" s="192"/>
      <c r="BO12439" s="197"/>
      <c r="BP12439" s="197"/>
      <c r="BQ12439" s="197"/>
    </row>
    <row r="12440" spans="66:69" x14ac:dyDescent="0.2">
      <c r="BN12440" s="192"/>
      <c r="BO12440" s="197"/>
      <c r="BP12440" s="197"/>
      <c r="BQ12440" s="197"/>
    </row>
    <row r="12441" spans="66:69" x14ac:dyDescent="0.2">
      <c r="BN12441" s="192"/>
      <c r="BO12441" s="197"/>
      <c r="BP12441" s="197"/>
      <c r="BQ12441" s="197"/>
    </row>
    <row r="12442" spans="66:69" x14ac:dyDescent="0.2">
      <c r="BN12442" s="192"/>
      <c r="BO12442" s="197"/>
      <c r="BP12442" s="197"/>
      <c r="BQ12442" s="197"/>
    </row>
    <row r="12443" spans="66:69" x14ac:dyDescent="0.2">
      <c r="BN12443" s="192"/>
      <c r="BO12443" s="197"/>
      <c r="BP12443" s="197"/>
      <c r="BQ12443" s="197"/>
    </row>
    <row r="12444" spans="66:69" x14ac:dyDescent="0.2">
      <c r="BN12444" s="192"/>
      <c r="BO12444" s="197"/>
      <c r="BP12444" s="197"/>
      <c r="BQ12444" s="197"/>
    </row>
    <row r="12445" spans="66:69" x14ac:dyDescent="0.2">
      <c r="BN12445" s="192"/>
      <c r="BO12445" s="197"/>
      <c r="BP12445" s="197"/>
      <c r="BQ12445" s="197"/>
    </row>
    <row r="12446" spans="66:69" x14ac:dyDescent="0.2">
      <c r="BN12446" s="192"/>
      <c r="BO12446" s="197"/>
      <c r="BP12446" s="197"/>
      <c r="BQ12446" s="197"/>
    </row>
    <row r="12447" spans="66:69" x14ac:dyDescent="0.2">
      <c r="BN12447" s="192"/>
      <c r="BO12447" s="197"/>
      <c r="BP12447" s="197"/>
      <c r="BQ12447" s="197"/>
    </row>
    <row r="12448" spans="66:69" x14ac:dyDescent="0.2">
      <c r="BN12448" s="192"/>
      <c r="BO12448" s="197"/>
      <c r="BP12448" s="197"/>
      <c r="BQ12448" s="197"/>
    </row>
    <row r="12449" spans="66:69" x14ac:dyDescent="0.2">
      <c r="BN12449" s="192"/>
      <c r="BO12449" s="197"/>
      <c r="BP12449" s="197"/>
      <c r="BQ12449" s="197"/>
    </row>
    <row r="12450" spans="66:69" x14ac:dyDescent="0.2">
      <c r="BN12450" s="192"/>
      <c r="BO12450" s="197"/>
      <c r="BP12450" s="197"/>
      <c r="BQ12450" s="197"/>
    </row>
    <row r="12451" spans="66:69" x14ac:dyDescent="0.2">
      <c r="BN12451" s="192"/>
      <c r="BO12451" s="197"/>
      <c r="BP12451" s="197"/>
      <c r="BQ12451" s="197"/>
    </row>
    <row r="12452" spans="66:69" x14ac:dyDescent="0.2">
      <c r="BN12452" s="192"/>
      <c r="BO12452" s="197"/>
      <c r="BP12452" s="197"/>
      <c r="BQ12452" s="197"/>
    </row>
    <row r="12453" spans="66:69" x14ac:dyDescent="0.2">
      <c r="BN12453" s="192"/>
      <c r="BO12453" s="197"/>
      <c r="BP12453" s="197"/>
      <c r="BQ12453" s="197"/>
    </row>
    <row r="12454" spans="66:69" x14ac:dyDescent="0.2">
      <c r="BN12454" s="192"/>
      <c r="BO12454" s="197"/>
      <c r="BP12454" s="197"/>
      <c r="BQ12454" s="197"/>
    </row>
    <row r="12455" spans="66:69" x14ac:dyDescent="0.2">
      <c r="BN12455" s="192"/>
      <c r="BO12455" s="197"/>
      <c r="BP12455" s="197"/>
      <c r="BQ12455" s="197"/>
    </row>
    <row r="12456" spans="66:69" x14ac:dyDescent="0.2">
      <c r="BN12456" s="192"/>
      <c r="BO12456" s="197"/>
      <c r="BP12456" s="197"/>
      <c r="BQ12456" s="197"/>
    </row>
    <row r="12457" spans="66:69" x14ac:dyDescent="0.2">
      <c r="BN12457" s="192"/>
      <c r="BO12457" s="197"/>
      <c r="BP12457" s="197"/>
      <c r="BQ12457" s="197"/>
    </row>
    <row r="12458" spans="66:69" x14ac:dyDescent="0.2">
      <c r="BN12458" s="192"/>
      <c r="BO12458" s="197"/>
      <c r="BP12458" s="197"/>
      <c r="BQ12458" s="197"/>
    </row>
    <row r="12459" spans="66:69" x14ac:dyDescent="0.2">
      <c r="BN12459" s="192"/>
      <c r="BO12459" s="197"/>
      <c r="BP12459" s="197"/>
      <c r="BQ12459" s="197"/>
    </row>
    <row r="12460" spans="66:69" x14ac:dyDescent="0.2">
      <c r="BN12460" s="192"/>
      <c r="BO12460" s="197"/>
      <c r="BP12460" s="197"/>
      <c r="BQ12460" s="197"/>
    </row>
    <row r="12461" spans="66:69" x14ac:dyDescent="0.2">
      <c r="BN12461" s="192"/>
      <c r="BO12461" s="197"/>
      <c r="BP12461" s="197"/>
      <c r="BQ12461" s="197"/>
    </row>
    <row r="12462" spans="66:69" x14ac:dyDescent="0.2">
      <c r="BN12462" s="192"/>
      <c r="BO12462" s="197"/>
      <c r="BP12462" s="197"/>
      <c r="BQ12462" s="197"/>
    </row>
    <row r="12463" spans="66:69" x14ac:dyDescent="0.2">
      <c r="BN12463" s="192"/>
      <c r="BO12463" s="197"/>
      <c r="BP12463" s="197"/>
      <c r="BQ12463" s="197"/>
    </row>
    <row r="12464" spans="66:69" x14ac:dyDescent="0.2">
      <c r="BN12464" s="192"/>
      <c r="BO12464" s="197"/>
      <c r="BP12464" s="197"/>
      <c r="BQ12464" s="197"/>
    </row>
    <row r="12465" spans="66:69" x14ac:dyDescent="0.2">
      <c r="BN12465" s="192"/>
      <c r="BO12465" s="197"/>
      <c r="BP12465" s="197"/>
      <c r="BQ12465" s="197"/>
    </row>
    <row r="12466" spans="66:69" x14ac:dyDescent="0.2">
      <c r="BN12466" s="192"/>
      <c r="BO12466" s="197"/>
      <c r="BP12466" s="197"/>
      <c r="BQ12466" s="197"/>
    </row>
    <row r="12467" spans="66:69" x14ac:dyDescent="0.2">
      <c r="BN12467" s="192"/>
      <c r="BO12467" s="197"/>
      <c r="BP12467" s="197"/>
      <c r="BQ12467" s="197"/>
    </row>
    <row r="12468" spans="66:69" x14ac:dyDescent="0.2">
      <c r="BN12468" s="192"/>
      <c r="BO12468" s="197"/>
      <c r="BP12468" s="197"/>
      <c r="BQ12468" s="197"/>
    </row>
    <row r="12469" spans="66:69" x14ac:dyDescent="0.2">
      <c r="BN12469" s="192"/>
      <c r="BO12469" s="197"/>
      <c r="BP12469" s="197"/>
      <c r="BQ12469" s="197"/>
    </row>
    <row r="12470" spans="66:69" x14ac:dyDescent="0.2">
      <c r="BN12470" s="192"/>
      <c r="BO12470" s="197"/>
      <c r="BP12470" s="197"/>
      <c r="BQ12470" s="197"/>
    </row>
    <row r="12471" spans="66:69" x14ac:dyDescent="0.2">
      <c r="BN12471" s="192"/>
      <c r="BO12471" s="197"/>
      <c r="BP12471" s="197"/>
      <c r="BQ12471" s="197"/>
    </row>
    <row r="12472" spans="66:69" x14ac:dyDescent="0.2">
      <c r="BN12472" s="192"/>
      <c r="BO12472" s="197"/>
      <c r="BP12472" s="197"/>
      <c r="BQ12472" s="197"/>
    </row>
    <row r="12473" spans="66:69" x14ac:dyDescent="0.2">
      <c r="BN12473" s="192"/>
      <c r="BO12473" s="197"/>
      <c r="BP12473" s="197"/>
      <c r="BQ12473" s="197"/>
    </row>
    <row r="12474" spans="66:69" x14ac:dyDescent="0.2">
      <c r="BN12474" s="192"/>
      <c r="BO12474" s="197"/>
      <c r="BP12474" s="197"/>
      <c r="BQ12474" s="197"/>
    </row>
    <row r="12475" spans="66:69" x14ac:dyDescent="0.2">
      <c r="BN12475" s="192"/>
      <c r="BO12475" s="197"/>
      <c r="BP12475" s="197"/>
      <c r="BQ12475" s="197"/>
    </row>
    <row r="12476" spans="66:69" x14ac:dyDescent="0.2">
      <c r="BN12476" s="192"/>
      <c r="BO12476" s="197"/>
      <c r="BP12476" s="197"/>
      <c r="BQ12476" s="197"/>
    </row>
    <row r="12477" spans="66:69" x14ac:dyDescent="0.2">
      <c r="BN12477" s="192"/>
      <c r="BO12477" s="197"/>
      <c r="BP12477" s="197"/>
      <c r="BQ12477" s="197"/>
    </row>
    <row r="12478" spans="66:69" x14ac:dyDescent="0.2">
      <c r="BN12478" s="192"/>
      <c r="BO12478" s="197"/>
      <c r="BP12478" s="197"/>
      <c r="BQ12478" s="197"/>
    </row>
    <row r="12479" spans="66:69" x14ac:dyDescent="0.2">
      <c r="BN12479" s="192"/>
      <c r="BO12479" s="197"/>
      <c r="BP12479" s="197"/>
      <c r="BQ12479" s="197"/>
    </row>
    <row r="12480" spans="66:69" x14ac:dyDescent="0.2">
      <c r="BN12480" s="192"/>
      <c r="BO12480" s="197"/>
      <c r="BP12480" s="197"/>
      <c r="BQ12480" s="197"/>
    </row>
    <row r="12481" spans="66:69" x14ac:dyDescent="0.2">
      <c r="BN12481" s="192"/>
      <c r="BO12481" s="197"/>
      <c r="BP12481" s="197"/>
      <c r="BQ12481" s="197"/>
    </row>
    <row r="12482" spans="66:69" x14ac:dyDescent="0.2">
      <c r="BN12482" s="192"/>
      <c r="BO12482" s="197"/>
      <c r="BP12482" s="197"/>
      <c r="BQ12482" s="197"/>
    </row>
    <row r="12483" spans="66:69" x14ac:dyDescent="0.2">
      <c r="BN12483" s="192"/>
      <c r="BO12483" s="197"/>
      <c r="BP12483" s="197"/>
      <c r="BQ12483" s="197"/>
    </row>
    <row r="12484" spans="66:69" x14ac:dyDescent="0.2">
      <c r="BN12484" s="192"/>
      <c r="BO12484" s="197"/>
      <c r="BP12484" s="197"/>
      <c r="BQ12484" s="197"/>
    </row>
    <row r="12485" spans="66:69" x14ac:dyDescent="0.2">
      <c r="BN12485" s="192"/>
      <c r="BO12485" s="197"/>
      <c r="BP12485" s="197"/>
      <c r="BQ12485" s="197"/>
    </row>
    <row r="12486" spans="66:69" x14ac:dyDescent="0.2">
      <c r="BN12486" s="192"/>
      <c r="BO12486" s="197"/>
      <c r="BP12486" s="197"/>
      <c r="BQ12486" s="197"/>
    </row>
    <row r="12487" spans="66:69" x14ac:dyDescent="0.2">
      <c r="BN12487" s="192"/>
      <c r="BO12487" s="197"/>
      <c r="BP12487" s="197"/>
      <c r="BQ12487" s="197"/>
    </row>
    <row r="12488" spans="66:69" x14ac:dyDescent="0.2">
      <c r="BN12488" s="192"/>
      <c r="BO12488" s="197"/>
      <c r="BP12488" s="197"/>
      <c r="BQ12488" s="197"/>
    </row>
    <row r="12489" spans="66:69" x14ac:dyDescent="0.2">
      <c r="BN12489" s="192"/>
      <c r="BO12489" s="197"/>
      <c r="BP12489" s="197"/>
      <c r="BQ12489" s="197"/>
    </row>
    <row r="12490" spans="66:69" x14ac:dyDescent="0.2">
      <c r="BN12490" s="192"/>
      <c r="BO12490" s="197"/>
      <c r="BP12490" s="197"/>
      <c r="BQ12490" s="197"/>
    </row>
    <row r="12491" spans="66:69" x14ac:dyDescent="0.2">
      <c r="BN12491" s="192"/>
      <c r="BO12491" s="197"/>
      <c r="BP12491" s="197"/>
      <c r="BQ12491" s="197"/>
    </row>
    <row r="12492" spans="66:69" x14ac:dyDescent="0.2">
      <c r="BN12492" s="192"/>
      <c r="BO12492" s="197"/>
      <c r="BP12492" s="197"/>
      <c r="BQ12492" s="197"/>
    </row>
    <row r="12493" spans="66:69" x14ac:dyDescent="0.2">
      <c r="BN12493" s="192"/>
      <c r="BO12493" s="197"/>
      <c r="BP12493" s="197"/>
      <c r="BQ12493" s="197"/>
    </row>
    <row r="12494" spans="66:69" x14ac:dyDescent="0.2">
      <c r="BN12494" s="192"/>
      <c r="BO12494" s="197"/>
      <c r="BP12494" s="197"/>
      <c r="BQ12494" s="197"/>
    </row>
    <row r="12495" spans="66:69" x14ac:dyDescent="0.2">
      <c r="BN12495" s="192"/>
      <c r="BO12495" s="197"/>
      <c r="BP12495" s="197"/>
      <c r="BQ12495" s="197"/>
    </row>
    <row r="12496" spans="66:69" x14ac:dyDescent="0.2">
      <c r="BN12496" s="192"/>
      <c r="BO12496" s="197"/>
      <c r="BP12496" s="197"/>
      <c r="BQ12496" s="197"/>
    </row>
    <row r="12497" spans="66:69" x14ac:dyDescent="0.2">
      <c r="BN12497" s="192"/>
      <c r="BO12497" s="197"/>
      <c r="BP12497" s="197"/>
      <c r="BQ12497" s="197"/>
    </row>
    <row r="12498" spans="66:69" x14ac:dyDescent="0.2">
      <c r="BN12498" s="192"/>
      <c r="BO12498" s="197"/>
      <c r="BP12498" s="197"/>
      <c r="BQ12498" s="197"/>
    </row>
    <row r="12499" spans="66:69" x14ac:dyDescent="0.2">
      <c r="BN12499" s="192"/>
      <c r="BO12499" s="197"/>
      <c r="BP12499" s="197"/>
      <c r="BQ12499" s="197"/>
    </row>
    <row r="12500" spans="66:69" x14ac:dyDescent="0.2">
      <c r="BN12500" s="192"/>
      <c r="BO12500" s="197"/>
      <c r="BP12500" s="197"/>
      <c r="BQ12500" s="197"/>
    </row>
    <row r="12501" spans="66:69" x14ac:dyDescent="0.2">
      <c r="BN12501" s="192"/>
      <c r="BO12501" s="197"/>
      <c r="BP12501" s="197"/>
      <c r="BQ12501" s="197"/>
    </row>
    <row r="12502" spans="66:69" x14ac:dyDescent="0.2">
      <c r="BN12502" s="192"/>
      <c r="BO12502" s="197"/>
      <c r="BP12502" s="197"/>
      <c r="BQ12502" s="197"/>
    </row>
    <row r="12503" spans="66:69" x14ac:dyDescent="0.2">
      <c r="BN12503" s="192"/>
      <c r="BO12503" s="197"/>
      <c r="BP12503" s="197"/>
      <c r="BQ12503" s="197"/>
    </row>
    <row r="12504" spans="66:69" x14ac:dyDescent="0.2">
      <c r="BN12504" s="192"/>
      <c r="BO12504" s="197"/>
      <c r="BP12504" s="197"/>
      <c r="BQ12504" s="197"/>
    </row>
    <row r="12505" spans="66:69" x14ac:dyDescent="0.2">
      <c r="BN12505" s="192"/>
      <c r="BO12505" s="197"/>
      <c r="BP12505" s="197"/>
      <c r="BQ12505" s="197"/>
    </row>
    <row r="12506" spans="66:69" x14ac:dyDescent="0.2">
      <c r="BN12506" s="192"/>
      <c r="BO12506" s="197"/>
      <c r="BP12506" s="197"/>
      <c r="BQ12506" s="197"/>
    </row>
    <row r="12507" spans="66:69" x14ac:dyDescent="0.2">
      <c r="BN12507" s="192"/>
      <c r="BO12507" s="197"/>
      <c r="BP12507" s="197"/>
      <c r="BQ12507" s="197"/>
    </row>
    <row r="12508" spans="66:69" x14ac:dyDescent="0.2">
      <c r="BN12508" s="192"/>
      <c r="BO12508" s="197"/>
      <c r="BP12508" s="197"/>
      <c r="BQ12508" s="197"/>
    </row>
    <row r="12509" spans="66:69" x14ac:dyDescent="0.2">
      <c r="BN12509" s="192"/>
      <c r="BO12509" s="197"/>
      <c r="BP12509" s="197"/>
      <c r="BQ12509" s="197"/>
    </row>
    <row r="12510" spans="66:69" x14ac:dyDescent="0.2">
      <c r="BN12510" s="192"/>
      <c r="BO12510" s="197"/>
      <c r="BP12510" s="197"/>
      <c r="BQ12510" s="197"/>
    </row>
    <row r="12511" spans="66:69" x14ac:dyDescent="0.2">
      <c r="BN12511" s="192"/>
      <c r="BO12511" s="197"/>
      <c r="BP12511" s="197"/>
      <c r="BQ12511" s="197"/>
    </row>
    <row r="12512" spans="66:69" x14ac:dyDescent="0.2">
      <c r="BN12512" s="192"/>
      <c r="BO12512" s="197"/>
      <c r="BP12512" s="197"/>
      <c r="BQ12512" s="197"/>
    </row>
    <row r="12513" spans="66:69" x14ac:dyDescent="0.2">
      <c r="BN12513" s="192"/>
      <c r="BO12513" s="197"/>
      <c r="BP12513" s="197"/>
      <c r="BQ12513" s="197"/>
    </row>
    <row r="12514" spans="66:69" x14ac:dyDescent="0.2">
      <c r="BN12514" s="192"/>
      <c r="BO12514" s="197"/>
      <c r="BP12514" s="197"/>
      <c r="BQ12514" s="197"/>
    </row>
    <row r="12515" spans="66:69" x14ac:dyDescent="0.2">
      <c r="BN12515" s="192"/>
      <c r="BO12515" s="197"/>
      <c r="BP12515" s="197"/>
      <c r="BQ12515" s="197"/>
    </row>
    <row r="12516" spans="66:69" x14ac:dyDescent="0.2">
      <c r="BN12516" s="192"/>
      <c r="BO12516" s="197"/>
      <c r="BP12516" s="197"/>
      <c r="BQ12516" s="197"/>
    </row>
    <row r="12517" spans="66:69" x14ac:dyDescent="0.2">
      <c r="BN12517" s="192"/>
      <c r="BO12517" s="197"/>
      <c r="BP12517" s="197"/>
      <c r="BQ12517" s="197"/>
    </row>
    <row r="12518" spans="66:69" x14ac:dyDescent="0.2">
      <c r="BN12518" s="192"/>
      <c r="BO12518" s="197"/>
      <c r="BP12518" s="197"/>
      <c r="BQ12518" s="197"/>
    </row>
    <row r="12519" spans="66:69" x14ac:dyDescent="0.2">
      <c r="BN12519" s="192"/>
      <c r="BO12519" s="197"/>
      <c r="BP12519" s="197"/>
      <c r="BQ12519" s="197"/>
    </row>
    <row r="12520" spans="66:69" x14ac:dyDescent="0.2">
      <c r="BN12520" s="192"/>
      <c r="BO12520" s="197"/>
      <c r="BP12520" s="197"/>
      <c r="BQ12520" s="197"/>
    </row>
    <row r="12521" spans="66:69" x14ac:dyDescent="0.2">
      <c r="BN12521" s="192"/>
      <c r="BO12521" s="197"/>
      <c r="BP12521" s="197"/>
      <c r="BQ12521" s="197"/>
    </row>
    <row r="12522" spans="66:69" x14ac:dyDescent="0.2">
      <c r="BN12522" s="192"/>
      <c r="BO12522" s="197"/>
      <c r="BP12522" s="197"/>
      <c r="BQ12522" s="197"/>
    </row>
    <row r="12523" spans="66:69" x14ac:dyDescent="0.2">
      <c r="BN12523" s="192"/>
      <c r="BO12523" s="197"/>
      <c r="BP12523" s="197"/>
      <c r="BQ12523" s="197"/>
    </row>
    <row r="12524" spans="66:69" x14ac:dyDescent="0.2">
      <c r="BN12524" s="192"/>
      <c r="BO12524" s="197"/>
      <c r="BP12524" s="197"/>
      <c r="BQ12524" s="197"/>
    </row>
    <row r="12525" spans="66:69" x14ac:dyDescent="0.2">
      <c r="BN12525" s="192"/>
      <c r="BO12525" s="197"/>
      <c r="BP12525" s="197"/>
      <c r="BQ12525" s="197"/>
    </row>
    <row r="12526" spans="66:69" x14ac:dyDescent="0.2">
      <c r="BN12526" s="192"/>
      <c r="BO12526" s="197"/>
      <c r="BP12526" s="197"/>
      <c r="BQ12526" s="197"/>
    </row>
    <row r="12527" spans="66:69" x14ac:dyDescent="0.2">
      <c r="BN12527" s="192"/>
      <c r="BO12527" s="197"/>
      <c r="BP12527" s="197"/>
      <c r="BQ12527" s="197"/>
    </row>
    <row r="12528" spans="66:69" x14ac:dyDescent="0.2">
      <c r="BN12528" s="192"/>
      <c r="BO12528" s="197"/>
      <c r="BP12528" s="197"/>
      <c r="BQ12528" s="197"/>
    </row>
    <row r="12529" spans="66:69" x14ac:dyDescent="0.2">
      <c r="BN12529" s="192"/>
      <c r="BO12529" s="197"/>
      <c r="BP12529" s="197"/>
      <c r="BQ12529" s="197"/>
    </row>
    <row r="12530" spans="66:69" x14ac:dyDescent="0.2">
      <c r="BN12530" s="192"/>
      <c r="BO12530" s="197"/>
      <c r="BP12530" s="197"/>
      <c r="BQ12530" s="197"/>
    </row>
    <row r="12531" spans="66:69" x14ac:dyDescent="0.2">
      <c r="BN12531" s="192"/>
      <c r="BO12531" s="197"/>
      <c r="BP12531" s="197"/>
      <c r="BQ12531" s="197"/>
    </row>
    <row r="12532" spans="66:69" x14ac:dyDescent="0.2">
      <c r="BN12532" s="192"/>
      <c r="BO12532" s="197"/>
      <c r="BP12532" s="197"/>
      <c r="BQ12532" s="197"/>
    </row>
    <row r="12533" spans="66:69" x14ac:dyDescent="0.2">
      <c r="BN12533" s="192"/>
      <c r="BO12533" s="197"/>
      <c r="BP12533" s="197"/>
      <c r="BQ12533" s="197"/>
    </row>
    <row r="12534" spans="66:69" x14ac:dyDescent="0.2">
      <c r="BN12534" s="192"/>
      <c r="BO12534" s="197"/>
      <c r="BP12534" s="197"/>
      <c r="BQ12534" s="197"/>
    </row>
    <row r="12535" spans="66:69" x14ac:dyDescent="0.2">
      <c r="BN12535" s="192"/>
      <c r="BO12535" s="197"/>
      <c r="BP12535" s="197"/>
      <c r="BQ12535" s="197"/>
    </row>
    <row r="12536" spans="66:69" x14ac:dyDescent="0.2">
      <c r="BN12536" s="192"/>
      <c r="BO12536" s="197"/>
      <c r="BP12536" s="197"/>
      <c r="BQ12536" s="197"/>
    </row>
    <row r="12537" spans="66:69" x14ac:dyDescent="0.2">
      <c r="BN12537" s="192"/>
      <c r="BO12537" s="197"/>
      <c r="BP12537" s="197"/>
      <c r="BQ12537" s="197"/>
    </row>
    <row r="12538" spans="66:69" x14ac:dyDescent="0.2">
      <c r="BN12538" s="192"/>
      <c r="BO12538" s="197"/>
      <c r="BP12538" s="197"/>
      <c r="BQ12538" s="197"/>
    </row>
    <row r="12539" spans="66:69" x14ac:dyDescent="0.2">
      <c r="BN12539" s="192"/>
      <c r="BO12539" s="197"/>
      <c r="BP12539" s="197"/>
      <c r="BQ12539" s="197"/>
    </row>
    <row r="12540" spans="66:69" x14ac:dyDescent="0.2">
      <c r="BN12540" s="192"/>
      <c r="BO12540" s="197"/>
      <c r="BP12540" s="197"/>
      <c r="BQ12540" s="197"/>
    </row>
    <row r="12541" spans="66:69" x14ac:dyDescent="0.2">
      <c r="BN12541" s="192"/>
      <c r="BO12541" s="197"/>
      <c r="BP12541" s="197"/>
      <c r="BQ12541" s="197"/>
    </row>
    <row r="12542" spans="66:69" x14ac:dyDescent="0.2">
      <c r="BN12542" s="192"/>
      <c r="BO12542" s="197"/>
      <c r="BP12542" s="197"/>
      <c r="BQ12542" s="197"/>
    </row>
    <row r="12543" spans="66:69" x14ac:dyDescent="0.2">
      <c r="BN12543" s="192"/>
      <c r="BO12543" s="197"/>
      <c r="BP12543" s="197"/>
      <c r="BQ12543" s="197"/>
    </row>
    <row r="12544" spans="66:69" x14ac:dyDescent="0.2">
      <c r="BN12544" s="192"/>
      <c r="BO12544" s="197"/>
      <c r="BP12544" s="197"/>
      <c r="BQ12544" s="197"/>
    </row>
    <row r="12545" spans="66:69" x14ac:dyDescent="0.2">
      <c r="BN12545" s="192"/>
      <c r="BO12545" s="197"/>
      <c r="BP12545" s="197"/>
      <c r="BQ12545" s="197"/>
    </row>
    <row r="12546" spans="66:69" x14ac:dyDescent="0.2">
      <c r="BN12546" s="192"/>
      <c r="BO12546" s="197"/>
      <c r="BP12546" s="197"/>
      <c r="BQ12546" s="197"/>
    </row>
    <row r="12547" spans="66:69" x14ac:dyDescent="0.2">
      <c r="BN12547" s="192"/>
      <c r="BO12547" s="197"/>
      <c r="BP12547" s="197"/>
      <c r="BQ12547" s="197"/>
    </row>
    <row r="12548" spans="66:69" x14ac:dyDescent="0.2">
      <c r="BN12548" s="192"/>
      <c r="BO12548" s="197"/>
      <c r="BP12548" s="197"/>
      <c r="BQ12548" s="197"/>
    </row>
    <row r="12549" spans="66:69" x14ac:dyDescent="0.2">
      <c r="BN12549" s="192"/>
      <c r="BO12549" s="197"/>
      <c r="BP12549" s="197"/>
      <c r="BQ12549" s="197"/>
    </row>
    <row r="12550" spans="66:69" x14ac:dyDescent="0.2">
      <c r="BN12550" s="192"/>
      <c r="BO12550" s="197"/>
      <c r="BP12550" s="197"/>
      <c r="BQ12550" s="197"/>
    </row>
    <row r="12551" spans="66:69" x14ac:dyDescent="0.2">
      <c r="BN12551" s="192"/>
      <c r="BO12551" s="197"/>
      <c r="BP12551" s="197"/>
      <c r="BQ12551" s="197"/>
    </row>
    <row r="12552" spans="66:69" x14ac:dyDescent="0.2">
      <c r="BN12552" s="192"/>
      <c r="BO12552" s="197"/>
      <c r="BP12552" s="197"/>
      <c r="BQ12552" s="197"/>
    </row>
    <row r="12553" spans="66:69" x14ac:dyDescent="0.2">
      <c r="BN12553" s="192"/>
      <c r="BO12553" s="197"/>
      <c r="BP12553" s="197"/>
      <c r="BQ12553" s="197"/>
    </row>
    <row r="12554" spans="66:69" x14ac:dyDescent="0.2">
      <c r="BN12554" s="192"/>
      <c r="BO12554" s="197"/>
      <c r="BP12554" s="197"/>
      <c r="BQ12554" s="197"/>
    </row>
    <row r="12555" spans="66:69" x14ac:dyDescent="0.2">
      <c r="BN12555" s="192"/>
      <c r="BO12555" s="197"/>
      <c r="BP12555" s="197"/>
      <c r="BQ12555" s="197"/>
    </row>
    <row r="12556" spans="66:69" x14ac:dyDescent="0.2">
      <c r="BN12556" s="192"/>
      <c r="BO12556" s="197"/>
      <c r="BP12556" s="197"/>
      <c r="BQ12556" s="197"/>
    </row>
    <row r="12557" spans="66:69" x14ac:dyDescent="0.2">
      <c r="BN12557" s="192"/>
      <c r="BO12557" s="197"/>
      <c r="BP12557" s="197"/>
      <c r="BQ12557" s="197"/>
    </row>
    <row r="12558" spans="66:69" x14ac:dyDescent="0.2">
      <c r="BN12558" s="192"/>
      <c r="BO12558" s="197"/>
      <c r="BP12558" s="197"/>
      <c r="BQ12558" s="197"/>
    </row>
    <row r="12559" spans="66:69" x14ac:dyDescent="0.2">
      <c r="BN12559" s="192"/>
      <c r="BO12559" s="197"/>
      <c r="BP12559" s="197"/>
      <c r="BQ12559" s="197"/>
    </row>
    <row r="12560" spans="66:69" x14ac:dyDescent="0.2">
      <c r="BN12560" s="192"/>
      <c r="BO12560" s="197"/>
      <c r="BP12560" s="197"/>
      <c r="BQ12560" s="197"/>
    </row>
    <row r="12561" spans="66:69" x14ac:dyDescent="0.2">
      <c r="BN12561" s="192"/>
      <c r="BO12561" s="197"/>
      <c r="BP12561" s="197"/>
      <c r="BQ12561" s="197"/>
    </row>
    <row r="12562" spans="66:69" x14ac:dyDescent="0.2">
      <c r="BN12562" s="192"/>
      <c r="BO12562" s="197"/>
      <c r="BP12562" s="197"/>
      <c r="BQ12562" s="197"/>
    </row>
    <row r="12563" spans="66:69" x14ac:dyDescent="0.2">
      <c r="BN12563" s="192"/>
      <c r="BO12563" s="197"/>
      <c r="BP12563" s="197"/>
      <c r="BQ12563" s="197"/>
    </row>
    <row r="12564" spans="66:69" x14ac:dyDescent="0.2">
      <c r="BN12564" s="192"/>
      <c r="BO12564" s="197"/>
      <c r="BP12564" s="197"/>
      <c r="BQ12564" s="197"/>
    </row>
    <row r="12565" spans="66:69" x14ac:dyDescent="0.2">
      <c r="BN12565" s="192"/>
      <c r="BO12565" s="197"/>
      <c r="BP12565" s="197"/>
      <c r="BQ12565" s="197"/>
    </row>
    <row r="12566" spans="66:69" x14ac:dyDescent="0.2">
      <c r="BN12566" s="192"/>
      <c r="BO12566" s="197"/>
      <c r="BP12566" s="197"/>
      <c r="BQ12566" s="197"/>
    </row>
    <row r="12567" spans="66:69" x14ac:dyDescent="0.2">
      <c r="BN12567" s="192"/>
      <c r="BO12567" s="197"/>
      <c r="BP12567" s="197"/>
      <c r="BQ12567" s="197"/>
    </row>
    <row r="12568" spans="66:69" x14ac:dyDescent="0.2">
      <c r="BN12568" s="192"/>
      <c r="BO12568" s="197"/>
      <c r="BP12568" s="197"/>
      <c r="BQ12568" s="197"/>
    </row>
    <row r="12569" spans="66:69" x14ac:dyDescent="0.2">
      <c r="BN12569" s="192"/>
      <c r="BO12569" s="197"/>
      <c r="BP12569" s="197"/>
      <c r="BQ12569" s="197"/>
    </row>
    <row r="12570" spans="66:69" x14ac:dyDescent="0.2">
      <c r="BN12570" s="192"/>
      <c r="BO12570" s="197"/>
      <c r="BP12570" s="197"/>
      <c r="BQ12570" s="197"/>
    </row>
    <row r="12571" spans="66:69" x14ac:dyDescent="0.2">
      <c r="BN12571" s="192"/>
      <c r="BO12571" s="197"/>
      <c r="BP12571" s="197"/>
      <c r="BQ12571" s="197"/>
    </row>
    <row r="12572" spans="66:69" x14ac:dyDescent="0.2">
      <c r="BN12572" s="192"/>
      <c r="BO12572" s="197"/>
      <c r="BP12572" s="197"/>
      <c r="BQ12572" s="197"/>
    </row>
    <row r="12573" spans="66:69" x14ac:dyDescent="0.2">
      <c r="BN12573" s="192"/>
      <c r="BO12573" s="197"/>
      <c r="BP12573" s="197"/>
      <c r="BQ12573" s="197"/>
    </row>
    <row r="12574" spans="66:69" x14ac:dyDescent="0.2">
      <c r="BN12574" s="192"/>
      <c r="BO12574" s="197"/>
      <c r="BP12574" s="197"/>
      <c r="BQ12574" s="197"/>
    </row>
    <row r="12575" spans="66:69" x14ac:dyDescent="0.2">
      <c r="BN12575" s="192"/>
      <c r="BO12575" s="197"/>
      <c r="BP12575" s="197"/>
      <c r="BQ12575" s="197"/>
    </row>
    <row r="12576" spans="66:69" x14ac:dyDescent="0.2">
      <c r="BN12576" s="192"/>
      <c r="BO12576" s="197"/>
      <c r="BP12576" s="197"/>
      <c r="BQ12576" s="197"/>
    </row>
    <row r="12577" spans="66:69" x14ac:dyDescent="0.2">
      <c r="BN12577" s="192"/>
      <c r="BO12577" s="197"/>
      <c r="BP12577" s="197"/>
      <c r="BQ12577" s="197"/>
    </row>
    <row r="12578" spans="66:69" x14ac:dyDescent="0.2">
      <c r="BN12578" s="192"/>
      <c r="BO12578" s="197"/>
      <c r="BP12578" s="197"/>
      <c r="BQ12578" s="197"/>
    </row>
    <row r="12579" spans="66:69" x14ac:dyDescent="0.2">
      <c r="BN12579" s="192"/>
      <c r="BO12579" s="197"/>
      <c r="BP12579" s="197"/>
      <c r="BQ12579" s="197"/>
    </row>
    <row r="12580" spans="66:69" x14ac:dyDescent="0.2">
      <c r="BN12580" s="192"/>
      <c r="BO12580" s="197"/>
      <c r="BP12580" s="197"/>
      <c r="BQ12580" s="197"/>
    </row>
    <row r="12581" spans="66:69" x14ac:dyDescent="0.2">
      <c r="BN12581" s="192"/>
      <c r="BO12581" s="197"/>
      <c r="BP12581" s="197"/>
      <c r="BQ12581" s="197"/>
    </row>
    <row r="12582" spans="66:69" x14ac:dyDescent="0.2">
      <c r="BN12582" s="192"/>
      <c r="BO12582" s="197"/>
      <c r="BP12582" s="197"/>
      <c r="BQ12582" s="197"/>
    </row>
    <row r="12583" spans="66:69" x14ac:dyDescent="0.2">
      <c r="BN12583" s="192"/>
      <c r="BO12583" s="197"/>
      <c r="BP12583" s="197"/>
      <c r="BQ12583" s="197"/>
    </row>
    <row r="12584" spans="66:69" x14ac:dyDescent="0.2">
      <c r="BN12584" s="192"/>
      <c r="BO12584" s="197"/>
      <c r="BP12584" s="197"/>
      <c r="BQ12584" s="197"/>
    </row>
    <row r="12585" spans="66:69" x14ac:dyDescent="0.2">
      <c r="BN12585" s="192"/>
      <c r="BO12585" s="197"/>
      <c r="BP12585" s="197"/>
      <c r="BQ12585" s="197"/>
    </row>
    <row r="12586" spans="66:69" x14ac:dyDescent="0.2">
      <c r="BN12586" s="192"/>
      <c r="BO12586" s="197"/>
      <c r="BP12586" s="197"/>
      <c r="BQ12586" s="197"/>
    </row>
    <row r="12587" spans="66:69" x14ac:dyDescent="0.2">
      <c r="BN12587" s="192"/>
      <c r="BO12587" s="197"/>
      <c r="BP12587" s="197"/>
      <c r="BQ12587" s="197"/>
    </row>
    <row r="12588" spans="66:69" x14ac:dyDescent="0.2">
      <c r="BN12588" s="192"/>
      <c r="BO12588" s="197"/>
      <c r="BP12588" s="197"/>
      <c r="BQ12588" s="197"/>
    </row>
    <row r="12589" spans="66:69" x14ac:dyDescent="0.2">
      <c r="BN12589" s="192"/>
      <c r="BO12589" s="197"/>
      <c r="BP12589" s="197"/>
      <c r="BQ12589" s="197"/>
    </row>
    <row r="12590" spans="66:69" x14ac:dyDescent="0.2">
      <c r="BN12590" s="192"/>
      <c r="BO12590" s="197"/>
      <c r="BP12590" s="197"/>
      <c r="BQ12590" s="197"/>
    </row>
    <row r="12591" spans="66:69" x14ac:dyDescent="0.2">
      <c r="BN12591" s="192"/>
      <c r="BO12591" s="197"/>
      <c r="BP12591" s="197"/>
      <c r="BQ12591" s="197"/>
    </row>
    <row r="12592" spans="66:69" x14ac:dyDescent="0.2">
      <c r="BN12592" s="192"/>
      <c r="BO12592" s="197"/>
      <c r="BP12592" s="197"/>
      <c r="BQ12592" s="197"/>
    </row>
    <row r="12593" spans="66:69" x14ac:dyDescent="0.2">
      <c r="BN12593" s="192"/>
      <c r="BO12593" s="197"/>
      <c r="BP12593" s="197"/>
      <c r="BQ12593" s="197"/>
    </row>
    <row r="12594" spans="66:69" x14ac:dyDescent="0.2">
      <c r="BN12594" s="192"/>
      <c r="BO12594" s="197"/>
      <c r="BP12594" s="197"/>
      <c r="BQ12594" s="197"/>
    </row>
    <row r="12595" spans="66:69" x14ac:dyDescent="0.2">
      <c r="BN12595" s="192"/>
      <c r="BO12595" s="197"/>
      <c r="BP12595" s="197"/>
      <c r="BQ12595" s="197"/>
    </row>
    <row r="12596" spans="66:69" x14ac:dyDescent="0.2">
      <c r="BN12596" s="192"/>
      <c r="BO12596" s="197"/>
      <c r="BP12596" s="197"/>
      <c r="BQ12596" s="197"/>
    </row>
    <row r="12597" spans="66:69" x14ac:dyDescent="0.2">
      <c r="BN12597" s="192"/>
      <c r="BO12597" s="197"/>
      <c r="BP12597" s="197"/>
      <c r="BQ12597" s="197"/>
    </row>
    <row r="12598" spans="66:69" x14ac:dyDescent="0.2">
      <c r="BN12598" s="192"/>
      <c r="BO12598" s="197"/>
      <c r="BP12598" s="197"/>
      <c r="BQ12598" s="197"/>
    </row>
    <row r="12599" spans="66:69" x14ac:dyDescent="0.2">
      <c r="BN12599" s="192"/>
      <c r="BO12599" s="197"/>
      <c r="BP12599" s="197"/>
      <c r="BQ12599" s="197"/>
    </row>
    <row r="12600" spans="66:69" x14ac:dyDescent="0.2">
      <c r="BN12600" s="192"/>
      <c r="BO12600" s="197"/>
      <c r="BP12600" s="197"/>
      <c r="BQ12600" s="197"/>
    </row>
    <row r="12601" spans="66:69" x14ac:dyDescent="0.2">
      <c r="BN12601" s="192"/>
      <c r="BO12601" s="197"/>
      <c r="BP12601" s="197"/>
      <c r="BQ12601" s="197"/>
    </row>
    <row r="12602" spans="66:69" x14ac:dyDescent="0.2">
      <c r="BN12602" s="192"/>
      <c r="BO12602" s="197"/>
      <c r="BP12602" s="197"/>
      <c r="BQ12602" s="197"/>
    </row>
    <row r="12603" spans="66:69" x14ac:dyDescent="0.2">
      <c r="BN12603" s="192"/>
      <c r="BO12603" s="197"/>
      <c r="BP12603" s="197"/>
      <c r="BQ12603" s="197"/>
    </row>
    <row r="12604" spans="66:69" x14ac:dyDescent="0.2">
      <c r="BN12604" s="192"/>
      <c r="BO12604" s="197"/>
      <c r="BP12604" s="197"/>
      <c r="BQ12604" s="197"/>
    </row>
    <row r="12605" spans="66:69" x14ac:dyDescent="0.2">
      <c r="BN12605" s="192"/>
      <c r="BO12605" s="197"/>
      <c r="BP12605" s="197"/>
      <c r="BQ12605" s="197"/>
    </row>
    <row r="12606" spans="66:69" x14ac:dyDescent="0.2">
      <c r="BN12606" s="192"/>
      <c r="BO12606" s="197"/>
      <c r="BP12606" s="197"/>
      <c r="BQ12606" s="197"/>
    </row>
    <row r="12607" spans="66:69" x14ac:dyDescent="0.2">
      <c r="BN12607" s="192"/>
      <c r="BO12607" s="197"/>
      <c r="BP12607" s="197"/>
      <c r="BQ12607" s="197"/>
    </row>
    <row r="12608" spans="66:69" x14ac:dyDescent="0.2">
      <c r="BN12608" s="192"/>
      <c r="BO12608" s="197"/>
      <c r="BP12608" s="197"/>
      <c r="BQ12608" s="197"/>
    </row>
    <row r="12609" spans="66:69" x14ac:dyDescent="0.2">
      <c r="BN12609" s="192"/>
      <c r="BO12609" s="197"/>
      <c r="BP12609" s="197"/>
      <c r="BQ12609" s="197"/>
    </row>
    <row r="12610" spans="66:69" x14ac:dyDescent="0.2">
      <c r="BN12610" s="192"/>
      <c r="BO12610" s="197"/>
      <c r="BP12610" s="197"/>
      <c r="BQ12610" s="197"/>
    </row>
    <row r="12611" spans="66:69" x14ac:dyDescent="0.2">
      <c r="BN12611" s="192"/>
      <c r="BO12611" s="197"/>
      <c r="BP12611" s="197"/>
      <c r="BQ12611" s="197"/>
    </row>
    <row r="12612" spans="66:69" x14ac:dyDescent="0.2">
      <c r="BN12612" s="192"/>
      <c r="BO12612" s="197"/>
      <c r="BP12612" s="197"/>
      <c r="BQ12612" s="197"/>
    </row>
    <row r="12613" spans="66:69" x14ac:dyDescent="0.2">
      <c r="BN12613" s="192"/>
      <c r="BO12613" s="197"/>
      <c r="BP12613" s="197"/>
      <c r="BQ12613" s="197"/>
    </row>
    <row r="12614" spans="66:69" x14ac:dyDescent="0.2">
      <c r="BN12614" s="192"/>
      <c r="BO12614" s="197"/>
      <c r="BP12614" s="197"/>
      <c r="BQ12614" s="197"/>
    </row>
    <row r="12615" spans="66:69" x14ac:dyDescent="0.2">
      <c r="BN12615" s="192"/>
      <c r="BO12615" s="197"/>
      <c r="BP12615" s="197"/>
      <c r="BQ12615" s="197"/>
    </row>
    <row r="12616" spans="66:69" x14ac:dyDescent="0.2">
      <c r="BN12616" s="192"/>
      <c r="BO12616" s="197"/>
      <c r="BP12616" s="197"/>
      <c r="BQ12616" s="197"/>
    </row>
    <row r="12617" spans="66:69" x14ac:dyDescent="0.2">
      <c r="BN12617" s="192"/>
      <c r="BO12617" s="197"/>
      <c r="BP12617" s="197"/>
      <c r="BQ12617" s="197"/>
    </row>
    <row r="12618" spans="66:69" x14ac:dyDescent="0.2">
      <c r="BN12618" s="192"/>
      <c r="BO12618" s="197"/>
      <c r="BP12618" s="197"/>
      <c r="BQ12618" s="197"/>
    </row>
    <row r="12619" spans="66:69" x14ac:dyDescent="0.2">
      <c r="BN12619" s="192"/>
      <c r="BO12619" s="197"/>
      <c r="BP12619" s="197"/>
      <c r="BQ12619" s="197"/>
    </row>
    <row r="12620" spans="66:69" x14ac:dyDescent="0.2">
      <c r="BN12620" s="192"/>
      <c r="BO12620" s="197"/>
      <c r="BP12620" s="197"/>
      <c r="BQ12620" s="197"/>
    </row>
    <row r="12621" spans="66:69" x14ac:dyDescent="0.2">
      <c r="BN12621" s="192"/>
      <c r="BO12621" s="197"/>
      <c r="BP12621" s="197"/>
      <c r="BQ12621" s="197"/>
    </row>
    <row r="12622" spans="66:69" x14ac:dyDescent="0.2">
      <c r="BN12622" s="192"/>
      <c r="BO12622" s="197"/>
      <c r="BP12622" s="197"/>
      <c r="BQ12622" s="197"/>
    </row>
    <row r="12623" spans="66:69" x14ac:dyDescent="0.2">
      <c r="BN12623" s="192"/>
      <c r="BO12623" s="197"/>
      <c r="BP12623" s="197"/>
      <c r="BQ12623" s="197"/>
    </row>
    <row r="12624" spans="66:69" x14ac:dyDescent="0.2">
      <c r="BN12624" s="192"/>
      <c r="BO12624" s="197"/>
      <c r="BP12624" s="197"/>
      <c r="BQ12624" s="197"/>
    </row>
    <row r="12625" spans="66:69" x14ac:dyDescent="0.2">
      <c r="BN12625" s="192"/>
      <c r="BO12625" s="197"/>
      <c r="BP12625" s="197"/>
      <c r="BQ12625" s="197"/>
    </row>
    <row r="12626" spans="66:69" x14ac:dyDescent="0.2">
      <c r="BN12626" s="192"/>
      <c r="BO12626" s="197"/>
      <c r="BP12626" s="197"/>
      <c r="BQ12626" s="197"/>
    </row>
    <row r="12627" spans="66:69" x14ac:dyDescent="0.2">
      <c r="BN12627" s="192"/>
      <c r="BO12627" s="197"/>
      <c r="BP12627" s="197"/>
      <c r="BQ12627" s="197"/>
    </row>
    <row r="12628" spans="66:69" x14ac:dyDescent="0.2">
      <c r="BN12628" s="192"/>
      <c r="BO12628" s="197"/>
      <c r="BP12628" s="197"/>
      <c r="BQ12628" s="197"/>
    </row>
    <row r="12629" spans="66:69" x14ac:dyDescent="0.2">
      <c r="BN12629" s="192"/>
      <c r="BO12629" s="197"/>
      <c r="BP12629" s="197"/>
      <c r="BQ12629" s="197"/>
    </row>
    <row r="12630" spans="66:69" x14ac:dyDescent="0.2">
      <c r="BN12630" s="192"/>
      <c r="BO12630" s="197"/>
      <c r="BP12630" s="197"/>
      <c r="BQ12630" s="197"/>
    </row>
    <row r="12631" spans="66:69" x14ac:dyDescent="0.2">
      <c r="BN12631" s="192"/>
      <c r="BO12631" s="197"/>
      <c r="BP12631" s="197"/>
      <c r="BQ12631" s="197"/>
    </row>
    <row r="12632" spans="66:69" x14ac:dyDescent="0.2">
      <c r="BN12632" s="192"/>
      <c r="BO12632" s="197"/>
      <c r="BP12632" s="197"/>
      <c r="BQ12632" s="197"/>
    </row>
    <row r="12633" spans="66:69" x14ac:dyDescent="0.2">
      <c r="BN12633" s="192"/>
      <c r="BO12633" s="197"/>
      <c r="BP12633" s="197"/>
      <c r="BQ12633" s="197"/>
    </row>
    <row r="12634" spans="66:69" x14ac:dyDescent="0.2">
      <c r="BN12634" s="192"/>
      <c r="BO12634" s="197"/>
      <c r="BP12634" s="197"/>
      <c r="BQ12634" s="197"/>
    </row>
    <row r="12635" spans="66:69" x14ac:dyDescent="0.2">
      <c r="BN12635" s="192"/>
      <c r="BO12635" s="197"/>
      <c r="BP12635" s="197"/>
      <c r="BQ12635" s="197"/>
    </row>
    <row r="12636" spans="66:69" x14ac:dyDescent="0.2">
      <c r="BN12636" s="192"/>
      <c r="BO12636" s="197"/>
      <c r="BP12636" s="197"/>
      <c r="BQ12636" s="197"/>
    </row>
    <row r="12637" spans="66:69" x14ac:dyDescent="0.2">
      <c r="BN12637" s="192"/>
      <c r="BO12637" s="197"/>
      <c r="BP12637" s="197"/>
      <c r="BQ12637" s="197"/>
    </row>
    <row r="12638" spans="66:69" x14ac:dyDescent="0.2">
      <c r="BN12638" s="192"/>
      <c r="BO12638" s="197"/>
      <c r="BP12638" s="197"/>
      <c r="BQ12638" s="197"/>
    </row>
    <row r="12639" spans="66:69" x14ac:dyDescent="0.2">
      <c r="BN12639" s="192"/>
      <c r="BO12639" s="197"/>
      <c r="BP12639" s="197"/>
      <c r="BQ12639" s="197"/>
    </row>
    <row r="12640" spans="66:69" x14ac:dyDescent="0.2">
      <c r="BN12640" s="192"/>
      <c r="BO12640" s="197"/>
      <c r="BP12640" s="197"/>
      <c r="BQ12640" s="197"/>
    </row>
    <row r="12641" spans="66:69" x14ac:dyDescent="0.2">
      <c r="BN12641" s="192"/>
      <c r="BO12641" s="197"/>
      <c r="BP12641" s="197"/>
      <c r="BQ12641" s="197"/>
    </row>
    <row r="12642" spans="66:69" x14ac:dyDescent="0.2">
      <c r="BN12642" s="192"/>
      <c r="BO12642" s="197"/>
      <c r="BP12642" s="197"/>
      <c r="BQ12642" s="197"/>
    </row>
    <row r="12643" spans="66:69" x14ac:dyDescent="0.2">
      <c r="BN12643" s="192"/>
      <c r="BO12643" s="197"/>
      <c r="BP12643" s="197"/>
      <c r="BQ12643" s="197"/>
    </row>
    <row r="12644" spans="66:69" x14ac:dyDescent="0.2">
      <c r="BN12644" s="192"/>
      <c r="BO12644" s="197"/>
      <c r="BP12644" s="197"/>
      <c r="BQ12644" s="197"/>
    </row>
    <row r="12645" spans="66:69" x14ac:dyDescent="0.2">
      <c r="BN12645" s="192"/>
      <c r="BO12645" s="197"/>
      <c r="BP12645" s="197"/>
      <c r="BQ12645" s="197"/>
    </row>
    <row r="12646" spans="66:69" x14ac:dyDescent="0.2">
      <c r="BN12646" s="192"/>
      <c r="BO12646" s="197"/>
      <c r="BP12646" s="197"/>
      <c r="BQ12646" s="197"/>
    </row>
    <row r="12647" spans="66:69" x14ac:dyDescent="0.2">
      <c r="BN12647" s="192"/>
      <c r="BO12647" s="197"/>
      <c r="BP12647" s="197"/>
      <c r="BQ12647" s="197"/>
    </row>
    <row r="12648" spans="66:69" x14ac:dyDescent="0.2">
      <c r="BN12648" s="192"/>
      <c r="BO12648" s="197"/>
      <c r="BP12648" s="197"/>
      <c r="BQ12648" s="197"/>
    </row>
    <row r="12649" spans="66:69" x14ac:dyDescent="0.2">
      <c r="BN12649" s="192"/>
      <c r="BO12649" s="197"/>
      <c r="BP12649" s="197"/>
      <c r="BQ12649" s="197"/>
    </row>
    <row r="12650" spans="66:69" x14ac:dyDescent="0.2">
      <c r="BN12650" s="192"/>
      <c r="BO12650" s="197"/>
      <c r="BP12650" s="197"/>
      <c r="BQ12650" s="197"/>
    </row>
    <row r="12651" spans="66:69" x14ac:dyDescent="0.2">
      <c r="BN12651" s="192"/>
      <c r="BO12651" s="197"/>
      <c r="BP12651" s="197"/>
      <c r="BQ12651" s="197"/>
    </row>
    <row r="12652" spans="66:69" x14ac:dyDescent="0.2">
      <c r="BN12652" s="192"/>
      <c r="BO12652" s="197"/>
      <c r="BP12652" s="197"/>
      <c r="BQ12652" s="197"/>
    </row>
    <row r="12653" spans="66:69" x14ac:dyDescent="0.2">
      <c r="BN12653" s="192"/>
      <c r="BO12653" s="197"/>
      <c r="BP12653" s="197"/>
      <c r="BQ12653" s="197"/>
    </row>
    <row r="12654" spans="66:69" x14ac:dyDescent="0.2">
      <c r="BN12654" s="192"/>
      <c r="BO12654" s="197"/>
      <c r="BP12654" s="197"/>
      <c r="BQ12654" s="197"/>
    </row>
    <row r="12655" spans="66:69" x14ac:dyDescent="0.2">
      <c r="BN12655" s="192"/>
      <c r="BO12655" s="197"/>
      <c r="BP12655" s="197"/>
      <c r="BQ12655" s="197"/>
    </row>
    <row r="12656" spans="66:69" x14ac:dyDescent="0.2">
      <c r="BN12656" s="192"/>
      <c r="BO12656" s="197"/>
      <c r="BP12656" s="197"/>
      <c r="BQ12656" s="197"/>
    </row>
    <row r="12657" spans="66:69" x14ac:dyDescent="0.2">
      <c r="BN12657" s="192"/>
      <c r="BO12657" s="197"/>
      <c r="BP12657" s="197"/>
      <c r="BQ12657" s="197"/>
    </row>
    <row r="12658" spans="66:69" x14ac:dyDescent="0.2">
      <c r="BN12658" s="192"/>
      <c r="BO12658" s="197"/>
      <c r="BP12658" s="197"/>
      <c r="BQ12658" s="197"/>
    </row>
    <row r="12659" spans="66:69" x14ac:dyDescent="0.2">
      <c r="BN12659" s="192"/>
      <c r="BO12659" s="197"/>
      <c r="BP12659" s="197"/>
      <c r="BQ12659" s="197"/>
    </row>
    <row r="12660" spans="66:69" x14ac:dyDescent="0.2">
      <c r="BN12660" s="192"/>
      <c r="BO12660" s="197"/>
      <c r="BP12660" s="197"/>
      <c r="BQ12660" s="197"/>
    </row>
    <row r="12661" spans="66:69" x14ac:dyDescent="0.2">
      <c r="BN12661" s="192"/>
      <c r="BO12661" s="197"/>
      <c r="BP12661" s="197"/>
      <c r="BQ12661" s="197"/>
    </row>
    <row r="12662" spans="66:69" x14ac:dyDescent="0.2">
      <c r="BN12662" s="192"/>
      <c r="BO12662" s="197"/>
      <c r="BP12662" s="197"/>
      <c r="BQ12662" s="197"/>
    </row>
    <row r="12663" spans="66:69" x14ac:dyDescent="0.2">
      <c r="BN12663" s="192"/>
      <c r="BO12663" s="197"/>
      <c r="BP12663" s="197"/>
      <c r="BQ12663" s="197"/>
    </row>
    <row r="12664" spans="66:69" x14ac:dyDescent="0.2">
      <c r="BN12664" s="192"/>
      <c r="BO12664" s="197"/>
      <c r="BP12664" s="197"/>
      <c r="BQ12664" s="197"/>
    </row>
    <row r="12665" spans="66:69" x14ac:dyDescent="0.2">
      <c r="BN12665" s="192"/>
      <c r="BO12665" s="197"/>
      <c r="BP12665" s="197"/>
      <c r="BQ12665" s="197"/>
    </row>
    <row r="12666" spans="66:69" x14ac:dyDescent="0.2">
      <c r="BN12666" s="192"/>
      <c r="BO12666" s="197"/>
      <c r="BP12666" s="197"/>
      <c r="BQ12666" s="197"/>
    </row>
    <row r="12667" spans="66:69" x14ac:dyDescent="0.2">
      <c r="BN12667" s="192"/>
      <c r="BO12667" s="197"/>
      <c r="BP12667" s="197"/>
      <c r="BQ12667" s="197"/>
    </row>
    <row r="12668" spans="66:69" x14ac:dyDescent="0.2">
      <c r="BN12668" s="192"/>
      <c r="BO12668" s="197"/>
      <c r="BP12668" s="197"/>
      <c r="BQ12668" s="197"/>
    </row>
    <row r="12669" spans="66:69" x14ac:dyDescent="0.2">
      <c r="BN12669" s="192"/>
      <c r="BO12669" s="197"/>
      <c r="BP12669" s="197"/>
      <c r="BQ12669" s="197"/>
    </row>
    <row r="12670" spans="66:69" x14ac:dyDescent="0.2">
      <c r="BN12670" s="192"/>
      <c r="BO12670" s="197"/>
      <c r="BP12670" s="197"/>
      <c r="BQ12670" s="197"/>
    </row>
    <row r="12671" spans="66:69" x14ac:dyDescent="0.2">
      <c r="BN12671" s="192"/>
      <c r="BO12671" s="197"/>
      <c r="BP12671" s="197"/>
      <c r="BQ12671" s="197"/>
    </row>
    <row r="12672" spans="66:69" x14ac:dyDescent="0.2">
      <c r="BN12672" s="192"/>
      <c r="BO12672" s="197"/>
      <c r="BP12672" s="197"/>
      <c r="BQ12672" s="197"/>
    </row>
    <row r="12673" spans="66:69" x14ac:dyDescent="0.2">
      <c r="BN12673" s="192"/>
      <c r="BO12673" s="197"/>
      <c r="BP12673" s="197"/>
      <c r="BQ12673" s="197"/>
    </row>
    <row r="12674" spans="66:69" x14ac:dyDescent="0.2">
      <c r="BN12674" s="192"/>
      <c r="BO12674" s="197"/>
      <c r="BP12674" s="197"/>
      <c r="BQ12674" s="197"/>
    </row>
    <row r="12675" spans="66:69" x14ac:dyDescent="0.2">
      <c r="BN12675" s="192"/>
      <c r="BO12675" s="197"/>
      <c r="BP12675" s="197"/>
      <c r="BQ12675" s="197"/>
    </row>
    <row r="12676" spans="66:69" x14ac:dyDescent="0.2">
      <c r="BN12676" s="192"/>
      <c r="BO12676" s="197"/>
      <c r="BP12676" s="197"/>
      <c r="BQ12676" s="197"/>
    </row>
    <row r="12677" spans="66:69" x14ac:dyDescent="0.2">
      <c r="BN12677" s="192"/>
      <c r="BO12677" s="197"/>
      <c r="BP12677" s="197"/>
      <c r="BQ12677" s="197"/>
    </row>
    <row r="12678" spans="66:69" x14ac:dyDescent="0.2">
      <c r="BN12678" s="192"/>
      <c r="BO12678" s="197"/>
      <c r="BP12678" s="197"/>
      <c r="BQ12678" s="197"/>
    </row>
    <row r="12679" spans="66:69" x14ac:dyDescent="0.2">
      <c r="BN12679" s="192"/>
      <c r="BO12679" s="197"/>
      <c r="BP12679" s="197"/>
      <c r="BQ12679" s="197"/>
    </row>
    <row r="12680" spans="66:69" x14ac:dyDescent="0.2">
      <c r="BN12680" s="192"/>
      <c r="BO12680" s="197"/>
      <c r="BP12680" s="197"/>
      <c r="BQ12680" s="197"/>
    </row>
    <row r="12681" spans="66:69" x14ac:dyDescent="0.2">
      <c r="BN12681" s="192"/>
      <c r="BO12681" s="197"/>
      <c r="BP12681" s="197"/>
      <c r="BQ12681" s="197"/>
    </row>
    <row r="12682" spans="66:69" x14ac:dyDescent="0.2">
      <c r="BN12682" s="192"/>
      <c r="BO12682" s="197"/>
      <c r="BP12682" s="197"/>
      <c r="BQ12682" s="197"/>
    </row>
    <row r="12683" spans="66:69" x14ac:dyDescent="0.2">
      <c r="BN12683" s="192"/>
      <c r="BO12683" s="197"/>
      <c r="BP12683" s="197"/>
      <c r="BQ12683" s="197"/>
    </row>
    <row r="12684" spans="66:69" x14ac:dyDescent="0.2">
      <c r="BN12684" s="192"/>
      <c r="BO12684" s="197"/>
      <c r="BP12684" s="197"/>
      <c r="BQ12684" s="197"/>
    </row>
    <row r="12685" spans="66:69" x14ac:dyDescent="0.2">
      <c r="BN12685" s="192"/>
      <c r="BO12685" s="197"/>
      <c r="BP12685" s="197"/>
      <c r="BQ12685" s="197"/>
    </row>
    <row r="12686" spans="66:69" x14ac:dyDescent="0.2">
      <c r="BN12686" s="192"/>
      <c r="BO12686" s="197"/>
      <c r="BP12686" s="197"/>
      <c r="BQ12686" s="197"/>
    </row>
    <row r="12687" spans="66:69" x14ac:dyDescent="0.2">
      <c r="BN12687" s="192"/>
      <c r="BO12687" s="197"/>
      <c r="BP12687" s="197"/>
      <c r="BQ12687" s="197"/>
    </row>
    <row r="12688" spans="66:69" x14ac:dyDescent="0.2">
      <c r="BN12688" s="192"/>
      <c r="BO12688" s="197"/>
      <c r="BP12688" s="197"/>
      <c r="BQ12688" s="197"/>
    </row>
    <row r="12689" spans="66:69" x14ac:dyDescent="0.2">
      <c r="BN12689" s="192"/>
      <c r="BO12689" s="197"/>
      <c r="BP12689" s="197"/>
      <c r="BQ12689" s="197"/>
    </row>
    <row r="12690" spans="66:69" x14ac:dyDescent="0.2">
      <c r="BN12690" s="192"/>
      <c r="BO12690" s="197"/>
      <c r="BP12690" s="197"/>
      <c r="BQ12690" s="197"/>
    </row>
    <row r="12691" spans="66:69" x14ac:dyDescent="0.2">
      <c r="BN12691" s="192"/>
      <c r="BO12691" s="197"/>
      <c r="BP12691" s="197"/>
      <c r="BQ12691" s="197"/>
    </row>
    <row r="12692" spans="66:69" x14ac:dyDescent="0.2">
      <c r="BN12692" s="192"/>
      <c r="BO12692" s="197"/>
      <c r="BP12692" s="197"/>
      <c r="BQ12692" s="197"/>
    </row>
    <row r="12693" spans="66:69" x14ac:dyDescent="0.2">
      <c r="BN12693" s="192"/>
      <c r="BO12693" s="197"/>
      <c r="BP12693" s="197"/>
      <c r="BQ12693" s="197"/>
    </row>
    <row r="12694" spans="66:69" x14ac:dyDescent="0.2">
      <c r="BN12694" s="192"/>
      <c r="BO12694" s="197"/>
      <c r="BP12694" s="197"/>
      <c r="BQ12694" s="197"/>
    </row>
    <row r="12695" spans="66:69" x14ac:dyDescent="0.2">
      <c r="BN12695" s="192"/>
      <c r="BO12695" s="197"/>
      <c r="BP12695" s="197"/>
      <c r="BQ12695" s="197"/>
    </row>
    <row r="12696" spans="66:69" x14ac:dyDescent="0.2">
      <c r="BN12696" s="192"/>
      <c r="BO12696" s="197"/>
      <c r="BP12696" s="197"/>
      <c r="BQ12696" s="197"/>
    </row>
    <row r="12697" spans="66:69" x14ac:dyDescent="0.2">
      <c r="BN12697" s="192"/>
      <c r="BO12697" s="197"/>
      <c r="BP12697" s="197"/>
      <c r="BQ12697" s="197"/>
    </row>
    <row r="12698" spans="66:69" x14ac:dyDescent="0.2">
      <c r="BN12698" s="192"/>
      <c r="BO12698" s="197"/>
      <c r="BP12698" s="197"/>
      <c r="BQ12698" s="197"/>
    </row>
    <row r="12699" spans="66:69" x14ac:dyDescent="0.2">
      <c r="BN12699" s="192"/>
      <c r="BO12699" s="197"/>
      <c r="BP12699" s="197"/>
      <c r="BQ12699" s="197"/>
    </row>
    <row r="12700" spans="66:69" x14ac:dyDescent="0.2">
      <c r="BN12700" s="192"/>
      <c r="BO12700" s="197"/>
      <c r="BP12700" s="197"/>
      <c r="BQ12700" s="197"/>
    </row>
    <row r="12701" spans="66:69" x14ac:dyDescent="0.2">
      <c r="BN12701" s="192"/>
      <c r="BO12701" s="197"/>
      <c r="BP12701" s="197"/>
      <c r="BQ12701" s="197"/>
    </row>
    <row r="12702" spans="66:69" x14ac:dyDescent="0.2">
      <c r="BN12702" s="192"/>
      <c r="BO12702" s="197"/>
      <c r="BP12702" s="197"/>
      <c r="BQ12702" s="197"/>
    </row>
    <row r="12703" spans="66:69" x14ac:dyDescent="0.2">
      <c r="BN12703" s="192"/>
      <c r="BO12703" s="197"/>
      <c r="BP12703" s="197"/>
      <c r="BQ12703" s="197"/>
    </row>
    <row r="12704" spans="66:69" x14ac:dyDescent="0.2">
      <c r="BN12704" s="192"/>
      <c r="BO12704" s="197"/>
      <c r="BP12704" s="197"/>
      <c r="BQ12704" s="197"/>
    </row>
    <row r="12705" spans="66:69" x14ac:dyDescent="0.2">
      <c r="BN12705" s="192"/>
      <c r="BO12705" s="197"/>
      <c r="BP12705" s="197"/>
      <c r="BQ12705" s="197"/>
    </row>
    <row r="12706" spans="66:69" x14ac:dyDescent="0.2">
      <c r="BN12706" s="192"/>
      <c r="BO12706" s="197"/>
      <c r="BP12706" s="197"/>
      <c r="BQ12706" s="197"/>
    </row>
    <row r="12707" spans="66:69" x14ac:dyDescent="0.2">
      <c r="BN12707" s="192"/>
      <c r="BO12707" s="197"/>
      <c r="BP12707" s="197"/>
      <c r="BQ12707" s="197"/>
    </row>
    <row r="12708" spans="66:69" x14ac:dyDescent="0.2">
      <c r="BN12708" s="192"/>
      <c r="BO12708" s="197"/>
      <c r="BP12708" s="197"/>
      <c r="BQ12708" s="197"/>
    </row>
    <row r="12709" spans="66:69" x14ac:dyDescent="0.2">
      <c r="BN12709" s="192"/>
      <c r="BO12709" s="197"/>
      <c r="BP12709" s="197"/>
      <c r="BQ12709" s="197"/>
    </row>
    <row r="12710" spans="66:69" x14ac:dyDescent="0.2">
      <c r="BN12710" s="192"/>
      <c r="BO12710" s="197"/>
      <c r="BP12710" s="197"/>
      <c r="BQ12710" s="197"/>
    </row>
    <row r="12711" spans="66:69" x14ac:dyDescent="0.2">
      <c r="BN12711" s="192"/>
      <c r="BO12711" s="197"/>
      <c r="BP12711" s="197"/>
      <c r="BQ12711" s="197"/>
    </row>
    <row r="12712" spans="66:69" x14ac:dyDescent="0.2">
      <c r="BN12712" s="192"/>
      <c r="BO12712" s="197"/>
      <c r="BP12712" s="197"/>
      <c r="BQ12712" s="197"/>
    </row>
    <row r="12713" spans="66:69" x14ac:dyDescent="0.2">
      <c r="BN12713" s="192"/>
      <c r="BO12713" s="197"/>
      <c r="BP12713" s="197"/>
      <c r="BQ12713" s="197"/>
    </row>
    <row r="12714" spans="66:69" x14ac:dyDescent="0.2">
      <c r="BN12714" s="192"/>
      <c r="BO12714" s="197"/>
      <c r="BP12714" s="197"/>
      <c r="BQ12714" s="197"/>
    </row>
    <row r="12715" spans="66:69" x14ac:dyDescent="0.2">
      <c r="BN12715" s="192"/>
      <c r="BO12715" s="197"/>
      <c r="BP12715" s="197"/>
      <c r="BQ12715" s="197"/>
    </row>
    <row r="12716" spans="66:69" x14ac:dyDescent="0.2">
      <c r="BN12716" s="192"/>
      <c r="BO12716" s="197"/>
      <c r="BP12716" s="197"/>
      <c r="BQ12716" s="197"/>
    </row>
    <row r="12717" spans="66:69" x14ac:dyDescent="0.2">
      <c r="BN12717" s="192"/>
      <c r="BO12717" s="197"/>
      <c r="BP12717" s="197"/>
      <c r="BQ12717" s="197"/>
    </row>
    <row r="12718" spans="66:69" x14ac:dyDescent="0.2">
      <c r="BN12718" s="192"/>
      <c r="BO12718" s="197"/>
      <c r="BP12718" s="197"/>
      <c r="BQ12718" s="197"/>
    </row>
    <row r="12719" spans="66:69" x14ac:dyDescent="0.2">
      <c r="BN12719" s="192"/>
      <c r="BO12719" s="197"/>
      <c r="BP12719" s="197"/>
      <c r="BQ12719" s="197"/>
    </row>
    <row r="12720" spans="66:69" x14ac:dyDescent="0.2">
      <c r="BN12720" s="192"/>
      <c r="BO12720" s="197"/>
      <c r="BP12720" s="197"/>
      <c r="BQ12720" s="197"/>
    </row>
    <row r="12721" spans="66:69" x14ac:dyDescent="0.2">
      <c r="BN12721" s="192"/>
      <c r="BO12721" s="197"/>
      <c r="BP12721" s="197"/>
      <c r="BQ12721" s="197"/>
    </row>
    <row r="12722" spans="66:69" x14ac:dyDescent="0.2">
      <c r="BN12722" s="192"/>
      <c r="BO12722" s="197"/>
      <c r="BP12722" s="197"/>
      <c r="BQ12722" s="197"/>
    </row>
    <row r="12723" spans="66:69" x14ac:dyDescent="0.2">
      <c r="BN12723" s="192"/>
      <c r="BO12723" s="197"/>
      <c r="BP12723" s="197"/>
      <c r="BQ12723" s="197"/>
    </row>
    <row r="12724" spans="66:69" x14ac:dyDescent="0.2">
      <c r="BN12724" s="192"/>
      <c r="BO12724" s="197"/>
      <c r="BP12724" s="197"/>
      <c r="BQ12724" s="197"/>
    </row>
    <row r="12725" spans="66:69" x14ac:dyDescent="0.2">
      <c r="BN12725" s="192"/>
      <c r="BO12725" s="197"/>
      <c r="BP12725" s="197"/>
      <c r="BQ12725" s="197"/>
    </row>
    <row r="12726" spans="66:69" x14ac:dyDescent="0.2">
      <c r="BN12726" s="192"/>
      <c r="BO12726" s="197"/>
      <c r="BP12726" s="197"/>
      <c r="BQ12726" s="197"/>
    </row>
    <row r="12727" spans="66:69" x14ac:dyDescent="0.2">
      <c r="BN12727" s="192"/>
      <c r="BO12727" s="197"/>
      <c r="BP12727" s="197"/>
      <c r="BQ12727" s="197"/>
    </row>
    <row r="12728" spans="66:69" x14ac:dyDescent="0.2">
      <c r="BN12728" s="192"/>
      <c r="BO12728" s="197"/>
      <c r="BP12728" s="197"/>
      <c r="BQ12728" s="197"/>
    </row>
    <row r="12729" spans="66:69" x14ac:dyDescent="0.2">
      <c r="BN12729" s="192"/>
      <c r="BO12729" s="197"/>
      <c r="BP12729" s="197"/>
      <c r="BQ12729" s="197"/>
    </row>
    <row r="12730" spans="66:69" x14ac:dyDescent="0.2">
      <c r="BN12730" s="192"/>
      <c r="BO12730" s="197"/>
      <c r="BP12730" s="197"/>
      <c r="BQ12730" s="197"/>
    </row>
    <row r="12731" spans="66:69" x14ac:dyDescent="0.2">
      <c r="BN12731" s="192"/>
      <c r="BO12731" s="197"/>
      <c r="BP12731" s="197"/>
      <c r="BQ12731" s="197"/>
    </row>
    <row r="12732" spans="66:69" x14ac:dyDescent="0.2">
      <c r="BN12732" s="192"/>
      <c r="BO12732" s="197"/>
      <c r="BP12732" s="197"/>
      <c r="BQ12732" s="197"/>
    </row>
    <row r="12733" spans="66:69" x14ac:dyDescent="0.2">
      <c r="BN12733" s="192"/>
      <c r="BO12733" s="197"/>
      <c r="BP12733" s="197"/>
      <c r="BQ12733" s="197"/>
    </row>
    <row r="12734" spans="66:69" x14ac:dyDescent="0.2">
      <c r="BN12734" s="192"/>
      <c r="BO12734" s="197"/>
      <c r="BP12734" s="197"/>
      <c r="BQ12734" s="197"/>
    </row>
    <row r="12735" spans="66:69" x14ac:dyDescent="0.2">
      <c r="BN12735" s="192"/>
      <c r="BO12735" s="197"/>
      <c r="BP12735" s="197"/>
      <c r="BQ12735" s="197"/>
    </row>
    <row r="12736" spans="66:69" x14ac:dyDescent="0.2">
      <c r="BN12736" s="192"/>
      <c r="BO12736" s="197"/>
      <c r="BP12736" s="197"/>
      <c r="BQ12736" s="197"/>
    </row>
    <row r="12737" spans="66:69" x14ac:dyDescent="0.2">
      <c r="BN12737" s="192"/>
      <c r="BO12737" s="197"/>
      <c r="BP12737" s="197"/>
      <c r="BQ12737" s="197"/>
    </row>
    <row r="12738" spans="66:69" x14ac:dyDescent="0.2">
      <c r="BN12738" s="192"/>
      <c r="BO12738" s="197"/>
      <c r="BP12738" s="197"/>
      <c r="BQ12738" s="197"/>
    </row>
    <row r="12739" spans="66:69" x14ac:dyDescent="0.2">
      <c r="BN12739" s="192"/>
      <c r="BO12739" s="197"/>
      <c r="BP12739" s="197"/>
      <c r="BQ12739" s="197"/>
    </row>
    <row r="12740" spans="66:69" x14ac:dyDescent="0.2">
      <c r="BN12740" s="192"/>
      <c r="BO12740" s="197"/>
      <c r="BP12740" s="197"/>
      <c r="BQ12740" s="197"/>
    </row>
    <row r="12741" spans="66:69" x14ac:dyDescent="0.2">
      <c r="BN12741" s="192"/>
      <c r="BO12741" s="197"/>
      <c r="BP12741" s="197"/>
      <c r="BQ12741" s="197"/>
    </row>
    <row r="12742" spans="66:69" x14ac:dyDescent="0.2">
      <c r="BN12742" s="192"/>
      <c r="BO12742" s="197"/>
      <c r="BP12742" s="197"/>
      <c r="BQ12742" s="197"/>
    </row>
    <row r="12743" spans="66:69" x14ac:dyDescent="0.2">
      <c r="BN12743" s="192"/>
      <c r="BO12743" s="197"/>
      <c r="BP12743" s="197"/>
      <c r="BQ12743" s="197"/>
    </row>
    <row r="12744" spans="66:69" x14ac:dyDescent="0.2">
      <c r="BN12744" s="192"/>
      <c r="BO12744" s="197"/>
      <c r="BP12744" s="197"/>
      <c r="BQ12744" s="197"/>
    </row>
    <row r="12745" spans="66:69" x14ac:dyDescent="0.2">
      <c r="BN12745" s="192"/>
      <c r="BO12745" s="197"/>
      <c r="BP12745" s="197"/>
      <c r="BQ12745" s="197"/>
    </row>
    <row r="12746" spans="66:69" x14ac:dyDescent="0.2">
      <c r="BN12746" s="192"/>
      <c r="BO12746" s="197"/>
      <c r="BP12746" s="197"/>
      <c r="BQ12746" s="197"/>
    </row>
    <row r="12747" spans="66:69" x14ac:dyDescent="0.2">
      <c r="BN12747" s="192"/>
      <c r="BO12747" s="197"/>
      <c r="BP12747" s="197"/>
      <c r="BQ12747" s="197"/>
    </row>
    <row r="12748" spans="66:69" x14ac:dyDescent="0.2">
      <c r="BN12748" s="192"/>
      <c r="BO12748" s="197"/>
      <c r="BP12748" s="197"/>
      <c r="BQ12748" s="197"/>
    </row>
    <row r="12749" spans="66:69" x14ac:dyDescent="0.2">
      <c r="BN12749" s="192"/>
      <c r="BO12749" s="197"/>
      <c r="BP12749" s="197"/>
      <c r="BQ12749" s="197"/>
    </row>
    <row r="12750" spans="66:69" x14ac:dyDescent="0.2">
      <c r="BN12750" s="192"/>
      <c r="BO12750" s="197"/>
      <c r="BP12750" s="197"/>
      <c r="BQ12750" s="197"/>
    </row>
    <row r="12751" spans="66:69" x14ac:dyDescent="0.2">
      <c r="BN12751" s="192"/>
      <c r="BO12751" s="197"/>
      <c r="BP12751" s="197"/>
      <c r="BQ12751" s="197"/>
    </row>
    <row r="12752" spans="66:69" x14ac:dyDescent="0.2">
      <c r="BN12752" s="192"/>
      <c r="BO12752" s="197"/>
      <c r="BP12752" s="197"/>
      <c r="BQ12752" s="197"/>
    </row>
    <row r="12753" spans="66:69" x14ac:dyDescent="0.2">
      <c r="BN12753" s="192"/>
      <c r="BO12753" s="197"/>
      <c r="BP12753" s="197"/>
      <c r="BQ12753" s="197"/>
    </row>
    <row r="12754" spans="66:69" x14ac:dyDescent="0.2">
      <c r="BN12754" s="192"/>
      <c r="BO12754" s="197"/>
      <c r="BP12754" s="197"/>
      <c r="BQ12754" s="197"/>
    </row>
    <row r="12755" spans="66:69" x14ac:dyDescent="0.2">
      <c r="BN12755" s="192"/>
      <c r="BO12755" s="197"/>
      <c r="BP12755" s="197"/>
      <c r="BQ12755" s="197"/>
    </row>
    <row r="12756" spans="66:69" x14ac:dyDescent="0.2">
      <c r="BN12756" s="192"/>
      <c r="BO12756" s="197"/>
      <c r="BP12756" s="197"/>
      <c r="BQ12756" s="197"/>
    </row>
    <row r="12757" spans="66:69" x14ac:dyDescent="0.2">
      <c r="BN12757" s="192"/>
      <c r="BO12757" s="197"/>
      <c r="BP12757" s="197"/>
      <c r="BQ12757" s="197"/>
    </row>
    <row r="12758" spans="66:69" x14ac:dyDescent="0.2">
      <c r="BN12758" s="192"/>
      <c r="BO12758" s="197"/>
      <c r="BP12758" s="197"/>
      <c r="BQ12758" s="197"/>
    </row>
    <row r="12759" spans="66:69" x14ac:dyDescent="0.2">
      <c r="BN12759" s="192"/>
      <c r="BO12759" s="197"/>
      <c r="BP12759" s="197"/>
      <c r="BQ12759" s="197"/>
    </row>
    <row r="12760" spans="66:69" x14ac:dyDescent="0.2">
      <c r="BN12760" s="192"/>
      <c r="BO12760" s="197"/>
      <c r="BP12760" s="197"/>
      <c r="BQ12760" s="197"/>
    </row>
    <row r="12761" spans="66:69" x14ac:dyDescent="0.2">
      <c r="BN12761" s="192"/>
      <c r="BO12761" s="197"/>
      <c r="BP12761" s="197"/>
      <c r="BQ12761" s="197"/>
    </row>
    <row r="12762" spans="66:69" x14ac:dyDescent="0.2">
      <c r="BN12762" s="192"/>
      <c r="BO12762" s="197"/>
      <c r="BP12762" s="197"/>
      <c r="BQ12762" s="197"/>
    </row>
    <row r="12763" spans="66:69" x14ac:dyDescent="0.2">
      <c r="BN12763" s="192"/>
      <c r="BO12763" s="197"/>
      <c r="BP12763" s="197"/>
      <c r="BQ12763" s="197"/>
    </row>
    <row r="12764" spans="66:69" x14ac:dyDescent="0.2">
      <c r="BN12764" s="192"/>
      <c r="BO12764" s="197"/>
      <c r="BP12764" s="197"/>
      <c r="BQ12764" s="197"/>
    </row>
    <row r="12765" spans="66:69" x14ac:dyDescent="0.2">
      <c r="BN12765" s="192"/>
      <c r="BO12765" s="197"/>
      <c r="BP12765" s="197"/>
      <c r="BQ12765" s="197"/>
    </row>
    <row r="12766" spans="66:69" x14ac:dyDescent="0.2">
      <c r="BN12766" s="192"/>
      <c r="BO12766" s="197"/>
      <c r="BP12766" s="197"/>
      <c r="BQ12766" s="197"/>
    </row>
    <row r="12767" spans="66:69" x14ac:dyDescent="0.2">
      <c r="BN12767" s="192"/>
      <c r="BO12767" s="197"/>
      <c r="BP12767" s="197"/>
      <c r="BQ12767" s="197"/>
    </row>
    <row r="12768" spans="66:69" x14ac:dyDescent="0.2">
      <c r="BN12768" s="192"/>
      <c r="BO12768" s="197"/>
      <c r="BP12768" s="197"/>
      <c r="BQ12768" s="197"/>
    </row>
    <row r="12769" spans="66:69" x14ac:dyDescent="0.2">
      <c r="BN12769" s="192"/>
      <c r="BO12769" s="197"/>
      <c r="BP12769" s="197"/>
      <c r="BQ12769" s="197"/>
    </row>
    <row r="12770" spans="66:69" x14ac:dyDescent="0.2">
      <c r="BN12770" s="192"/>
      <c r="BO12770" s="197"/>
      <c r="BP12770" s="197"/>
      <c r="BQ12770" s="197"/>
    </row>
    <row r="12771" spans="66:69" x14ac:dyDescent="0.2">
      <c r="BN12771" s="192"/>
      <c r="BO12771" s="197"/>
      <c r="BP12771" s="197"/>
      <c r="BQ12771" s="197"/>
    </row>
    <row r="12772" spans="66:69" x14ac:dyDescent="0.2">
      <c r="BN12772" s="192"/>
      <c r="BO12772" s="197"/>
      <c r="BP12772" s="197"/>
      <c r="BQ12772" s="197"/>
    </row>
    <row r="12773" spans="66:69" x14ac:dyDescent="0.2">
      <c r="BN12773" s="192"/>
      <c r="BO12773" s="197"/>
      <c r="BP12773" s="197"/>
      <c r="BQ12773" s="197"/>
    </row>
    <row r="12774" spans="66:69" x14ac:dyDescent="0.2">
      <c r="BN12774" s="192"/>
      <c r="BO12774" s="197"/>
      <c r="BP12774" s="197"/>
      <c r="BQ12774" s="197"/>
    </row>
    <row r="12775" spans="66:69" x14ac:dyDescent="0.2">
      <c r="BN12775" s="192"/>
      <c r="BO12775" s="197"/>
      <c r="BP12775" s="197"/>
      <c r="BQ12775" s="197"/>
    </row>
    <row r="12776" spans="66:69" x14ac:dyDescent="0.2">
      <c r="BN12776" s="192"/>
      <c r="BO12776" s="197"/>
      <c r="BP12776" s="197"/>
      <c r="BQ12776" s="197"/>
    </row>
    <row r="12777" spans="66:69" x14ac:dyDescent="0.2">
      <c r="BN12777" s="192"/>
      <c r="BO12777" s="197"/>
      <c r="BP12777" s="197"/>
      <c r="BQ12777" s="197"/>
    </row>
    <row r="12778" spans="66:69" x14ac:dyDescent="0.2">
      <c r="BN12778" s="192"/>
      <c r="BO12778" s="197"/>
      <c r="BP12778" s="197"/>
      <c r="BQ12778" s="197"/>
    </row>
    <row r="12779" spans="66:69" x14ac:dyDescent="0.2">
      <c r="BN12779" s="192"/>
      <c r="BO12779" s="197"/>
      <c r="BP12779" s="197"/>
      <c r="BQ12779" s="197"/>
    </row>
    <row r="12780" spans="66:69" x14ac:dyDescent="0.2">
      <c r="BN12780" s="192"/>
      <c r="BO12780" s="197"/>
      <c r="BP12780" s="197"/>
      <c r="BQ12780" s="197"/>
    </row>
    <row r="12781" spans="66:69" x14ac:dyDescent="0.2">
      <c r="BN12781" s="192"/>
      <c r="BO12781" s="197"/>
      <c r="BP12781" s="197"/>
      <c r="BQ12781" s="197"/>
    </row>
    <row r="12782" spans="66:69" x14ac:dyDescent="0.2">
      <c r="BN12782" s="192"/>
      <c r="BO12782" s="197"/>
      <c r="BP12782" s="197"/>
      <c r="BQ12782" s="197"/>
    </row>
    <row r="12783" spans="66:69" x14ac:dyDescent="0.2">
      <c r="BN12783" s="192"/>
      <c r="BO12783" s="197"/>
      <c r="BP12783" s="197"/>
      <c r="BQ12783" s="197"/>
    </row>
    <row r="12784" spans="66:69" x14ac:dyDescent="0.2">
      <c r="BN12784" s="192"/>
      <c r="BO12784" s="197"/>
      <c r="BP12784" s="197"/>
      <c r="BQ12784" s="197"/>
    </row>
    <row r="12785" spans="66:69" x14ac:dyDescent="0.2">
      <c r="BN12785" s="192"/>
      <c r="BO12785" s="197"/>
      <c r="BP12785" s="197"/>
      <c r="BQ12785" s="197"/>
    </row>
    <row r="12786" spans="66:69" x14ac:dyDescent="0.2">
      <c r="BN12786" s="192"/>
      <c r="BO12786" s="197"/>
      <c r="BP12786" s="197"/>
      <c r="BQ12786" s="197"/>
    </row>
    <row r="12787" spans="66:69" x14ac:dyDescent="0.2">
      <c r="BN12787" s="192"/>
      <c r="BO12787" s="197"/>
      <c r="BP12787" s="197"/>
      <c r="BQ12787" s="197"/>
    </row>
    <row r="12788" spans="66:69" x14ac:dyDescent="0.2">
      <c r="BN12788" s="192"/>
      <c r="BO12788" s="197"/>
      <c r="BP12788" s="197"/>
      <c r="BQ12788" s="197"/>
    </row>
    <row r="12789" spans="66:69" x14ac:dyDescent="0.2">
      <c r="BN12789" s="192"/>
      <c r="BO12789" s="197"/>
      <c r="BP12789" s="197"/>
      <c r="BQ12789" s="197"/>
    </row>
    <row r="12790" spans="66:69" x14ac:dyDescent="0.2">
      <c r="BN12790" s="192"/>
      <c r="BO12790" s="197"/>
      <c r="BP12790" s="197"/>
      <c r="BQ12790" s="197"/>
    </row>
    <row r="12791" spans="66:69" x14ac:dyDescent="0.2">
      <c r="BN12791" s="192"/>
      <c r="BO12791" s="197"/>
      <c r="BP12791" s="197"/>
      <c r="BQ12791" s="197"/>
    </row>
    <row r="12792" spans="66:69" x14ac:dyDescent="0.2">
      <c r="BN12792" s="192"/>
      <c r="BO12792" s="197"/>
      <c r="BP12792" s="197"/>
      <c r="BQ12792" s="197"/>
    </row>
    <row r="12793" spans="66:69" x14ac:dyDescent="0.2">
      <c r="BN12793" s="192"/>
      <c r="BO12793" s="197"/>
      <c r="BP12793" s="197"/>
      <c r="BQ12793" s="197"/>
    </row>
    <row r="12794" spans="66:69" x14ac:dyDescent="0.2">
      <c r="BN12794" s="192"/>
      <c r="BO12794" s="197"/>
      <c r="BP12794" s="197"/>
      <c r="BQ12794" s="197"/>
    </row>
    <row r="12795" spans="66:69" x14ac:dyDescent="0.2">
      <c r="BN12795" s="192"/>
      <c r="BO12795" s="197"/>
      <c r="BP12795" s="197"/>
      <c r="BQ12795" s="197"/>
    </row>
    <row r="12796" spans="66:69" x14ac:dyDescent="0.2">
      <c r="BN12796" s="192"/>
      <c r="BO12796" s="197"/>
      <c r="BP12796" s="197"/>
      <c r="BQ12796" s="197"/>
    </row>
    <row r="12797" spans="66:69" x14ac:dyDescent="0.2">
      <c r="BN12797" s="192"/>
      <c r="BO12797" s="197"/>
      <c r="BP12797" s="197"/>
      <c r="BQ12797" s="197"/>
    </row>
    <row r="12798" spans="66:69" x14ac:dyDescent="0.2">
      <c r="BN12798" s="192"/>
      <c r="BO12798" s="197"/>
      <c r="BP12798" s="197"/>
      <c r="BQ12798" s="197"/>
    </row>
    <row r="12799" spans="66:69" x14ac:dyDescent="0.2">
      <c r="BN12799" s="192"/>
      <c r="BO12799" s="197"/>
      <c r="BP12799" s="197"/>
      <c r="BQ12799" s="197"/>
    </row>
    <row r="12800" spans="66:69" x14ac:dyDescent="0.2">
      <c r="BN12800" s="192"/>
      <c r="BO12800" s="197"/>
      <c r="BP12800" s="197"/>
      <c r="BQ12800" s="197"/>
    </row>
    <row r="12801" spans="66:69" x14ac:dyDescent="0.2">
      <c r="BN12801" s="192"/>
      <c r="BO12801" s="197"/>
      <c r="BP12801" s="197"/>
      <c r="BQ12801" s="197"/>
    </row>
    <row r="12802" spans="66:69" x14ac:dyDescent="0.2">
      <c r="BN12802" s="192"/>
      <c r="BO12802" s="197"/>
      <c r="BP12802" s="197"/>
      <c r="BQ12802" s="197"/>
    </row>
    <row r="12803" spans="66:69" x14ac:dyDescent="0.2">
      <c r="BN12803" s="192"/>
      <c r="BO12803" s="197"/>
      <c r="BP12803" s="197"/>
      <c r="BQ12803" s="197"/>
    </row>
    <row r="12804" spans="66:69" x14ac:dyDescent="0.2">
      <c r="BN12804" s="192"/>
      <c r="BO12804" s="197"/>
      <c r="BP12804" s="197"/>
      <c r="BQ12804" s="197"/>
    </row>
    <row r="12805" spans="66:69" x14ac:dyDescent="0.2">
      <c r="BN12805" s="192"/>
      <c r="BO12805" s="197"/>
      <c r="BP12805" s="197"/>
      <c r="BQ12805" s="197"/>
    </row>
    <row r="12806" spans="66:69" x14ac:dyDescent="0.2">
      <c r="BN12806" s="192"/>
      <c r="BO12806" s="197"/>
      <c r="BP12806" s="197"/>
      <c r="BQ12806" s="197"/>
    </row>
    <row r="12807" spans="66:69" x14ac:dyDescent="0.2">
      <c r="BN12807" s="192"/>
      <c r="BO12807" s="197"/>
      <c r="BP12807" s="197"/>
      <c r="BQ12807" s="197"/>
    </row>
    <row r="12808" spans="66:69" x14ac:dyDescent="0.2">
      <c r="BN12808" s="192"/>
      <c r="BO12808" s="197"/>
      <c r="BP12808" s="197"/>
      <c r="BQ12808" s="197"/>
    </row>
    <row r="12809" spans="66:69" x14ac:dyDescent="0.2">
      <c r="BN12809" s="192"/>
      <c r="BO12809" s="197"/>
      <c r="BP12809" s="197"/>
      <c r="BQ12809" s="197"/>
    </row>
    <row r="12810" spans="66:69" x14ac:dyDescent="0.2">
      <c r="BN12810" s="192"/>
      <c r="BO12810" s="197"/>
      <c r="BP12810" s="197"/>
      <c r="BQ12810" s="197"/>
    </row>
    <row r="12811" spans="66:69" x14ac:dyDescent="0.2">
      <c r="BN12811" s="192"/>
      <c r="BO12811" s="197"/>
      <c r="BP12811" s="197"/>
      <c r="BQ12811" s="197"/>
    </row>
    <row r="12812" spans="66:69" x14ac:dyDescent="0.2">
      <c r="BN12812" s="192"/>
      <c r="BO12812" s="197"/>
      <c r="BP12812" s="197"/>
      <c r="BQ12812" s="197"/>
    </row>
    <row r="12813" spans="66:69" x14ac:dyDescent="0.2">
      <c r="BN12813" s="192"/>
      <c r="BO12813" s="197"/>
      <c r="BP12813" s="197"/>
      <c r="BQ12813" s="197"/>
    </row>
    <row r="12814" spans="66:69" x14ac:dyDescent="0.2">
      <c r="BN12814" s="192"/>
      <c r="BO12814" s="197"/>
      <c r="BP12814" s="197"/>
      <c r="BQ12814" s="197"/>
    </row>
    <row r="12815" spans="66:69" x14ac:dyDescent="0.2">
      <c r="BN12815" s="192"/>
      <c r="BO12815" s="197"/>
      <c r="BP12815" s="197"/>
      <c r="BQ12815" s="197"/>
    </row>
    <row r="12816" spans="66:69" x14ac:dyDescent="0.2">
      <c r="BN12816" s="192"/>
      <c r="BO12816" s="197"/>
      <c r="BP12816" s="197"/>
      <c r="BQ12816" s="197"/>
    </row>
    <row r="12817" spans="66:69" x14ac:dyDescent="0.2">
      <c r="BN12817" s="192"/>
      <c r="BO12817" s="197"/>
      <c r="BP12817" s="197"/>
      <c r="BQ12817" s="197"/>
    </row>
    <row r="12818" spans="66:69" x14ac:dyDescent="0.2">
      <c r="BN12818" s="192"/>
      <c r="BO12818" s="197"/>
      <c r="BP12818" s="197"/>
      <c r="BQ12818" s="197"/>
    </row>
    <row r="12819" spans="66:69" x14ac:dyDescent="0.2">
      <c r="BN12819" s="192"/>
      <c r="BO12819" s="197"/>
      <c r="BP12819" s="197"/>
      <c r="BQ12819" s="197"/>
    </row>
    <row r="12820" spans="66:69" x14ac:dyDescent="0.2">
      <c r="BN12820" s="192"/>
      <c r="BO12820" s="197"/>
      <c r="BP12820" s="197"/>
      <c r="BQ12820" s="197"/>
    </row>
    <row r="12821" spans="66:69" x14ac:dyDescent="0.2">
      <c r="BN12821" s="192"/>
      <c r="BO12821" s="197"/>
      <c r="BP12821" s="197"/>
      <c r="BQ12821" s="197"/>
    </row>
    <row r="12822" spans="66:69" x14ac:dyDescent="0.2">
      <c r="BN12822" s="192"/>
      <c r="BO12822" s="197"/>
      <c r="BP12822" s="197"/>
      <c r="BQ12822" s="197"/>
    </row>
    <row r="12823" spans="66:69" x14ac:dyDescent="0.2">
      <c r="BN12823" s="192"/>
      <c r="BO12823" s="197"/>
      <c r="BP12823" s="197"/>
      <c r="BQ12823" s="197"/>
    </row>
    <row r="12824" spans="66:69" x14ac:dyDescent="0.2">
      <c r="BN12824" s="192"/>
      <c r="BO12824" s="197"/>
      <c r="BP12824" s="197"/>
      <c r="BQ12824" s="197"/>
    </row>
    <row r="12825" spans="66:69" x14ac:dyDescent="0.2">
      <c r="BN12825" s="192"/>
      <c r="BO12825" s="197"/>
      <c r="BP12825" s="197"/>
      <c r="BQ12825" s="197"/>
    </row>
    <row r="12826" spans="66:69" x14ac:dyDescent="0.2">
      <c r="BN12826" s="192"/>
      <c r="BO12826" s="197"/>
      <c r="BP12826" s="197"/>
      <c r="BQ12826" s="197"/>
    </row>
    <row r="12827" spans="66:69" x14ac:dyDescent="0.2">
      <c r="BN12827" s="192"/>
      <c r="BO12827" s="197"/>
      <c r="BP12827" s="197"/>
      <c r="BQ12827" s="197"/>
    </row>
    <row r="12828" spans="66:69" x14ac:dyDescent="0.2">
      <c r="BN12828" s="192"/>
      <c r="BO12828" s="197"/>
      <c r="BP12828" s="197"/>
      <c r="BQ12828" s="197"/>
    </row>
    <row r="12829" spans="66:69" x14ac:dyDescent="0.2">
      <c r="BN12829" s="192"/>
      <c r="BO12829" s="197"/>
      <c r="BP12829" s="197"/>
      <c r="BQ12829" s="197"/>
    </row>
    <row r="12830" spans="66:69" x14ac:dyDescent="0.2">
      <c r="BN12830" s="192"/>
      <c r="BO12830" s="197"/>
      <c r="BP12830" s="197"/>
      <c r="BQ12830" s="197"/>
    </row>
    <row r="12831" spans="66:69" x14ac:dyDescent="0.2">
      <c r="BN12831" s="192"/>
      <c r="BO12831" s="197"/>
      <c r="BP12831" s="197"/>
      <c r="BQ12831" s="197"/>
    </row>
    <row r="12832" spans="66:69" x14ac:dyDescent="0.2">
      <c r="BN12832" s="192"/>
      <c r="BO12832" s="197"/>
      <c r="BP12832" s="197"/>
      <c r="BQ12832" s="197"/>
    </row>
    <row r="12833" spans="66:69" x14ac:dyDescent="0.2">
      <c r="BN12833" s="192"/>
      <c r="BO12833" s="197"/>
      <c r="BP12833" s="197"/>
      <c r="BQ12833" s="197"/>
    </row>
    <row r="12834" spans="66:69" x14ac:dyDescent="0.2">
      <c r="BN12834" s="192"/>
      <c r="BO12834" s="197"/>
      <c r="BP12834" s="197"/>
      <c r="BQ12834" s="197"/>
    </row>
    <row r="12835" spans="66:69" x14ac:dyDescent="0.2">
      <c r="BN12835" s="192"/>
      <c r="BO12835" s="197"/>
      <c r="BP12835" s="197"/>
      <c r="BQ12835" s="197"/>
    </row>
    <row r="12836" spans="66:69" x14ac:dyDescent="0.2">
      <c r="BN12836" s="192"/>
      <c r="BO12836" s="197"/>
      <c r="BP12836" s="197"/>
      <c r="BQ12836" s="197"/>
    </row>
    <row r="12837" spans="66:69" x14ac:dyDescent="0.2">
      <c r="BN12837" s="192"/>
      <c r="BO12837" s="197"/>
      <c r="BP12837" s="197"/>
      <c r="BQ12837" s="197"/>
    </row>
    <row r="12838" spans="66:69" x14ac:dyDescent="0.2">
      <c r="BN12838" s="192"/>
      <c r="BO12838" s="197"/>
      <c r="BP12838" s="197"/>
      <c r="BQ12838" s="197"/>
    </row>
    <row r="12839" spans="66:69" x14ac:dyDescent="0.2">
      <c r="BN12839" s="192"/>
      <c r="BO12839" s="197"/>
      <c r="BP12839" s="197"/>
      <c r="BQ12839" s="197"/>
    </row>
    <row r="12840" spans="66:69" x14ac:dyDescent="0.2">
      <c r="BN12840" s="192"/>
      <c r="BO12840" s="197"/>
      <c r="BP12840" s="197"/>
      <c r="BQ12840" s="197"/>
    </row>
    <row r="12841" spans="66:69" x14ac:dyDescent="0.2">
      <c r="BN12841" s="192"/>
      <c r="BO12841" s="197"/>
      <c r="BP12841" s="197"/>
      <c r="BQ12841" s="197"/>
    </row>
    <row r="12842" spans="66:69" x14ac:dyDescent="0.2">
      <c r="BN12842" s="192"/>
      <c r="BO12842" s="197"/>
      <c r="BP12842" s="197"/>
      <c r="BQ12842" s="197"/>
    </row>
    <row r="12843" spans="66:69" x14ac:dyDescent="0.2">
      <c r="BN12843" s="192"/>
      <c r="BO12843" s="197"/>
      <c r="BP12843" s="197"/>
      <c r="BQ12843" s="197"/>
    </row>
    <row r="12844" spans="66:69" x14ac:dyDescent="0.2">
      <c r="BN12844" s="192"/>
      <c r="BO12844" s="197"/>
      <c r="BP12844" s="197"/>
      <c r="BQ12844" s="197"/>
    </row>
    <row r="12845" spans="66:69" x14ac:dyDescent="0.2">
      <c r="BN12845" s="192"/>
      <c r="BO12845" s="197"/>
      <c r="BP12845" s="197"/>
      <c r="BQ12845" s="197"/>
    </row>
    <row r="12846" spans="66:69" x14ac:dyDescent="0.2">
      <c r="BN12846" s="192"/>
      <c r="BO12846" s="197"/>
      <c r="BP12846" s="197"/>
      <c r="BQ12846" s="197"/>
    </row>
    <row r="12847" spans="66:69" x14ac:dyDescent="0.2">
      <c r="BN12847" s="192"/>
      <c r="BO12847" s="197"/>
      <c r="BP12847" s="197"/>
      <c r="BQ12847" s="197"/>
    </row>
    <row r="12848" spans="66:69" x14ac:dyDescent="0.2">
      <c r="BN12848" s="192"/>
      <c r="BO12848" s="197"/>
      <c r="BP12848" s="197"/>
      <c r="BQ12848" s="197"/>
    </row>
    <row r="12849" spans="66:69" x14ac:dyDescent="0.2">
      <c r="BN12849" s="192"/>
      <c r="BO12849" s="197"/>
      <c r="BP12849" s="197"/>
      <c r="BQ12849" s="197"/>
    </row>
    <row r="12850" spans="66:69" x14ac:dyDescent="0.2">
      <c r="BN12850" s="192"/>
      <c r="BO12850" s="197"/>
      <c r="BP12850" s="197"/>
      <c r="BQ12850" s="197"/>
    </row>
    <row r="12851" spans="66:69" x14ac:dyDescent="0.2">
      <c r="BN12851" s="192"/>
      <c r="BO12851" s="197"/>
      <c r="BP12851" s="197"/>
      <c r="BQ12851" s="197"/>
    </row>
    <row r="12852" spans="66:69" x14ac:dyDescent="0.2">
      <c r="BN12852" s="192"/>
      <c r="BO12852" s="197"/>
      <c r="BP12852" s="197"/>
      <c r="BQ12852" s="197"/>
    </row>
    <row r="12853" spans="66:69" x14ac:dyDescent="0.2">
      <c r="BN12853" s="192"/>
      <c r="BO12853" s="197"/>
      <c r="BP12853" s="197"/>
      <c r="BQ12853" s="197"/>
    </row>
    <row r="12854" spans="66:69" x14ac:dyDescent="0.2">
      <c r="BN12854" s="192"/>
      <c r="BO12854" s="197"/>
      <c r="BP12854" s="197"/>
      <c r="BQ12854" s="197"/>
    </row>
    <row r="12855" spans="66:69" x14ac:dyDescent="0.2">
      <c r="BN12855" s="192"/>
      <c r="BO12855" s="197"/>
      <c r="BP12855" s="197"/>
      <c r="BQ12855" s="197"/>
    </row>
    <row r="12856" spans="66:69" x14ac:dyDescent="0.2">
      <c r="BN12856" s="192"/>
      <c r="BO12856" s="197"/>
      <c r="BP12856" s="197"/>
      <c r="BQ12856" s="197"/>
    </row>
    <row r="12857" spans="66:69" x14ac:dyDescent="0.2">
      <c r="BN12857" s="192"/>
      <c r="BO12857" s="197"/>
      <c r="BP12857" s="197"/>
      <c r="BQ12857" s="197"/>
    </row>
    <row r="12858" spans="66:69" x14ac:dyDescent="0.2">
      <c r="BN12858" s="192"/>
      <c r="BO12858" s="197"/>
      <c r="BP12858" s="197"/>
      <c r="BQ12858" s="197"/>
    </row>
    <row r="12859" spans="66:69" x14ac:dyDescent="0.2">
      <c r="BN12859" s="192"/>
      <c r="BO12859" s="197"/>
      <c r="BP12859" s="197"/>
      <c r="BQ12859" s="197"/>
    </row>
    <row r="12860" spans="66:69" x14ac:dyDescent="0.2">
      <c r="BN12860" s="192"/>
      <c r="BO12860" s="197"/>
      <c r="BP12860" s="197"/>
      <c r="BQ12860" s="197"/>
    </row>
    <row r="12861" spans="66:69" x14ac:dyDescent="0.2">
      <c r="BN12861" s="192"/>
      <c r="BO12861" s="197"/>
      <c r="BP12861" s="197"/>
      <c r="BQ12861" s="197"/>
    </row>
    <row r="12862" spans="66:69" x14ac:dyDescent="0.2">
      <c r="BN12862" s="192"/>
      <c r="BO12862" s="197"/>
      <c r="BP12862" s="197"/>
      <c r="BQ12862" s="197"/>
    </row>
    <row r="12863" spans="66:69" x14ac:dyDescent="0.2">
      <c r="BN12863" s="192"/>
      <c r="BO12863" s="197"/>
      <c r="BP12863" s="197"/>
      <c r="BQ12863" s="197"/>
    </row>
    <row r="12864" spans="66:69" x14ac:dyDescent="0.2">
      <c r="BN12864" s="192"/>
      <c r="BO12864" s="197"/>
      <c r="BP12864" s="197"/>
      <c r="BQ12864" s="197"/>
    </row>
    <row r="12865" spans="66:69" x14ac:dyDescent="0.2">
      <c r="BN12865" s="192"/>
      <c r="BO12865" s="197"/>
      <c r="BP12865" s="197"/>
      <c r="BQ12865" s="197"/>
    </row>
    <row r="12866" spans="66:69" x14ac:dyDescent="0.2">
      <c r="BN12866" s="192"/>
      <c r="BO12866" s="197"/>
      <c r="BP12866" s="197"/>
      <c r="BQ12866" s="197"/>
    </row>
    <row r="12867" spans="66:69" x14ac:dyDescent="0.2">
      <c r="BN12867" s="192"/>
      <c r="BO12867" s="197"/>
      <c r="BP12867" s="197"/>
      <c r="BQ12867" s="197"/>
    </row>
    <row r="12868" spans="66:69" x14ac:dyDescent="0.2">
      <c r="BN12868" s="192"/>
      <c r="BO12868" s="197"/>
      <c r="BP12868" s="197"/>
      <c r="BQ12868" s="197"/>
    </row>
    <row r="12869" spans="66:69" x14ac:dyDescent="0.2">
      <c r="BN12869" s="192"/>
      <c r="BO12869" s="197"/>
      <c r="BP12869" s="197"/>
      <c r="BQ12869" s="197"/>
    </row>
    <row r="12870" spans="66:69" x14ac:dyDescent="0.2">
      <c r="BN12870" s="192"/>
      <c r="BO12870" s="197"/>
      <c r="BP12870" s="197"/>
      <c r="BQ12870" s="197"/>
    </row>
    <row r="12871" spans="66:69" x14ac:dyDescent="0.2">
      <c r="BN12871" s="192"/>
      <c r="BO12871" s="197"/>
      <c r="BP12871" s="197"/>
      <c r="BQ12871" s="197"/>
    </row>
    <row r="12872" spans="66:69" x14ac:dyDescent="0.2">
      <c r="BN12872" s="192"/>
      <c r="BO12872" s="197"/>
      <c r="BP12872" s="197"/>
      <c r="BQ12872" s="197"/>
    </row>
    <row r="12873" spans="66:69" x14ac:dyDescent="0.2">
      <c r="BN12873" s="192"/>
      <c r="BO12873" s="197"/>
      <c r="BP12873" s="197"/>
      <c r="BQ12873" s="197"/>
    </row>
    <row r="12874" spans="66:69" x14ac:dyDescent="0.2">
      <c r="BN12874" s="192"/>
      <c r="BO12874" s="197"/>
      <c r="BP12874" s="197"/>
      <c r="BQ12874" s="197"/>
    </row>
    <row r="12875" spans="66:69" x14ac:dyDescent="0.2">
      <c r="BN12875" s="192"/>
      <c r="BO12875" s="197"/>
      <c r="BP12875" s="197"/>
      <c r="BQ12875" s="197"/>
    </row>
    <row r="12876" spans="66:69" x14ac:dyDescent="0.2">
      <c r="BN12876" s="192"/>
      <c r="BO12876" s="197"/>
      <c r="BP12876" s="197"/>
      <c r="BQ12876" s="197"/>
    </row>
    <row r="12877" spans="66:69" x14ac:dyDescent="0.2">
      <c r="BN12877" s="192"/>
      <c r="BO12877" s="197"/>
      <c r="BP12877" s="197"/>
      <c r="BQ12877" s="197"/>
    </row>
    <row r="12878" spans="66:69" x14ac:dyDescent="0.2">
      <c r="BN12878" s="192"/>
      <c r="BO12878" s="197"/>
      <c r="BP12878" s="197"/>
      <c r="BQ12878" s="197"/>
    </row>
    <row r="12879" spans="66:69" x14ac:dyDescent="0.2">
      <c r="BN12879" s="192"/>
      <c r="BO12879" s="197"/>
      <c r="BP12879" s="197"/>
      <c r="BQ12879" s="197"/>
    </row>
    <row r="12880" spans="66:69" x14ac:dyDescent="0.2">
      <c r="BN12880" s="192"/>
      <c r="BO12880" s="197"/>
      <c r="BP12880" s="197"/>
      <c r="BQ12880" s="197"/>
    </row>
    <row r="12881" spans="66:69" x14ac:dyDescent="0.2">
      <c r="BN12881" s="192"/>
      <c r="BO12881" s="197"/>
      <c r="BP12881" s="197"/>
      <c r="BQ12881" s="197"/>
    </row>
    <row r="12882" spans="66:69" x14ac:dyDescent="0.2">
      <c r="BN12882" s="192"/>
      <c r="BO12882" s="197"/>
      <c r="BP12882" s="197"/>
      <c r="BQ12882" s="197"/>
    </row>
    <row r="12883" spans="66:69" x14ac:dyDescent="0.2">
      <c r="BN12883" s="192"/>
      <c r="BO12883" s="197"/>
      <c r="BP12883" s="197"/>
      <c r="BQ12883" s="197"/>
    </row>
    <row r="12884" spans="66:69" x14ac:dyDescent="0.2">
      <c r="BN12884" s="192"/>
      <c r="BO12884" s="197"/>
      <c r="BP12884" s="197"/>
      <c r="BQ12884" s="197"/>
    </row>
    <row r="12885" spans="66:69" x14ac:dyDescent="0.2">
      <c r="BN12885" s="192"/>
      <c r="BO12885" s="197"/>
      <c r="BP12885" s="197"/>
      <c r="BQ12885" s="197"/>
    </row>
    <row r="12886" spans="66:69" x14ac:dyDescent="0.2">
      <c r="BN12886" s="192"/>
      <c r="BO12886" s="197"/>
      <c r="BP12886" s="197"/>
      <c r="BQ12886" s="197"/>
    </row>
    <row r="12887" spans="66:69" x14ac:dyDescent="0.2">
      <c r="BN12887" s="192"/>
      <c r="BO12887" s="197"/>
      <c r="BP12887" s="197"/>
      <c r="BQ12887" s="197"/>
    </row>
    <row r="12888" spans="66:69" x14ac:dyDescent="0.2">
      <c r="BN12888" s="192"/>
      <c r="BO12888" s="197"/>
      <c r="BP12888" s="197"/>
      <c r="BQ12888" s="197"/>
    </row>
    <row r="12889" spans="66:69" x14ac:dyDescent="0.2">
      <c r="BN12889" s="192"/>
      <c r="BO12889" s="197"/>
      <c r="BP12889" s="197"/>
      <c r="BQ12889" s="197"/>
    </row>
    <row r="12890" spans="66:69" x14ac:dyDescent="0.2">
      <c r="BN12890" s="192"/>
      <c r="BO12890" s="197"/>
      <c r="BP12890" s="197"/>
      <c r="BQ12890" s="197"/>
    </row>
    <row r="12891" spans="66:69" x14ac:dyDescent="0.2">
      <c r="BN12891" s="192"/>
      <c r="BO12891" s="197"/>
      <c r="BP12891" s="197"/>
      <c r="BQ12891" s="197"/>
    </row>
    <row r="12892" spans="66:69" x14ac:dyDescent="0.2">
      <c r="BN12892" s="192"/>
      <c r="BO12892" s="197"/>
      <c r="BP12892" s="197"/>
      <c r="BQ12892" s="197"/>
    </row>
    <row r="12893" spans="66:69" x14ac:dyDescent="0.2">
      <c r="BN12893" s="192"/>
      <c r="BO12893" s="197"/>
      <c r="BP12893" s="197"/>
      <c r="BQ12893" s="197"/>
    </row>
    <row r="12894" spans="66:69" x14ac:dyDescent="0.2">
      <c r="BN12894" s="192"/>
      <c r="BO12894" s="197"/>
      <c r="BP12894" s="197"/>
      <c r="BQ12894" s="197"/>
    </row>
    <row r="12895" spans="66:69" x14ac:dyDescent="0.2">
      <c r="BN12895" s="192"/>
      <c r="BO12895" s="197"/>
      <c r="BP12895" s="197"/>
      <c r="BQ12895" s="197"/>
    </row>
    <row r="12896" spans="66:69" x14ac:dyDescent="0.2">
      <c r="BN12896" s="192"/>
      <c r="BO12896" s="197"/>
      <c r="BP12896" s="197"/>
      <c r="BQ12896" s="197"/>
    </row>
    <row r="12897" spans="66:69" x14ac:dyDescent="0.2">
      <c r="BN12897" s="192"/>
      <c r="BO12897" s="197"/>
      <c r="BP12897" s="197"/>
      <c r="BQ12897" s="197"/>
    </row>
    <row r="12898" spans="66:69" x14ac:dyDescent="0.2">
      <c r="BN12898" s="192"/>
      <c r="BO12898" s="197"/>
      <c r="BP12898" s="197"/>
      <c r="BQ12898" s="197"/>
    </row>
    <row r="12899" spans="66:69" x14ac:dyDescent="0.2">
      <c r="BN12899" s="192"/>
      <c r="BO12899" s="197"/>
      <c r="BP12899" s="197"/>
      <c r="BQ12899" s="197"/>
    </row>
    <row r="12900" spans="66:69" x14ac:dyDescent="0.2">
      <c r="BN12900" s="192"/>
      <c r="BO12900" s="197"/>
      <c r="BP12900" s="197"/>
      <c r="BQ12900" s="197"/>
    </row>
    <row r="12901" spans="66:69" x14ac:dyDescent="0.2">
      <c r="BN12901" s="192"/>
      <c r="BO12901" s="197"/>
      <c r="BP12901" s="197"/>
      <c r="BQ12901" s="197"/>
    </row>
    <row r="12902" spans="66:69" x14ac:dyDescent="0.2">
      <c r="BN12902" s="192"/>
      <c r="BO12902" s="197"/>
      <c r="BP12902" s="197"/>
      <c r="BQ12902" s="197"/>
    </row>
    <row r="12903" spans="66:69" x14ac:dyDescent="0.2">
      <c r="BN12903" s="192"/>
      <c r="BO12903" s="197"/>
      <c r="BP12903" s="197"/>
      <c r="BQ12903" s="197"/>
    </row>
    <row r="12904" spans="66:69" x14ac:dyDescent="0.2">
      <c r="BN12904" s="192"/>
      <c r="BO12904" s="197"/>
      <c r="BP12904" s="197"/>
      <c r="BQ12904" s="197"/>
    </row>
    <row r="12905" spans="66:69" x14ac:dyDescent="0.2">
      <c r="BN12905" s="192"/>
      <c r="BO12905" s="197"/>
      <c r="BP12905" s="197"/>
      <c r="BQ12905" s="197"/>
    </row>
    <row r="12906" spans="66:69" x14ac:dyDescent="0.2">
      <c r="BN12906" s="192"/>
      <c r="BO12906" s="197"/>
      <c r="BP12906" s="197"/>
      <c r="BQ12906" s="197"/>
    </row>
    <row r="12907" spans="66:69" x14ac:dyDescent="0.2">
      <c r="BN12907" s="192"/>
      <c r="BO12907" s="197"/>
      <c r="BP12907" s="197"/>
      <c r="BQ12907" s="197"/>
    </row>
    <row r="12908" spans="66:69" x14ac:dyDescent="0.2">
      <c r="BN12908" s="192"/>
      <c r="BO12908" s="197"/>
      <c r="BP12908" s="197"/>
      <c r="BQ12908" s="197"/>
    </row>
    <row r="12909" spans="66:69" x14ac:dyDescent="0.2">
      <c r="BN12909" s="192"/>
      <c r="BO12909" s="197"/>
      <c r="BP12909" s="197"/>
      <c r="BQ12909" s="197"/>
    </row>
    <row r="12910" spans="66:69" x14ac:dyDescent="0.2">
      <c r="BN12910" s="192"/>
      <c r="BO12910" s="197"/>
      <c r="BP12910" s="197"/>
      <c r="BQ12910" s="197"/>
    </row>
    <row r="12911" spans="66:69" x14ac:dyDescent="0.2">
      <c r="BN12911" s="192"/>
      <c r="BO12911" s="197"/>
      <c r="BP12911" s="197"/>
      <c r="BQ12911" s="197"/>
    </row>
    <row r="12912" spans="66:69" x14ac:dyDescent="0.2">
      <c r="BN12912" s="192"/>
      <c r="BO12912" s="197"/>
      <c r="BP12912" s="197"/>
      <c r="BQ12912" s="197"/>
    </row>
    <row r="12913" spans="66:69" x14ac:dyDescent="0.2">
      <c r="BN12913" s="192"/>
      <c r="BO12913" s="197"/>
      <c r="BP12913" s="197"/>
      <c r="BQ12913" s="197"/>
    </row>
    <row r="12914" spans="66:69" x14ac:dyDescent="0.2">
      <c r="BN12914" s="192"/>
      <c r="BO12914" s="197"/>
      <c r="BP12914" s="197"/>
      <c r="BQ12914" s="197"/>
    </row>
    <row r="12915" spans="66:69" x14ac:dyDescent="0.2">
      <c r="BN12915" s="192"/>
      <c r="BO12915" s="197"/>
      <c r="BP12915" s="197"/>
      <c r="BQ12915" s="197"/>
    </row>
    <row r="12916" spans="66:69" x14ac:dyDescent="0.2">
      <c r="BN12916" s="192"/>
      <c r="BO12916" s="197"/>
      <c r="BP12916" s="197"/>
      <c r="BQ12916" s="197"/>
    </row>
    <row r="12917" spans="66:69" x14ac:dyDescent="0.2">
      <c r="BN12917" s="192"/>
      <c r="BO12917" s="197"/>
      <c r="BP12917" s="197"/>
      <c r="BQ12917" s="197"/>
    </row>
    <row r="12918" spans="66:69" x14ac:dyDescent="0.2">
      <c r="BN12918" s="192"/>
      <c r="BO12918" s="197"/>
      <c r="BP12918" s="197"/>
      <c r="BQ12918" s="197"/>
    </row>
    <row r="12919" spans="66:69" x14ac:dyDescent="0.2">
      <c r="BN12919" s="192"/>
      <c r="BO12919" s="197"/>
      <c r="BP12919" s="197"/>
      <c r="BQ12919" s="197"/>
    </row>
    <row r="12920" spans="66:69" x14ac:dyDescent="0.2">
      <c r="BN12920" s="192"/>
      <c r="BO12920" s="197"/>
      <c r="BP12920" s="197"/>
      <c r="BQ12920" s="197"/>
    </row>
    <row r="12921" spans="66:69" x14ac:dyDescent="0.2">
      <c r="BN12921" s="192"/>
      <c r="BO12921" s="197"/>
      <c r="BP12921" s="197"/>
      <c r="BQ12921" s="197"/>
    </row>
    <row r="12922" spans="66:69" x14ac:dyDescent="0.2">
      <c r="BN12922" s="192"/>
      <c r="BO12922" s="197"/>
      <c r="BP12922" s="197"/>
      <c r="BQ12922" s="197"/>
    </row>
    <row r="12923" spans="66:69" x14ac:dyDescent="0.2">
      <c r="BN12923" s="192"/>
      <c r="BO12923" s="197"/>
      <c r="BP12923" s="197"/>
      <c r="BQ12923" s="197"/>
    </row>
    <row r="12924" spans="66:69" x14ac:dyDescent="0.2">
      <c r="BN12924" s="192"/>
      <c r="BO12924" s="197"/>
      <c r="BP12924" s="197"/>
      <c r="BQ12924" s="197"/>
    </row>
    <row r="12925" spans="66:69" x14ac:dyDescent="0.2">
      <c r="BN12925" s="192"/>
      <c r="BO12925" s="197"/>
      <c r="BP12925" s="197"/>
      <c r="BQ12925" s="197"/>
    </row>
    <row r="12926" spans="66:69" x14ac:dyDescent="0.2">
      <c r="BN12926" s="192"/>
      <c r="BO12926" s="197"/>
      <c r="BP12926" s="197"/>
      <c r="BQ12926" s="197"/>
    </row>
    <row r="12927" spans="66:69" x14ac:dyDescent="0.2">
      <c r="BN12927" s="192"/>
      <c r="BO12927" s="197"/>
      <c r="BP12927" s="197"/>
      <c r="BQ12927" s="197"/>
    </row>
    <row r="12928" spans="66:69" x14ac:dyDescent="0.2">
      <c r="BN12928" s="192"/>
      <c r="BO12928" s="197"/>
      <c r="BP12928" s="197"/>
      <c r="BQ12928" s="197"/>
    </row>
    <row r="12929" spans="66:69" x14ac:dyDescent="0.2">
      <c r="BN12929" s="192"/>
      <c r="BO12929" s="197"/>
      <c r="BP12929" s="197"/>
      <c r="BQ12929" s="197"/>
    </row>
    <row r="12930" spans="66:69" x14ac:dyDescent="0.2">
      <c r="BN12930" s="192"/>
      <c r="BO12930" s="197"/>
      <c r="BP12930" s="197"/>
      <c r="BQ12930" s="197"/>
    </row>
    <row r="12931" spans="66:69" x14ac:dyDescent="0.2">
      <c r="BN12931" s="192"/>
      <c r="BO12931" s="197"/>
      <c r="BP12931" s="197"/>
      <c r="BQ12931" s="197"/>
    </row>
    <row r="12932" spans="66:69" x14ac:dyDescent="0.2">
      <c r="BN12932" s="192"/>
      <c r="BO12932" s="197"/>
      <c r="BP12932" s="197"/>
      <c r="BQ12932" s="197"/>
    </row>
    <row r="12933" spans="66:69" x14ac:dyDescent="0.2">
      <c r="BN12933" s="192"/>
      <c r="BO12933" s="197"/>
      <c r="BP12933" s="197"/>
      <c r="BQ12933" s="197"/>
    </row>
    <row r="12934" spans="66:69" x14ac:dyDescent="0.2">
      <c r="BN12934" s="192"/>
      <c r="BO12934" s="197"/>
      <c r="BP12934" s="197"/>
      <c r="BQ12934" s="197"/>
    </row>
    <row r="12935" spans="66:69" x14ac:dyDescent="0.2">
      <c r="BN12935" s="192"/>
      <c r="BO12935" s="197"/>
      <c r="BP12935" s="197"/>
      <c r="BQ12935" s="197"/>
    </row>
    <row r="12936" spans="66:69" x14ac:dyDescent="0.2">
      <c r="BN12936" s="192"/>
      <c r="BO12936" s="197"/>
      <c r="BP12936" s="197"/>
      <c r="BQ12936" s="197"/>
    </row>
    <row r="12937" spans="66:69" x14ac:dyDescent="0.2">
      <c r="BN12937" s="192"/>
      <c r="BO12937" s="197"/>
      <c r="BP12937" s="197"/>
      <c r="BQ12937" s="197"/>
    </row>
    <row r="12938" spans="66:69" x14ac:dyDescent="0.2">
      <c r="BN12938" s="192"/>
      <c r="BO12938" s="197"/>
      <c r="BP12938" s="197"/>
      <c r="BQ12938" s="197"/>
    </row>
    <row r="12939" spans="66:69" x14ac:dyDescent="0.2">
      <c r="BN12939" s="192"/>
      <c r="BO12939" s="197"/>
      <c r="BP12939" s="197"/>
      <c r="BQ12939" s="197"/>
    </row>
    <row r="12940" spans="66:69" x14ac:dyDescent="0.2">
      <c r="BN12940" s="192"/>
      <c r="BO12940" s="197"/>
      <c r="BP12940" s="197"/>
      <c r="BQ12940" s="197"/>
    </row>
    <row r="12941" spans="66:69" x14ac:dyDescent="0.2">
      <c r="BN12941" s="192"/>
      <c r="BO12941" s="197"/>
      <c r="BP12941" s="197"/>
      <c r="BQ12941" s="197"/>
    </row>
    <row r="12942" spans="66:69" x14ac:dyDescent="0.2">
      <c r="BN12942" s="192"/>
      <c r="BO12942" s="197"/>
      <c r="BP12942" s="197"/>
      <c r="BQ12942" s="197"/>
    </row>
    <row r="12943" spans="66:69" x14ac:dyDescent="0.2">
      <c r="BN12943" s="192"/>
      <c r="BO12943" s="197"/>
      <c r="BP12943" s="197"/>
      <c r="BQ12943" s="197"/>
    </row>
    <row r="12944" spans="66:69" x14ac:dyDescent="0.2">
      <c r="BN12944" s="192"/>
      <c r="BO12944" s="197"/>
      <c r="BP12944" s="197"/>
      <c r="BQ12944" s="197"/>
    </row>
    <row r="12945" spans="66:69" x14ac:dyDescent="0.2">
      <c r="BN12945" s="192"/>
      <c r="BO12945" s="197"/>
      <c r="BP12945" s="197"/>
      <c r="BQ12945" s="197"/>
    </row>
    <row r="12946" spans="66:69" x14ac:dyDescent="0.2">
      <c r="BN12946" s="192"/>
      <c r="BO12946" s="197"/>
      <c r="BP12946" s="197"/>
      <c r="BQ12946" s="197"/>
    </row>
    <row r="12947" spans="66:69" x14ac:dyDescent="0.2">
      <c r="BN12947" s="192"/>
      <c r="BO12947" s="197"/>
      <c r="BP12947" s="197"/>
      <c r="BQ12947" s="197"/>
    </row>
    <row r="12948" spans="66:69" x14ac:dyDescent="0.2">
      <c r="BN12948" s="192"/>
      <c r="BO12948" s="197"/>
      <c r="BP12948" s="197"/>
      <c r="BQ12948" s="197"/>
    </row>
    <row r="12949" spans="66:69" x14ac:dyDescent="0.2">
      <c r="BN12949" s="192"/>
      <c r="BO12949" s="197"/>
      <c r="BP12949" s="197"/>
      <c r="BQ12949" s="197"/>
    </row>
    <row r="12950" spans="66:69" x14ac:dyDescent="0.2">
      <c r="BN12950" s="192"/>
      <c r="BO12950" s="197"/>
      <c r="BP12950" s="197"/>
      <c r="BQ12950" s="197"/>
    </row>
    <row r="12951" spans="66:69" x14ac:dyDescent="0.2">
      <c r="BN12951" s="192"/>
      <c r="BO12951" s="197"/>
      <c r="BP12951" s="197"/>
      <c r="BQ12951" s="197"/>
    </row>
    <row r="12952" spans="66:69" x14ac:dyDescent="0.2">
      <c r="BN12952" s="192"/>
      <c r="BO12952" s="197"/>
      <c r="BP12952" s="197"/>
      <c r="BQ12952" s="197"/>
    </row>
    <row r="12953" spans="66:69" x14ac:dyDescent="0.2">
      <c r="BN12953" s="192"/>
      <c r="BO12953" s="197"/>
      <c r="BP12953" s="197"/>
      <c r="BQ12953" s="197"/>
    </row>
    <row r="12954" spans="66:69" x14ac:dyDescent="0.2">
      <c r="BN12954" s="192"/>
      <c r="BO12954" s="197"/>
      <c r="BP12954" s="197"/>
      <c r="BQ12954" s="197"/>
    </row>
    <row r="12955" spans="66:69" x14ac:dyDescent="0.2">
      <c r="BN12955" s="192"/>
      <c r="BO12955" s="197"/>
      <c r="BP12955" s="197"/>
      <c r="BQ12955" s="197"/>
    </row>
    <row r="12956" spans="66:69" x14ac:dyDescent="0.2">
      <c r="BN12956" s="192"/>
      <c r="BO12956" s="197"/>
      <c r="BP12956" s="197"/>
      <c r="BQ12956" s="197"/>
    </row>
    <row r="12957" spans="66:69" x14ac:dyDescent="0.2">
      <c r="BN12957" s="192"/>
      <c r="BO12957" s="197"/>
      <c r="BP12957" s="197"/>
      <c r="BQ12957" s="197"/>
    </row>
    <row r="12958" spans="66:69" x14ac:dyDescent="0.2">
      <c r="BN12958" s="192"/>
      <c r="BO12958" s="197"/>
      <c r="BP12958" s="197"/>
      <c r="BQ12958" s="197"/>
    </row>
    <row r="12959" spans="66:69" x14ac:dyDescent="0.2">
      <c r="BN12959" s="192"/>
      <c r="BO12959" s="197"/>
      <c r="BP12959" s="197"/>
      <c r="BQ12959" s="197"/>
    </row>
    <row r="12960" spans="66:69" x14ac:dyDescent="0.2">
      <c r="BN12960" s="192"/>
      <c r="BO12960" s="197"/>
      <c r="BP12960" s="197"/>
      <c r="BQ12960" s="197"/>
    </row>
    <row r="12961" spans="66:69" x14ac:dyDescent="0.2">
      <c r="BN12961" s="192"/>
      <c r="BO12961" s="197"/>
      <c r="BP12961" s="197"/>
      <c r="BQ12961" s="197"/>
    </row>
    <row r="12962" spans="66:69" x14ac:dyDescent="0.2">
      <c r="BN12962" s="192"/>
      <c r="BO12962" s="197"/>
      <c r="BP12962" s="197"/>
      <c r="BQ12962" s="197"/>
    </row>
    <row r="12963" spans="66:69" x14ac:dyDescent="0.2">
      <c r="BN12963" s="192"/>
      <c r="BO12963" s="197"/>
      <c r="BP12963" s="197"/>
      <c r="BQ12963" s="197"/>
    </row>
    <row r="12964" spans="66:69" x14ac:dyDescent="0.2">
      <c r="BN12964" s="192"/>
      <c r="BO12964" s="197"/>
      <c r="BP12964" s="197"/>
      <c r="BQ12964" s="197"/>
    </row>
    <row r="12965" spans="66:69" x14ac:dyDescent="0.2">
      <c r="BN12965" s="192"/>
      <c r="BO12965" s="197"/>
      <c r="BP12965" s="197"/>
      <c r="BQ12965" s="197"/>
    </row>
    <row r="12966" spans="66:69" x14ac:dyDescent="0.2">
      <c r="BN12966" s="192"/>
      <c r="BO12966" s="197"/>
      <c r="BP12966" s="197"/>
      <c r="BQ12966" s="197"/>
    </row>
    <row r="12967" spans="66:69" x14ac:dyDescent="0.2">
      <c r="BN12967" s="192"/>
      <c r="BO12967" s="197"/>
      <c r="BP12967" s="197"/>
      <c r="BQ12967" s="197"/>
    </row>
    <row r="12968" spans="66:69" x14ac:dyDescent="0.2">
      <c r="BN12968" s="192"/>
      <c r="BO12968" s="197"/>
      <c r="BP12968" s="197"/>
      <c r="BQ12968" s="197"/>
    </row>
    <row r="12969" spans="66:69" x14ac:dyDescent="0.2">
      <c r="BN12969" s="192"/>
      <c r="BO12969" s="197"/>
      <c r="BP12969" s="197"/>
      <c r="BQ12969" s="197"/>
    </row>
    <row r="12970" spans="66:69" x14ac:dyDescent="0.2">
      <c r="BN12970" s="192"/>
      <c r="BO12970" s="197"/>
      <c r="BP12970" s="197"/>
      <c r="BQ12970" s="197"/>
    </row>
    <row r="12971" spans="66:69" x14ac:dyDescent="0.2">
      <c r="BN12971" s="192"/>
      <c r="BO12971" s="197"/>
      <c r="BP12971" s="197"/>
      <c r="BQ12971" s="197"/>
    </row>
    <row r="12972" spans="66:69" x14ac:dyDescent="0.2">
      <c r="BN12972" s="192"/>
      <c r="BO12972" s="197"/>
      <c r="BP12972" s="197"/>
      <c r="BQ12972" s="197"/>
    </row>
    <row r="12973" spans="66:69" x14ac:dyDescent="0.2">
      <c r="BN12973" s="192"/>
      <c r="BO12973" s="197"/>
      <c r="BP12973" s="197"/>
      <c r="BQ12973" s="197"/>
    </row>
    <row r="12974" spans="66:69" x14ac:dyDescent="0.2">
      <c r="BN12974" s="192"/>
      <c r="BO12974" s="197"/>
      <c r="BP12974" s="197"/>
      <c r="BQ12974" s="197"/>
    </row>
    <row r="12975" spans="66:69" x14ac:dyDescent="0.2">
      <c r="BN12975" s="192"/>
      <c r="BO12975" s="197"/>
      <c r="BP12975" s="197"/>
      <c r="BQ12975" s="197"/>
    </row>
    <row r="12976" spans="66:69" x14ac:dyDescent="0.2">
      <c r="BN12976" s="192"/>
      <c r="BO12976" s="197"/>
      <c r="BP12976" s="197"/>
      <c r="BQ12976" s="197"/>
    </row>
    <row r="12977" spans="66:69" x14ac:dyDescent="0.2">
      <c r="BN12977" s="192"/>
      <c r="BO12977" s="197"/>
      <c r="BP12977" s="197"/>
      <c r="BQ12977" s="197"/>
    </row>
    <row r="12978" spans="66:69" x14ac:dyDescent="0.2">
      <c r="BN12978" s="192"/>
      <c r="BO12978" s="197"/>
      <c r="BP12978" s="197"/>
      <c r="BQ12978" s="197"/>
    </row>
    <row r="12979" spans="66:69" x14ac:dyDescent="0.2">
      <c r="BN12979" s="192"/>
      <c r="BO12979" s="197"/>
      <c r="BP12979" s="197"/>
      <c r="BQ12979" s="197"/>
    </row>
    <row r="12980" spans="66:69" x14ac:dyDescent="0.2">
      <c r="BN12980" s="192"/>
      <c r="BO12980" s="197"/>
      <c r="BP12980" s="197"/>
      <c r="BQ12980" s="197"/>
    </row>
    <row r="12981" spans="66:69" x14ac:dyDescent="0.2">
      <c r="BN12981" s="192"/>
      <c r="BO12981" s="197"/>
      <c r="BP12981" s="197"/>
      <c r="BQ12981" s="197"/>
    </row>
    <row r="12982" spans="66:69" x14ac:dyDescent="0.2">
      <c r="BN12982" s="192"/>
      <c r="BO12982" s="197"/>
      <c r="BP12982" s="197"/>
      <c r="BQ12982" s="197"/>
    </row>
    <row r="12983" spans="66:69" x14ac:dyDescent="0.2">
      <c r="BN12983" s="192"/>
      <c r="BO12983" s="197"/>
      <c r="BP12983" s="197"/>
      <c r="BQ12983" s="197"/>
    </row>
    <row r="12984" spans="66:69" x14ac:dyDescent="0.2">
      <c r="BN12984" s="192"/>
      <c r="BO12984" s="197"/>
      <c r="BP12984" s="197"/>
      <c r="BQ12984" s="197"/>
    </row>
    <row r="12985" spans="66:69" x14ac:dyDescent="0.2">
      <c r="BN12985" s="192"/>
      <c r="BO12985" s="197"/>
      <c r="BP12985" s="197"/>
      <c r="BQ12985" s="197"/>
    </row>
    <row r="12986" spans="66:69" x14ac:dyDescent="0.2">
      <c r="BN12986" s="192"/>
      <c r="BO12986" s="197"/>
      <c r="BP12986" s="197"/>
      <c r="BQ12986" s="197"/>
    </row>
    <row r="12987" spans="66:69" x14ac:dyDescent="0.2">
      <c r="BN12987" s="192"/>
      <c r="BO12987" s="197"/>
      <c r="BP12987" s="197"/>
      <c r="BQ12987" s="197"/>
    </row>
    <row r="12988" spans="66:69" x14ac:dyDescent="0.2">
      <c r="BN12988" s="192"/>
      <c r="BO12988" s="197"/>
      <c r="BP12988" s="197"/>
      <c r="BQ12988" s="197"/>
    </row>
    <row r="12989" spans="66:69" x14ac:dyDescent="0.2">
      <c r="BN12989" s="192"/>
      <c r="BO12989" s="197"/>
      <c r="BP12989" s="197"/>
      <c r="BQ12989" s="197"/>
    </row>
    <row r="12990" spans="66:69" x14ac:dyDescent="0.2">
      <c r="BN12990" s="192"/>
      <c r="BO12990" s="197"/>
      <c r="BP12990" s="197"/>
      <c r="BQ12990" s="197"/>
    </row>
    <row r="12991" spans="66:69" x14ac:dyDescent="0.2">
      <c r="BN12991" s="192"/>
      <c r="BO12991" s="197"/>
      <c r="BP12991" s="197"/>
      <c r="BQ12991" s="197"/>
    </row>
    <row r="12992" spans="66:69" x14ac:dyDescent="0.2">
      <c r="BN12992" s="192"/>
      <c r="BO12992" s="197"/>
      <c r="BP12992" s="197"/>
      <c r="BQ12992" s="197"/>
    </row>
    <row r="12993" spans="66:69" x14ac:dyDescent="0.2">
      <c r="BN12993" s="192"/>
      <c r="BO12993" s="197"/>
      <c r="BP12993" s="197"/>
      <c r="BQ12993" s="197"/>
    </row>
    <row r="12994" spans="66:69" x14ac:dyDescent="0.2">
      <c r="BN12994" s="192"/>
      <c r="BO12994" s="197"/>
      <c r="BP12994" s="197"/>
      <c r="BQ12994" s="197"/>
    </row>
    <row r="12995" spans="66:69" x14ac:dyDescent="0.2">
      <c r="BN12995" s="192"/>
      <c r="BO12995" s="197"/>
      <c r="BP12995" s="197"/>
      <c r="BQ12995" s="197"/>
    </row>
    <row r="12996" spans="66:69" x14ac:dyDescent="0.2">
      <c r="BN12996" s="192"/>
      <c r="BO12996" s="197"/>
      <c r="BP12996" s="197"/>
      <c r="BQ12996" s="197"/>
    </row>
    <row r="12997" spans="66:69" x14ac:dyDescent="0.2">
      <c r="BN12997" s="192"/>
      <c r="BO12997" s="197"/>
      <c r="BP12997" s="197"/>
      <c r="BQ12997" s="197"/>
    </row>
    <row r="12998" spans="66:69" x14ac:dyDescent="0.2">
      <c r="BN12998" s="192"/>
      <c r="BO12998" s="197"/>
      <c r="BP12998" s="197"/>
      <c r="BQ12998" s="197"/>
    </row>
    <row r="12999" spans="66:69" x14ac:dyDescent="0.2">
      <c r="BN12999" s="192"/>
      <c r="BO12999" s="197"/>
      <c r="BP12999" s="197"/>
      <c r="BQ12999" s="197"/>
    </row>
    <row r="13000" spans="66:69" x14ac:dyDescent="0.2">
      <c r="BN13000" s="192"/>
      <c r="BO13000" s="197"/>
      <c r="BP13000" s="197"/>
      <c r="BQ13000" s="197"/>
    </row>
    <row r="13001" spans="66:69" x14ac:dyDescent="0.2">
      <c r="BN13001" s="192"/>
      <c r="BO13001" s="197"/>
      <c r="BP13001" s="197"/>
      <c r="BQ13001" s="197"/>
    </row>
    <row r="13002" spans="66:69" x14ac:dyDescent="0.2">
      <c r="BN13002" s="192"/>
      <c r="BO13002" s="197"/>
      <c r="BP13002" s="197"/>
      <c r="BQ13002" s="197"/>
    </row>
    <row r="13003" spans="66:69" x14ac:dyDescent="0.2">
      <c r="BN13003" s="192"/>
      <c r="BO13003" s="197"/>
      <c r="BP13003" s="197"/>
      <c r="BQ13003" s="197"/>
    </row>
    <row r="13004" spans="66:69" x14ac:dyDescent="0.2">
      <c r="BN13004" s="192"/>
      <c r="BO13004" s="197"/>
      <c r="BP13004" s="197"/>
      <c r="BQ13004" s="197"/>
    </row>
    <row r="13005" spans="66:69" x14ac:dyDescent="0.2">
      <c r="BN13005" s="192"/>
      <c r="BO13005" s="197"/>
      <c r="BP13005" s="197"/>
      <c r="BQ13005" s="197"/>
    </row>
    <row r="13006" spans="66:69" x14ac:dyDescent="0.2">
      <c r="BN13006" s="192"/>
      <c r="BO13006" s="197"/>
      <c r="BP13006" s="197"/>
      <c r="BQ13006" s="197"/>
    </row>
    <row r="13007" spans="66:69" x14ac:dyDescent="0.2">
      <c r="BN13007" s="192"/>
      <c r="BO13007" s="197"/>
      <c r="BP13007" s="197"/>
      <c r="BQ13007" s="197"/>
    </row>
    <row r="13008" spans="66:69" x14ac:dyDescent="0.2">
      <c r="BN13008" s="192"/>
      <c r="BO13008" s="197"/>
      <c r="BP13008" s="197"/>
      <c r="BQ13008" s="197"/>
    </row>
    <row r="13009" spans="66:69" x14ac:dyDescent="0.2">
      <c r="BN13009" s="192"/>
      <c r="BO13009" s="197"/>
      <c r="BP13009" s="197"/>
      <c r="BQ13009" s="197"/>
    </row>
    <row r="13010" spans="66:69" x14ac:dyDescent="0.2">
      <c r="BN13010" s="192"/>
      <c r="BO13010" s="197"/>
      <c r="BP13010" s="197"/>
      <c r="BQ13010" s="197"/>
    </row>
    <row r="13011" spans="66:69" x14ac:dyDescent="0.2">
      <c r="BN13011" s="192"/>
      <c r="BO13011" s="197"/>
      <c r="BP13011" s="197"/>
      <c r="BQ13011" s="197"/>
    </row>
    <row r="13012" spans="66:69" x14ac:dyDescent="0.2">
      <c r="BN13012" s="192"/>
      <c r="BO13012" s="197"/>
      <c r="BP13012" s="197"/>
      <c r="BQ13012" s="197"/>
    </row>
    <row r="13013" spans="66:69" x14ac:dyDescent="0.2">
      <c r="BN13013" s="192"/>
      <c r="BO13013" s="197"/>
      <c r="BP13013" s="197"/>
      <c r="BQ13013" s="197"/>
    </row>
    <row r="13014" spans="66:69" x14ac:dyDescent="0.2">
      <c r="BN13014" s="192"/>
      <c r="BO13014" s="197"/>
      <c r="BP13014" s="197"/>
      <c r="BQ13014" s="197"/>
    </row>
    <row r="13015" spans="66:69" x14ac:dyDescent="0.2">
      <c r="BN13015" s="192"/>
      <c r="BO13015" s="197"/>
      <c r="BP13015" s="197"/>
      <c r="BQ13015" s="197"/>
    </row>
    <row r="13016" spans="66:69" x14ac:dyDescent="0.2">
      <c r="BN13016" s="192"/>
      <c r="BO13016" s="197"/>
      <c r="BP13016" s="197"/>
      <c r="BQ13016" s="197"/>
    </row>
    <row r="13017" spans="66:69" x14ac:dyDescent="0.2">
      <c r="BN13017" s="192"/>
      <c r="BO13017" s="197"/>
      <c r="BP13017" s="197"/>
      <c r="BQ13017" s="197"/>
    </row>
    <row r="13018" spans="66:69" x14ac:dyDescent="0.2">
      <c r="BN13018" s="192"/>
      <c r="BO13018" s="197"/>
      <c r="BP13018" s="197"/>
      <c r="BQ13018" s="197"/>
    </row>
    <row r="13019" spans="66:69" x14ac:dyDescent="0.2">
      <c r="BN13019" s="192"/>
      <c r="BO13019" s="197"/>
      <c r="BP13019" s="197"/>
      <c r="BQ13019" s="197"/>
    </row>
    <row r="13020" spans="66:69" x14ac:dyDescent="0.2">
      <c r="BN13020" s="192"/>
      <c r="BO13020" s="197"/>
      <c r="BP13020" s="197"/>
      <c r="BQ13020" s="197"/>
    </row>
    <row r="13021" spans="66:69" x14ac:dyDescent="0.2">
      <c r="BN13021" s="192"/>
      <c r="BO13021" s="197"/>
      <c r="BP13021" s="197"/>
      <c r="BQ13021" s="197"/>
    </row>
    <row r="13022" spans="66:69" x14ac:dyDescent="0.2">
      <c r="BN13022" s="192"/>
      <c r="BO13022" s="197"/>
      <c r="BP13022" s="197"/>
      <c r="BQ13022" s="197"/>
    </row>
    <row r="13023" spans="66:69" x14ac:dyDescent="0.2">
      <c r="BN13023" s="192"/>
      <c r="BO13023" s="197"/>
      <c r="BP13023" s="197"/>
      <c r="BQ13023" s="197"/>
    </row>
    <row r="13024" spans="66:69" x14ac:dyDescent="0.2">
      <c r="BN13024" s="192"/>
      <c r="BO13024" s="197"/>
      <c r="BP13024" s="197"/>
      <c r="BQ13024" s="197"/>
    </row>
    <row r="13025" spans="66:69" x14ac:dyDescent="0.2">
      <c r="BN13025" s="192"/>
      <c r="BO13025" s="197"/>
      <c r="BP13025" s="197"/>
      <c r="BQ13025" s="197"/>
    </row>
    <row r="13026" spans="66:69" x14ac:dyDescent="0.2">
      <c r="BN13026" s="192"/>
      <c r="BO13026" s="197"/>
      <c r="BP13026" s="197"/>
      <c r="BQ13026" s="197"/>
    </row>
    <row r="13027" spans="66:69" x14ac:dyDescent="0.2">
      <c r="BN13027" s="192"/>
      <c r="BO13027" s="197"/>
      <c r="BP13027" s="197"/>
      <c r="BQ13027" s="197"/>
    </row>
    <row r="13028" spans="66:69" x14ac:dyDescent="0.2">
      <c r="BN13028" s="192"/>
      <c r="BO13028" s="197"/>
      <c r="BP13028" s="197"/>
      <c r="BQ13028" s="197"/>
    </row>
    <row r="13029" spans="66:69" x14ac:dyDescent="0.2">
      <c r="BN13029" s="192"/>
      <c r="BO13029" s="197"/>
      <c r="BP13029" s="197"/>
      <c r="BQ13029" s="197"/>
    </row>
    <row r="13030" spans="66:69" x14ac:dyDescent="0.2">
      <c r="BN13030" s="192"/>
      <c r="BO13030" s="197"/>
      <c r="BP13030" s="197"/>
      <c r="BQ13030" s="197"/>
    </row>
    <row r="13031" spans="66:69" x14ac:dyDescent="0.2">
      <c r="BN13031" s="192"/>
      <c r="BO13031" s="197"/>
      <c r="BP13031" s="197"/>
      <c r="BQ13031" s="197"/>
    </row>
    <row r="13032" spans="66:69" x14ac:dyDescent="0.2">
      <c r="BN13032" s="192"/>
      <c r="BO13032" s="197"/>
      <c r="BP13032" s="197"/>
      <c r="BQ13032" s="197"/>
    </row>
    <row r="13033" spans="66:69" x14ac:dyDescent="0.2">
      <c r="BN13033" s="192"/>
      <c r="BO13033" s="197"/>
      <c r="BP13033" s="197"/>
      <c r="BQ13033" s="197"/>
    </row>
    <row r="13034" spans="66:69" x14ac:dyDescent="0.2">
      <c r="BN13034" s="192"/>
      <c r="BO13034" s="197"/>
      <c r="BP13034" s="197"/>
      <c r="BQ13034" s="197"/>
    </row>
    <row r="13035" spans="66:69" x14ac:dyDescent="0.2">
      <c r="BN13035" s="192"/>
      <c r="BO13035" s="197"/>
      <c r="BP13035" s="197"/>
      <c r="BQ13035" s="197"/>
    </row>
    <row r="13036" spans="66:69" x14ac:dyDescent="0.2">
      <c r="BN13036" s="192"/>
      <c r="BO13036" s="197"/>
      <c r="BP13036" s="197"/>
      <c r="BQ13036" s="197"/>
    </row>
    <row r="13037" spans="66:69" x14ac:dyDescent="0.2">
      <c r="BN13037" s="192"/>
      <c r="BO13037" s="197"/>
      <c r="BP13037" s="197"/>
      <c r="BQ13037" s="197"/>
    </row>
    <row r="13038" spans="66:69" x14ac:dyDescent="0.2">
      <c r="BN13038" s="192"/>
      <c r="BO13038" s="197"/>
      <c r="BP13038" s="197"/>
      <c r="BQ13038" s="197"/>
    </row>
    <row r="13039" spans="66:69" x14ac:dyDescent="0.2">
      <c r="BN13039" s="192"/>
      <c r="BO13039" s="197"/>
      <c r="BP13039" s="197"/>
      <c r="BQ13039" s="197"/>
    </row>
    <row r="13040" spans="66:69" x14ac:dyDescent="0.2">
      <c r="BN13040" s="192"/>
      <c r="BO13040" s="197"/>
      <c r="BP13040" s="197"/>
      <c r="BQ13040" s="197"/>
    </row>
    <row r="13041" spans="66:69" x14ac:dyDescent="0.2">
      <c r="BN13041" s="192"/>
      <c r="BO13041" s="197"/>
      <c r="BP13041" s="197"/>
      <c r="BQ13041" s="197"/>
    </row>
    <row r="13042" spans="66:69" x14ac:dyDescent="0.2">
      <c r="BN13042" s="192"/>
      <c r="BO13042" s="197"/>
      <c r="BP13042" s="197"/>
      <c r="BQ13042" s="197"/>
    </row>
    <row r="13043" spans="66:69" x14ac:dyDescent="0.2">
      <c r="BN13043" s="192"/>
      <c r="BO13043" s="197"/>
      <c r="BP13043" s="197"/>
      <c r="BQ13043" s="197"/>
    </row>
    <row r="13044" spans="66:69" x14ac:dyDescent="0.2">
      <c r="BN13044" s="192"/>
      <c r="BO13044" s="197"/>
      <c r="BP13044" s="197"/>
      <c r="BQ13044" s="197"/>
    </row>
    <row r="13045" spans="66:69" x14ac:dyDescent="0.2">
      <c r="BN13045" s="192"/>
      <c r="BO13045" s="197"/>
      <c r="BP13045" s="197"/>
      <c r="BQ13045" s="197"/>
    </row>
    <row r="13046" spans="66:69" x14ac:dyDescent="0.2">
      <c r="BN13046" s="192"/>
      <c r="BO13046" s="197"/>
      <c r="BP13046" s="197"/>
      <c r="BQ13046" s="197"/>
    </row>
    <row r="13047" spans="66:69" x14ac:dyDescent="0.2">
      <c r="BN13047" s="192"/>
      <c r="BO13047" s="197"/>
      <c r="BP13047" s="197"/>
      <c r="BQ13047" s="197"/>
    </row>
    <row r="13048" spans="66:69" x14ac:dyDescent="0.2">
      <c r="BN13048" s="192"/>
      <c r="BO13048" s="197"/>
      <c r="BP13048" s="197"/>
      <c r="BQ13048" s="197"/>
    </row>
    <row r="13049" spans="66:69" x14ac:dyDescent="0.2">
      <c r="BN13049" s="192"/>
      <c r="BO13049" s="197"/>
      <c r="BP13049" s="197"/>
      <c r="BQ13049" s="197"/>
    </row>
    <row r="13050" spans="66:69" x14ac:dyDescent="0.2">
      <c r="BN13050" s="192"/>
      <c r="BO13050" s="197"/>
      <c r="BP13050" s="197"/>
      <c r="BQ13050" s="197"/>
    </row>
    <row r="13051" spans="66:69" x14ac:dyDescent="0.2">
      <c r="BN13051" s="192"/>
      <c r="BO13051" s="197"/>
      <c r="BP13051" s="197"/>
      <c r="BQ13051" s="197"/>
    </row>
    <row r="13052" spans="66:69" x14ac:dyDescent="0.2">
      <c r="BN13052" s="192"/>
      <c r="BO13052" s="197"/>
      <c r="BP13052" s="197"/>
      <c r="BQ13052" s="197"/>
    </row>
    <row r="13053" spans="66:69" x14ac:dyDescent="0.2">
      <c r="BN13053" s="192"/>
      <c r="BO13053" s="197"/>
      <c r="BP13053" s="197"/>
      <c r="BQ13053" s="197"/>
    </row>
    <row r="13054" spans="66:69" x14ac:dyDescent="0.2">
      <c r="BN13054" s="192"/>
      <c r="BO13054" s="197"/>
      <c r="BP13054" s="197"/>
      <c r="BQ13054" s="197"/>
    </row>
    <row r="13055" spans="66:69" x14ac:dyDescent="0.2">
      <c r="BN13055" s="192"/>
      <c r="BO13055" s="197"/>
      <c r="BP13055" s="197"/>
      <c r="BQ13055" s="197"/>
    </row>
    <row r="13056" spans="66:69" x14ac:dyDescent="0.2">
      <c r="BN13056" s="192"/>
      <c r="BO13056" s="197"/>
      <c r="BP13056" s="197"/>
      <c r="BQ13056" s="197"/>
    </row>
    <row r="13057" spans="66:69" x14ac:dyDescent="0.2">
      <c r="BN13057" s="192"/>
      <c r="BO13057" s="197"/>
      <c r="BP13057" s="197"/>
      <c r="BQ13057" s="197"/>
    </row>
    <row r="13058" spans="66:69" x14ac:dyDescent="0.2">
      <c r="BN13058" s="192"/>
      <c r="BO13058" s="197"/>
      <c r="BP13058" s="197"/>
      <c r="BQ13058" s="197"/>
    </row>
    <row r="13059" spans="66:69" x14ac:dyDescent="0.2">
      <c r="BN13059" s="192"/>
      <c r="BO13059" s="197"/>
      <c r="BP13059" s="197"/>
      <c r="BQ13059" s="197"/>
    </row>
    <row r="13060" spans="66:69" x14ac:dyDescent="0.2">
      <c r="BN13060" s="192"/>
      <c r="BO13060" s="197"/>
      <c r="BP13060" s="197"/>
      <c r="BQ13060" s="197"/>
    </row>
    <row r="13061" spans="66:69" x14ac:dyDescent="0.2">
      <c r="BN13061" s="192"/>
      <c r="BO13061" s="197"/>
      <c r="BP13061" s="197"/>
      <c r="BQ13061" s="197"/>
    </row>
    <row r="13062" spans="66:69" x14ac:dyDescent="0.2">
      <c r="BN13062" s="192"/>
      <c r="BO13062" s="197"/>
      <c r="BP13062" s="197"/>
      <c r="BQ13062" s="197"/>
    </row>
    <row r="13063" spans="66:69" x14ac:dyDescent="0.2">
      <c r="BN13063" s="192"/>
      <c r="BO13063" s="197"/>
      <c r="BP13063" s="197"/>
      <c r="BQ13063" s="197"/>
    </row>
    <row r="13064" spans="66:69" x14ac:dyDescent="0.2">
      <c r="BN13064" s="192"/>
      <c r="BO13064" s="197"/>
      <c r="BP13064" s="197"/>
      <c r="BQ13064" s="197"/>
    </row>
    <row r="13065" spans="66:69" x14ac:dyDescent="0.2">
      <c r="BN13065" s="192"/>
      <c r="BO13065" s="197"/>
      <c r="BP13065" s="197"/>
      <c r="BQ13065" s="197"/>
    </row>
    <row r="13066" spans="66:69" x14ac:dyDescent="0.2">
      <c r="BN13066" s="192"/>
      <c r="BO13066" s="197"/>
      <c r="BP13066" s="197"/>
      <c r="BQ13066" s="197"/>
    </row>
    <row r="13067" spans="66:69" x14ac:dyDescent="0.2">
      <c r="BN13067" s="192"/>
      <c r="BO13067" s="197"/>
      <c r="BP13067" s="197"/>
      <c r="BQ13067" s="197"/>
    </row>
    <row r="13068" spans="66:69" x14ac:dyDescent="0.2">
      <c r="BN13068" s="192"/>
      <c r="BO13068" s="197"/>
      <c r="BP13068" s="197"/>
      <c r="BQ13068" s="197"/>
    </row>
    <row r="13069" spans="66:69" x14ac:dyDescent="0.2">
      <c r="BN13069" s="192"/>
      <c r="BO13069" s="197"/>
      <c r="BP13069" s="197"/>
      <c r="BQ13069" s="197"/>
    </row>
    <row r="13070" spans="66:69" x14ac:dyDescent="0.2">
      <c r="BN13070" s="192"/>
      <c r="BO13070" s="197"/>
      <c r="BP13070" s="197"/>
      <c r="BQ13070" s="197"/>
    </row>
    <row r="13071" spans="66:69" x14ac:dyDescent="0.2">
      <c r="BN13071" s="192"/>
      <c r="BO13071" s="197"/>
      <c r="BP13071" s="197"/>
      <c r="BQ13071" s="197"/>
    </row>
    <row r="13072" spans="66:69" x14ac:dyDescent="0.2">
      <c r="BN13072" s="192"/>
      <c r="BO13072" s="197"/>
      <c r="BP13072" s="197"/>
      <c r="BQ13072" s="197"/>
    </row>
    <row r="13073" spans="66:69" x14ac:dyDescent="0.2">
      <c r="BN13073" s="192"/>
      <c r="BO13073" s="197"/>
      <c r="BP13073" s="197"/>
      <c r="BQ13073" s="197"/>
    </row>
    <row r="13074" spans="66:69" x14ac:dyDescent="0.2">
      <c r="BN13074" s="192"/>
      <c r="BO13074" s="197"/>
      <c r="BP13074" s="197"/>
      <c r="BQ13074" s="197"/>
    </row>
    <row r="13075" spans="66:69" x14ac:dyDescent="0.2">
      <c r="BN13075" s="192"/>
      <c r="BO13075" s="197"/>
      <c r="BP13075" s="197"/>
      <c r="BQ13075" s="197"/>
    </row>
    <row r="13076" spans="66:69" x14ac:dyDescent="0.2">
      <c r="BN13076" s="192"/>
      <c r="BO13076" s="197"/>
      <c r="BP13076" s="197"/>
      <c r="BQ13076" s="197"/>
    </row>
    <row r="13077" spans="66:69" x14ac:dyDescent="0.2">
      <c r="BN13077" s="192"/>
      <c r="BO13077" s="197"/>
      <c r="BP13077" s="197"/>
      <c r="BQ13077" s="197"/>
    </row>
    <row r="13078" spans="66:69" x14ac:dyDescent="0.2">
      <c r="BN13078" s="192"/>
      <c r="BO13078" s="197"/>
      <c r="BP13078" s="197"/>
      <c r="BQ13078" s="197"/>
    </row>
    <row r="13079" spans="66:69" x14ac:dyDescent="0.2">
      <c r="BN13079" s="192"/>
      <c r="BO13079" s="197"/>
      <c r="BP13079" s="197"/>
      <c r="BQ13079" s="197"/>
    </row>
    <row r="13080" spans="66:69" x14ac:dyDescent="0.2">
      <c r="BN13080" s="192"/>
      <c r="BO13080" s="197"/>
      <c r="BP13080" s="197"/>
      <c r="BQ13080" s="197"/>
    </row>
    <row r="13081" spans="66:69" x14ac:dyDescent="0.2">
      <c r="BN13081" s="192"/>
      <c r="BO13081" s="197"/>
      <c r="BP13081" s="197"/>
      <c r="BQ13081" s="197"/>
    </row>
    <row r="13082" spans="66:69" x14ac:dyDescent="0.2">
      <c r="BN13082" s="192"/>
      <c r="BO13082" s="197"/>
      <c r="BP13082" s="197"/>
      <c r="BQ13082" s="197"/>
    </row>
    <row r="13083" spans="66:69" x14ac:dyDescent="0.2">
      <c r="BN13083" s="192"/>
      <c r="BO13083" s="197"/>
      <c r="BP13083" s="197"/>
      <c r="BQ13083" s="197"/>
    </row>
    <row r="13084" spans="66:69" x14ac:dyDescent="0.2">
      <c r="BN13084" s="192"/>
      <c r="BO13084" s="197"/>
      <c r="BP13084" s="197"/>
      <c r="BQ13084" s="197"/>
    </row>
    <row r="13085" spans="66:69" x14ac:dyDescent="0.2">
      <c r="BN13085" s="192"/>
      <c r="BO13085" s="197"/>
      <c r="BP13085" s="197"/>
      <c r="BQ13085" s="197"/>
    </row>
    <row r="13086" spans="66:69" x14ac:dyDescent="0.2">
      <c r="BN13086" s="192"/>
      <c r="BO13086" s="197"/>
      <c r="BP13086" s="197"/>
      <c r="BQ13086" s="197"/>
    </row>
    <row r="13087" spans="66:69" x14ac:dyDescent="0.2">
      <c r="BN13087" s="192"/>
      <c r="BO13087" s="197"/>
      <c r="BP13087" s="197"/>
      <c r="BQ13087" s="197"/>
    </row>
    <row r="13088" spans="66:69" x14ac:dyDescent="0.2">
      <c r="BN13088" s="192"/>
      <c r="BO13088" s="197"/>
      <c r="BP13088" s="197"/>
      <c r="BQ13088" s="197"/>
    </row>
    <row r="13089" spans="66:69" x14ac:dyDescent="0.2">
      <c r="BN13089" s="192"/>
      <c r="BO13089" s="197"/>
      <c r="BP13089" s="197"/>
      <c r="BQ13089" s="197"/>
    </row>
    <row r="13090" spans="66:69" x14ac:dyDescent="0.2">
      <c r="BN13090" s="192"/>
      <c r="BO13090" s="197"/>
      <c r="BP13090" s="197"/>
      <c r="BQ13090" s="197"/>
    </row>
    <row r="13091" spans="66:69" x14ac:dyDescent="0.2">
      <c r="BN13091" s="192"/>
      <c r="BO13091" s="197"/>
      <c r="BP13091" s="197"/>
      <c r="BQ13091" s="197"/>
    </row>
    <row r="13092" spans="66:69" x14ac:dyDescent="0.2">
      <c r="BN13092" s="192"/>
      <c r="BO13092" s="197"/>
      <c r="BP13092" s="197"/>
      <c r="BQ13092" s="197"/>
    </row>
    <row r="13093" spans="66:69" x14ac:dyDescent="0.2">
      <c r="BN13093" s="192"/>
      <c r="BO13093" s="197"/>
      <c r="BP13093" s="197"/>
      <c r="BQ13093" s="197"/>
    </row>
    <row r="13094" spans="66:69" x14ac:dyDescent="0.2">
      <c r="BN13094" s="192"/>
      <c r="BO13094" s="197"/>
      <c r="BP13094" s="197"/>
      <c r="BQ13094" s="197"/>
    </row>
    <row r="13095" spans="66:69" x14ac:dyDescent="0.2">
      <c r="BN13095" s="192"/>
      <c r="BO13095" s="197"/>
      <c r="BP13095" s="197"/>
      <c r="BQ13095" s="197"/>
    </row>
    <row r="13096" spans="66:69" x14ac:dyDescent="0.2">
      <c r="BN13096" s="192"/>
      <c r="BO13096" s="197"/>
      <c r="BP13096" s="197"/>
      <c r="BQ13096" s="197"/>
    </row>
    <row r="13097" spans="66:69" x14ac:dyDescent="0.2">
      <c r="BN13097" s="192"/>
      <c r="BO13097" s="197"/>
      <c r="BP13097" s="197"/>
      <c r="BQ13097" s="197"/>
    </row>
    <row r="13098" spans="66:69" x14ac:dyDescent="0.2">
      <c r="BN13098" s="192"/>
      <c r="BO13098" s="197"/>
      <c r="BP13098" s="197"/>
      <c r="BQ13098" s="197"/>
    </row>
    <row r="13099" spans="66:69" x14ac:dyDescent="0.2">
      <c r="BN13099" s="192"/>
      <c r="BO13099" s="197"/>
      <c r="BP13099" s="197"/>
      <c r="BQ13099" s="197"/>
    </row>
    <row r="13100" spans="66:69" x14ac:dyDescent="0.2">
      <c r="BN13100" s="192"/>
      <c r="BO13100" s="197"/>
      <c r="BP13100" s="197"/>
      <c r="BQ13100" s="197"/>
    </row>
    <row r="13101" spans="66:69" x14ac:dyDescent="0.2">
      <c r="BN13101" s="192"/>
      <c r="BO13101" s="197"/>
      <c r="BP13101" s="197"/>
      <c r="BQ13101" s="197"/>
    </row>
    <row r="13102" spans="66:69" x14ac:dyDescent="0.2">
      <c r="BN13102" s="192"/>
      <c r="BO13102" s="197"/>
      <c r="BP13102" s="197"/>
      <c r="BQ13102" s="197"/>
    </row>
    <row r="13103" spans="66:69" x14ac:dyDescent="0.2">
      <c r="BN13103" s="192"/>
      <c r="BO13103" s="197"/>
      <c r="BP13103" s="197"/>
      <c r="BQ13103" s="197"/>
    </row>
    <row r="13104" spans="66:69" x14ac:dyDescent="0.2">
      <c r="BN13104" s="192"/>
      <c r="BO13104" s="197"/>
      <c r="BP13104" s="197"/>
      <c r="BQ13104" s="197"/>
    </row>
    <row r="13105" spans="66:69" x14ac:dyDescent="0.2">
      <c r="BN13105" s="192"/>
      <c r="BO13105" s="197"/>
      <c r="BP13105" s="197"/>
      <c r="BQ13105" s="197"/>
    </row>
    <row r="13106" spans="66:69" x14ac:dyDescent="0.2">
      <c r="BN13106" s="192"/>
      <c r="BO13106" s="197"/>
      <c r="BP13106" s="197"/>
      <c r="BQ13106" s="197"/>
    </row>
    <row r="13107" spans="66:69" x14ac:dyDescent="0.2">
      <c r="BN13107" s="192"/>
      <c r="BO13107" s="197"/>
      <c r="BP13107" s="197"/>
      <c r="BQ13107" s="197"/>
    </row>
    <row r="13108" spans="66:69" x14ac:dyDescent="0.2">
      <c r="BN13108" s="192"/>
      <c r="BO13108" s="197"/>
      <c r="BP13108" s="197"/>
      <c r="BQ13108" s="197"/>
    </row>
    <row r="13109" spans="66:69" x14ac:dyDescent="0.2">
      <c r="BN13109" s="192"/>
      <c r="BO13109" s="197"/>
      <c r="BP13109" s="197"/>
      <c r="BQ13109" s="197"/>
    </row>
    <row r="13110" spans="66:69" x14ac:dyDescent="0.2">
      <c r="BN13110" s="192"/>
      <c r="BO13110" s="197"/>
      <c r="BP13110" s="197"/>
      <c r="BQ13110" s="197"/>
    </row>
    <row r="13111" spans="66:69" x14ac:dyDescent="0.2">
      <c r="BN13111" s="192"/>
      <c r="BO13111" s="197"/>
      <c r="BP13111" s="197"/>
      <c r="BQ13111" s="197"/>
    </row>
    <row r="13112" spans="66:69" x14ac:dyDescent="0.2">
      <c r="BN13112" s="192"/>
      <c r="BO13112" s="197"/>
      <c r="BP13112" s="197"/>
      <c r="BQ13112" s="197"/>
    </row>
    <row r="13113" spans="66:69" x14ac:dyDescent="0.2">
      <c r="BN13113" s="192"/>
      <c r="BO13113" s="197"/>
      <c r="BP13113" s="197"/>
      <c r="BQ13113" s="197"/>
    </row>
    <row r="13114" spans="66:69" x14ac:dyDescent="0.2">
      <c r="BN13114" s="192"/>
      <c r="BO13114" s="197"/>
      <c r="BP13114" s="197"/>
      <c r="BQ13114" s="197"/>
    </row>
    <row r="13115" spans="66:69" x14ac:dyDescent="0.2">
      <c r="BN13115" s="192"/>
      <c r="BO13115" s="197"/>
      <c r="BP13115" s="197"/>
      <c r="BQ13115" s="197"/>
    </row>
    <row r="13116" spans="66:69" x14ac:dyDescent="0.2">
      <c r="BN13116" s="192"/>
      <c r="BO13116" s="197"/>
      <c r="BP13116" s="197"/>
      <c r="BQ13116" s="197"/>
    </row>
    <row r="13117" spans="66:69" x14ac:dyDescent="0.2">
      <c r="BN13117" s="192"/>
      <c r="BO13117" s="197"/>
      <c r="BP13117" s="197"/>
      <c r="BQ13117" s="197"/>
    </row>
    <row r="13118" spans="66:69" x14ac:dyDescent="0.2">
      <c r="BN13118" s="192"/>
      <c r="BO13118" s="197"/>
      <c r="BP13118" s="197"/>
      <c r="BQ13118" s="197"/>
    </row>
    <row r="13119" spans="66:69" x14ac:dyDescent="0.2">
      <c r="BN13119" s="192"/>
      <c r="BO13119" s="197"/>
      <c r="BP13119" s="197"/>
      <c r="BQ13119" s="197"/>
    </row>
    <row r="13120" spans="66:69" x14ac:dyDescent="0.2">
      <c r="BN13120" s="192"/>
      <c r="BO13120" s="197"/>
      <c r="BP13120" s="197"/>
      <c r="BQ13120" s="197"/>
    </row>
    <row r="13121" spans="66:69" x14ac:dyDescent="0.2">
      <c r="BN13121" s="192"/>
      <c r="BO13121" s="197"/>
      <c r="BP13121" s="197"/>
      <c r="BQ13121" s="197"/>
    </row>
    <row r="13122" spans="66:69" x14ac:dyDescent="0.2">
      <c r="BN13122" s="192"/>
      <c r="BO13122" s="197"/>
      <c r="BP13122" s="197"/>
      <c r="BQ13122" s="197"/>
    </row>
    <row r="13123" spans="66:69" x14ac:dyDescent="0.2">
      <c r="BN13123" s="192"/>
      <c r="BO13123" s="197"/>
      <c r="BP13123" s="197"/>
      <c r="BQ13123" s="197"/>
    </row>
    <row r="13124" spans="66:69" x14ac:dyDescent="0.2">
      <c r="BN13124" s="192"/>
      <c r="BO13124" s="197"/>
      <c r="BP13124" s="197"/>
      <c r="BQ13124" s="197"/>
    </row>
    <row r="13125" spans="66:69" x14ac:dyDescent="0.2">
      <c r="BN13125" s="192"/>
      <c r="BO13125" s="197"/>
      <c r="BP13125" s="197"/>
      <c r="BQ13125" s="197"/>
    </row>
    <row r="13126" spans="66:69" x14ac:dyDescent="0.2">
      <c r="BN13126" s="192"/>
      <c r="BO13126" s="197"/>
      <c r="BP13126" s="197"/>
      <c r="BQ13126" s="197"/>
    </row>
    <row r="13127" spans="66:69" x14ac:dyDescent="0.2">
      <c r="BN13127" s="192"/>
      <c r="BO13127" s="197"/>
      <c r="BP13127" s="197"/>
      <c r="BQ13127" s="197"/>
    </row>
    <row r="13128" spans="66:69" x14ac:dyDescent="0.2">
      <c r="BN13128" s="192"/>
      <c r="BO13128" s="197"/>
      <c r="BP13128" s="197"/>
      <c r="BQ13128" s="197"/>
    </row>
    <row r="13129" spans="66:69" x14ac:dyDescent="0.2">
      <c r="BN13129" s="192"/>
      <c r="BO13129" s="197"/>
      <c r="BP13129" s="197"/>
      <c r="BQ13129" s="197"/>
    </row>
    <row r="13130" spans="66:69" x14ac:dyDescent="0.2">
      <c r="BN13130" s="192"/>
      <c r="BO13130" s="197"/>
      <c r="BP13130" s="197"/>
      <c r="BQ13130" s="197"/>
    </row>
    <row r="13131" spans="66:69" x14ac:dyDescent="0.2">
      <c r="BN13131" s="192"/>
      <c r="BO13131" s="197"/>
      <c r="BP13131" s="197"/>
      <c r="BQ13131" s="197"/>
    </row>
    <row r="13132" spans="66:69" x14ac:dyDescent="0.2">
      <c r="BN13132" s="192"/>
      <c r="BO13132" s="197"/>
      <c r="BP13132" s="197"/>
      <c r="BQ13132" s="197"/>
    </row>
    <row r="13133" spans="66:69" x14ac:dyDescent="0.2">
      <c r="BN13133" s="192"/>
      <c r="BO13133" s="197"/>
      <c r="BP13133" s="197"/>
      <c r="BQ13133" s="197"/>
    </row>
    <row r="13134" spans="66:69" x14ac:dyDescent="0.2">
      <c r="BN13134" s="192"/>
      <c r="BO13134" s="197"/>
      <c r="BP13134" s="197"/>
      <c r="BQ13134" s="197"/>
    </row>
    <row r="13135" spans="66:69" x14ac:dyDescent="0.2">
      <c r="BN13135" s="192"/>
      <c r="BO13135" s="197"/>
      <c r="BP13135" s="197"/>
      <c r="BQ13135" s="197"/>
    </row>
    <row r="13136" spans="66:69" x14ac:dyDescent="0.2">
      <c r="BN13136" s="192"/>
      <c r="BO13136" s="197"/>
      <c r="BP13136" s="197"/>
      <c r="BQ13136" s="197"/>
    </row>
    <row r="13137" spans="66:69" x14ac:dyDescent="0.2">
      <c r="BN13137" s="192"/>
      <c r="BO13137" s="197"/>
      <c r="BP13137" s="197"/>
      <c r="BQ13137" s="197"/>
    </row>
    <row r="13138" spans="66:69" x14ac:dyDescent="0.2">
      <c r="BN13138" s="192"/>
      <c r="BO13138" s="197"/>
      <c r="BP13138" s="197"/>
      <c r="BQ13138" s="197"/>
    </row>
    <row r="13139" spans="66:69" x14ac:dyDescent="0.2">
      <c r="BN13139" s="192"/>
      <c r="BO13139" s="197"/>
      <c r="BP13139" s="197"/>
      <c r="BQ13139" s="197"/>
    </row>
    <row r="13140" spans="66:69" x14ac:dyDescent="0.2">
      <c r="BN13140" s="192"/>
      <c r="BO13140" s="197"/>
      <c r="BP13140" s="197"/>
      <c r="BQ13140" s="197"/>
    </row>
    <row r="13141" spans="66:69" x14ac:dyDescent="0.2">
      <c r="BN13141" s="192"/>
      <c r="BO13141" s="197"/>
      <c r="BP13141" s="197"/>
      <c r="BQ13141" s="197"/>
    </row>
    <row r="13142" spans="66:69" x14ac:dyDescent="0.2">
      <c r="BN13142" s="192"/>
      <c r="BO13142" s="197"/>
      <c r="BP13142" s="197"/>
      <c r="BQ13142" s="197"/>
    </row>
    <row r="13143" spans="66:69" x14ac:dyDescent="0.2">
      <c r="BN13143" s="192"/>
      <c r="BO13143" s="197"/>
      <c r="BP13143" s="197"/>
      <c r="BQ13143" s="197"/>
    </row>
    <row r="13144" spans="66:69" x14ac:dyDescent="0.2">
      <c r="BN13144" s="192"/>
      <c r="BO13144" s="197"/>
      <c r="BP13144" s="197"/>
      <c r="BQ13144" s="197"/>
    </row>
    <row r="13145" spans="66:69" x14ac:dyDescent="0.2">
      <c r="BN13145" s="192"/>
      <c r="BO13145" s="197"/>
      <c r="BP13145" s="197"/>
      <c r="BQ13145" s="197"/>
    </row>
    <row r="13146" spans="66:69" x14ac:dyDescent="0.2">
      <c r="BN13146" s="192"/>
      <c r="BO13146" s="197"/>
      <c r="BP13146" s="197"/>
      <c r="BQ13146" s="197"/>
    </row>
    <row r="13147" spans="66:69" x14ac:dyDescent="0.2">
      <c r="BN13147" s="192"/>
      <c r="BO13147" s="197"/>
      <c r="BP13147" s="197"/>
      <c r="BQ13147" s="197"/>
    </row>
    <row r="13148" spans="66:69" x14ac:dyDescent="0.2">
      <c r="BN13148" s="192"/>
      <c r="BO13148" s="197"/>
      <c r="BP13148" s="197"/>
      <c r="BQ13148" s="197"/>
    </row>
    <row r="13149" spans="66:69" x14ac:dyDescent="0.2">
      <c r="BN13149" s="192"/>
      <c r="BO13149" s="197"/>
      <c r="BP13149" s="197"/>
      <c r="BQ13149" s="197"/>
    </row>
    <row r="13150" spans="66:69" x14ac:dyDescent="0.2">
      <c r="BN13150" s="192"/>
      <c r="BO13150" s="197"/>
      <c r="BP13150" s="197"/>
      <c r="BQ13150" s="197"/>
    </row>
    <row r="13151" spans="66:69" x14ac:dyDescent="0.2">
      <c r="BN13151" s="192"/>
      <c r="BO13151" s="197"/>
      <c r="BP13151" s="197"/>
      <c r="BQ13151" s="197"/>
    </row>
    <row r="13152" spans="66:69" x14ac:dyDescent="0.2">
      <c r="BN13152" s="192"/>
      <c r="BO13152" s="197"/>
      <c r="BP13152" s="197"/>
      <c r="BQ13152" s="197"/>
    </row>
    <row r="13153" spans="66:69" x14ac:dyDescent="0.2">
      <c r="BN13153" s="192"/>
      <c r="BO13153" s="197"/>
      <c r="BP13153" s="197"/>
      <c r="BQ13153" s="197"/>
    </row>
    <row r="13154" spans="66:69" x14ac:dyDescent="0.2">
      <c r="BN13154" s="192"/>
      <c r="BO13154" s="197"/>
      <c r="BP13154" s="197"/>
      <c r="BQ13154" s="197"/>
    </row>
    <row r="13155" spans="66:69" x14ac:dyDescent="0.2">
      <c r="BN13155" s="192"/>
      <c r="BO13155" s="197"/>
      <c r="BP13155" s="197"/>
      <c r="BQ13155" s="197"/>
    </row>
    <row r="13156" spans="66:69" x14ac:dyDescent="0.2">
      <c r="BN13156" s="192"/>
      <c r="BO13156" s="197"/>
      <c r="BP13156" s="197"/>
      <c r="BQ13156" s="197"/>
    </row>
    <row r="13157" spans="66:69" x14ac:dyDescent="0.2">
      <c r="BN13157" s="192"/>
      <c r="BO13157" s="197"/>
      <c r="BP13157" s="197"/>
      <c r="BQ13157" s="197"/>
    </row>
    <row r="13158" spans="66:69" x14ac:dyDescent="0.2">
      <c r="BN13158" s="192"/>
      <c r="BO13158" s="197"/>
      <c r="BP13158" s="197"/>
      <c r="BQ13158" s="197"/>
    </row>
    <row r="13159" spans="66:69" x14ac:dyDescent="0.2">
      <c r="BN13159" s="192"/>
      <c r="BO13159" s="197"/>
      <c r="BP13159" s="197"/>
      <c r="BQ13159" s="197"/>
    </row>
    <row r="13160" spans="66:69" x14ac:dyDescent="0.2">
      <c r="BN13160" s="192"/>
      <c r="BO13160" s="197"/>
      <c r="BP13160" s="197"/>
      <c r="BQ13160" s="197"/>
    </row>
    <row r="13161" spans="66:69" x14ac:dyDescent="0.2">
      <c r="BN13161" s="192"/>
      <c r="BO13161" s="197"/>
      <c r="BP13161" s="197"/>
      <c r="BQ13161" s="197"/>
    </row>
    <row r="13162" spans="66:69" x14ac:dyDescent="0.2">
      <c r="BN13162" s="192"/>
      <c r="BO13162" s="197"/>
      <c r="BP13162" s="197"/>
      <c r="BQ13162" s="197"/>
    </row>
    <row r="13163" spans="66:69" x14ac:dyDescent="0.2">
      <c r="BN13163" s="192"/>
      <c r="BO13163" s="197"/>
      <c r="BP13163" s="197"/>
      <c r="BQ13163" s="197"/>
    </row>
    <row r="13164" spans="66:69" x14ac:dyDescent="0.2">
      <c r="BN13164" s="192"/>
      <c r="BO13164" s="197"/>
      <c r="BP13164" s="197"/>
      <c r="BQ13164" s="197"/>
    </row>
    <row r="13165" spans="66:69" x14ac:dyDescent="0.2">
      <c r="BN13165" s="192"/>
      <c r="BO13165" s="197"/>
      <c r="BP13165" s="197"/>
      <c r="BQ13165" s="197"/>
    </row>
    <row r="13166" spans="66:69" x14ac:dyDescent="0.2">
      <c r="BN13166" s="192"/>
      <c r="BO13166" s="197"/>
      <c r="BP13166" s="197"/>
      <c r="BQ13166" s="197"/>
    </row>
    <row r="13167" spans="66:69" x14ac:dyDescent="0.2">
      <c r="BN13167" s="192"/>
      <c r="BO13167" s="197"/>
      <c r="BP13167" s="197"/>
      <c r="BQ13167" s="197"/>
    </row>
    <row r="13168" spans="66:69" x14ac:dyDescent="0.2">
      <c r="BN13168" s="192"/>
      <c r="BO13168" s="197"/>
      <c r="BP13168" s="197"/>
      <c r="BQ13168" s="197"/>
    </row>
    <row r="13169" spans="66:69" x14ac:dyDescent="0.2">
      <c r="BN13169" s="192"/>
      <c r="BO13169" s="197"/>
      <c r="BP13169" s="197"/>
      <c r="BQ13169" s="197"/>
    </row>
    <row r="13170" spans="66:69" x14ac:dyDescent="0.2">
      <c r="BN13170" s="192"/>
      <c r="BO13170" s="197"/>
      <c r="BP13170" s="197"/>
      <c r="BQ13170" s="197"/>
    </row>
    <row r="13171" spans="66:69" x14ac:dyDescent="0.2">
      <c r="BN13171" s="192"/>
      <c r="BO13171" s="197"/>
      <c r="BP13171" s="197"/>
      <c r="BQ13171" s="197"/>
    </row>
    <row r="13172" spans="66:69" x14ac:dyDescent="0.2">
      <c r="BN13172" s="192"/>
      <c r="BO13172" s="197"/>
      <c r="BP13172" s="197"/>
      <c r="BQ13172" s="197"/>
    </row>
    <row r="13173" spans="66:69" x14ac:dyDescent="0.2">
      <c r="BN13173" s="192"/>
      <c r="BO13173" s="197"/>
      <c r="BP13173" s="197"/>
      <c r="BQ13173" s="197"/>
    </row>
    <row r="13174" spans="66:69" x14ac:dyDescent="0.2">
      <c r="BN13174" s="192"/>
      <c r="BO13174" s="197"/>
      <c r="BP13174" s="197"/>
      <c r="BQ13174" s="197"/>
    </row>
    <row r="13175" spans="66:69" x14ac:dyDescent="0.2">
      <c r="BN13175" s="192"/>
      <c r="BO13175" s="197"/>
      <c r="BP13175" s="197"/>
      <c r="BQ13175" s="197"/>
    </row>
    <row r="13176" spans="66:69" x14ac:dyDescent="0.2">
      <c r="BN13176" s="192"/>
      <c r="BO13176" s="197"/>
      <c r="BP13176" s="197"/>
      <c r="BQ13176" s="197"/>
    </row>
    <row r="13177" spans="66:69" x14ac:dyDescent="0.2">
      <c r="BN13177" s="192"/>
      <c r="BO13177" s="197"/>
      <c r="BP13177" s="197"/>
      <c r="BQ13177" s="197"/>
    </row>
    <row r="13178" spans="66:69" x14ac:dyDescent="0.2">
      <c r="BN13178" s="192"/>
      <c r="BO13178" s="197"/>
      <c r="BP13178" s="197"/>
      <c r="BQ13178" s="197"/>
    </row>
    <row r="13179" spans="66:69" x14ac:dyDescent="0.2">
      <c r="BN13179" s="192"/>
      <c r="BO13179" s="197"/>
      <c r="BP13179" s="197"/>
      <c r="BQ13179" s="197"/>
    </row>
    <row r="13180" spans="66:69" x14ac:dyDescent="0.2">
      <c r="BN13180" s="192"/>
      <c r="BO13180" s="197"/>
      <c r="BP13180" s="197"/>
      <c r="BQ13180" s="197"/>
    </row>
    <row r="13181" spans="66:69" x14ac:dyDescent="0.2">
      <c r="BN13181" s="192"/>
      <c r="BO13181" s="197"/>
      <c r="BP13181" s="197"/>
      <c r="BQ13181" s="197"/>
    </row>
    <row r="13182" spans="66:69" x14ac:dyDescent="0.2">
      <c r="BN13182" s="192"/>
      <c r="BO13182" s="197"/>
      <c r="BP13182" s="197"/>
      <c r="BQ13182" s="197"/>
    </row>
    <row r="13183" spans="66:69" x14ac:dyDescent="0.2">
      <c r="BN13183" s="192"/>
      <c r="BO13183" s="197"/>
      <c r="BP13183" s="197"/>
      <c r="BQ13183" s="197"/>
    </row>
    <row r="13184" spans="66:69" x14ac:dyDescent="0.2">
      <c r="BN13184" s="192"/>
      <c r="BO13184" s="197"/>
      <c r="BP13184" s="197"/>
      <c r="BQ13184" s="197"/>
    </row>
    <row r="13185" spans="66:69" x14ac:dyDescent="0.2">
      <c r="BN13185" s="192"/>
      <c r="BO13185" s="197"/>
      <c r="BP13185" s="197"/>
      <c r="BQ13185" s="197"/>
    </row>
    <row r="13186" spans="66:69" x14ac:dyDescent="0.2">
      <c r="BN13186" s="192"/>
      <c r="BO13186" s="197"/>
      <c r="BP13186" s="197"/>
      <c r="BQ13186" s="197"/>
    </row>
    <row r="13187" spans="66:69" x14ac:dyDescent="0.2">
      <c r="BN13187" s="192"/>
      <c r="BO13187" s="197"/>
      <c r="BP13187" s="197"/>
      <c r="BQ13187" s="197"/>
    </row>
    <row r="13188" spans="66:69" x14ac:dyDescent="0.2">
      <c r="BN13188" s="192"/>
      <c r="BO13188" s="197"/>
      <c r="BP13188" s="197"/>
      <c r="BQ13188" s="197"/>
    </row>
    <row r="13189" spans="66:69" x14ac:dyDescent="0.2">
      <c r="BN13189" s="192"/>
      <c r="BO13189" s="197"/>
      <c r="BP13189" s="197"/>
      <c r="BQ13189" s="197"/>
    </row>
    <row r="13190" spans="66:69" x14ac:dyDescent="0.2">
      <c r="BN13190" s="192"/>
      <c r="BO13190" s="197"/>
      <c r="BP13190" s="197"/>
      <c r="BQ13190" s="197"/>
    </row>
    <row r="13191" spans="66:69" x14ac:dyDescent="0.2">
      <c r="BN13191" s="192"/>
      <c r="BO13191" s="197"/>
      <c r="BP13191" s="197"/>
      <c r="BQ13191" s="197"/>
    </row>
    <row r="13192" spans="66:69" x14ac:dyDescent="0.2">
      <c r="BN13192" s="192"/>
      <c r="BO13192" s="197"/>
      <c r="BP13192" s="197"/>
      <c r="BQ13192" s="197"/>
    </row>
    <row r="13193" spans="66:69" x14ac:dyDescent="0.2">
      <c r="BN13193" s="192"/>
      <c r="BO13193" s="197"/>
      <c r="BP13193" s="197"/>
      <c r="BQ13193" s="197"/>
    </row>
    <row r="13194" spans="66:69" x14ac:dyDescent="0.2">
      <c r="BN13194" s="192"/>
      <c r="BO13194" s="197"/>
      <c r="BP13194" s="197"/>
      <c r="BQ13194" s="197"/>
    </row>
    <row r="13195" spans="66:69" x14ac:dyDescent="0.2">
      <c r="BN13195" s="192"/>
      <c r="BO13195" s="197"/>
      <c r="BP13195" s="197"/>
      <c r="BQ13195" s="197"/>
    </row>
    <row r="13196" spans="66:69" x14ac:dyDescent="0.2">
      <c r="BN13196" s="192"/>
      <c r="BO13196" s="197"/>
      <c r="BP13196" s="197"/>
      <c r="BQ13196" s="197"/>
    </row>
    <row r="13197" spans="66:69" x14ac:dyDescent="0.2">
      <c r="BN13197" s="192"/>
      <c r="BO13197" s="197"/>
      <c r="BP13197" s="197"/>
      <c r="BQ13197" s="197"/>
    </row>
    <row r="13198" spans="66:69" x14ac:dyDescent="0.2">
      <c r="BN13198" s="192"/>
      <c r="BO13198" s="197"/>
      <c r="BP13198" s="197"/>
      <c r="BQ13198" s="197"/>
    </row>
    <row r="13199" spans="66:69" x14ac:dyDescent="0.2">
      <c r="BN13199" s="192"/>
      <c r="BO13199" s="197"/>
      <c r="BP13199" s="197"/>
      <c r="BQ13199" s="197"/>
    </row>
    <row r="13200" spans="66:69" x14ac:dyDescent="0.2">
      <c r="BN13200" s="192"/>
      <c r="BO13200" s="197"/>
      <c r="BP13200" s="197"/>
      <c r="BQ13200" s="197"/>
    </row>
    <row r="13201" spans="66:69" x14ac:dyDescent="0.2">
      <c r="BN13201" s="192"/>
      <c r="BO13201" s="197"/>
      <c r="BP13201" s="197"/>
      <c r="BQ13201" s="197"/>
    </row>
    <row r="13202" spans="66:69" x14ac:dyDescent="0.2">
      <c r="BN13202" s="192"/>
      <c r="BO13202" s="197"/>
      <c r="BP13202" s="197"/>
      <c r="BQ13202" s="197"/>
    </row>
    <row r="13203" spans="66:69" x14ac:dyDescent="0.2">
      <c r="BN13203" s="192"/>
      <c r="BO13203" s="197"/>
      <c r="BP13203" s="197"/>
      <c r="BQ13203" s="197"/>
    </row>
    <row r="13204" spans="66:69" x14ac:dyDescent="0.2">
      <c r="BN13204" s="192"/>
      <c r="BO13204" s="197"/>
      <c r="BP13204" s="197"/>
      <c r="BQ13204" s="197"/>
    </row>
    <row r="13205" spans="66:69" x14ac:dyDescent="0.2">
      <c r="BN13205" s="192"/>
      <c r="BO13205" s="197"/>
      <c r="BP13205" s="197"/>
      <c r="BQ13205" s="197"/>
    </row>
    <row r="13206" spans="66:69" x14ac:dyDescent="0.2">
      <c r="BN13206" s="192"/>
      <c r="BO13206" s="197"/>
      <c r="BP13206" s="197"/>
      <c r="BQ13206" s="197"/>
    </row>
    <row r="13207" spans="66:69" x14ac:dyDescent="0.2">
      <c r="BN13207" s="192"/>
      <c r="BO13207" s="197"/>
      <c r="BP13207" s="197"/>
      <c r="BQ13207" s="197"/>
    </row>
    <row r="13208" spans="66:69" x14ac:dyDescent="0.2">
      <c r="BN13208" s="192"/>
      <c r="BO13208" s="197"/>
      <c r="BP13208" s="197"/>
      <c r="BQ13208" s="197"/>
    </row>
    <row r="13209" spans="66:69" x14ac:dyDescent="0.2">
      <c r="BN13209" s="192"/>
      <c r="BO13209" s="197"/>
      <c r="BP13209" s="197"/>
      <c r="BQ13209" s="197"/>
    </row>
    <row r="13210" spans="66:69" x14ac:dyDescent="0.2">
      <c r="BN13210" s="192"/>
      <c r="BO13210" s="197"/>
      <c r="BP13210" s="197"/>
      <c r="BQ13210" s="197"/>
    </row>
    <row r="13211" spans="66:69" x14ac:dyDescent="0.2">
      <c r="BN13211" s="192"/>
      <c r="BO13211" s="197"/>
      <c r="BP13211" s="197"/>
      <c r="BQ13211" s="197"/>
    </row>
    <row r="13212" spans="66:69" x14ac:dyDescent="0.2">
      <c r="BN13212" s="192"/>
      <c r="BO13212" s="197"/>
      <c r="BP13212" s="197"/>
      <c r="BQ13212" s="197"/>
    </row>
    <row r="13213" spans="66:69" x14ac:dyDescent="0.2">
      <c r="BN13213" s="192"/>
      <c r="BO13213" s="197"/>
      <c r="BP13213" s="197"/>
      <c r="BQ13213" s="197"/>
    </row>
    <row r="13214" spans="66:69" x14ac:dyDescent="0.2">
      <c r="BN13214" s="192"/>
      <c r="BO13214" s="197"/>
      <c r="BP13214" s="197"/>
      <c r="BQ13214" s="197"/>
    </row>
    <row r="13215" spans="66:69" x14ac:dyDescent="0.2">
      <c r="BN13215" s="192"/>
      <c r="BO13215" s="197"/>
      <c r="BP13215" s="197"/>
      <c r="BQ13215" s="197"/>
    </row>
    <row r="13216" spans="66:69" x14ac:dyDescent="0.2">
      <c r="BN13216" s="192"/>
      <c r="BO13216" s="197"/>
      <c r="BP13216" s="197"/>
      <c r="BQ13216" s="197"/>
    </row>
    <row r="13217" spans="66:69" x14ac:dyDescent="0.2">
      <c r="BN13217" s="192"/>
      <c r="BO13217" s="197"/>
      <c r="BP13217" s="197"/>
      <c r="BQ13217" s="197"/>
    </row>
    <row r="13218" spans="66:69" x14ac:dyDescent="0.2">
      <c r="BN13218" s="192"/>
      <c r="BO13218" s="197"/>
      <c r="BP13218" s="197"/>
      <c r="BQ13218" s="197"/>
    </row>
    <row r="13219" spans="66:69" x14ac:dyDescent="0.2">
      <c r="BN13219" s="192"/>
      <c r="BO13219" s="197"/>
      <c r="BP13219" s="197"/>
      <c r="BQ13219" s="197"/>
    </row>
    <row r="13220" spans="66:69" x14ac:dyDescent="0.2">
      <c r="BN13220" s="192"/>
      <c r="BO13220" s="197"/>
      <c r="BP13220" s="197"/>
      <c r="BQ13220" s="197"/>
    </row>
    <row r="13221" spans="66:69" x14ac:dyDescent="0.2">
      <c r="BN13221" s="192"/>
      <c r="BO13221" s="197"/>
      <c r="BP13221" s="197"/>
      <c r="BQ13221" s="197"/>
    </row>
    <row r="13222" spans="66:69" x14ac:dyDescent="0.2">
      <c r="BN13222" s="192"/>
      <c r="BO13222" s="197"/>
      <c r="BP13222" s="197"/>
      <c r="BQ13222" s="197"/>
    </row>
    <row r="13223" spans="66:69" x14ac:dyDescent="0.2">
      <c r="BN13223" s="192"/>
      <c r="BO13223" s="197"/>
      <c r="BP13223" s="197"/>
      <c r="BQ13223" s="197"/>
    </row>
    <row r="13224" spans="66:69" x14ac:dyDescent="0.2">
      <c r="BN13224" s="192"/>
      <c r="BO13224" s="197"/>
      <c r="BP13224" s="197"/>
      <c r="BQ13224" s="197"/>
    </row>
    <row r="13225" spans="66:69" x14ac:dyDescent="0.2">
      <c r="BN13225" s="192"/>
      <c r="BO13225" s="197"/>
      <c r="BP13225" s="197"/>
      <c r="BQ13225" s="197"/>
    </row>
    <row r="13226" spans="66:69" x14ac:dyDescent="0.2">
      <c r="BN13226" s="192"/>
      <c r="BO13226" s="197"/>
      <c r="BP13226" s="197"/>
      <c r="BQ13226" s="197"/>
    </row>
    <row r="13227" spans="66:69" x14ac:dyDescent="0.2">
      <c r="BN13227" s="192"/>
      <c r="BO13227" s="197"/>
      <c r="BP13227" s="197"/>
      <c r="BQ13227" s="197"/>
    </row>
    <row r="13228" spans="66:69" x14ac:dyDescent="0.2">
      <c r="BN13228" s="192"/>
      <c r="BO13228" s="197"/>
      <c r="BP13228" s="197"/>
      <c r="BQ13228" s="197"/>
    </row>
    <row r="13229" spans="66:69" x14ac:dyDescent="0.2">
      <c r="BN13229" s="192"/>
      <c r="BO13229" s="197"/>
      <c r="BP13229" s="197"/>
      <c r="BQ13229" s="197"/>
    </row>
    <row r="13230" spans="66:69" x14ac:dyDescent="0.2">
      <c r="BN13230" s="192"/>
      <c r="BO13230" s="197"/>
      <c r="BP13230" s="197"/>
      <c r="BQ13230" s="197"/>
    </row>
    <row r="13231" spans="66:69" x14ac:dyDescent="0.2">
      <c r="BN13231" s="192"/>
      <c r="BO13231" s="197"/>
      <c r="BP13231" s="197"/>
      <c r="BQ13231" s="197"/>
    </row>
    <row r="13232" spans="66:69" x14ac:dyDescent="0.2">
      <c r="BN13232" s="192"/>
      <c r="BO13232" s="197"/>
      <c r="BP13232" s="197"/>
      <c r="BQ13232" s="197"/>
    </row>
    <row r="13233" spans="66:69" x14ac:dyDescent="0.2">
      <c r="BN13233" s="192"/>
      <c r="BO13233" s="197"/>
      <c r="BP13233" s="197"/>
      <c r="BQ13233" s="197"/>
    </row>
    <row r="13234" spans="66:69" x14ac:dyDescent="0.2">
      <c r="BN13234" s="192"/>
      <c r="BO13234" s="197"/>
      <c r="BP13234" s="197"/>
      <c r="BQ13234" s="197"/>
    </row>
    <row r="13235" spans="66:69" x14ac:dyDescent="0.2">
      <c r="BN13235" s="192"/>
      <c r="BO13235" s="197"/>
      <c r="BP13235" s="197"/>
      <c r="BQ13235" s="197"/>
    </row>
    <row r="13236" spans="66:69" x14ac:dyDescent="0.2">
      <c r="BN13236" s="192"/>
      <c r="BO13236" s="197"/>
      <c r="BP13236" s="197"/>
      <c r="BQ13236" s="197"/>
    </row>
    <row r="13237" spans="66:69" x14ac:dyDescent="0.2">
      <c r="BN13237" s="192"/>
      <c r="BO13237" s="197"/>
      <c r="BP13237" s="197"/>
      <c r="BQ13237" s="197"/>
    </row>
    <row r="13238" spans="66:69" x14ac:dyDescent="0.2">
      <c r="BN13238" s="192"/>
      <c r="BO13238" s="197"/>
      <c r="BP13238" s="197"/>
      <c r="BQ13238" s="197"/>
    </row>
    <row r="13239" spans="66:69" x14ac:dyDescent="0.2">
      <c r="BN13239" s="192"/>
      <c r="BO13239" s="197"/>
      <c r="BP13239" s="197"/>
      <c r="BQ13239" s="197"/>
    </row>
    <row r="13240" spans="66:69" x14ac:dyDescent="0.2">
      <c r="BN13240" s="192"/>
      <c r="BO13240" s="197"/>
      <c r="BP13240" s="197"/>
      <c r="BQ13240" s="197"/>
    </row>
    <row r="13241" spans="66:69" x14ac:dyDescent="0.2">
      <c r="BN13241" s="192"/>
      <c r="BO13241" s="197"/>
      <c r="BP13241" s="197"/>
      <c r="BQ13241" s="197"/>
    </row>
    <row r="13242" spans="66:69" x14ac:dyDescent="0.2">
      <c r="BN13242" s="192"/>
      <c r="BO13242" s="197"/>
      <c r="BP13242" s="197"/>
      <c r="BQ13242" s="197"/>
    </row>
    <row r="13243" spans="66:69" x14ac:dyDescent="0.2">
      <c r="BN13243" s="192"/>
      <c r="BO13243" s="197"/>
      <c r="BP13243" s="197"/>
      <c r="BQ13243" s="197"/>
    </row>
    <row r="13244" spans="66:69" x14ac:dyDescent="0.2">
      <c r="BN13244" s="192"/>
      <c r="BO13244" s="197"/>
      <c r="BP13244" s="197"/>
      <c r="BQ13244" s="197"/>
    </row>
    <row r="13245" spans="66:69" x14ac:dyDescent="0.2">
      <c r="BN13245" s="192"/>
      <c r="BO13245" s="197"/>
      <c r="BP13245" s="197"/>
      <c r="BQ13245" s="197"/>
    </row>
    <row r="13246" spans="66:69" x14ac:dyDescent="0.2">
      <c r="BN13246" s="192"/>
      <c r="BO13246" s="197"/>
      <c r="BP13246" s="197"/>
      <c r="BQ13246" s="197"/>
    </row>
    <row r="13247" spans="66:69" x14ac:dyDescent="0.2">
      <c r="BN13247" s="192"/>
      <c r="BO13247" s="197"/>
      <c r="BP13247" s="197"/>
      <c r="BQ13247" s="197"/>
    </row>
    <row r="13248" spans="66:69" x14ac:dyDescent="0.2">
      <c r="BN13248" s="192"/>
      <c r="BO13248" s="197"/>
      <c r="BP13248" s="197"/>
      <c r="BQ13248" s="197"/>
    </row>
    <row r="13249" spans="66:69" x14ac:dyDescent="0.2">
      <c r="BN13249" s="192"/>
      <c r="BO13249" s="197"/>
      <c r="BP13249" s="197"/>
      <c r="BQ13249" s="197"/>
    </row>
    <row r="13250" spans="66:69" x14ac:dyDescent="0.2">
      <c r="BN13250" s="192"/>
      <c r="BO13250" s="197"/>
      <c r="BP13250" s="197"/>
      <c r="BQ13250" s="197"/>
    </row>
    <row r="13251" spans="66:69" x14ac:dyDescent="0.2">
      <c r="BN13251" s="192"/>
      <c r="BO13251" s="197"/>
      <c r="BP13251" s="197"/>
      <c r="BQ13251" s="197"/>
    </row>
    <row r="13252" spans="66:69" x14ac:dyDescent="0.2">
      <c r="BN13252" s="192"/>
      <c r="BO13252" s="197"/>
      <c r="BP13252" s="197"/>
      <c r="BQ13252" s="197"/>
    </row>
    <row r="13253" spans="66:69" x14ac:dyDescent="0.2">
      <c r="BN13253" s="192"/>
      <c r="BO13253" s="197"/>
      <c r="BP13253" s="197"/>
      <c r="BQ13253" s="197"/>
    </row>
    <row r="13254" spans="66:69" x14ac:dyDescent="0.2">
      <c r="BN13254" s="192"/>
      <c r="BO13254" s="197"/>
      <c r="BP13254" s="197"/>
      <c r="BQ13254" s="197"/>
    </row>
    <row r="13255" spans="66:69" x14ac:dyDescent="0.2">
      <c r="BN13255" s="192"/>
      <c r="BO13255" s="197"/>
      <c r="BP13255" s="197"/>
      <c r="BQ13255" s="197"/>
    </row>
    <row r="13256" spans="66:69" x14ac:dyDescent="0.2">
      <c r="BN13256" s="192"/>
      <c r="BO13256" s="197"/>
      <c r="BP13256" s="197"/>
      <c r="BQ13256" s="197"/>
    </row>
    <row r="13257" spans="66:69" x14ac:dyDescent="0.2">
      <c r="BN13257" s="192"/>
      <c r="BO13257" s="197"/>
      <c r="BP13257" s="197"/>
      <c r="BQ13257" s="197"/>
    </row>
    <row r="13258" spans="66:69" x14ac:dyDescent="0.2">
      <c r="BN13258" s="192"/>
      <c r="BO13258" s="197"/>
      <c r="BP13258" s="197"/>
      <c r="BQ13258" s="197"/>
    </row>
    <row r="13259" spans="66:69" x14ac:dyDescent="0.2">
      <c r="BN13259" s="192"/>
      <c r="BO13259" s="197"/>
      <c r="BP13259" s="197"/>
      <c r="BQ13259" s="197"/>
    </row>
    <row r="13260" spans="66:69" x14ac:dyDescent="0.2">
      <c r="BN13260" s="192"/>
      <c r="BO13260" s="197"/>
      <c r="BP13260" s="197"/>
      <c r="BQ13260" s="197"/>
    </row>
    <row r="13261" spans="66:69" x14ac:dyDescent="0.2">
      <c r="BN13261" s="192"/>
      <c r="BO13261" s="197"/>
      <c r="BP13261" s="197"/>
      <c r="BQ13261" s="197"/>
    </row>
    <row r="13262" spans="66:69" x14ac:dyDescent="0.2">
      <c r="BN13262" s="192"/>
      <c r="BO13262" s="197"/>
      <c r="BP13262" s="197"/>
      <c r="BQ13262" s="197"/>
    </row>
    <row r="13263" spans="66:69" x14ac:dyDescent="0.2">
      <c r="BN13263" s="192"/>
      <c r="BO13263" s="197"/>
      <c r="BP13263" s="197"/>
      <c r="BQ13263" s="197"/>
    </row>
    <row r="13264" spans="66:69" x14ac:dyDescent="0.2">
      <c r="BN13264" s="192"/>
      <c r="BO13264" s="197"/>
      <c r="BP13264" s="197"/>
      <c r="BQ13264" s="197"/>
    </row>
    <row r="13265" spans="66:69" x14ac:dyDescent="0.2">
      <c r="BN13265" s="192"/>
      <c r="BO13265" s="197"/>
      <c r="BP13265" s="197"/>
      <c r="BQ13265" s="197"/>
    </row>
    <row r="13266" spans="66:69" x14ac:dyDescent="0.2">
      <c r="BN13266" s="192"/>
      <c r="BO13266" s="197"/>
      <c r="BP13266" s="197"/>
      <c r="BQ13266" s="197"/>
    </row>
    <row r="13267" spans="66:69" x14ac:dyDescent="0.2">
      <c r="BN13267" s="192"/>
      <c r="BO13267" s="197"/>
      <c r="BP13267" s="197"/>
      <c r="BQ13267" s="197"/>
    </row>
    <row r="13268" spans="66:69" x14ac:dyDescent="0.2">
      <c r="BN13268" s="192"/>
      <c r="BO13268" s="197"/>
      <c r="BP13268" s="197"/>
      <c r="BQ13268" s="197"/>
    </row>
    <row r="13269" spans="66:69" x14ac:dyDescent="0.2">
      <c r="BN13269" s="192"/>
      <c r="BO13269" s="197"/>
      <c r="BP13269" s="197"/>
      <c r="BQ13269" s="197"/>
    </row>
    <row r="13270" spans="66:69" x14ac:dyDescent="0.2">
      <c r="BN13270" s="192"/>
      <c r="BO13270" s="197"/>
      <c r="BP13270" s="197"/>
      <c r="BQ13270" s="197"/>
    </row>
    <row r="13271" spans="66:69" x14ac:dyDescent="0.2">
      <c r="BN13271" s="192"/>
      <c r="BO13271" s="197"/>
      <c r="BP13271" s="197"/>
      <c r="BQ13271" s="197"/>
    </row>
    <row r="13272" spans="66:69" x14ac:dyDescent="0.2">
      <c r="BN13272" s="192"/>
      <c r="BO13272" s="197"/>
      <c r="BP13272" s="197"/>
      <c r="BQ13272" s="197"/>
    </row>
    <row r="13273" spans="66:69" x14ac:dyDescent="0.2">
      <c r="BN13273" s="192"/>
      <c r="BO13273" s="197"/>
      <c r="BP13273" s="197"/>
      <c r="BQ13273" s="197"/>
    </row>
    <row r="13274" spans="66:69" x14ac:dyDescent="0.2">
      <c r="BN13274" s="192"/>
      <c r="BO13274" s="197"/>
      <c r="BP13274" s="197"/>
      <c r="BQ13274" s="197"/>
    </row>
    <row r="13275" spans="66:69" x14ac:dyDescent="0.2">
      <c r="BN13275" s="192"/>
      <c r="BO13275" s="197"/>
      <c r="BP13275" s="197"/>
      <c r="BQ13275" s="197"/>
    </row>
    <row r="13276" spans="66:69" x14ac:dyDescent="0.2">
      <c r="BN13276" s="192"/>
      <c r="BO13276" s="197"/>
      <c r="BP13276" s="197"/>
      <c r="BQ13276" s="197"/>
    </row>
    <row r="13277" spans="66:69" x14ac:dyDescent="0.2">
      <c r="BN13277" s="192"/>
      <c r="BO13277" s="197"/>
      <c r="BP13277" s="197"/>
      <c r="BQ13277" s="197"/>
    </row>
    <row r="13278" spans="66:69" x14ac:dyDescent="0.2">
      <c r="BN13278" s="192"/>
      <c r="BO13278" s="197"/>
      <c r="BP13278" s="197"/>
      <c r="BQ13278" s="197"/>
    </row>
    <row r="13279" spans="66:69" x14ac:dyDescent="0.2">
      <c r="BN13279" s="192"/>
      <c r="BO13279" s="197"/>
      <c r="BP13279" s="197"/>
      <c r="BQ13279" s="197"/>
    </row>
    <row r="13280" spans="66:69" x14ac:dyDescent="0.2">
      <c r="BN13280" s="192"/>
      <c r="BO13280" s="197"/>
      <c r="BP13280" s="197"/>
      <c r="BQ13280" s="197"/>
    </row>
    <row r="13281" spans="66:69" x14ac:dyDescent="0.2">
      <c r="BN13281" s="192"/>
      <c r="BO13281" s="197"/>
      <c r="BP13281" s="197"/>
      <c r="BQ13281" s="197"/>
    </row>
    <row r="13282" spans="66:69" x14ac:dyDescent="0.2">
      <c r="BN13282" s="192"/>
      <c r="BO13282" s="197"/>
      <c r="BP13282" s="197"/>
      <c r="BQ13282" s="197"/>
    </row>
    <row r="13283" spans="66:69" x14ac:dyDescent="0.2">
      <c r="BN13283" s="192"/>
      <c r="BO13283" s="197"/>
      <c r="BP13283" s="197"/>
      <c r="BQ13283" s="197"/>
    </row>
    <row r="13284" spans="66:69" x14ac:dyDescent="0.2">
      <c r="BN13284" s="192"/>
      <c r="BO13284" s="197"/>
      <c r="BP13284" s="197"/>
      <c r="BQ13284" s="197"/>
    </row>
    <row r="13285" spans="66:69" x14ac:dyDescent="0.2">
      <c r="BN13285" s="192"/>
      <c r="BO13285" s="197"/>
      <c r="BP13285" s="197"/>
      <c r="BQ13285" s="197"/>
    </row>
    <row r="13286" spans="66:69" x14ac:dyDescent="0.2">
      <c r="BN13286" s="192"/>
      <c r="BO13286" s="197"/>
      <c r="BP13286" s="197"/>
      <c r="BQ13286" s="197"/>
    </row>
    <row r="13287" spans="66:69" x14ac:dyDescent="0.2">
      <c r="BN13287" s="192"/>
      <c r="BO13287" s="197"/>
      <c r="BP13287" s="197"/>
      <c r="BQ13287" s="197"/>
    </row>
    <row r="13288" spans="66:69" x14ac:dyDescent="0.2">
      <c r="BN13288" s="192"/>
      <c r="BO13288" s="197"/>
      <c r="BP13288" s="197"/>
      <c r="BQ13288" s="197"/>
    </row>
    <row r="13289" spans="66:69" x14ac:dyDescent="0.2">
      <c r="BN13289" s="192"/>
      <c r="BO13289" s="197"/>
      <c r="BP13289" s="197"/>
      <c r="BQ13289" s="197"/>
    </row>
    <row r="13290" spans="66:69" x14ac:dyDescent="0.2">
      <c r="BN13290" s="192"/>
      <c r="BO13290" s="197"/>
      <c r="BP13290" s="197"/>
      <c r="BQ13290" s="197"/>
    </row>
    <row r="13291" spans="66:69" x14ac:dyDescent="0.2">
      <c r="BN13291" s="192"/>
      <c r="BO13291" s="197"/>
      <c r="BP13291" s="197"/>
      <c r="BQ13291" s="197"/>
    </row>
    <row r="13292" spans="66:69" x14ac:dyDescent="0.2">
      <c r="BN13292" s="192"/>
      <c r="BO13292" s="197"/>
      <c r="BP13292" s="197"/>
      <c r="BQ13292" s="197"/>
    </row>
    <row r="13293" spans="66:69" x14ac:dyDescent="0.2">
      <c r="BN13293" s="192"/>
      <c r="BO13293" s="197"/>
      <c r="BP13293" s="197"/>
      <c r="BQ13293" s="197"/>
    </row>
    <row r="13294" spans="66:69" x14ac:dyDescent="0.2">
      <c r="BN13294" s="192"/>
      <c r="BO13294" s="197"/>
      <c r="BP13294" s="197"/>
      <c r="BQ13294" s="197"/>
    </row>
    <row r="13295" spans="66:69" x14ac:dyDescent="0.2">
      <c r="BN13295" s="192"/>
      <c r="BO13295" s="197"/>
      <c r="BP13295" s="197"/>
      <c r="BQ13295" s="197"/>
    </row>
    <row r="13296" spans="66:69" x14ac:dyDescent="0.2">
      <c r="BN13296" s="192"/>
      <c r="BO13296" s="197"/>
      <c r="BP13296" s="197"/>
      <c r="BQ13296" s="197"/>
    </row>
    <row r="13297" spans="66:69" x14ac:dyDescent="0.2">
      <c r="BN13297" s="192"/>
      <c r="BO13297" s="197"/>
      <c r="BP13297" s="197"/>
      <c r="BQ13297" s="197"/>
    </row>
    <row r="13298" spans="66:69" x14ac:dyDescent="0.2">
      <c r="BN13298" s="192"/>
      <c r="BO13298" s="197"/>
      <c r="BP13298" s="197"/>
      <c r="BQ13298" s="197"/>
    </row>
    <row r="13299" spans="66:69" x14ac:dyDescent="0.2">
      <c r="BN13299" s="192"/>
      <c r="BO13299" s="197"/>
      <c r="BP13299" s="197"/>
      <c r="BQ13299" s="197"/>
    </row>
    <row r="13300" spans="66:69" x14ac:dyDescent="0.2">
      <c r="BN13300" s="192"/>
      <c r="BO13300" s="197"/>
      <c r="BP13300" s="197"/>
      <c r="BQ13300" s="197"/>
    </row>
    <row r="13301" spans="66:69" x14ac:dyDescent="0.2">
      <c r="BN13301" s="192"/>
      <c r="BO13301" s="197"/>
      <c r="BP13301" s="197"/>
      <c r="BQ13301" s="197"/>
    </row>
    <row r="13302" spans="66:69" x14ac:dyDescent="0.2">
      <c r="BN13302" s="192"/>
      <c r="BO13302" s="197"/>
      <c r="BP13302" s="197"/>
      <c r="BQ13302" s="197"/>
    </row>
    <row r="13303" spans="66:69" x14ac:dyDescent="0.2">
      <c r="BN13303" s="192"/>
      <c r="BO13303" s="197"/>
      <c r="BP13303" s="197"/>
      <c r="BQ13303" s="197"/>
    </row>
    <row r="13304" spans="66:69" x14ac:dyDescent="0.2">
      <c r="BN13304" s="192"/>
      <c r="BO13304" s="197"/>
      <c r="BP13304" s="197"/>
      <c r="BQ13304" s="197"/>
    </row>
    <row r="13305" spans="66:69" x14ac:dyDescent="0.2">
      <c r="BN13305" s="192"/>
      <c r="BO13305" s="197"/>
      <c r="BP13305" s="197"/>
      <c r="BQ13305" s="197"/>
    </row>
    <row r="13306" spans="66:69" x14ac:dyDescent="0.2">
      <c r="BN13306" s="192"/>
      <c r="BO13306" s="197"/>
      <c r="BP13306" s="197"/>
      <c r="BQ13306" s="197"/>
    </row>
    <row r="13307" spans="66:69" x14ac:dyDescent="0.2">
      <c r="BN13307" s="192"/>
      <c r="BO13307" s="197"/>
      <c r="BP13307" s="197"/>
      <c r="BQ13307" s="197"/>
    </row>
    <row r="13308" spans="66:69" x14ac:dyDescent="0.2">
      <c r="BN13308" s="192"/>
      <c r="BO13308" s="197"/>
      <c r="BP13308" s="197"/>
      <c r="BQ13308" s="197"/>
    </row>
    <row r="13309" spans="66:69" x14ac:dyDescent="0.2">
      <c r="BN13309" s="192"/>
      <c r="BO13309" s="197"/>
      <c r="BP13309" s="197"/>
      <c r="BQ13309" s="197"/>
    </row>
    <row r="13310" spans="66:69" x14ac:dyDescent="0.2">
      <c r="BN13310" s="192"/>
      <c r="BO13310" s="197"/>
      <c r="BP13310" s="197"/>
      <c r="BQ13310" s="197"/>
    </row>
    <row r="13311" spans="66:69" x14ac:dyDescent="0.2">
      <c r="BN13311" s="192"/>
      <c r="BO13311" s="197"/>
      <c r="BP13311" s="197"/>
      <c r="BQ13311" s="197"/>
    </row>
    <row r="13312" spans="66:69" x14ac:dyDescent="0.2">
      <c r="BN13312" s="192"/>
      <c r="BO13312" s="197"/>
      <c r="BP13312" s="197"/>
      <c r="BQ13312" s="197"/>
    </row>
    <row r="13313" spans="66:69" x14ac:dyDescent="0.2">
      <c r="BN13313" s="192"/>
      <c r="BO13313" s="197"/>
      <c r="BP13313" s="197"/>
      <c r="BQ13313" s="197"/>
    </row>
    <row r="13314" spans="66:69" x14ac:dyDescent="0.2">
      <c r="BN13314" s="192"/>
      <c r="BO13314" s="197"/>
      <c r="BP13314" s="197"/>
      <c r="BQ13314" s="197"/>
    </row>
    <row r="13315" spans="66:69" x14ac:dyDescent="0.2">
      <c r="BN13315" s="192"/>
      <c r="BO13315" s="197"/>
      <c r="BP13315" s="197"/>
      <c r="BQ13315" s="197"/>
    </row>
    <row r="13316" spans="66:69" x14ac:dyDescent="0.2">
      <c r="BN13316" s="192"/>
      <c r="BO13316" s="197"/>
      <c r="BP13316" s="197"/>
      <c r="BQ13316" s="197"/>
    </row>
    <row r="13317" spans="66:69" x14ac:dyDescent="0.2">
      <c r="BN13317" s="192"/>
      <c r="BO13317" s="197"/>
      <c r="BP13317" s="197"/>
      <c r="BQ13317" s="197"/>
    </row>
    <row r="13318" spans="66:69" x14ac:dyDescent="0.2">
      <c r="BN13318" s="192"/>
      <c r="BO13318" s="197"/>
      <c r="BP13318" s="197"/>
      <c r="BQ13318" s="197"/>
    </row>
    <row r="13319" spans="66:69" x14ac:dyDescent="0.2">
      <c r="BN13319" s="192"/>
      <c r="BO13319" s="197"/>
      <c r="BP13319" s="197"/>
      <c r="BQ13319" s="197"/>
    </row>
    <row r="13320" spans="66:69" x14ac:dyDescent="0.2">
      <c r="BN13320" s="192"/>
      <c r="BO13320" s="197"/>
      <c r="BP13320" s="197"/>
      <c r="BQ13320" s="197"/>
    </row>
    <row r="13321" spans="66:69" x14ac:dyDescent="0.2">
      <c r="BN13321" s="192"/>
      <c r="BO13321" s="197"/>
      <c r="BP13321" s="197"/>
      <c r="BQ13321" s="197"/>
    </row>
    <row r="13322" spans="66:69" x14ac:dyDescent="0.2">
      <c r="BN13322" s="192"/>
      <c r="BO13322" s="197"/>
      <c r="BP13322" s="197"/>
      <c r="BQ13322" s="197"/>
    </row>
    <row r="13323" spans="66:69" x14ac:dyDescent="0.2">
      <c r="BN13323" s="192"/>
      <c r="BO13323" s="197"/>
      <c r="BP13323" s="197"/>
      <c r="BQ13323" s="197"/>
    </row>
    <row r="13324" spans="66:69" x14ac:dyDescent="0.2">
      <c r="BN13324" s="192"/>
      <c r="BO13324" s="197"/>
      <c r="BP13324" s="197"/>
      <c r="BQ13324" s="197"/>
    </row>
    <row r="13325" spans="66:69" x14ac:dyDescent="0.2">
      <c r="BN13325" s="192"/>
      <c r="BO13325" s="197"/>
      <c r="BP13325" s="197"/>
      <c r="BQ13325" s="197"/>
    </row>
    <row r="13326" spans="66:69" x14ac:dyDescent="0.2">
      <c r="BN13326" s="192"/>
      <c r="BO13326" s="197"/>
      <c r="BP13326" s="197"/>
      <c r="BQ13326" s="197"/>
    </row>
    <row r="13327" spans="66:69" x14ac:dyDescent="0.2">
      <c r="BN13327" s="192"/>
      <c r="BO13327" s="197"/>
      <c r="BP13327" s="197"/>
      <c r="BQ13327" s="197"/>
    </row>
    <row r="13328" spans="66:69" x14ac:dyDescent="0.2">
      <c r="BN13328" s="192"/>
      <c r="BO13328" s="197"/>
      <c r="BP13328" s="197"/>
      <c r="BQ13328" s="197"/>
    </row>
    <row r="13329" spans="66:69" x14ac:dyDescent="0.2">
      <c r="BN13329" s="192"/>
      <c r="BO13329" s="197"/>
      <c r="BP13329" s="197"/>
      <c r="BQ13329" s="197"/>
    </row>
    <row r="13330" spans="66:69" x14ac:dyDescent="0.2">
      <c r="BN13330" s="192"/>
      <c r="BO13330" s="197"/>
      <c r="BP13330" s="197"/>
      <c r="BQ13330" s="197"/>
    </row>
    <row r="13331" spans="66:69" x14ac:dyDescent="0.2">
      <c r="BN13331" s="192"/>
      <c r="BO13331" s="197"/>
      <c r="BP13331" s="197"/>
      <c r="BQ13331" s="197"/>
    </row>
    <row r="13332" spans="66:69" x14ac:dyDescent="0.2">
      <c r="BN13332" s="192"/>
      <c r="BO13332" s="197"/>
      <c r="BP13332" s="197"/>
      <c r="BQ13332" s="197"/>
    </row>
    <row r="13333" spans="66:69" x14ac:dyDescent="0.2">
      <c r="BN13333" s="192"/>
      <c r="BO13333" s="197"/>
      <c r="BP13333" s="197"/>
      <c r="BQ13333" s="197"/>
    </row>
    <row r="13334" spans="66:69" x14ac:dyDescent="0.2">
      <c r="BN13334" s="192"/>
      <c r="BO13334" s="197"/>
      <c r="BP13334" s="197"/>
      <c r="BQ13334" s="197"/>
    </row>
    <row r="13335" spans="66:69" x14ac:dyDescent="0.2">
      <c r="BN13335" s="192"/>
      <c r="BO13335" s="197"/>
      <c r="BP13335" s="197"/>
      <c r="BQ13335" s="197"/>
    </row>
    <row r="13336" spans="66:69" x14ac:dyDescent="0.2">
      <c r="BN13336" s="192"/>
      <c r="BO13336" s="197"/>
      <c r="BP13336" s="197"/>
      <c r="BQ13336" s="197"/>
    </row>
    <row r="13337" spans="66:69" x14ac:dyDescent="0.2">
      <c r="BN13337" s="192"/>
      <c r="BO13337" s="197"/>
      <c r="BP13337" s="197"/>
      <c r="BQ13337" s="197"/>
    </row>
    <row r="13338" spans="66:69" x14ac:dyDescent="0.2">
      <c r="BN13338" s="192"/>
      <c r="BO13338" s="197"/>
      <c r="BP13338" s="197"/>
      <c r="BQ13338" s="197"/>
    </row>
    <row r="13339" spans="66:69" x14ac:dyDescent="0.2">
      <c r="BN13339" s="192"/>
      <c r="BO13339" s="197"/>
      <c r="BP13339" s="197"/>
      <c r="BQ13339" s="197"/>
    </row>
    <row r="13340" spans="66:69" x14ac:dyDescent="0.2">
      <c r="BN13340" s="192"/>
      <c r="BO13340" s="197"/>
      <c r="BP13340" s="197"/>
      <c r="BQ13340" s="197"/>
    </row>
    <row r="13341" spans="66:69" x14ac:dyDescent="0.2">
      <c r="BN13341" s="192"/>
      <c r="BO13341" s="197"/>
      <c r="BP13341" s="197"/>
      <c r="BQ13341" s="197"/>
    </row>
    <row r="13342" spans="66:69" x14ac:dyDescent="0.2">
      <c r="BN13342" s="192"/>
      <c r="BO13342" s="197"/>
      <c r="BP13342" s="197"/>
      <c r="BQ13342" s="197"/>
    </row>
    <row r="13343" spans="66:69" x14ac:dyDescent="0.2">
      <c r="BN13343" s="192"/>
      <c r="BO13343" s="197"/>
      <c r="BP13343" s="197"/>
      <c r="BQ13343" s="197"/>
    </row>
    <row r="13344" spans="66:69" x14ac:dyDescent="0.2">
      <c r="BN13344" s="192"/>
      <c r="BO13344" s="197"/>
      <c r="BP13344" s="197"/>
      <c r="BQ13344" s="197"/>
    </row>
    <row r="13345" spans="66:69" x14ac:dyDescent="0.2">
      <c r="BN13345" s="192"/>
      <c r="BO13345" s="197"/>
      <c r="BP13345" s="197"/>
      <c r="BQ13345" s="197"/>
    </row>
    <row r="13346" spans="66:69" x14ac:dyDescent="0.2">
      <c r="BN13346" s="192"/>
      <c r="BO13346" s="197"/>
      <c r="BP13346" s="197"/>
      <c r="BQ13346" s="197"/>
    </row>
    <row r="13347" spans="66:69" x14ac:dyDescent="0.2">
      <c r="BN13347" s="192"/>
      <c r="BO13347" s="197"/>
      <c r="BP13347" s="197"/>
      <c r="BQ13347" s="197"/>
    </row>
    <row r="13348" spans="66:69" x14ac:dyDescent="0.2">
      <c r="BN13348" s="192"/>
      <c r="BO13348" s="197"/>
      <c r="BP13348" s="197"/>
      <c r="BQ13348" s="197"/>
    </row>
    <row r="13349" spans="66:69" x14ac:dyDescent="0.2">
      <c r="BN13349" s="192"/>
      <c r="BO13349" s="197"/>
      <c r="BP13349" s="197"/>
      <c r="BQ13349" s="197"/>
    </row>
    <row r="13350" spans="66:69" x14ac:dyDescent="0.2">
      <c r="BN13350" s="192"/>
      <c r="BO13350" s="197"/>
      <c r="BP13350" s="197"/>
      <c r="BQ13350" s="197"/>
    </row>
    <row r="13351" spans="66:69" x14ac:dyDescent="0.2">
      <c r="BN13351" s="192"/>
      <c r="BO13351" s="197"/>
      <c r="BP13351" s="197"/>
      <c r="BQ13351" s="197"/>
    </row>
    <row r="13352" spans="66:69" x14ac:dyDescent="0.2">
      <c r="BN13352" s="192"/>
      <c r="BO13352" s="197"/>
      <c r="BP13352" s="197"/>
      <c r="BQ13352" s="197"/>
    </row>
    <row r="13353" spans="66:69" x14ac:dyDescent="0.2">
      <c r="BN13353" s="192"/>
      <c r="BO13353" s="197"/>
      <c r="BP13353" s="197"/>
      <c r="BQ13353" s="197"/>
    </row>
    <row r="13354" spans="66:69" x14ac:dyDescent="0.2">
      <c r="BN13354" s="192"/>
      <c r="BO13354" s="197"/>
      <c r="BP13354" s="197"/>
      <c r="BQ13354" s="197"/>
    </row>
    <row r="13355" spans="66:69" x14ac:dyDescent="0.2">
      <c r="BN13355" s="192"/>
      <c r="BO13355" s="197"/>
      <c r="BP13355" s="197"/>
      <c r="BQ13355" s="197"/>
    </row>
    <row r="13356" spans="66:69" x14ac:dyDescent="0.2">
      <c r="BN13356" s="192"/>
      <c r="BO13356" s="197"/>
      <c r="BP13356" s="197"/>
      <c r="BQ13356" s="197"/>
    </row>
    <row r="13357" spans="66:69" x14ac:dyDescent="0.2">
      <c r="BN13357" s="192"/>
      <c r="BO13357" s="197"/>
      <c r="BP13357" s="197"/>
      <c r="BQ13357" s="197"/>
    </row>
    <row r="13358" spans="66:69" x14ac:dyDescent="0.2">
      <c r="BN13358" s="192"/>
      <c r="BO13358" s="197"/>
      <c r="BP13358" s="197"/>
      <c r="BQ13358" s="197"/>
    </row>
    <row r="13359" spans="66:69" x14ac:dyDescent="0.2">
      <c r="BN13359" s="192"/>
      <c r="BO13359" s="197"/>
      <c r="BP13359" s="197"/>
      <c r="BQ13359" s="197"/>
    </row>
    <row r="13360" spans="66:69" x14ac:dyDescent="0.2">
      <c r="BN13360" s="192"/>
      <c r="BO13360" s="197"/>
      <c r="BP13360" s="197"/>
      <c r="BQ13360" s="197"/>
    </row>
    <row r="13361" spans="66:69" x14ac:dyDescent="0.2">
      <c r="BN13361" s="192"/>
      <c r="BO13361" s="197"/>
      <c r="BP13361" s="197"/>
      <c r="BQ13361" s="197"/>
    </row>
    <row r="13362" spans="66:69" x14ac:dyDescent="0.2">
      <c r="BN13362" s="192"/>
      <c r="BO13362" s="197"/>
      <c r="BP13362" s="197"/>
      <c r="BQ13362" s="197"/>
    </row>
    <row r="13363" spans="66:69" x14ac:dyDescent="0.2">
      <c r="BN13363" s="192"/>
      <c r="BO13363" s="197"/>
      <c r="BP13363" s="197"/>
      <c r="BQ13363" s="197"/>
    </row>
    <row r="13364" spans="66:69" x14ac:dyDescent="0.2">
      <c r="BN13364" s="192"/>
      <c r="BO13364" s="197"/>
      <c r="BP13364" s="197"/>
      <c r="BQ13364" s="197"/>
    </row>
    <row r="13365" spans="66:69" x14ac:dyDescent="0.2">
      <c r="BN13365" s="192"/>
      <c r="BO13365" s="197"/>
      <c r="BP13365" s="197"/>
      <c r="BQ13365" s="197"/>
    </row>
    <row r="13366" spans="66:69" x14ac:dyDescent="0.2">
      <c r="BN13366" s="192"/>
      <c r="BO13366" s="197"/>
      <c r="BP13366" s="197"/>
      <c r="BQ13366" s="197"/>
    </row>
    <row r="13367" spans="66:69" x14ac:dyDescent="0.2">
      <c r="BN13367" s="192"/>
      <c r="BO13367" s="197"/>
      <c r="BP13367" s="197"/>
      <c r="BQ13367" s="197"/>
    </row>
    <row r="13368" spans="66:69" x14ac:dyDescent="0.2">
      <c r="BN13368" s="192"/>
      <c r="BO13368" s="197"/>
      <c r="BP13368" s="197"/>
      <c r="BQ13368" s="197"/>
    </row>
    <row r="13369" spans="66:69" x14ac:dyDescent="0.2">
      <c r="BN13369" s="192"/>
      <c r="BO13369" s="197"/>
      <c r="BP13369" s="197"/>
      <c r="BQ13369" s="197"/>
    </row>
    <row r="13370" spans="66:69" x14ac:dyDescent="0.2">
      <c r="BN13370" s="192"/>
      <c r="BO13370" s="197"/>
      <c r="BP13370" s="197"/>
      <c r="BQ13370" s="197"/>
    </row>
    <row r="13371" spans="66:69" x14ac:dyDescent="0.2">
      <c r="BN13371" s="192"/>
      <c r="BO13371" s="197"/>
      <c r="BP13371" s="197"/>
      <c r="BQ13371" s="197"/>
    </row>
    <row r="13372" spans="66:69" x14ac:dyDescent="0.2">
      <c r="BN13372" s="192"/>
      <c r="BO13372" s="197"/>
      <c r="BP13372" s="197"/>
      <c r="BQ13372" s="197"/>
    </row>
    <row r="13373" spans="66:69" x14ac:dyDescent="0.2">
      <c r="BN13373" s="192"/>
      <c r="BO13373" s="197"/>
      <c r="BP13373" s="197"/>
      <c r="BQ13373" s="197"/>
    </row>
    <row r="13374" spans="66:69" x14ac:dyDescent="0.2">
      <c r="BN13374" s="192"/>
      <c r="BO13374" s="197"/>
      <c r="BP13374" s="197"/>
      <c r="BQ13374" s="197"/>
    </row>
    <row r="13375" spans="66:69" x14ac:dyDescent="0.2">
      <c r="BN13375" s="192"/>
      <c r="BO13375" s="197"/>
      <c r="BP13375" s="197"/>
      <c r="BQ13375" s="197"/>
    </row>
    <row r="13376" spans="66:69" x14ac:dyDescent="0.2">
      <c r="BN13376" s="192"/>
      <c r="BO13376" s="197"/>
      <c r="BP13376" s="197"/>
      <c r="BQ13376" s="197"/>
    </row>
    <row r="13377" spans="66:69" x14ac:dyDescent="0.2">
      <c r="BN13377" s="192"/>
      <c r="BO13377" s="197"/>
      <c r="BP13377" s="197"/>
      <c r="BQ13377" s="197"/>
    </row>
    <row r="13378" spans="66:69" x14ac:dyDescent="0.2">
      <c r="BN13378" s="192"/>
      <c r="BO13378" s="197"/>
      <c r="BP13378" s="197"/>
      <c r="BQ13378" s="197"/>
    </row>
    <row r="13379" spans="66:69" x14ac:dyDescent="0.2">
      <c r="BN13379" s="192"/>
      <c r="BO13379" s="197"/>
      <c r="BP13379" s="197"/>
      <c r="BQ13379" s="197"/>
    </row>
    <row r="13380" spans="66:69" x14ac:dyDescent="0.2">
      <c r="BN13380" s="192"/>
      <c r="BO13380" s="197"/>
      <c r="BP13380" s="197"/>
      <c r="BQ13380" s="197"/>
    </row>
    <row r="13381" spans="66:69" x14ac:dyDescent="0.2">
      <c r="BN13381" s="192"/>
      <c r="BO13381" s="197"/>
      <c r="BP13381" s="197"/>
      <c r="BQ13381" s="197"/>
    </row>
    <row r="13382" spans="66:69" x14ac:dyDescent="0.2">
      <c r="BN13382" s="192"/>
      <c r="BO13382" s="197"/>
      <c r="BP13382" s="197"/>
      <c r="BQ13382" s="197"/>
    </row>
    <row r="13383" spans="66:69" x14ac:dyDescent="0.2">
      <c r="BN13383" s="192"/>
      <c r="BO13383" s="197"/>
      <c r="BP13383" s="197"/>
      <c r="BQ13383" s="197"/>
    </row>
    <row r="13384" spans="66:69" x14ac:dyDescent="0.2">
      <c r="BN13384" s="192"/>
      <c r="BO13384" s="197"/>
      <c r="BP13384" s="197"/>
      <c r="BQ13384" s="197"/>
    </row>
    <row r="13385" spans="66:69" x14ac:dyDescent="0.2">
      <c r="BN13385" s="192"/>
      <c r="BO13385" s="197"/>
      <c r="BP13385" s="197"/>
      <c r="BQ13385" s="197"/>
    </row>
    <row r="13386" spans="66:69" x14ac:dyDescent="0.2">
      <c r="BN13386" s="192"/>
      <c r="BO13386" s="197"/>
      <c r="BP13386" s="197"/>
      <c r="BQ13386" s="197"/>
    </row>
    <row r="13387" spans="66:69" x14ac:dyDescent="0.2">
      <c r="BN13387" s="192"/>
      <c r="BO13387" s="197"/>
      <c r="BP13387" s="197"/>
      <c r="BQ13387" s="197"/>
    </row>
    <row r="13388" spans="66:69" x14ac:dyDescent="0.2">
      <c r="BN13388" s="192"/>
      <c r="BO13388" s="197"/>
      <c r="BP13388" s="197"/>
      <c r="BQ13388" s="197"/>
    </row>
    <row r="13389" spans="66:69" x14ac:dyDescent="0.2">
      <c r="BN13389" s="192"/>
      <c r="BO13389" s="197"/>
      <c r="BP13389" s="197"/>
      <c r="BQ13389" s="197"/>
    </row>
    <row r="13390" spans="66:69" x14ac:dyDescent="0.2">
      <c r="BN13390" s="192"/>
      <c r="BO13390" s="197"/>
      <c r="BP13390" s="197"/>
      <c r="BQ13390" s="197"/>
    </row>
    <row r="13391" spans="66:69" x14ac:dyDescent="0.2">
      <c r="BN13391" s="192"/>
      <c r="BO13391" s="197"/>
      <c r="BP13391" s="197"/>
      <c r="BQ13391" s="197"/>
    </row>
    <row r="13392" spans="66:69" x14ac:dyDescent="0.2">
      <c r="BN13392" s="192"/>
      <c r="BO13392" s="197"/>
      <c r="BP13392" s="197"/>
      <c r="BQ13392" s="197"/>
    </row>
    <row r="13393" spans="66:69" x14ac:dyDescent="0.2">
      <c r="BN13393" s="192"/>
      <c r="BO13393" s="197"/>
      <c r="BP13393" s="197"/>
      <c r="BQ13393" s="197"/>
    </row>
    <row r="13394" spans="66:69" x14ac:dyDescent="0.2">
      <c r="BN13394" s="192"/>
      <c r="BO13394" s="197"/>
      <c r="BP13394" s="197"/>
      <c r="BQ13394" s="197"/>
    </row>
    <row r="13395" spans="66:69" x14ac:dyDescent="0.2">
      <c r="BN13395" s="192"/>
      <c r="BO13395" s="197"/>
      <c r="BP13395" s="197"/>
      <c r="BQ13395" s="197"/>
    </row>
    <row r="13396" spans="66:69" x14ac:dyDescent="0.2">
      <c r="BN13396" s="192"/>
      <c r="BO13396" s="197"/>
      <c r="BP13396" s="197"/>
      <c r="BQ13396" s="197"/>
    </row>
    <row r="13397" spans="66:69" x14ac:dyDescent="0.2">
      <c r="BN13397" s="192"/>
      <c r="BO13397" s="197"/>
      <c r="BP13397" s="197"/>
      <c r="BQ13397" s="197"/>
    </row>
    <row r="13398" spans="66:69" x14ac:dyDescent="0.2">
      <c r="BN13398" s="192"/>
      <c r="BO13398" s="197"/>
      <c r="BP13398" s="197"/>
      <c r="BQ13398" s="197"/>
    </row>
    <row r="13399" spans="66:69" x14ac:dyDescent="0.2">
      <c r="BN13399" s="192"/>
      <c r="BO13399" s="197"/>
      <c r="BP13399" s="197"/>
      <c r="BQ13399" s="197"/>
    </row>
    <row r="13400" spans="66:69" x14ac:dyDescent="0.2">
      <c r="BN13400" s="192"/>
      <c r="BO13400" s="197"/>
      <c r="BP13400" s="197"/>
      <c r="BQ13400" s="197"/>
    </row>
    <row r="13401" spans="66:69" x14ac:dyDescent="0.2">
      <c r="BN13401" s="192"/>
      <c r="BO13401" s="197"/>
      <c r="BP13401" s="197"/>
      <c r="BQ13401" s="197"/>
    </row>
    <row r="13402" spans="66:69" x14ac:dyDescent="0.2">
      <c r="BN13402" s="192"/>
      <c r="BO13402" s="197"/>
      <c r="BP13402" s="197"/>
      <c r="BQ13402" s="197"/>
    </row>
    <row r="13403" spans="66:69" x14ac:dyDescent="0.2">
      <c r="BN13403" s="192"/>
      <c r="BO13403" s="197"/>
      <c r="BP13403" s="197"/>
      <c r="BQ13403" s="197"/>
    </row>
    <row r="13404" spans="66:69" x14ac:dyDescent="0.2">
      <c r="BN13404" s="192"/>
      <c r="BO13404" s="197"/>
      <c r="BP13404" s="197"/>
      <c r="BQ13404" s="197"/>
    </row>
    <row r="13405" spans="66:69" x14ac:dyDescent="0.2">
      <c r="BN13405" s="192"/>
      <c r="BO13405" s="197"/>
      <c r="BP13405" s="197"/>
      <c r="BQ13405" s="197"/>
    </row>
    <row r="13406" spans="66:69" x14ac:dyDescent="0.2">
      <c r="BN13406" s="192"/>
      <c r="BO13406" s="197"/>
      <c r="BP13406" s="197"/>
      <c r="BQ13406" s="197"/>
    </row>
    <row r="13407" spans="66:69" x14ac:dyDescent="0.2">
      <c r="BN13407" s="192"/>
      <c r="BO13407" s="197"/>
      <c r="BP13407" s="197"/>
      <c r="BQ13407" s="197"/>
    </row>
    <row r="13408" spans="66:69" x14ac:dyDescent="0.2">
      <c r="BN13408" s="192"/>
      <c r="BO13408" s="197"/>
      <c r="BP13408" s="197"/>
      <c r="BQ13408" s="197"/>
    </row>
    <row r="13409" spans="66:69" x14ac:dyDescent="0.2">
      <c r="BN13409" s="192"/>
      <c r="BO13409" s="197"/>
      <c r="BP13409" s="197"/>
      <c r="BQ13409" s="197"/>
    </row>
    <row r="13410" spans="66:69" x14ac:dyDescent="0.2">
      <c r="BN13410" s="192"/>
      <c r="BO13410" s="197"/>
      <c r="BP13410" s="197"/>
      <c r="BQ13410" s="197"/>
    </row>
    <row r="13411" spans="66:69" x14ac:dyDescent="0.2">
      <c r="BN13411" s="192"/>
      <c r="BO13411" s="197"/>
      <c r="BP13411" s="197"/>
      <c r="BQ13411" s="197"/>
    </row>
    <row r="13412" spans="66:69" x14ac:dyDescent="0.2">
      <c r="BN13412" s="192"/>
      <c r="BO13412" s="197"/>
      <c r="BP13412" s="197"/>
      <c r="BQ13412" s="197"/>
    </row>
    <row r="13413" spans="66:69" x14ac:dyDescent="0.2">
      <c r="BN13413" s="192"/>
      <c r="BO13413" s="197"/>
      <c r="BP13413" s="197"/>
      <c r="BQ13413" s="197"/>
    </row>
    <row r="13414" spans="66:69" x14ac:dyDescent="0.2">
      <c r="BN13414" s="192"/>
      <c r="BO13414" s="197"/>
      <c r="BP13414" s="197"/>
      <c r="BQ13414" s="197"/>
    </row>
    <row r="13415" spans="66:69" x14ac:dyDescent="0.2">
      <c r="BN13415" s="192"/>
      <c r="BO13415" s="197"/>
      <c r="BP13415" s="197"/>
      <c r="BQ13415" s="197"/>
    </row>
    <row r="13416" spans="66:69" x14ac:dyDescent="0.2">
      <c r="BN13416" s="192"/>
      <c r="BO13416" s="197"/>
      <c r="BP13416" s="197"/>
      <c r="BQ13416" s="197"/>
    </row>
    <row r="13417" spans="66:69" x14ac:dyDescent="0.2">
      <c r="BN13417" s="192"/>
      <c r="BO13417" s="197"/>
      <c r="BP13417" s="197"/>
      <c r="BQ13417" s="197"/>
    </row>
    <row r="13418" spans="66:69" x14ac:dyDescent="0.2">
      <c r="BN13418" s="192"/>
      <c r="BO13418" s="197"/>
      <c r="BP13418" s="197"/>
      <c r="BQ13418" s="197"/>
    </row>
    <row r="13419" spans="66:69" x14ac:dyDescent="0.2">
      <c r="BN13419" s="192"/>
      <c r="BO13419" s="197"/>
      <c r="BP13419" s="197"/>
      <c r="BQ13419" s="197"/>
    </row>
    <row r="13420" spans="66:69" x14ac:dyDescent="0.2">
      <c r="BN13420" s="192"/>
      <c r="BO13420" s="197"/>
      <c r="BP13420" s="197"/>
      <c r="BQ13420" s="197"/>
    </row>
    <row r="13421" spans="66:69" x14ac:dyDescent="0.2">
      <c r="BN13421" s="192"/>
      <c r="BO13421" s="197"/>
      <c r="BP13421" s="197"/>
      <c r="BQ13421" s="197"/>
    </row>
    <row r="13422" spans="66:69" x14ac:dyDescent="0.2">
      <c r="BN13422" s="192"/>
      <c r="BO13422" s="197"/>
      <c r="BP13422" s="197"/>
      <c r="BQ13422" s="197"/>
    </row>
    <row r="13423" spans="66:69" x14ac:dyDescent="0.2">
      <c r="BN13423" s="192"/>
      <c r="BO13423" s="197"/>
      <c r="BP13423" s="197"/>
      <c r="BQ13423" s="197"/>
    </row>
    <row r="13424" spans="66:69" x14ac:dyDescent="0.2">
      <c r="BN13424" s="192"/>
      <c r="BO13424" s="197"/>
      <c r="BP13424" s="197"/>
      <c r="BQ13424" s="197"/>
    </row>
    <row r="13425" spans="66:69" x14ac:dyDescent="0.2">
      <c r="BN13425" s="192"/>
      <c r="BO13425" s="197"/>
      <c r="BP13425" s="197"/>
      <c r="BQ13425" s="197"/>
    </row>
    <row r="13426" spans="66:69" x14ac:dyDescent="0.2">
      <c r="BN13426" s="192"/>
      <c r="BO13426" s="197"/>
      <c r="BP13426" s="197"/>
      <c r="BQ13426" s="197"/>
    </row>
    <row r="13427" spans="66:69" x14ac:dyDescent="0.2">
      <c r="BN13427" s="192"/>
      <c r="BO13427" s="197"/>
      <c r="BP13427" s="197"/>
      <c r="BQ13427" s="197"/>
    </row>
    <row r="13428" spans="66:69" x14ac:dyDescent="0.2">
      <c r="BN13428" s="192"/>
      <c r="BO13428" s="197"/>
      <c r="BP13428" s="197"/>
      <c r="BQ13428" s="197"/>
    </row>
    <row r="13429" spans="66:69" x14ac:dyDescent="0.2">
      <c r="BN13429" s="192"/>
      <c r="BO13429" s="197"/>
      <c r="BP13429" s="197"/>
      <c r="BQ13429" s="197"/>
    </row>
    <row r="13430" spans="66:69" x14ac:dyDescent="0.2">
      <c r="BN13430" s="192"/>
      <c r="BO13430" s="197"/>
      <c r="BP13430" s="197"/>
      <c r="BQ13430" s="197"/>
    </row>
    <row r="13431" spans="66:69" x14ac:dyDescent="0.2">
      <c r="BN13431" s="192"/>
      <c r="BO13431" s="197"/>
      <c r="BP13431" s="197"/>
      <c r="BQ13431" s="197"/>
    </row>
    <row r="13432" spans="66:69" x14ac:dyDescent="0.2">
      <c r="BN13432" s="192"/>
      <c r="BO13432" s="197"/>
      <c r="BP13432" s="197"/>
      <c r="BQ13432" s="197"/>
    </row>
    <row r="13433" spans="66:69" x14ac:dyDescent="0.2">
      <c r="BN13433" s="192"/>
      <c r="BO13433" s="197"/>
      <c r="BP13433" s="197"/>
      <c r="BQ13433" s="197"/>
    </row>
    <row r="13434" spans="66:69" x14ac:dyDescent="0.2">
      <c r="BN13434" s="192"/>
      <c r="BO13434" s="197"/>
      <c r="BP13434" s="197"/>
      <c r="BQ13434" s="197"/>
    </row>
    <row r="13435" spans="66:69" x14ac:dyDescent="0.2">
      <c r="BN13435" s="192"/>
      <c r="BO13435" s="197"/>
      <c r="BP13435" s="197"/>
      <c r="BQ13435" s="197"/>
    </row>
    <row r="13436" spans="66:69" x14ac:dyDescent="0.2">
      <c r="BN13436" s="192"/>
      <c r="BO13436" s="197"/>
      <c r="BP13436" s="197"/>
      <c r="BQ13436" s="197"/>
    </row>
    <row r="13437" spans="66:69" x14ac:dyDescent="0.2">
      <c r="BN13437" s="192"/>
      <c r="BO13437" s="197"/>
      <c r="BP13437" s="197"/>
      <c r="BQ13437" s="197"/>
    </row>
    <row r="13438" spans="66:69" x14ac:dyDescent="0.2">
      <c r="BN13438" s="192"/>
      <c r="BO13438" s="197"/>
      <c r="BP13438" s="197"/>
      <c r="BQ13438" s="197"/>
    </row>
    <row r="13439" spans="66:69" x14ac:dyDescent="0.2">
      <c r="BN13439" s="192"/>
      <c r="BO13439" s="197"/>
      <c r="BP13439" s="197"/>
      <c r="BQ13439" s="197"/>
    </row>
    <row r="13440" spans="66:69" x14ac:dyDescent="0.2">
      <c r="BN13440" s="192"/>
      <c r="BO13440" s="197"/>
      <c r="BP13440" s="197"/>
      <c r="BQ13440" s="197"/>
    </row>
    <row r="13441" spans="66:69" x14ac:dyDescent="0.2">
      <c r="BN13441" s="192"/>
      <c r="BO13441" s="197"/>
      <c r="BP13441" s="197"/>
      <c r="BQ13441" s="197"/>
    </row>
    <row r="13442" spans="66:69" x14ac:dyDescent="0.2">
      <c r="BN13442" s="192"/>
      <c r="BO13442" s="197"/>
      <c r="BP13442" s="197"/>
      <c r="BQ13442" s="197"/>
    </row>
    <row r="13443" spans="66:69" x14ac:dyDescent="0.2">
      <c r="BN13443" s="192"/>
      <c r="BO13443" s="197"/>
      <c r="BP13443" s="197"/>
      <c r="BQ13443" s="197"/>
    </row>
    <row r="13444" spans="66:69" x14ac:dyDescent="0.2">
      <c r="BN13444" s="192"/>
      <c r="BO13444" s="197"/>
      <c r="BP13444" s="197"/>
      <c r="BQ13444" s="197"/>
    </row>
    <row r="13445" spans="66:69" x14ac:dyDescent="0.2">
      <c r="BN13445" s="192"/>
      <c r="BO13445" s="197"/>
      <c r="BP13445" s="197"/>
      <c r="BQ13445" s="197"/>
    </row>
    <row r="13446" spans="66:69" x14ac:dyDescent="0.2">
      <c r="BN13446" s="192"/>
      <c r="BO13446" s="197"/>
      <c r="BP13446" s="197"/>
      <c r="BQ13446" s="197"/>
    </row>
    <row r="13447" spans="66:69" x14ac:dyDescent="0.2">
      <c r="BN13447" s="192"/>
      <c r="BO13447" s="197"/>
      <c r="BP13447" s="197"/>
      <c r="BQ13447" s="197"/>
    </row>
    <row r="13448" spans="66:69" x14ac:dyDescent="0.2">
      <c r="BN13448" s="192"/>
      <c r="BO13448" s="197"/>
      <c r="BP13448" s="197"/>
      <c r="BQ13448" s="197"/>
    </row>
    <row r="13449" spans="66:69" x14ac:dyDescent="0.2">
      <c r="BN13449" s="192"/>
      <c r="BO13449" s="197"/>
      <c r="BP13449" s="197"/>
      <c r="BQ13449" s="197"/>
    </row>
    <row r="13450" spans="66:69" x14ac:dyDescent="0.2">
      <c r="BN13450" s="192"/>
      <c r="BO13450" s="197"/>
      <c r="BP13450" s="197"/>
      <c r="BQ13450" s="197"/>
    </row>
    <row r="13451" spans="66:69" x14ac:dyDescent="0.2">
      <c r="BN13451" s="192"/>
      <c r="BO13451" s="197"/>
      <c r="BP13451" s="197"/>
      <c r="BQ13451" s="197"/>
    </row>
    <row r="13452" spans="66:69" x14ac:dyDescent="0.2">
      <c r="BN13452" s="192"/>
      <c r="BO13452" s="197"/>
      <c r="BP13452" s="197"/>
      <c r="BQ13452" s="197"/>
    </row>
    <row r="13453" spans="66:69" x14ac:dyDescent="0.2">
      <c r="BN13453" s="192"/>
      <c r="BO13453" s="197"/>
      <c r="BP13453" s="197"/>
      <c r="BQ13453" s="197"/>
    </row>
    <row r="13454" spans="66:69" x14ac:dyDescent="0.2">
      <c r="BN13454" s="192"/>
      <c r="BO13454" s="197"/>
      <c r="BP13454" s="197"/>
      <c r="BQ13454" s="197"/>
    </row>
    <row r="13455" spans="66:69" x14ac:dyDescent="0.2">
      <c r="BN13455" s="192"/>
      <c r="BO13455" s="197"/>
      <c r="BP13455" s="197"/>
      <c r="BQ13455" s="197"/>
    </row>
    <row r="13456" spans="66:69" x14ac:dyDescent="0.2">
      <c r="BN13456" s="192"/>
      <c r="BO13456" s="197"/>
      <c r="BP13456" s="197"/>
      <c r="BQ13456" s="197"/>
    </row>
    <row r="13457" spans="66:69" x14ac:dyDescent="0.2">
      <c r="BN13457" s="192"/>
      <c r="BO13457" s="197"/>
      <c r="BP13457" s="197"/>
      <c r="BQ13457" s="197"/>
    </row>
    <row r="13458" spans="66:69" x14ac:dyDescent="0.2">
      <c r="BN13458" s="192"/>
      <c r="BO13458" s="197"/>
      <c r="BP13458" s="197"/>
      <c r="BQ13458" s="197"/>
    </row>
    <row r="13459" spans="66:69" x14ac:dyDescent="0.2">
      <c r="BN13459" s="192"/>
      <c r="BO13459" s="197"/>
      <c r="BP13459" s="197"/>
      <c r="BQ13459" s="197"/>
    </row>
    <row r="13460" spans="66:69" x14ac:dyDescent="0.2">
      <c r="BN13460" s="192"/>
      <c r="BO13460" s="197"/>
      <c r="BP13460" s="197"/>
      <c r="BQ13460" s="197"/>
    </row>
    <row r="13461" spans="66:69" x14ac:dyDescent="0.2">
      <c r="BN13461" s="192"/>
      <c r="BO13461" s="197"/>
      <c r="BP13461" s="197"/>
      <c r="BQ13461" s="197"/>
    </row>
    <row r="13462" spans="66:69" x14ac:dyDescent="0.2">
      <c r="BN13462" s="192"/>
      <c r="BO13462" s="197"/>
      <c r="BP13462" s="197"/>
      <c r="BQ13462" s="197"/>
    </row>
    <row r="13463" spans="66:69" x14ac:dyDescent="0.2">
      <c r="BN13463" s="192"/>
      <c r="BO13463" s="197"/>
      <c r="BP13463" s="197"/>
      <c r="BQ13463" s="197"/>
    </row>
    <row r="13464" spans="66:69" x14ac:dyDescent="0.2">
      <c r="BN13464" s="192"/>
      <c r="BO13464" s="197"/>
      <c r="BP13464" s="197"/>
      <c r="BQ13464" s="197"/>
    </row>
    <row r="13465" spans="66:69" x14ac:dyDescent="0.2">
      <c r="BN13465" s="192"/>
      <c r="BO13465" s="197"/>
      <c r="BP13465" s="197"/>
      <c r="BQ13465" s="197"/>
    </row>
    <row r="13466" spans="66:69" x14ac:dyDescent="0.2">
      <c r="BN13466" s="192"/>
      <c r="BO13466" s="197"/>
      <c r="BP13466" s="197"/>
      <c r="BQ13466" s="197"/>
    </row>
    <row r="13467" spans="66:69" x14ac:dyDescent="0.2">
      <c r="BN13467" s="192"/>
      <c r="BO13467" s="197"/>
      <c r="BP13467" s="197"/>
      <c r="BQ13467" s="197"/>
    </row>
    <row r="13468" spans="66:69" x14ac:dyDescent="0.2">
      <c r="BN13468" s="192"/>
      <c r="BO13468" s="197"/>
      <c r="BP13468" s="197"/>
      <c r="BQ13468" s="197"/>
    </row>
    <row r="13469" spans="66:69" x14ac:dyDescent="0.2">
      <c r="BN13469" s="192"/>
      <c r="BO13469" s="197"/>
      <c r="BP13469" s="197"/>
      <c r="BQ13469" s="197"/>
    </row>
    <row r="13470" spans="66:69" x14ac:dyDescent="0.2">
      <c r="BN13470" s="192"/>
      <c r="BO13470" s="197"/>
      <c r="BP13470" s="197"/>
      <c r="BQ13470" s="197"/>
    </row>
    <row r="13471" spans="66:69" x14ac:dyDescent="0.2">
      <c r="BN13471" s="192"/>
      <c r="BO13471" s="197"/>
      <c r="BP13471" s="197"/>
      <c r="BQ13471" s="197"/>
    </row>
    <row r="13472" spans="66:69" x14ac:dyDescent="0.2">
      <c r="BN13472" s="192"/>
      <c r="BO13472" s="197"/>
      <c r="BP13472" s="197"/>
      <c r="BQ13472" s="197"/>
    </row>
    <row r="13473" spans="66:69" x14ac:dyDescent="0.2">
      <c r="BN13473" s="192"/>
      <c r="BO13473" s="197"/>
      <c r="BP13473" s="197"/>
      <c r="BQ13473" s="197"/>
    </row>
    <row r="13474" spans="66:69" x14ac:dyDescent="0.2">
      <c r="BN13474" s="192"/>
      <c r="BO13474" s="197"/>
      <c r="BP13474" s="197"/>
      <c r="BQ13474" s="197"/>
    </row>
    <row r="13475" spans="66:69" x14ac:dyDescent="0.2">
      <c r="BN13475" s="192"/>
      <c r="BO13475" s="197"/>
      <c r="BP13475" s="197"/>
      <c r="BQ13475" s="197"/>
    </row>
    <row r="13476" spans="66:69" x14ac:dyDescent="0.2">
      <c r="BN13476" s="192"/>
      <c r="BO13476" s="197"/>
      <c r="BP13476" s="197"/>
      <c r="BQ13476" s="197"/>
    </row>
    <row r="13477" spans="66:69" x14ac:dyDescent="0.2">
      <c r="BN13477" s="192"/>
      <c r="BO13477" s="197"/>
      <c r="BP13477" s="197"/>
      <c r="BQ13477" s="197"/>
    </row>
    <row r="13478" spans="66:69" x14ac:dyDescent="0.2">
      <c r="BN13478" s="192"/>
      <c r="BO13478" s="197"/>
      <c r="BP13478" s="197"/>
      <c r="BQ13478" s="197"/>
    </row>
    <row r="13479" spans="66:69" x14ac:dyDescent="0.2">
      <c r="BN13479" s="192"/>
      <c r="BO13479" s="197"/>
      <c r="BP13479" s="197"/>
      <c r="BQ13479" s="197"/>
    </row>
    <row r="13480" spans="66:69" x14ac:dyDescent="0.2">
      <c r="BN13480" s="192"/>
      <c r="BO13480" s="197"/>
      <c r="BP13480" s="197"/>
      <c r="BQ13480" s="197"/>
    </row>
    <row r="13481" spans="66:69" x14ac:dyDescent="0.2">
      <c r="BN13481" s="192"/>
      <c r="BO13481" s="197"/>
      <c r="BP13481" s="197"/>
      <c r="BQ13481" s="197"/>
    </row>
    <row r="13482" spans="66:69" x14ac:dyDescent="0.2">
      <c r="BN13482" s="192"/>
      <c r="BO13482" s="197"/>
      <c r="BP13482" s="197"/>
      <c r="BQ13482" s="197"/>
    </row>
    <row r="13483" spans="66:69" x14ac:dyDescent="0.2">
      <c r="BN13483" s="192"/>
      <c r="BO13483" s="197"/>
      <c r="BP13483" s="197"/>
      <c r="BQ13483" s="197"/>
    </row>
    <row r="13484" spans="66:69" x14ac:dyDescent="0.2">
      <c r="BN13484" s="192"/>
      <c r="BO13484" s="197"/>
      <c r="BP13484" s="197"/>
      <c r="BQ13484" s="197"/>
    </row>
    <row r="13485" spans="66:69" x14ac:dyDescent="0.2">
      <c r="BN13485" s="192"/>
      <c r="BO13485" s="197"/>
      <c r="BP13485" s="197"/>
      <c r="BQ13485" s="197"/>
    </row>
    <row r="13486" spans="66:69" x14ac:dyDescent="0.2">
      <c r="BN13486" s="192"/>
      <c r="BO13486" s="197"/>
      <c r="BP13486" s="197"/>
      <c r="BQ13486" s="197"/>
    </row>
    <row r="13487" spans="66:69" x14ac:dyDescent="0.2">
      <c r="BN13487" s="192"/>
      <c r="BO13487" s="197"/>
      <c r="BP13487" s="197"/>
      <c r="BQ13487" s="197"/>
    </row>
    <row r="13488" spans="66:69" x14ac:dyDescent="0.2">
      <c r="BN13488" s="192"/>
      <c r="BO13488" s="197"/>
      <c r="BP13488" s="197"/>
      <c r="BQ13488" s="197"/>
    </row>
    <row r="13489" spans="66:69" x14ac:dyDescent="0.2">
      <c r="BN13489" s="192"/>
      <c r="BO13489" s="197"/>
      <c r="BP13489" s="197"/>
      <c r="BQ13489" s="197"/>
    </row>
    <row r="13490" spans="66:69" x14ac:dyDescent="0.2">
      <c r="BN13490" s="192"/>
      <c r="BO13490" s="197"/>
      <c r="BP13490" s="197"/>
      <c r="BQ13490" s="197"/>
    </row>
    <row r="13491" spans="66:69" x14ac:dyDescent="0.2">
      <c r="BN13491" s="192"/>
      <c r="BO13491" s="197"/>
      <c r="BP13491" s="197"/>
      <c r="BQ13491" s="197"/>
    </row>
    <row r="13492" spans="66:69" x14ac:dyDescent="0.2">
      <c r="BN13492" s="192"/>
      <c r="BO13492" s="197"/>
      <c r="BP13492" s="197"/>
      <c r="BQ13492" s="197"/>
    </row>
    <row r="13493" spans="66:69" x14ac:dyDescent="0.2">
      <c r="BN13493" s="192"/>
      <c r="BO13493" s="197"/>
      <c r="BP13493" s="197"/>
      <c r="BQ13493" s="197"/>
    </row>
    <row r="13494" spans="66:69" x14ac:dyDescent="0.2">
      <c r="BN13494" s="192"/>
      <c r="BO13494" s="197"/>
      <c r="BP13494" s="197"/>
      <c r="BQ13494" s="197"/>
    </row>
    <row r="13495" spans="66:69" x14ac:dyDescent="0.2">
      <c r="BN13495" s="192"/>
      <c r="BO13495" s="197"/>
      <c r="BP13495" s="197"/>
      <c r="BQ13495" s="197"/>
    </row>
    <row r="13496" spans="66:69" x14ac:dyDescent="0.2">
      <c r="BN13496" s="192"/>
      <c r="BO13496" s="197"/>
      <c r="BP13496" s="197"/>
      <c r="BQ13496" s="197"/>
    </row>
    <row r="13497" spans="66:69" x14ac:dyDescent="0.2">
      <c r="BN13497" s="192"/>
      <c r="BO13497" s="197"/>
      <c r="BP13497" s="197"/>
      <c r="BQ13497" s="197"/>
    </row>
    <row r="13498" spans="66:69" x14ac:dyDescent="0.2">
      <c r="BN13498" s="192"/>
      <c r="BO13498" s="197"/>
      <c r="BP13498" s="197"/>
      <c r="BQ13498" s="197"/>
    </row>
    <row r="13499" spans="66:69" x14ac:dyDescent="0.2">
      <c r="BN13499" s="192"/>
      <c r="BO13499" s="197"/>
      <c r="BP13499" s="197"/>
      <c r="BQ13499" s="197"/>
    </row>
    <row r="13500" spans="66:69" x14ac:dyDescent="0.2">
      <c r="BN13500" s="192"/>
      <c r="BO13500" s="197"/>
      <c r="BP13500" s="197"/>
      <c r="BQ13500" s="197"/>
    </row>
    <row r="13501" spans="66:69" x14ac:dyDescent="0.2">
      <c r="BN13501" s="192"/>
      <c r="BO13501" s="197"/>
      <c r="BP13501" s="197"/>
      <c r="BQ13501" s="197"/>
    </row>
    <row r="13502" spans="66:69" x14ac:dyDescent="0.2">
      <c r="BN13502" s="192"/>
      <c r="BO13502" s="197"/>
      <c r="BP13502" s="197"/>
      <c r="BQ13502" s="197"/>
    </row>
    <row r="13503" spans="66:69" x14ac:dyDescent="0.2">
      <c r="BN13503" s="192"/>
      <c r="BO13503" s="197"/>
      <c r="BP13503" s="197"/>
      <c r="BQ13503" s="197"/>
    </row>
    <row r="13504" spans="66:69" x14ac:dyDescent="0.2">
      <c r="BN13504" s="192"/>
      <c r="BO13504" s="197"/>
      <c r="BP13504" s="197"/>
      <c r="BQ13504" s="197"/>
    </row>
    <row r="13505" spans="66:69" x14ac:dyDescent="0.2">
      <c r="BN13505" s="192"/>
      <c r="BO13505" s="197"/>
      <c r="BP13505" s="197"/>
      <c r="BQ13505" s="197"/>
    </row>
    <row r="13506" spans="66:69" x14ac:dyDescent="0.2">
      <c r="BN13506" s="192"/>
      <c r="BO13506" s="197"/>
      <c r="BP13506" s="197"/>
      <c r="BQ13506" s="197"/>
    </row>
    <row r="13507" spans="66:69" x14ac:dyDescent="0.2">
      <c r="BN13507" s="192"/>
      <c r="BO13507" s="197"/>
      <c r="BP13507" s="197"/>
      <c r="BQ13507" s="197"/>
    </row>
    <row r="13508" spans="66:69" x14ac:dyDescent="0.2">
      <c r="BN13508" s="192"/>
      <c r="BO13508" s="197"/>
      <c r="BP13508" s="197"/>
      <c r="BQ13508" s="197"/>
    </row>
    <row r="13509" spans="66:69" x14ac:dyDescent="0.2">
      <c r="BN13509" s="192"/>
      <c r="BO13509" s="197"/>
      <c r="BP13509" s="197"/>
      <c r="BQ13509" s="197"/>
    </row>
    <row r="13510" spans="66:69" x14ac:dyDescent="0.2">
      <c r="BN13510" s="192"/>
      <c r="BO13510" s="197"/>
      <c r="BP13510" s="197"/>
      <c r="BQ13510" s="197"/>
    </row>
    <row r="13511" spans="66:69" x14ac:dyDescent="0.2">
      <c r="BN13511" s="192"/>
      <c r="BO13511" s="197"/>
      <c r="BP13511" s="197"/>
      <c r="BQ13511" s="197"/>
    </row>
    <row r="13512" spans="66:69" x14ac:dyDescent="0.2">
      <c r="BN13512" s="192"/>
      <c r="BO13512" s="197"/>
      <c r="BP13512" s="197"/>
      <c r="BQ13512" s="197"/>
    </row>
    <row r="13513" spans="66:69" x14ac:dyDescent="0.2">
      <c r="BN13513" s="192"/>
      <c r="BO13513" s="197"/>
      <c r="BP13513" s="197"/>
      <c r="BQ13513" s="197"/>
    </row>
    <row r="13514" spans="66:69" x14ac:dyDescent="0.2">
      <c r="BN13514" s="192"/>
      <c r="BO13514" s="197"/>
      <c r="BP13514" s="197"/>
      <c r="BQ13514" s="197"/>
    </row>
    <row r="13515" spans="66:69" x14ac:dyDescent="0.2">
      <c r="BN13515" s="192"/>
      <c r="BO13515" s="197"/>
      <c r="BP13515" s="197"/>
      <c r="BQ13515" s="197"/>
    </row>
    <row r="13516" spans="66:69" x14ac:dyDescent="0.2">
      <c r="BN13516" s="192"/>
      <c r="BO13516" s="197"/>
      <c r="BP13516" s="197"/>
      <c r="BQ13516" s="197"/>
    </row>
    <row r="13517" spans="66:69" x14ac:dyDescent="0.2">
      <c r="BN13517" s="192"/>
      <c r="BO13517" s="197"/>
      <c r="BP13517" s="197"/>
      <c r="BQ13517" s="197"/>
    </row>
    <row r="13518" spans="66:69" x14ac:dyDescent="0.2">
      <c r="BN13518" s="192"/>
      <c r="BO13518" s="197"/>
      <c r="BP13518" s="197"/>
      <c r="BQ13518" s="197"/>
    </row>
    <row r="13519" spans="66:69" x14ac:dyDescent="0.2">
      <c r="BN13519" s="192"/>
      <c r="BO13519" s="197"/>
      <c r="BP13519" s="197"/>
      <c r="BQ13519" s="197"/>
    </row>
    <row r="13520" spans="66:69" x14ac:dyDescent="0.2">
      <c r="BN13520" s="192"/>
      <c r="BO13520" s="197"/>
      <c r="BP13520" s="197"/>
      <c r="BQ13520" s="197"/>
    </row>
    <row r="13521" spans="66:69" x14ac:dyDescent="0.2">
      <c r="BN13521" s="192"/>
      <c r="BO13521" s="197"/>
      <c r="BP13521" s="197"/>
      <c r="BQ13521" s="197"/>
    </row>
    <row r="13522" spans="66:69" x14ac:dyDescent="0.2">
      <c r="BN13522" s="192"/>
      <c r="BO13522" s="197"/>
      <c r="BP13522" s="197"/>
      <c r="BQ13522" s="197"/>
    </row>
    <row r="13523" spans="66:69" x14ac:dyDescent="0.2">
      <c r="BN13523" s="192"/>
      <c r="BO13523" s="197"/>
      <c r="BP13523" s="197"/>
      <c r="BQ13523" s="197"/>
    </row>
    <row r="13524" spans="66:69" x14ac:dyDescent="0.2">
      <c r="BN13524" s="192"/>
      <c r="BO13524" s="197"/>
      <c r="BP13524" s="197"/>
      <c r="BQ13524" s="197"/>
    </row>
    <row r="13525" spans="66:69" x14ac:dyDescent="0.2">
      <c r="BN13525" s="192"/>
      <c r="BO13525" s="197"/>
      <c r="BP13525" s="197"/>
      <c r="BQ13525" s="197"/>
    </row>
    <row r="13526" spans="66:69" x14ac:dyDescent="0.2">
      <c r="BN13526" s="192"/>
      <c r="BO13526" s="197"/>
      <c r="BP13526" s="197"/>
      <c r="BQ13526" s="197"/>
    </row>
    <row r="13527" spans="66:69" x14ac:dyDescent="0.2">
      <c r="BN13527" s="192"/>
      <c r="BO13527" s="197"/>
      <c r="BP13527" s="197"/>
      <c r="BQ13527" s="197"/>
    </row>
    <row r="13528" spans="66:69" x14ac:dyDescent="0.2">
      <c r="BN13528" s="192"/>
      <c r="BO13528" s="197"/>
      <c r="BP13528" s="197"/>
      <c r="BQ13528" s="197"/>
    </row>
    <row r="13529" spans="66:69" x14ac:dyDescent="0.2">
      <c r="BN13529" s="192"/>
      <c r="BO13529" s="197"/>
      <c r="BP13529" s="197"/>
      <c r="BQ13529" s="197"/>
    </row>
    <row r="13530" spans="66:69" x14ac:dyDescent="0.2">
      <c r="BN13530" s="192"/>
      <c r="BO13530" s="197"/>
      <c r="BP13530" s="197"/>
      <c r="BQ13530" s="197"/>
    </row>
    <row r="13531" spans="66:69" x14ac:dyDescent="0.2">
      <c r="BN13531" s="192"/>
      <c r="BO13531" s="197"/>
      <c r="BP13531" s="197"/>
      <c r="BQ13531" s="197"/>
    </row>
    <row r="13532" spans="66:69" x14ac:dyDescent="0.2">
      <c r="BN13532" s="192"/>
      <c r="BO13532" s="197"/>
      <c r="BP13532" s="197"/>
      <c r="BQ13532" s="197"/>
    </row>
    <row r="13533" spans="66:69" x14ac:dyDescent="0.2">
      <c r="BN13533" s="192"/>
      <c r="BO13533" s="197"/>
      <c r="BP13533" s="197"/>
      <c r="BQ13533" s="197"/>
    </row>
    <row r="13534" spans="66:69" x14ac:dyDescent="0.2">
      <c r="BN13534" s="192"/>
      <c r="BO13534" s="197"/>
      <c r="BP13534" s="197"/>
      <c r="BQ13534" s="197"/>
    </row>
    <row r="13535" spans="66:69" x14ac:dyDescent="0.2">
      <c r="BN13535" s="192"/>
      <c r="BO13535" s="197"/>
      <c r="BP13535" s="197"/>
      <c r="BQ13535" s="197"/>
    </row>
    <row r="13536" spans="66:69" x14ac:dyDescent="0.2">
      <c r="BN13536" s="192"/>
      <c r="BO13536" s="197"/>
      <c r="BP13536" s="197"/>
      <c r="BQ13536" s="197"/>
    </row>
    <row r="13537" spans="66:69" x14ac:dyDescent="0.2">
      <c r="BN13537" s="192"/>
      <c r="BO13537" s="197"/>
      <c r="BP13537" s="197"/>
      <c r="BQ13537" s="197"/>
    </row>
    <row r="13538" spans="66:69" x14ac:dyDescent="0.2">
      <c r="BN13538" s="192"/>
      <c r="BO13538" s="197"/>
      <c r="BP13538" s="197"/>
      <c r="BQ13538" s="197"/>
    </row>
    <row r="13539" spans="66:69" x14ac:dyDescent="0.2">
      <c r="BN13539" s="192"/>
      <c r="BO13539" s="197"/>
      <c r="BP13539" s="197"/>
      <c r="BQ13539" s="197"/>
    </row>
    <row r="13540" spans="66:69" x14ac:dyDescent="0.2">
      <c r="BN13540" s="192"/>
      <c r="BO13540" s="197"/>
      <c r="BP13540" s="197"/>
      <c r="BQ13540" s="197"/>
    </row>
    <row r="13541" spans="66:69" x14ac:dyDescent="0.2">
      <c r="BN13541" s="192"/>
      <c r="BO13541" s="197"/>
      <c r="BP13541" s="197"/>
      <c r="BQ13541" s="197"/>
    </row>
    <row r="13542" spans="66:69" x14ac:dyDescent="0.2">
      <c r="BN13542" s="192"/>
      <c r="BO13542" s="197"/>
      <c r="BP13542" s="197"/>
      <c r="BQ13542" s="197"/>
    </row>
    <row r="13543" spans="66:69" x14ac:dyDescent="0.2">
      <c r="BN13543" s="192"/>
      <c r="BO13543" s="197"/>
      <c r="BP13543" s="197"/>
      <c r="BQ13543" s="197"/>
    </row>
    <row r="13544" spans="66:69" x14ac:dyDescent="0.2">
      <c r="BN13544" s="192"/>
      <c r="BO13544" s="197"/>
      <c r="BP13544" s="197"/>
      <c r="BQ13544" s="197"/>
    </row>
    <row r="13545" spans="66:69" x14ac:dyDescent="0.2">
      <c r="BN13545" s="192"/>
      <c r="BO13545" s="197"/>
      <c r="BP13545" s="197"/>
      <c r="BQ13545" s="197"/>
    </row>
    <row r="13546" spans="66:69" x14ac:dyDescent="0.2">
      <c r="BN13546" s="192"/>
      <c r="BO13546" s="197"/>
      <c r="BP13546" s="197"/>
      <c r="BQ13546" s="197"/>
    </row>
    <row r="13547" spans="66:69" x14ac:dyDescent="0.2">
      <c r="BN13547" s="192"/>
      <c r="BO13547" s="197"/>
      <c r="BP13547" s="197"/>
      <c r="BQ13547" s="197"/>
    </row>
    <row r="13548" spans="66:69" x14ac:dyDescent="0.2">
      <c r="BN13548" s="192"/>
      <c r="BO13548" s="197"/>
      <c r="BP13548" s="197"/>
      <c r="BQ13548" s="197"/>
    </row>
    <row r="13549" spans="66:69" x14ac:dyDescent="0.2">
      <c r="BN13549" s="192"/>
      <c r="BO13549" s="197"/>
      <c r="BP13549" s="197"/>
      <c r="BQ13549" s="197"/>
    </row>
    <row r="13550" spans="66:69" x14ac:dyDescent="0.2">
      <c r="BN13550" s="192"/>
      <c r="BO13550" s="197"/>
      <c r="BP13550" s="197"/>
      <c r="BQ13550" s="197"/>
    </row>
    <row r="13551" spans="66:69" x14ac:dyDescent="0.2">
      <c r="BN13551" s="192"/>
      <c r="BO13551" s="197"/>
      <c r="BP13551" s="197"/>
      <c r="BQ13551" s="197"/>
    </row>
    <row r="13552" spans="66:69" x14ac:dyDescent="0.2">
      <c r="BN13552" s="192"/>
      <c r="BO13552" s="197"/>
      <c r="BP13552" s="197"/>
      <c r="BQ13552" s="197"/>
    </row>
    <row r="13553" spans="66:69" x14ac:dyDescent="0.2">
      <c r="BN13553" s="192"/>
      <c r="BO13553" s="197"/>
      <c r="BP13553" s="197"/>
      <c r="BQ13553" s="197"/>
    </row>
    <row r="13554" spans="66:69" x14ac:dyDescent="0.2">
      <c r="BN13554" s="192"/>
      <c r="BO13554" s="197"/>
      <c r="BP13554" s="197"/>
      <c r="BQ13554" s="197"/>
    </row>
    <row r="13555" spans="66:69" x14ac:dyDescent="0.2">
      <c r="BN13555" s="192"/>
      <c r="BO13555" s="197"/>
      <c r="BP13555" s="197"/>
      <c r="BQ13555" s="197"/>
    </row>
    <row r="13556" spans="66:69" x14ac:dyDescent="0.2">
      <c r="BN13556" s="192"/>
      <c r="BO13556" s="197"/>
      <c r="BP13556" s="197"/>
      <c r="BQ13556" s="197"/>
    </row>
    <row r="13557" spans="66:69" x14ac:dyDescent="0.2">
      <c r="BN13557" s="192"/>
      <c r="BO13557" s="197"/>
      <c r="BP13557" s="197"/>
      <c r="BQ13557" s="197"/>
    </row>
    <row r="13558" spans="66:69" x14ac:dyDescent="0.2">
      <c r="BN13558" s="192"/>
      <c r="BO13558" s="197"/>
      <c r="BP13558" s="197"/>
      <c r="BQ13558" s="197"/>
    </row>
    <row r="13559" spans="66:69" x14ac:dyDescent="0.2">
      <c r="BN13559" s="192"/>
      <c r="BO13559" s="197"/>
      <c r="BP13559" s="197"/>
      <c r="BQ13559" s="197"/>
    </row>
    <row r="13560" spans="66:69" x14ac:dyDescent="0.2">
      <c r="BN13560" s="192"/>
      <c r="BO13560" s="197"/>
      <c r="BP13560" s="197"/>
      <c r="BQ13560" s="197"/>
    </row>
    <row r="13561" spans="66:69" x14ac:dyDescent="0.2">
      <c r="BN13561" s="192"/>
      <c r="BO13561" s="197"/>
      <c r="BP13561" s="197"/>
      <c r="BQ13561" s="197"/>
    </row>
    <row r="13562" spans="66:69" x14ac:dyDescent="0.2">
      <c r="BN13562" s="192"/>
      <c r="BO13562" s="197"/>
      <c r="BP13562" s="197"/>
      <c r="BQ13562" s="197"/>
    </row>
    <row r="13563" spans="66:69" x14ac:dyDescent="0.2">
      <c r="BN13563" s="192"/>
      <c r="BO13563" s="197"/>
      <c r="BP13563" s="197"/>
      <c r="BQ13563" s="197"/>
    </row>
    <row r="13564" spans="66:69" x14ac:dyDescent="0.2">
      <c r="BN13564" s="192"/>
      <c r="BO13564" s="197"/>
      <c r="BP13564" s="197"/>
      <c r="BQ13564" s="197"/>
    </row>
    <row r="13565" spans="66:69" x14ac:dyDescent="0.2">
      <c r="BN13565" s="192"/>
      <c r="BO13565" s="197"/>
      <c r="BP13565" s="197"/>
      <c r="BQ13565" s="197"/>
    </row>
    <row r="13566" spans="66:69" x14ac:dyDescent="0.2">
      <c r="BN13566" s="192"/>
      <c r="BO13566" s="197"/>
      <c r="BP13566" s="197"/>
      <c r="BQ13566" s="197"/>
    </row>
    <row r="13567" spans="66:69" x14ac:dyDescent="0.2">
      <c r="BN13567" s="192"/>
      <c r="BO13567" s="197"/>
      <c r="BP13567" s="197"/>
      <c r="BQ13567" s="197"/>
    </row>
    <row r="13568" spans="66:69" x14ac:dyDescent="0.2">
      <c r="BN13568" s="192"/>
      <c r="BO13568" s="197"/>
      <c r="BP13568" s="197"/>
      <c r="BQ13568" s="197"/>
    </row>
    <row r="13569" spans="66:69" x14ac:dyDescent="0.2">
      <c r="BN13569" s="192"/>
      <c r="BO13569" s="197"/>
      <c r="BP13569" s="197"/>
      <c r="BQ13569" s="197"/>
    </row>
    <row r="13570" spans="66:69" x14ac:dyDescent="0.2">
      <c r="BN13570" s="192"/>
      <c r="BO13570" s="197"/>
      <c r="BP13570" s="197"/>
      <c r="BQ13570" s="197"/>
    </row>
    <row r="13571" spans="66:69" x14ac:dyDescent="0.2">
      <c r="BN13571" s="192"/>
      <c r="BO13571" s="197"/>
      <c r="BP13571" s="197"/>
      <c r="BQ13571" s="197"/>
    </row>
    <row r="13572" spans="66:69" x14ac:dyDescent="0.2">
      <c r="BN13572" s="192"/>
      <c r="BO13572" s="197"/>
      <c r="BP13572" s="197"/>
      <c r="BQ13572" s="197"/>
    </row>
    <row r="13573" spans="66:69" x14ac:dyDescent="0.2">
      <c r="BN13573" s="192"/>
      <c r="BO13573" s="197"/>
      <c r="BP13573" s="197"/>
      <c r="BQ13573" s="197"/>
    </row>
    <row r="13574" spans="66:69" x14ac:dyDescent="0.2">
      <c r="BN13574" s="192"/>
      <c r="BO13574" s="197"/>
      <c r="BP13574" s="197"/>
      <c r="BQ13574" s="197"/>
    </row>
    <row r="13575" spans="66:69" x14ac:dyDescent="0.2">
      <c r="BN13575" s="192"/>
      <c r="BO13575" s="197"/>
      <c r="BP13575" s="197"/>
      <c r="BQ13575" s="197"/>
    </row>
    <row r="13576" spans="66:69" x14ac:dyDescent="0.2">
      <c r="BN13576" s="192"/>
      <c r="BO13576" s="197"/>
      <c r="BP13576" s="197"/>
      <c r="BQ13576" s="197"/>
    </row>
    <row r="13577" spans="66:69" x14ac:dyDescent="0.2">
      <c r="BN13577" s="192"/>
      <c r="BO13577" s="197"/>
      <c r="BP13577" s="197"/>
      <c r="BQ13577" s="197"/>
    </row>
    <row r="13578" spans="66:69" x14ac:dyDescent="0.2">
      <c r="BN13578" s="192"/>
      <c r="BO13578" s="197"/>
      <c r="BP13578" s="197"/>
      <c r="BQ13578" s="197"/>
    </row>
    <row r="13579" spans="66:69" x14ac:dyDescent="0.2">
      <c r="BN13579" s="192"/>
      <c r="BO13579" s="197"/>
      <c r="BP13579" s="197"/>
      <c r="BQ13579" s="197"/>
    </row>
    <row r="13580" spans="66:69" x14ac:dyDescent="0.2">
      <c r="BN13580" s="192"/>
      <c r="BO13580" s="197"/>
      <c r="BP13580" s="197"/>
      <c r="BQ13580" s="197"/>
    </row>
    <row r="13581" spans="66:69" x14ac:dyDescent="0.2">
      <c r="BN13581" s="192"/>
      <c r="BO13581" s="197"/>
      <c r="BP13581" s="197"/>
      <c r="BQ13581" s="197"/>
    </row>
    <row r="13582" spans="66:69" x14ac:dyDescent="0.2">
      <c r="BN13582" s="192"/>
      <c r="BO13582" s="197"/>
      <c r="BP13582" s="197"/>
      <c r="BQ13582" s="197"/>
    </row>
    <row r="13583" spans="66:69" x14ac:dyDescent="0.2">
      <c r="BN13583" s="192"/>
      <c r="BO13583" s="197"/>
      <c r="BP13583" s="197"/>
      <c r="BQ13583" s="197"/>
    </row>
    <row r="13584" spans="66:69" x14ac:dyDescent="0.2">
      <c r="BN13584" s="192"/>
      <c r="BO13584" s="197"/>
      <c r="BP13584" s="197"/>
      <c r="BQ13584" s="197"/>
    </row>
    <row r="13585" spans="66:69" x14ac:dyDescent="0.2">
      <c r="BN13585" s="192"/>
      <c r="BO13585" s="197"/>
      <c r="BP13585" s="197"/>
      <c r="BQ13585" s="197"/>
    </row>
    <row r="13586" spans="66:69" x14ac:dyDescent="0.2">
      <c r="BN13586" s="192"/>
      <c r="BO13586" s="197"/>
      <c r="BP13586" s="197"/>
      <c r="BQ13586" s="197"/>
    </row>
    <row r="13587" spans="66:69" x14ac:dyDescent="0.2">
      <c r="BN13587" s="192"/>
      <c r="BO13587" s="197"/>
      <c r="BP13587" s="197"/>
      <c r="BQ13587" s="197"/>
    </row>
    <row r="13588" spans="66:69" x14ac:dyDescent="0.2">
      <c r="BN13588" s="192"/>
      <c r="BO13588" s="197"/>
      <c r="BP13588" s="197"/>
      <c r="BQ13588" s="197"/>
    </row>
    <row r="13589" spans="66:69" x14ac:dyDescent="0.2">
      <c r="BN13589" s="192"/>
      <c r="BO13589" s="197"/>
      <c r="BP13589" s="197"/>
      <c r="BQ13589" s="197"/>
    </row>
    <row r="13590" spans="66:69" x14ac:dyDescent="0.2">
      <c r="BN13590" s="192"/>
      <c r="BO13590" s="197"/>
      <c r="BP13590" s="197"/>
      <c r="BQ13590" s="197"/>
    </row>
    <row r="13591" spans="66:69" x14ac:dyDescent="0.2">
      <c r="BN13591" s="192"/>
      <c r="BO13591" s="197"/>
      <c r="BP13591" s="197"/>
      <c r="BQ13591" s="197"/>
    </row>
    <row r="13592" spans="66:69" x14ac:dyDescent="0.2">
      <c r="BN13592" s="192"/>
      <c r="BO13592" s="197"/>
      <c r="BP13592" s="197"/>
      <c r="BQ13592" s="197"/>
    </row>
    <row r="13593" spans="66:69" x14ac:dyDescent="0.2">
      <c r="BN13593" s="192"/>
      <c r="BO13593" s="197"/>
      <c r="BP13593" s="197"/>
      <c r="BQ13593" s="197"/>
    </row>
    <row r="13594" spans="66:69" x14ac:dyDescent="0.2">
      <c r="BN13594" s="192"/>
      <c r="BO13594" s="197"/>
      <c r="BP13594" s="197"/>
      <c r="BQ13594" s="197"/>
    </row>
    <row r="13595" spans="66:69" x14ac:dyDescent="0.2">
      <c r="BN13595" s="192"/>
      <c r="BO13595" s="197"/>
      <c r="BP13595" s="197"/>
      <c r="BQ13595" s="197"/>
    </row>
    <row r="13596" spans="66:69" x14ac:dyDescent="0.2">
      <c r="BN13596" s="192"/>
      <c r="BO13596" s="197"/>
      <c r="BP13596" s="197"/>
      <c r="BQ13596" s="197"/>
    </row>
    <row r="13597" spans="66:69" x14ac:dyDescent="0.2">
      <c r="BN13597" s="192"/>
      <c r="BO13597" s="197"/>
      <c r="BP13597" s="197"/>
      <c r="BQ13597" s="197"/>
    </row>
    <row r="13598" spans="66:69" x14ac:dyDescent="0.2">
      <c r="BN13598" s="192"/>
      <c r="BO13598" s="197"/>
      <c r="BP13598" s="197"/>
      <c r="BQ13598" s="197"/>
    </row>
    <row r="13599" spans="66:69" x14ac:dyDescent="0.2">
      <c r="BN13599" s="192"/>
      <c r="BO13599" s="197"/>
      <c r="BP13599" s="197"/>
      <c r="BQ13599" s="197"/>
    </row>
    <row r="13600" spans="66:69" x14ac:dyDescent="0.2">
      <c r="BN13600" s="192"/>
      <c r="BO13600" s="197"/>
      <c r="BP13600" s="197"/>
      <c r="BQ13600" s="197"/>
    </row>
    <row r="13601" spans="66:69" x14ac:dyDescent="0.2">
      <c r="BN13601" s="192"/>
      <c r="BO13601" s="197"/>
      <c r="BP13601" s="197"/>
      <c r="BQ13601" s="197"/>
    </row>
    <row r="13602" spans="66:69" x14ac:dyDescent="0.2">
      <c r="BN13602" s="192"/>
      <c r="BO13602" s="197"/>
      <c r="BP13602" s="197"/>
      <c r="BQ13602" s="197"/>
    </row>
    <row r="13603" spans="66:69" x14ac:dyDescent="0.2">
      <c r="BN13603" s="192"/>
      <c r="BO13603" s="197"/>
      <c r="BP13603" s="197"/>
      <c r="BQ13603" s="197"/>
    </row>
    <row r="13604" spans="66:69" x14ac:dyDescent="0.2">
      <c r="BN13604" s="192"/>
      <c r="BO13604" s="197"/>
      <c r="BP13604" s="197"/>
      <c r="BQ13604" s="197"/>
    </row>
    <row r="13605" spans="66:69" x14ac:dyDescent="0.2">
      <c r="BN13605" s="192"/>
      <c r="BO13605" s="197"/>
      <c r="BP13605" s="197"/>
      <c r="BQ13605" s="197"/>
    </row>
    <row r="13606" spans="66:69" x14ac:dyDescent="0.2">
      <c r="BN13606" s="192"/>
      <c r="BO13606" s="197"/>
      <c r="BP13606" s="197"/>
      <c r="BQ13606" s="197"/>
    </row>
    <row r="13607" spans="66:69" x14ac:dyDescent="0.2">
      <c r="BN13607" s="192"/>
      <c r="BO13607" s="197"/>
      <c r="BP13607" s="197"/>
      <c r="BQ13607" s="197"/>
    </row>
    <row r="13608" spans="66:69" x14ac:dyDescent="0.2">
      <c r="BN13608" s="192"/>
      <c r="BO13608" s="197"/>
      <c r="BP13608" s="197"/>
      <c r="BQ13608" s="197"/>
    </row>
    <row r="13609" spans="66:69" x14ac:dyDescent="0.2">
      <c r="BN13609" s="192"/>
      <c r="BO13609" s="197"/>
      <c r="BP13609" s="197"/>
      <c r="BQ13609" s="197"/>
    </row>
    <row r="13610" spans="66:69" x14ac:dyDescent="0.2">
      <c r="BN13610" s="192"/>
      <c r="BO13610" s="197"/>
      <c r="BP13610" s="197"/>
      <c r="BQ13610" s="197"/>
    </row>
    <row r="13611" spans="66:69" x14ac:dyDescent="0.2">
      <c r="BN13611" s="192"/>
      <c r="BO13611" s="197"/>
      <c r="BP13611" s="197"/>
      <c r="BQ13611" s="197"/>
    </row>
    <row r="13612" spans="66:69" x14ac:dyDescent="0.2">
      <c r="BN13612" s="192"/>
      <c r="BO13612" s="197"/>
      <c r="BP13612" s="197"/>
      <c r="BQ13612" s="197"/>
    </row>
    <row r="13613" spans="66:69" x14ac:dyDescent="0.2">
      <c r="BN13613" s="192"/>
      <c r="BO13613" s="197"/>
      <c r="BP13613" s="197"/>
      <c r="BQ13613" s="197"/>
    </row>
    <row r="13614" spans="66:69" x14ac:dyDescent="0.2">
      <c r="BN13614" s="192"/>
      <c r="BO13614" s="197"/>
      <c r="BP13614" s="197"/>
      <c r="BQ13614" s="197"/>
    </row>
    <row r="13615" spans="66:69" x14ac:dyDescent="0.2">
      <c r="BN13615" s="192"/>
      <c r="BO13615" s="197"/>
      <c r="BP13615" s="197"/>
      <c r="BQ13615" s="197"/>
    </row>
    <row r="13616" spans="66:69" x14ac:dyDescent="0.2">
      <c r="BN13616" s="192"/>
      <c r="BO13616" s="197"/>
      <c r="BP13616" s="197"/>
      <c r="BQ13616" s="197"/>
    </row>
    <row r="13617" spans="66:69" x14ac:dyDescent="0.2">
      <c r="BN13617" s="192"/>
      <c r="BO13617" s="197"/>
      <c r="BP13617" s="197"/>
      <c r="BQ13617" s="197"/>
    </row>
    <row r="13618" spans="66:69" x14ac:dyDescent="0.2">
      <c r="BN13618" s="192"/>
      <c r="BO13618" s="197"/>
      <c r="BP13618" s="197"/>
      <c r="BQ13618" s="197"/>
    </row>
    <row r="13619" spans="66:69" x14ac:dyDescent="0.2">
      <c r="BN13619" s="192"/>
      <c r="BO13619" s="197"/>
      <c r="BP13619" s="197"/>
      <c r="BQ13619" s="197"/>
    </row>
    <row r="13620" spans="66:69" x14ac:dyDescent="0.2">
      <c r="BN13620" s="192"/>
      <c r="BO13620" s="197"/>
      <c r="BP13620" s="197"/>
      <c r="BQ13620" s="197"/>
    </row>
    <row r="13621" spans="66:69" x14ac:dyDescent="0.2">
      <c r="BN13621" s="192"/>
      <c r="BO13621" s="197"/>
      <c r="BP13621" s="197"/>
      <c r="BQ13621" s="197"/>
    </row>
    <row r="13622" spans="66:69" x14ac:dyDescent="0.2">
      <c r="BN13622" s="192"/>
      <c r="BO13622" s="197"/>
      <c r="BP13622" s="197"/>
      <c r="BQ13622" s="197"/>
    </row>
    <row r="13623" spans="66:69" x14ac:dyDescent="0.2">
      <c r="BN13623" s="192"/>
      <c r="BO13623" s="197"/>
      <c r="BP13623" s="197"/>
      <c r="BQ13623" s="197"/>
    </row>
    <row r="13624" spans="66:69" x14ac:dyDescent="0.2">
      <c r="BN13624" s="192"/>
      <c r="BO13624" s="197"/>
      <c r="BP13624" s="197"/>
      <c r="BQ13624" s="197"/>
    </row>
    <row r="13625" spans="66:69" x14ac:dyDescent="0.2">
      <c r="BN13625" s="192"/>
      <c r="BO13625" s="197"/>
      <c r="BP13625" s="197"/>
      <c r="BQ13625" s="197"/>
    </row>
    <row r="13626" spans="66:69" x14ac:dyDescent="0.2">
      <c r="BN13626" s="192"/>
      <c r="BO13626" s="197"/>
      <c r="BP13626" s="197"/>
      <c r="BQ13626" s="197"/>
    </row>
    <row r="13627" spans="66:69" x14ac:dyDescent="0.2">
      <c r="BN13627" s="192"/>
      <c r="BO13627" s="197"/>
      <c r="BP13627" s="197"/>
      <c r="BQ13627" s="197"/>
    </row>
    <row r="13628" spans="66:69" x14ac:dyDescent="0.2">
      <c r="BN13628" s="192"/>
      <c r="BO13628" s="197"/>
      <c r="BP13628" s="197"/>
      <c r="BQ13628" s="197"/>
    </row>
    <row r="13629" spans="66:69" x14ac:dyDescent="0.2">
      <c r="BN13629" s="192"/>
      <c r="BO13629" s="197"/>
      <c r="BP13629" s="197"/>
      <c r="BQ13629" s="197"/>
    </row>
    <row r="13630" spans="66:69" x14ac:dyDescent="0.2">
      <c r="BN13630" s="192"/>
      <c r="BO13630" s="197"/>
      <c r="BP13630" s="197"/>
      <c r="BQ13630" s="197"/>
    </row>
    <row r="13631" spans="66:69" x14ac:dyDescent="0.2">
      <c r="BN13631" s="192"/>
      <c r="BO13631" s="197"/>
      <c r="BP13631" s="197"/>
      <c r="BQ13631" s="197"/>
    </row>
    <row r="13632" spans="66:69" x14ac:dyDescent="0.2">
      <c r="BN13632" s="192"/>
      <c r="BO13632" s="197"/>
      <c r="BP13632" s="197"/>
      <c r="BQ13632" s="197"/>
    </row>
    <row r="13633" spans="66:69" x14ac:dyDescent="0.2">
      <c r="BN13633" s="192"/>
      <c r="BO13633" s="197"/>
      <c r="BP13633" s="197"/>
      <c r="BQ13633" s="197"/>
    </row>
    <row r="13634" spans="66:69" x14ac:dyDescent="0.2">
      <c r="BN13634" s="192"/>
      <c r="BO13634" s="197"/>
      <c r="BP13634" s="197"/>
      <c r="BQ13634" s="197"/>
    </row>
    <row r="13635" spans="66:69" x14ac:dyDescent="0.2">
      <c r="BN13635" s="192"/>
      <c r="BO13635" s="197"/>
      <c r="BP13635" s="197"/>
      <c r="BQ13635" s="197"/>
    </row>
    <row r="13636" spans="66:69" x14ac:dyDescent="0.2">
      <c r="BN13636" s="192"/>
      <c r="BO13636" s="197"/>
      <c r="BP13636" s="197"/>
      <c r="BQ13636" s="197"/>
    </row>
    <row r="13637" spans="66:69" x14ac:dyDescent="0.2">
      <c r="BN13637" s="192"/>
      <c r="BO13637" s="197"/>
      <c r="BP13637" s="197"/>
      <c r="BQ13637" s="197"/>
    </row>
    <row r="13638" spans="66:69" x14ac:dyDescent="0.2">
      <c r="BN13638" s="192"/>
      <c r="BO13638" s="197"/>
      <c r="BP13638" s="197"/>
      <c r="BQ13638" s="197"/>
    </row>
    <row r="13639" spans="66:69" x14ac:dyDescent="0.2">
      <c r="BN13639" s="192"/>
      <c r="BO13639" s="197"/>
      <c r="BP13639" s="197"/>
      <c r="BQ13639" s="197"/>
    </row>
    <row r="13640" spans="66:69" x14ac:dyDescent="0.2">
      <c r="BN13640" s="192"/>
      <c r="BO13640" s="197"/>
      <c r="BP13640" s="197"/>
      <c r="BQ13640" s="197"/>
    </row>
    <row r="13641" spans="66:69" x14ac:dyDescent="0.2">
      <c r="BN13641" s="192"/>
      <c r="BO13641" s="197"/>
      <c r="BP13641" s="197"/>
      <c r="BQ13641" s="197"/>
    </row>
    <row r="13642" spans="66:69" x14ac:dyDescent="0.2">
      <c r="BN13642" s="192"/>
      <c r="BO13642" s="197"/>
      <c r="BP13642" s="197"/>
      <c r="BQ13642" s="197"/>
    </row>
    <row r="13643" spans="66:69" x14ac:dyDescent="0.2">
      <c r="BN13643" s="192"/>
      <c r="BO13643" s="197"/>
      <c r="BP13643" s="197"/>
      <c r="BQ13643" s="197"/>
    </row>
    <row r="13644" spans="66:69" x14ac:dyDescent="0.2">
      <c r="BN13644" s="192"/>
      <c r="BO13644" s="197"/>
      <c r="BP13644" s="197"/>
      <c r="BQ13644" s="197"/>
    </row>
    <row r="13645" spans="66:69" x14ac:dyDescent="0.2">
      <c r="BN13645" s="192"/>
      <c r="BO13645" s="197"/>
      <c r="BP13645" s="197"/>
      <c r="BQ13645" s="197"/>
    </row>
    <row r="13646" spans="66:69" x14ac:dyDescent="0.2">
      <c r="BN13646" s="192"/>
      <c r="BO13646" s="197"/>
      <c r="BP13646" s="197"/>
      <c r="BQ13646" s="197"/>
    </row>
    <row r="13647" spans="66:69" x14ac:dyDescent="0.2">
      <c r="BN13647" s="192"/>
      <c r="BO13647" s="197"/>
      <c r="BP13647" s="197"/>
      <c r="BQ13647" s="197"/>
    </row>
    <row r="13648" spans="66:69" x14ac:dyDescent="0.2">
      <c r="BN13648" s="192"/>
      <c r="BO13648" s="197"/>
      <c r="BP13648" s="197"/>
      <c r="BQ13648" s="197"/>
    </row>
    <row r="13649" spans="66:69" x14ac:dyDescent="0.2">
      <c r="BN13649" s="192"/>
      <c r="BO13649" s="197"/>
      <c r="BP13649" s="197"/>
      <c r="BQ13649" s="197"/>
    </row>
    <row r="13650" spans="66:69" x14ac:dyDescent="0.2">
      <c r="BN13650" s="192"/>
      <c r="BO13650" s="197"/>
      <c r="BP13650" s="197"/>
      <c r="BQ13650" s="197"/>
    </row>
    <row r="13651" spans="66:69" x14ac:dyDescent="0.2">
      <c r="BN13651" s="192"/>
      <c r="BO13651" s="197"/>
      <c r="BP13651" s="197"/>
      <c r="BQ13651" s="197"/>
    </row>
    <row r="13652" spans="66:69" x14ac:dyDescent="0.2">
      <c r="BN13652" s="192"/>
      <c r="BO13652" s="197"/>
      <c r="BP13652" s="197"/>
      <c r="BQ13652" s="197"/>
    </row>
    <row r="13653" spans="66:69" x14ac:dyDescent="0.2">
      <c r="BN13653" s="192"/>
      <c r="BO13653" s="197"/>
      <c r="BP13653" s="197"/>
      <c r="BQ13653" s="197"/>
    </row>
    <row r="13654" spans="66:69" x14ac:dyDescent="0.2">
      <c r="BN13654" s="192"/>
      <c r="BO13654" s="197"/>
      <c r="BP13654" s="197"/>
      <c r="BQ13654" s="197"/>
    </row>
    <row r="13655" spans="66:69" x14ac:dyDescent="0.2">
      <c r="BN13655" s="192"/>
      <c r="BO13655" s="197"/>
      <c r="BP13655" s="197"/>
      <c r="BQ13655" s="197"/>
    </row>
    <row r="13656" spans="66:69" x14ac:dyDescent="0.2">
      <c r="BN13656" s="192"/>
      <c r="BO13656" s="197"/>
      <c r="BP13656" s="197"/>
      <c r="BQ13656" s="197"/>
    </row>
    <row r="13657" spans="66:69" x14ac:dyDescent="0.2">
      <c r="BN13657" s="192"/>
      <c r="BO13657" s="197"/>
      <c r="BP13657" s="197"/>
      <c r="BQ13657" s="197"/>
    </row>
    <row r="13658" spans="66:69" x14ac:dyDescent="0.2">
      <c r="BN13658" s="192"/>
      <c r="BO13658" s="197"/>
      <c r="BP13658" s="197"/>
      <c r="BQ13658" s="197"/>
    </row>
    <row r="13659" spans="66:69" x14ac:dyDescent="0.2">
      <c r="BN13659" s="192"/>
      <c r="BO13659" s="197"/>
      <c r="BP13659" s="197"/>
      <c r="BQ13659" s="197"/>
    </row>
    <row r="13660" spans="66:69" x14ac:dyDescent="0.2">
      <c r="BN13660" s="192"/>
      <c r="BO13660" s="197"/>
      <c r="BP13660" s="197"/>
      <c r="BQ13660" s="197"/>
    </row>
    <row r="13661" spans="66:69" x14ac:dyDescent="0.2">
      <c r="BN13661" s="192"/>
      <c r="BO13661" s="197"/>
      <c r="BP13661" s="197"/>
      <c r="BQ13661" s="197"/>
    </row>
    <row r="13662" spans="66:69" x14ac:dyDescent="0.2">
      <c r="BN13662" s="192"/>
      <c r="BO13662" s="197"/>
      <c r="BP13662" s="197"/>
      <c r="BQ13662" s="197"/>
    </row>
    <row r="13663" spans="66:69" x14ac:dyDescent="0.2">
      <c r="BN13663" s="192"/>
      <c r="BO13663" s="197"/>
      <c r="BP13663" s="197"/>
      <c r="BQ13663" s="197"/>
    </row>
    <row r="13664" spans="66:69" x14ac:dyDescent="0.2">
      <c r="BN13664" s="192"/>
      <c r="BO13664" s="197"/>
      <c r="BP13664" s="197"/>
      <c r="BQ13664" s="197"/>
    </row>
    <row r="13665" spans="66:69" x14ac:dyDescent="0.2">
      <c r="BN13665" s="192"/>
      <c r="BO13665" s="197"/>
      <c r="BP13665" s="197"/>
      <c r="BQ13665" s="197"/>
    </row>
    <row r="13666" spans="66:69" x14ac:dyDescent="0.2">
      <c r="BN13666" s="192"/>
      <c r="BO13666" s="197"/>
      <c r="BP13666" s="197"/>
      <c r="BQ13666" s="197"/>
    </row>
    <row r="13667" spans="66:69" x14ac:dyDescent="0.2">
      <c r="BN13667" s="192"/>
      <c r="BO13667" s="197"/>
      <c r="BP13667" s="197"/>
      <c r="BQ13667" s="197"/>
    </row>
    <row r="13668" spans="66:69" x14ac:dyDescent="0.2">
      <c r="BN13668" s="192"/>
      <c r="BO13668" s="197"/>
      <c r="BP13668" s="197"/>
      <c r="BQ13668" s="197"/>
    </row>
    <row r="13669" spans="66:69" x14ac:dyDescent="0.2">
      <c r="BN13669" s="192"/>
      <c r="BO13669" s="197"/>
      <c r="BP13669" s="197"/>
      <c r="BQ13669" s="197"/>
    </row>
    <row r="13670" spans="66:69" x14ac:dyDescent="0.2">
      <c r="BN13670" s="192"/>
      <c r="BO13670" s="197"/>
      <c r="BP13670" s="197"/>
      <c r="BQ13670" s="197"/>
    </row>
    <row r="13671" spans="66:69" x14ac:dyDescent="0.2">
      <c r="BN13671" s="192"/>
      <c r="BO13671" s="197"/>
      <c r="BP13671" s="197"/>
      <c r="BQ13671" s="197"/>
    </row>
    <row r="13672" spans="66:69" x14ac:dyDescent="0.2">
      <c r="BN13672" s="192"/>
      <c r="BO13672" s="197"/>
      <c r="BP13672" s="197"/>
      <c r="BQ13672" s="197"/>
    </row>
    <row r="13673" spans="66:69" x14ac:dyDescent="0.2">
      <c r="BN13673" s="192"/>
      <c r="BO13673" s="197"/>
      <c r="BP13673" s="197"/>
      <c r="BQ13673" s="197"/>
    </row>
    <row r="13674" spans="66:69" x14ac:dyDescent="0.2">
      <c r="BN13674" s="192"/>
      <c r="BO13674" s="197"/>
      <c r="BP13674" s="197"/>
      <c r="BQ13674" s="197"/>
    </row>
    <row r="13675" spans="66:69" x14ac:dyDescent="0.2">
      <c r="BN13675" s="192"/>
      <c r="BO13675" s="197"/>
      <c r="BP13675" s="197"/>
      <c r="BQ13675" s="197"/>
    </row>
    <row r="13676" spans="66:69" x14ac:dyDescent="0.2">
      <c r="BN13676" s="192"/>
      <c r="BO13676" s="197"/>
      <c r="BP13676" s="197"/>
      <c r="BQ13676" s="197"/>
    </row>
    <row r="13677" spans="66:69" x14ac:dyDescent="0.2">
      <c r="BN13677" s="192"/>
      <c r="BO13677" s="197"/>
      <c r="BP13677" s="197"/>
      <c r="BQ13677" s="197"/>
    </row>
    <row r="13678" spans="66:69" x14ac:dyDescent="0.2">
      <c r="BN13678" s="192"/>
      <c r="BO13678" s="197"/>
      <c r="BP13678" s="197"/>
      <c r="BQ13678" s="197"/>
    </row>
    <row r="13679" spans="66:69" x14ac:dyDescent="0.2">
      <c r="BN13679" s="192"/>
      <c r="BO13679" s="197"/>
      <c r="BP13679" s="197"/>
      <c r="BQ13679" s="197"/>
    </row>
    <row r="13680" spans="66:69" x14ac:dyDescent="0.2">
      <c r="BN13680" s="192"/>
      <c r="BO13680" s="197"/>
      <c r="BP13680" s="197"/>
      <c r="BQ13680" s="197"/>
    </row>
    <row r="13681" spans="66:69" x14ac:dyDescent="0.2">
      <c r="BN13681" s="192"/>
      <c r="BO13681" s="197"/>
      <c r="BP13681" s="197"/>
      <c r="BQ13681" s="197"/>
    </row>
    <row r="13682" spans="66:69" x14ac:dyDescent="0.2">
      <c r="BN13682" s="192"/>
      <c r="BO13682" s="197"/>
      <c r="BP13682" s="197"/>
      <c r="BQ13682" s="197"/>
    </row>
    <row r="13683" spans="66:69" x14ac:dyDescent="0.2">
      <c r="BN13683" s="192"/>
      <c r="BO13683" s="197"/>
      <c r="BP13683" s="197"/>
      <c r="BQ13683" s="197"/>
    </row>
    <row r="13684" spans="66:69" x14ac:dyDescent="0.2">
      <c r="BN13684" s="192"/>
      <c r="BO13684" s="197"/>
      <c r="BP13684" s="197"/>
      <c r="BQ13684" s="197"/>
    </row>
    <row r="13685" spans="66:69" x14ac:dyDescent="0.2">
      <c r="BN13685" s="192"/>
      <c r="BO13685" s="197"/>
      <c r="BP13685" s="197"/>
      <c r="BQ13685" s="197"/>
    </row>
    <row r="13686" spans="66:69" x14ac:dyDescent="0.2">
      <c r="BN13686" s="192"/>
      <c r="BO13686" s="197"/>
      <c r="BP13686" s="197"/>
      <c r="BQ13686" s="197"/>
    </row>
    <row r="13687" spans="66:69" x14ac:dyDescent="0.2">
      <c r="BN13687" s="192"/>
      <c r="BO13687" s="197"/>
      <c r="BP13687" s="197"/>
      <c r="BQ13687" s="197"/>
    </row>
    <row r="13688" spans="66:69" x14ac:dyDescent="0.2">
      <c r="BN13688" s="192"/>
      <c r="BO13688" s="197"/>
      <c r="BP13688" s="197"/>
      <c r="BQ13688" s="197"/>
    </row>
    <row r="13689" spans="66:69" x14ac:dyDescent="0.2">
      <c r="BN13689" s="192"/>
      <c r="BO13689" s="197"/>
      <c r="BP13689" s="197"/>
      <c r="BQ13689" s="197"/>
    </row>
    <row r="13690" spans="66:69" x14ac:dyDescent="0.2">
      <c r="BN13690" s="192"/>
      <c r="BO13690" s="197"/>
      <c r="BP13690" s="197"/>
      <c r="BQ13690" s="197"/>
    </row>
    <row r="13691" spans="66:69" x14ac:dyDescent="0.2">
      <c r="BN13691" s="192"/>
      <c r="BO13691" s="197"/>
      <c r="BP13691" s="197"/>
      <c r="BQ13691" s="197"/>
    </row>
    <row r="13692" spans="66:69" x14ac:dyDescent="0.2">
      <c r="BN13692" s="192"/>
      <c r="BO13692" s="197"/>
      <c r="BP13692" s="197"/>
      <c r="BQ13692" s="197"/>
    </row>
    <row r="13693" spans="66:69" x14ac:dyDescent="0.2">
      <c r="BN13693" s="192"/>
      <c r="BO13693" s="197"/>
      <c r="BP13693" s="197"/>
      <c r="BQ13693" s="197"/>
    </row>
    <row r="13694" spans="66:69" x14ac:dyDescent="0.2">
      <c r="BN13694" s="192"/>
      <c r="BO13694" s="197"/>
      <c r="BP13694" s="197"/>
      <c r="BQ13694" s="197"/>
    </row>
    <row r="13695" spans="66:69" x14ac:dyDescent="0.2">
      <c r="BN13695" s="192"/>
      <c r="BO13695" s="197"/>
      <c r="BP13695" s="197"/>
      <c r="BQ13695" s="197"/>
    </row>
    <row r="13696" spans="66:69" x14ac:dyDescent="0.2">
      <c r="BN13696" s="192"/>
      <c r="BO13696" s="197"/>
      <c r="BP13696" s="197"/>
      <c r="BQ13696" s="197"/>
    </row>
    <row r="13697" spans="66:69" x14ac:dyDescent="0.2">
      <c r="BN13697" s="192"/>
      <c r="BO13697" s="197"/>
      <c r="BP13697" s="197"/>
      <c r="BQ13697" s="197"/>
    </row>
    <row r="13698" spans="66:69" x14ac:dyDescent="0.2">
      <c r="BN13698" s="192"/>
      <c r="BO13698" s="197"/>
      <c r="BP13698" s="197"/>
      <c r="BQ13698" s="197"/>
    </row>
    <row r="13699" spans="66:69" x14ac:dyDescent="0.2">
      <c r="BN13699" s="192"/>
      <c r="BO13699" s="197"/>
      <c r="BP13699" s="197"/>
      <c r="BQ13699" s="197"/>
    </row>
    <row r="13700" spans="66:69" x14ac:dyDescent="0.2">
      <c r="BN13700" s="192"/>
      <c r="BO13700" s="197"/>
      <c r="BP13700" s="197"/>
      <c r="BQ13700" s="197"/>
    </row>
    <row r="13701" spans="66:69" x14ac:dyDescent="0.2">
      <c r="BN13701" s="192"/>
      <c r="BO13701" s="197"/>
      <c r="BP13701" s="197"/>
      <c r="BQ13701" s="197"/>
    </row>
    <row r="13702" spans="66:69" x14ac:dyDescent="0.2">
      <c r="BN13702" s="192"/>
      <c r="BO13702" s="197"/>
      <c r="BP13702" s="197"/>
      <c r="BQ13702" s="197"/>
    </row>
    <row r="13703" spans="66:69" x14ac:dyDescent="0.2">
      <c r="BN13703" s="192"/>
      <c r="BO13703" s="197"/>
      <c r="BP13703" s="197"/>
      <c r="BQ13703" s="197"/>
    </row>
    <row r="13704" spans="66:69" x14ac:dyDescent="0.2">
      <c r="BN13704" s="192"/>
      <c r="BO13704" s="197"/>
      <c r="BP13704" s="197"/>
      <c r="BQ13704" s="197"/>
    </row>
    <row r="13705" spans="66:69" x14ac:dyDescent="0.2">
      <c r="BN13705" s="192"/>
      <c r="BO13705" s="197"/>
      <c r="BP13705" s="197"/>
      <c r="BQ13705" s="197"/>
    </row>
    <row r="13706" spans="66:69" x14ac:dyDescent="0.2">
      <c r="BN13706" s="192"/>
      <c r="BO13706" s="197"/>
      <c r="BP13706" s="197"/>
      <c r="BQ13706" s="197"/>
    </row>
    <row r="13707" spans="66:69" x14ac:dyDescent="0.2">
      <c r="BN13707" s="192"/>
      <c r="BO13707" s="197"/>
      <c r="BP13707" s="197"/>
      <c r="BQ13707" s="197"/>
    </row>
    <row r="13708" spans="66:69" x14ac:dyDescent="0.2">
      <c r="BN13708" s="192"/>
      <c r="BO13708" s="197"/>
      <c r="BP13708" s="197"/>
      <c r="BQ13708" s="197"/>
    </row>
    <row r="13709" spans="66:69" x14ac:dyDescent="0.2">
      <c r="BN13709" s="192"/>
      <c r="BO13709" s="197"/>
      <c r="BP13709" s="197"/>
      <c r="BQ13709" s="197"/>
    </row>
    <row r="13710" spans="66:69" x14ac:dyDescent="0.2">
      <c r="BN13710" s="192"/>
      <c r="BO13710" s="197"/>
      <c r="BP13710" s="197"/>
      <c r="BQ13710" s="197"/>
    </row>
    <row r="13711" spans="66:69" x14ac:dyDescent="0.2">
      <c r="BN13711" s="192"/>
      <c r="BO13711" s="197"/>
      <c r="BP13711" s="197"/>
      <c r="BQ13711" s="197"/>
    </row>
    <row r="13712" spans="66:69" x14ac:dyDescent="0.2">
      <c r="BN13712" s="192"/>
      <c r="BO13712" s="197"/>
      <c r="BP13712" s="197"/>
      <c r="BQ13712" s="197"/>
    </row>
    <row r="13713" spans="66:69" x14ac:dyDescent="0.2">
      <c r="BN13713" s="192"/>
      <c r="BO13713" s="197"/>
      <c r="BP13713" s="197"/>
      <c r="BQ13713" s="197"/>
    </row>
    <row r="13714" spans="66:69" x14ac:dyDescent="0.2">
      <c r="BN13714" s="192"/>
      <c r="BO13714" s="197"/>
      <c r="BP13714" s="197"/>
      <c r="BQ13714" s="197"/>
    </row>
    <row r="13715" spans="66:69" x14ac:dyDescent="0.2">
      <c r="BN13715" s="192"/>
      <c r="BO13715" s="197"/>
      <c r="BP13715" s="197"/>
      <c r="BQ13715" s="197"/>
    </row>
    <row r="13716" spans="66:69" x14ac:dyDescent="0.2">
      <c r="BN13716" s="192"/>
      <c r="BO13716" s="197"/>
      <c r="BP13716" s="197"/>
      <c r="BQ13716" s="197"/>
    </row>
    <row r="13717" spans="66:69" x14ac:dyDescent="0.2">
      <c r="BN13717" s="192"/>
      <c r="BO13717" s="197"/>
      <c r="BP13717" s="197"/>
      <c r="BQ13717" s="197"/>
    </row>
    <row r="13718" spans="66:69" x14ac:dyDescent="0.2">
      <c r="BN13718" s="192"/>
      <c r="BO13718" s="197"/>
      <c r="BP13718" s="197"/>
      <c r="BQ13718" s="197"/>
    </row>
    <row r="13719" spans="66:69" x14ac:dyDescent="0.2">
      <c r="BN13719" s="192"/>
      <c r="BO13719" s="197"/>
      <c r="BP13719" s="197"/>
      <c r="BQ13719" s="197"/>
    </row>
    <row r="13720" spans="66:69" x14ac:dyDescent="0.2">
      <c r="BN13720" s="192"/>
      <c r="BO13720" s="197"/>
      <c r="BP13720" s="197"/>
      <c r="BQ13720" s="197"/>
    </row>
    <row r="13721" spans="66:69" x14ac:dyDescent="0.2">
      <c r="BN13721" s="192"/>
      <c r="BO13721" s="197"/>
      <c r="BP13721" s="197"/>
      <c r="BQ13721" s="197"/>
    </row>
    <row r="13722" spans="66:69" x14ac:dyDescent="0.2">
      <c r="BN13722" s="192"/>
      <c r="BO13722" s="197"/>
      <c r="BP13722" s="197"/>
      <c r="BQ13722" s="197"/>
    </row>
    <row r="13723" spans="66:69" x14ac:dyDescent="0.2">
      <c r="BN13723" s="192"/>
      <c r="BO13723" s="197"/>
      <c r="BP13723" s="197"/>
      <c r="BQ13723" s="197"/>
    </row>
    <row r="13724" spans="66:69" x14ac:dyDescent="0.2">
      <c r="BN13724" s="192"/>
      <c r="BO13724" s="197"/>
      <c r="BP13724" s="197"/>
      <c r="BQ13724" s="197"/>
    </row>
    <row r="13725" spans="66:69" x14ac:dyDescent="0.2">
      <c r="BN13725" s="192"/>
      <c r="BO13725" s="197"/>
      <c r="BP13725" s="197"/>
      <c r="BQ13725" s="197"/>
    </row>
    <row r="13726" spans="66:69" x14ac:dyDescent="0.2">
      <c r="BN13726" s="192"/>
      <c r="BO13726" s="197"/>
      <c r="BP13726" s="197"/>
      <c r="BQ13726" s="197"/>
    </row>
    <row r="13727" spans="66:69" x14ac:dyDescent="0.2">
      <c r="BN13727" s="192"/>
      <c r="BO13727" s="197"/>
      <c r="BP13727" s="197"/>
      <c r="BQ13727" s="197"/>
    </row>
    <row r="13728" spans="66:69" x14ac:dyDescent="0.2">
      <c r="BN13728" s="192"/>
      <c r="BO13728" s="197"/>
      <c r="BP13728" s="197"/>
      <c r="BQ13728" s="197"/>
    </row>
    <row r="13729" spans="66:69" x14ac:dyDescent="0.2">
      <c r="BN13729" s="192"/>
      <c r="BO13729" s="197"/>
      <c r="BP13729" s="197"/>
      <c r="BQ13729" s="197"/>
    </row>
    <row r="13730" spans="66:69" x14ac:dyDescent="0.2">
      <c r="BN13730" s="192"/>
      <c r="BO13730" s="197"/>
      <c r="BP13730" s="197"/>
      <c r="BQ13730" s="197"/>
    </row>
    <row r="13731" spans="66:69" x14ac:dyDescent="0.2">
      <c r="BN13731" s="192"/>
      <c r="BO13731" s="197"/>
      <c r="BP13731" s="197"/>
      <c r="BQ13731" s="197"/>
    </row>
    <row r="13732" spans="66:69" x14ac:dyDescent="0.2">
      <c r="BN13732" s="192"/>
      <c r="BO13732" s="197"/>
      <c r="BP13732" s="197"/>
      <c r="BQ13732" s="197"/>
    </row>
    <row r="13733" spans="66:69" x14ac:dyDescent="0.2">
      <c r="BN13733" s="192"/>
      <c r="BO13733" s="197"/>
      <c r="BP13733" s="197"/>
      <c r="BQ13733" s="197"/>
    </row>
    <row r="13734" spans="66:69" x14ac:dyDescent="0.2">
      <c r="BN13734" s="192"/>
      <c r="BO13734" s="197"/>
      <c r="BP13734" s="197"/>
      <c r="BQ13734" s="197"/>
    </row>
    <row r="13735" spans="66:69" x14ac:dyDescent="0.2">
      <c r="BN13735" s="192"/>
      <c r="BO13735" s="197"/>
      <c r="BP13735" s="197"/>
      <c r="BQ13735" s="197"/>
    </row>
    <row r="13736" spans="66:69" x14ac:dyDescent="0.2">
      <c r="BN13736" s="192"/>
      <c r="BO13736" s="197"/>
      <c r="BP13736" s="197"/>
      <c r="BQ13736" s="197"/>
    </row>
    <row r="13737" spans="66:69" x14ac:dyDescent="0.2">
      <c r="BN13737" s="192"/>
      <c r="BO13737" s="197"/>
      <c r="BP13737" s="197"/>
      <c r="BQ13737" s="197"/>
    </row>
    <row r="13738" spans="66:69" x14ac:dyDescent="0.2">
      <c r="BN13738" s="192"/>
      <c r="BO13738" s="197"/>
      <c r="BP13738" s="197"/>
      <c r="BQ13738" s="197"/>
    </row>
    <row r="13739" spans="66:69" x14ac:dyDescent="0.2">
      <c r="BN13739" s="192"/>
      <c r="BO13739" s="197"/>
      <c r="BP13739" s="197"/>
      <c r="BQ13739" s="197"/>
    </row>
    <row r="13740" spans="66:69" x14ac:dyDescent="0.2">
      <c r="BN13740" s="192"/>
      <c r="BO13740" s="197"/>
      <c r="BP13740" s="197"/>
      <c r="BQ13740" s="197"/>
    </row>
    <row r="13741" spans="66:69" x14ac:dyDescent="0.2">
      <c r="BN13741" s="192"/>
      <c r="BO13741" s="197"/>
      <c r="BP13741" s="197"/>
      <c r="BQ13741" s="197"/>
    </row>
    <row r="13742" spans="66:69" x14ac:dyDescent="0.2">
      <c r="BN13742" s="192"/>
      <c r="BO13742" s="197"/>
      <c r="BP13742" s="197"/>
      <c r="BQ13742" s="197"/>
    </row>
    <row r="13743" spans="66:69" x14ac:dyDescent="0.2">
      <c r="BN13743" s="192"/>
      <c r="BO13743" s="197"/>
      <c r="BP13743" s="197"/>
      <c r="BQ13743" s="197"/>
    </row>
    <row r="13744" spans="66:69" x14ac:dyDescent="0.2">
      <c r="BN13744" s="192"/>
      <c r="BO13744" s="197"/>
      <c r="BP13744" s="197"/>
      <c r="BQ13744" s="197"/>
    </row>
    <row r="13745" spans="66:69" x14ac:dyDescent="0.2">
      <c r="BN13745" s="192"/>
      <c r="BO13745" s="197"/>
      <c r="BP13745" s="197"/>
      <c r="BQ13745" s="197"/>
    </row>
    <row r="13746" spans="66:69" x14ac:dyDescent="0.2">
      <c r="BN13746" s="192"/>
      <c r="BO13746" s="197"/>
      <c r="BP13746" s="197"/>
      <c r="BQ13746" s="197"/>
    </row>
    <row r="13747" spans="66:69" x14ac:dyDescent="0.2">
      <c r="BN13747" s="192"/>
      <c r="BO13747" s="197"/>
      <c r="BP13747" s="197"/>
      <c r="BQ13747" s="197"/>
    </row>
    <row r="13748" spans="66:69" x14ac:dyDescent="0.2">
      <c r="BN13748" s="192"/>
      <c r="BO13748" s="197"/>
      <c r="BP13748" s="197"/>
      <c r="BQ13748" s="197"/>
    </row>
    <row r="13749" spans="66:69" x14ac:dyDescent="0.2">
      <c r="BN13749" s="192"/>
      <c r="BO13749" s="197"/>
      <c r="BP13749" s="197"/>
      <c r="BQ13749" s="197"/>
    </row>
    <row r="13750" spans="66:69" x14ac:dyDescent="0.2">
      <c r="BN13750" s="192"/>
      <c r="BO13750" s="197"/>
      <c r="BP13750" s="197"/>
      <c r="BQ13750" s="197"/>
    </row>
    <row r="13751" spans="66:69" x14ac:dyDescent="0.2">
      <c r="BN13751" s="192"/>
      <c r="BO13751" s="197"/>
      <c r="BP13751" s="197"/>
      <c r="BQ13751" s="197"/>
    </row>
    <row r="13752" spans="66:69" x14ac:dyDescent="0.2">
      <c r="BN13752" s="192"/>
      <c r="BO13752" s="197"/>
      <c r="BP13752" s="197"/>
      <c r="BQ13752" s="197"/>
    </row>
    <row r="13753" spans="66:69" x14ac:dyDescent="0.2">
      <c r="BN13753" s="192"/>
      <c r="BO13753" s="197"/>
      <c r="BP13753" s="197"/>
      <c r="BQ13753" s="197"/>
    </row>
    <row r="13754" spans="66:69" x14ac:dyDescent="0.2">
      <c r="BN13754" s="192"/>
      <c r="BO13754" s="197"/>
      <c r="BP13754" s="197"/>
      <c r="BQ13754" s="197"/>
    </row>
    <row r="13755" spans="66:69" x14ac:dyDescent="0.2">
      <c r="BN13755" s="192"/>
      <c r="BO13755" s="197"/>
      <c r="BP13755" s="197"/>
      <c r="BQ13755" s="197"/>
    </row>
    <row r="13756" spans="66:69" x14ac:dyDescent="0.2">
      <c r="BN13756" s="192"/>
      <c r="BO13756" s="197"/>
      <c r="BP13756" s="197"/>
      <c r="BQ13756" s="197"/>
    </row>
    <row r="13757" spans="66:69" x14ac:dyDescent="0.2">
      <c r="BN13757" s="192"/>
      <c r="BO13757" s="197"/>
      <c r="BP13757" s="197"/>
      <c r="BQ13757" s="197"/>
    </row>
    <row r="13758" spans="66:69" x14ac:dyDescent="0.2">
      <c r="BN13758" s="192"/>
      <c r="BO13758" s="197"/>
      <c r="BP13758" s="197"/>
      <c r="BQ13758" s="197"/>
    </row>
    <row r="13759" spans="66:69" x14ac:dyDescent="0.2">
      <c r="BN13759" s="192"/>
      <c r="BO13759" s="197"/>
      <c r="BP13759" s="197"/>
      <c r="BQ13759" s="197"/>
    </row>
    <row r="13760" spans="66:69" x14ac:dyDescent="0.2">
      <c r="BN13760" s="192"/>
      <c r="BO13760" s="197"/>
      <c r="BP13760" s="197"/>
      <c r="BQ13760" s="197"/>
    </row>
    <row r="13761" spans="66:69" x14ac:dyDescent="0.2">
      <c r="BN13761" s="192"/>
      <c r="BO13761" s="197"/>
      <c r="BP13761" s="197"/>
      <c r="BQ13761" s="197"/>
    </row>
    <row r="13762" spans="66:69" x14ac:dyDescent="0.2">
      <c r="BN13762" s="192"/>
      <c r="BO13762" s="197"/>
      <c r="BP13762" s="197"/>
      <c r="BQ13762" s="197"/>
    </row>
    <row r="13763" spans="66:69" x14ac:dyDescent="0.2">
      <c r="BN13763" s="192"/>
      <c r="BO13763" s="197"/>
      <c r="BP13763" s="197"/>
      <c r="BQ13763" s="197"/>
    </row>
    <row r="13764" spans="66:69" x14ac:dyDescent="0.2">
      <c r="BN13764" s="192"/>
      <c r="BO13764" s="197"/>
      <c r="BP13764" s="197"/>
      <c r="BQ13764" s="197"/>
    </row>
    <row r="13765" spans="66:69" x14ac:dyDescent="0.2">
      <c r="BN13765" s="192"/>
      <c r="BO13765" s="197"/>
      <c r="BP13765" s="197"/>
      <c r="BQ13765" s="197"/>
    </row>
    <row r="13766" spans="66:69" x14ac:dyDescent="0.2">
      <c r="BN13766" s="192"/>
      <c r="BO13766" s="197"/>
      <c r="BP13766" s="197"/>
      <c r="BQ13766" s="197"/>
    </row>
    <row r="13767" spans="66:69" x14ac:dyDescent="0.2">
      <c r="BN13767" s="192"/>
      <c r="BO13767" s="197"/>
      <c r="BP13767" s="197"/>
      <c r="BQ13767" s="197"/>
    </row>
    <row r="13768" spans="66:69" x14ac:dyDescent="0.2">
      <c r="BN13768" s="192"/>
      <c r="BO13768" s="197"/>
      <c r="BP13768" s="197"/>
      <c r="BQ13768" s="197"/>
    </row>
    <row r="13769" spans="66:69" x14ac:dyDescent="0.2">
      <c r="BN13769" s="192"/>
      <c r="BO13769" s="197"/>
      <c r="BP13769" s="197"/>
      <c r="BQ13769" s="197"/>
    </row>
    <row r="13770" spans="66:69" x14ac:dyDescent="0.2">
      <c r="BN13770" s="192"/>
      <c r="BO13770" s="197"/>
      <c r="BP13770" s="197"/>
      <c r="BQ13770" s="197"/>
    </row>
    <row r="13771" spans="66:69" x14ac:dyDescent="0.2">
      <c r="BN13771" s="192"/>
      <c r="BO13771" s="197"/>
      <c r="BP13771" s="197"/>
      <c r="BQ13771" s="197"/>
    </row>
    <row r="13772" spans="66:69" x14ac:dyDescent="0.2">
      <c r="BN13772" s="192"/>
      <c r="BO13772" s="197"/>
      <c r="BP13772" s="197"/>
      <c r="BQ13772" s="197"/>
    </row>
    <row r="13773" spans="66:69" x14ac:dyDescent="0.2">
      <c r="BN13773" s="192"/>
      <c r="BO13773" s="197"/>
      <c r="BP13773" s="197"/>
      <c r="BQ13773" s="197"/>
    </row>
    <row r="13774" spans="66:69" x14ac:dyDescent="0.2">
      <c r="BN13774" s="192"/>
      <c r="BO13774" s="197"/>
      <c r="BP13774" s="197"/>
      <c r="BQ13774" s="197"/>
    </row>
    <row r="13775" spans="66:69" x14ac:dyDescent="0.2">
      <c r="BN13775" s="192"/>
      <c r="BO13775" s="197"/>
      <c r="BP13775" s="197"/>
      <c r="BQ13775" s="197"/>
    </row>
    <row r="13776" spans="66:69" x14ac:dyDescent="0.2">
      <c r="BN13776" s="192"/>
      <c r="BO13776" s="197"/>
      <c r="BP13776" s="197"/>
      <c r="BQ13776" s="197"/>
    </row>
    <row r="13777" spans="66:69" x14ac:dyDescent="0.2">
      <c r="BN13777" s="192"/>
      <c r="BO13777" s="197"/>
      <c r="BP13777" s="197"/>
      <c r="BQ13777" s="197"/>
    </row>
    <row r="13778" spans="66:69" x14ac:dyDescent="0.2">
      <c r="BN13778" s="192"/>
      <c r="BO13778" s="197"/>
      <c r="BP13778" s="197"/>
      <c r="BQ13778" s="197"/>
    </row>
    <row r="13779" spans="66:69" x14ac:dyDescent="0.2">
      <c r="BN13779" s="192"/>
      <c r="BO13779" s="197"/>
      <c r="BP13779" s="197"/>
      <c r="BQ13779" s="197"/>
    </row>
    <row r="13780" spans="66:69" x14ac:dyDescent="0.2">
      <c r="BN13780" s="192"/>
      <c r="BO13780" s="197"/>
      <c r="BP13780" s="197"/>
      <c r="BQ13780" s="197"/>
    </row>
    <row r="13781" spans="66:69" x14ac:dyDescent="0.2">
      <c r="BN13781" s="192"/>
      <c r="BO13781" s="197"/>
      <c r="BP13781" s="197"/>
      <c r="BQ13781" s="197"/>
    </row>
    <row r="13782" spans="66:69" x14ac:dyDescent="0.2">
      <c r="BN13782" s="192"/>
      <c r="BO13782" s="197"/>
      <c r="BP13782" s="197"/>
      <c r="BQ13782" s="197"/>
    </row>
    <row r="13783" spans="66:69" x14ac:dyDescent="0.2">
      <c r="BN13783" s="192"/>
      <c r="BO13783" s="197"/>
      <c r="BP13783" s="197"/>
      <c r="BQ13783" s="197"/>
    </row>
    <row r="13784" spans="66:69" x14ac:dyDescent="0.2">
      <c r="BN13784" s="192"/>
      <c r="BO13784" s="197"/>
      <c r="BP13784" s="197"/>
      <c r="BQ13784" s="197"/>
    </row>
    <row r="13785" spans="66:69" x14ac:dyDescent="0.2">
      <c r="BN13785" s="192"/>
      <c r="BO13785" s="197"/>
      <c r="BP13785" s="197"/>
      <c r="BQ13785" s="197"/>
    </row>
    <row r="13786" spans="66:69" x14ac:dyDescent="0.2">
      <c r="BN13786" s="192"/>
      <c r="BO13786" s="197"/>
      <c r="BP13786" s="197"/>
      <c r="BQ13786" s="197"/>
    </row>
    <row r="13787" spans="66:69" x14ac:dyDescent="0.2">
      <c r="BN13787" s="192"/>
      <c r="BO13787" s="197"/>
      <c r="BP13787" s="197"/>
      <c r="BQ13787" s="197"/>
    </row>
    <row r="13788" spans="66:69" x14ac:dyDescent="0.2">
      <c r="BN13788" s="192"/>
      <c r="BO13788" s="197"/>
      <c r="BP13788" s="197"/>
      <c r="BQ13788" s="197"/>
    </row>
    <row r="13789" spans="66:69" x14ac:dyDescent="0.2">
      <c r="BN13789" s="192"/>
      <c r="BO13789" s="197"/>
      <c r="BP13789" s="197"/>
      <c r="BQ13789" s="197"/>
    </row>
    <row r="13790" spans="66:69" x14ac:dyDescent="0.2">
      <c r="BN13790" s="192"/>
      <c r="BO13790" s="197"/>
      <c r="BP13790" s="197"/>
      <c r="BQ13790" s="197"/>
    </row>
    <row r="13791" spans="66:69" x14ac:dyDescent="0.2">
      <c r="BN13791" s="192"/>
      <c r="BO13791" s="197"/>
      <c r="BP13791" s="197"/>
      <c r="BQ13791" s="197"/>
    </row>
    <row r="13792" spans="66:69" x14ac:dyDescent="0.2">
      <c r="BN13792" s="192"/>
      <c r="BO13792" s="197"/>
      <c r="BP13792" s="197"/>
      <c r="BQ13792" s="197"/>
    </row>
    <row r="13793" spans="66:69" x14ac:dyDescent="0.2">
      <c r="BN13793" s="192"/>
      <c r="BO13793" s="197"/>
      <c r="BP13793" s="197"/>
      <c r="BQ13793" s="197"/>
    </row>
    <row r="13794" spans="66:69" x14ac:dyDescent="0.2">
      <c r="BN13794" s="192"/>
      <c r="BO13794" s="197"/>
      <c r="BP13794" s="197"/>
      <c r="BQ13794" s="197"/>
    </row>
    <row r="13795" spans="66:69" x14ac:dyDescent="0.2">
      <c r="BN13795" s="192"/>
      <c r="BO13795" s="197"/>
      <c r="BP13795" s="197"/>
      <c r="BQ13795" s="197"/>
    </row>
    <row r="13796" spans="66:69" x14ac:dyDescent="0.2">
      <c r="BN13796" s="192"/>
      <c r="BO13796" s="197"/>
      <c r="BP13796" s="197"/>
      <c r="BQ13796" s="197"/>
    </row>
    <row r="13797" spans="66:69" x14ac:dyDescent="0.2">
      <c r="BN13797" s="192"/>
      <c r="BO13797" s="197"/>
      <c r="BP13797" s="197"/>
      <c r="BQ13797" s="197"/>
    </row>
    <row r="13798" spans="66:69" x14ac:dyDescent="0.2">
      <c r="BN13798" s="192"/>
      <c r="BO13798" s="197"/>
      <c r="BP13798" s="197"/>
      <c r="BQ13798" s="197"/>
    </row>
    <row r="13799" spans="66:69" x14ac:dyDescent="0.2">
      <c r="BN13799" s="192"/>
      <c r="BO13799" s="197"/>
      <c r="BP13799" s="197"/>
      <c r="BQ13799" s="197"/>
    </row>
    <row r="13800" spans="66:69" x14ac:dyDescent="0.2">
      <c r="BN13800" s="192"/>
      <c r="BO13800" s="197"/>
      <c r="BP13800" s="197"/>
      <c r="BQ13800" s="197"/>
    </row>
    <row r="13801" spans="66:69" x14ac:dyDescent="0.2">
      <c r="BN13801" s="192"/>
      <c r="BO13801" s="197"/>
      <c r="BP13801" s="197"/>
      <c r="BQ13801" s="197"/>
    </row>
    <row r="13802" spans="66:69" x14ac:dyDescent="0.2">
      <c r="BN13802" s="192"/>
      <c r="BO13802" s="197"/>
      <c r="BP13802" s="197"/>
      <c r="BQ13802" s="197"/>
    </row>
    <row r="13803" spans="66:69" x14ac:dyDescent="0.2">
      <c r="BN13803" s="192"/>
      <c r="BO13803" s="197"/>
      <c r="BP13803" s="197"/>
      <c r="BQ13803" s="197"/>
    </row>
    <row r="13804" spans="66:69" x14ac:dyDescent="0.2">
      <c r="BN13804" s="192"/>
      <c r="BO13804" s="197"/>
      <c r="BP13804" s="197"/>
      <c r="BQ13804" s="197"/>
    </row>
    <row r="13805" spans="66:69" x14ac:dyDescent="0.2">
      <c r="BN13805" s="192"/>
      <c r="BO13805" s="197"/>
      <c r="BP13805" s="197"/>
      <c r="BQ13805" s="197"/>
    </row>
    <row r="13806" spans="66:69" x14ac:dyDescent="0.2">
      <c r="BN13806" s="192"/>
      <c r="BO13806" s="197"/>
      <c r="BP13806" s="197"/>
      <c r="BQ13806" s="197"/>
    </row>
    <row r="13807" spans="66:69" x14ac:dyDescent="0.2">
      <c r="BN13807" s="192"/>
      <c r="BO13807" s="197"/>
      <c r="BP13807" s="197"/>
      <c r="BQ13807" s="197"/>
    </row>
    <row r="13808" spans="66:69" x14ac:dyDescent="0.2">
      <c r="BN13808" s="192"/>
      <c r="BO13808" s="197"/>
      <c r="BP13808" s="197"/>
      <c r="BQ13808" s="197"/>
    </row>
    <row r="13809" spans="66:69" x14ac:dyDescent="0.2">
      <c r="BN13809" s="192"/>
      <c r="BO13809" s="197"/>
      <c r="BP13809" s="197"/>
      <c r="BQ13809" s="197"/>
    </row>
    <row r="13810" spans="66:69" x14ac:dyDescent="0.2">
      <c r="BN13810" s="192"/>
      <c r="BO13810" s="197"/>
      <c r="BP13810" s="197"/>
      <c r="BQ13810" s="197"/>
    </row>
    <row r="13811" spans="66:69" x14ac:dyDescent="0.2">
      <c r="BN13811" s="192"/>
      <c r="BO13811" s="197"/>
      <c r="BP13811" s="197"/>
      <c r="BQ13811" s="197"/>
    </row>
    <row r="13812" spans="66:69" x14ac:dyDescent="0.2">
      <c r="BN13812" s="192"/>
      <c r="BO13812" s="197"/>
      <c r="BP13812" s="197"/>
      <c r="BQ13812" s="197"/>
    </row>
    <row r="13813" spans="66:69" x14ac:dyDescent="0.2">
      <c r="BN13813" s="192"/>
      <c r="BO13813" s="197"/>
      <c r="BP13813" s="197"/>
      <c r="BQ13813" s="197"/>
    </row>
    <row r="13814" spans="66:69" x14ac:dyDescent="0.2">
      <c r="BN13814" s="192"/>
      <c r="BO13814" s="197"/>
      <c r="BP13814" s="197"/>
      <c r="BQ13814" s="197"/>
    </row>
    <row r="13815" spans="66:69" x14ac:dyDescent="0.2">
      <c r="BN13815" s="192"/>
      <c r="BO13815" s="197"/>
      <c r="BP13815" s="197"/>
      <c r="BQ13815" s="197"/>
    </row>
    <row r="13816" spans="66:69" x14ac:dyDescent="0.2">
      <c r="BN13816" s="192"/>
      <c r="BO13816" s="197"/>
      <c r="BP13816" s="197"/>
      <c r="BQ13816" s="197"/>
    </row>
    <row r="13817" spans="66:69" x14ac:dyDescent="0.2">
      <c r="BN13817" s="192"/>
      <c r="BO13817" s="197"/>
      <c r="BP13817" s="197"/>
      <c r="BQ13817" s="197"/>
    </row>
    <row r="13818" spans="66:69" x14ac:dyDescent="0.2">
      <c r="BN13818" s="192"/>
      <c r="BO13818" s="197"/>
      <c r="BP13818" s="197"/>
      <c r="BQ13818" s="197"/>
    </row>
    <row r="13819" spans="66:69" x14ac:dyDescent="0.2">
      <c r="BN13819" s="192"/>
      <c r="BO13819" s="197"/>
      <c r="BP13819" s="197"/>
      <c r="BQ13819" s="197"/>
    </row>
    <row r="13820" spans="66:69" x14ac:dyDescent="0.2">
      <c r="BN13820" s="192"/>
      <c r="BO13820" s="197"/>
      <c r="BP13820" s="197"/>
      <c r="BQ13820" s="197"/>
    </row>
    <row r="13821" spans="66:69" x14ac:dyDescent="0.2">
      <c r="BN13821" s="192"/>
      <c r="BO13821" s="197"/>
      <c r="BP13821" s="197"/>
      <c r="BQ13821" s="197"/>
    </row>
    <row r="13822" spans="66:69" x14ac:dyDescent="0.2">
      <c r="BN13822" s="192"/>
      <c r="BO13822" s="197"/>
      <c r="BP13822" s="197"/>
      <c r="BQ13822" s="197"/>
    </row>
    <row r="13823" spans="66:69" x14ac:dyDescent="0.2">
      <c r="BN13823" s="192"/>
      <c r="BO13823" s="197"/>
      <c r="BP13823" s="197"/>
      <c r="BQ13823" s="197"/>
    </row>
    <row r="13824" spans="66:69" x14ac:dyDescent="0.2">
      <c r="BN13824" s="192"/>
      <c r="BO13824" s="197"/>
      <c r="BP13824" s="197"/>
      <c r="BQ13824" s="197"/>
    </row>
    <row r="13825" spans="66:69" x14ac:dyDescent="0.2">
      <c r="BN13825" s="192"/>
      <c r="BO13825" s="197"/>
      <c r="BP13825" s="197"/>
      <c r="BQ13825" s="197"/>
    </row>
    <row r="13826" spans="66:69" x14ac:dyDescent="0.2">
      <c r="BN13826" s="192"/>
      <c r="BO13826" s="197"/>
      <c r="BP13826" s="197"/>
      <c r="BQ13826" s="197"/>
    </row>
    <row r="13827" spans="66:69" x14ac:dyDescent="0.2">
      <c r="BN13827" s="192"/>
      <c r="BO13827" s="197"/>
      <c r="BP13827" s="197"/>
      <c r="BQ13827" s="197"/>
    </row>
    <row r="13828" spans="66:69" x14ac:dyDescent="0.2">
      <c r="BN13828" s="192"/>
      <c r="BO13828" s="197"/>
      <c r="BP13828" s="197"/>
      <c r="BQ13828" s="197"/>
    </row>
    <row r="13829" spans="66:69" x14ac:dyDescent="0.2">
      <c r="BN13829" s="192"/>
      <c r="BO13829" s="197"/>
      <c r="BP13829" s="197"/>
      <c r="BQ13829" s="197"/>
    </row>
    <row r="13830" spans="66:69" x14ac:dyDescent="0.2">
      <c r="BN13830" s="192"/>
      <c r="BO13830" s="197"/>
      <c r="BP13830" s="197"/>
      <c r="BQ13830" s="197"/>
    </row>
    <row r="13831" spans="66:69" x14ac:dyDescent="0.2">
      <c r="BN13831" s="192"/>
      <c r="BO13831" s="197"/>
      <c r="BP13831" s="197"/>
      <c r="BQ13831" s="197"/>
    </row>
    <row r="13832" spans="66:69" x14ac:dyDescent="0.2">
      <c r="BN13832" s="192"/>
      <c r="BO13832" s="197"/>
      <c r="BP13832" s="197"/>
      <c r="BQ13832" s="197"/>
    </row>
    <row r="13833" spans="66:69" x14ac:dyDescent="0.2">
      <c r="BN13833" s="192"/>
      <c r="BO13833" s="197"/>
      <c r="BP13833" s="197"/>
      <c r="BQ13833" s="197"/>
    </row>
    <row r="13834" spans="66:69" x14ac:dyDescent="0.2">
      <c r="BN13834" s="192"/>
      <c r="BO13834" s="197"/>
      <c r="BP13834" s="197"/>
      <c r="BQ13834" s="197"/>
    </row>
    <row r="13835" spans="66:69" x14ac:dyDescent="0.2">
      <c r="BN13835" s="192"/>
      <c r="BO13835" s="197"/>
      <c r="BP13835" s="197"/>
      <c r="BQ13835" s="197"/>
    </row>
    <row r="13836" spans="66:69" x14ac:dyDescent="0.2">
      <c r="BN13836" s="192"/>
      <c r="BO13836" s="197"/>
      <c r="BP13836" s="197"/>
      <c r="BQ13836" s="197"/>
    </row>
    <row r="13837" spans="66:69" x14ac:dyDescent="0.2">
      <c r="BN13837" s="192"/>
      <c r="BO13837" s="197"/>
      <c r="BP13837" s="197"/>
      <c r="BQ13837" s="197"/>
    </row>
    <row r="13838" spans="66:69" x14ac:dyDescent="0.2">
      <c r="BN13838" s="192"/>
      <c r="BO13838" s="197"/>
      <c r="BP13838" s="197"/>
      <c r="BQ13838" s="197"/>
    </row>
    <row r="13839" spans="66:69" x14ac:dyDescent="0.2">
      <c r="BN13839" s="192"/>
      <c r="BO13839" s="197"/>
      <c r="BP13839" s="197"/>
      <c r="BQ13839" s="197"/>
    </row>
    <row r="13840" spans="66:69" x14ac:dyDescent="0.2">
      <c r="BN13840" s="192"/>
      <c r="BO13840" s="197"/>
      <c r="BP13840" s="197"/>
      <c r="BQ13840" s="197"/>
    </row>
    <row r="13841" spans="66:69" x14ac:dyDescent="0.2">
      <c r="BN13841" s="192"/>
      <c r="BO13841" s="197"/>
      <c r="BP13841" s="197"/>
      <c r="BQ13841" s="197"/>
    </row>
    <row r="13842" spans="66:69" x14ac:dyDescent="0.2">
      <c r="BN13842" s="192"/>
      <c r="BO13842" s="197"/>
      <c r="BP13842" s="197"/>
      <c r="BQ13842" s="197"/>
    </row>
    <row r="13843" spans="66:69" x14ac:dyDescent="0.2">
      <c r="BN13843" s="192"/>
      <c r="BO13843" s="197"/>
      <c r="BP13843" s="197"/>
      <c r="BQ13843" s="197"/>
    </row>
    <row r="13844" spans="66:69" x14ac:dyDescent="0.2">
      <c r="BN13844" s="192"/>
      <c r="BO13844" s="197"/>
      <c r="BP13844" s="197"/>
      <c r="BQ13844" s="197"/>
    </row>
    <row r="13845" spans="66:69" x14ac:dyDescent="0.2">
      <c r="BN13845" s="192"/>
      <c r="BO13845" s="197"/>
      <c r="BP13845" s="197"/>
      <c r="BQ13845" s="197"/>
    </row>
    <row r="13846" spans="66:69" x14ac:dyDescent="0.2">
      <c r="BN13846" s="192"/>
      <c r="BO13846" s="197"/>
      <c r="BP13846" s="197"/>
      <c r="BQ13846" s="197"/>
    </row>
    <row r="13847" spans="66:69" x14ac:dyDescent="0.2">
      <c r="BN13847" s="192"/>
      <c r="BO13847" s="197"/>
      <c r="BP13847" s="197"/>
      <c r="BQ13847" s="197"/>
    </row>
    <row r="13848" spans="66:69" x14ac:dyDescent="0.2">
      <c r="BN13848" s="192"/>
      <c r="BO13848" s="197"/>
      <c r="BP13848" s="197"/>
      <c r="BQ13848" s="197"/>
    </row>
    <row r="13849" spans="66:69" x14ac:dyDescent="0.2">
      <c r="BN13849" s="192"/>
      <c r="BO13849" s="197"/>
      <c r="BP13849" s="197"/>
      <c r="BQ13849" s="197"/>
    </row>
    <row r="13850" spans="66:69" x14ac:dyDescent="0.2">
      <c r="BN13850" s="192"/>
      <c r="BO13850" s="197"/>
      <c r="BP13850" s="197"/>
      <c r="BQ13850" s="197"/>
    </row>
    <row r="13851" spans="66:69" x14ac:dyDescent="0.2">
      <c r="BN13851" s="192"/>
      <c r="BO13851" s="197"/>
      <c r="BP13851" s="197"/>
      <c r="BQ13851" s="197"/>
    </row>
    <row r="13852" spans="66:69" x14ac:dyDescent="0.2">
      <c r="BN13852" s="192"/>
      <c r="BO13852" s="197"/>
      <c r="BP13852" s="197"/>
      <c r="BQ13852" s="197"/>
    </row>
    <row r="13853" spans="66:69" x14ac:dyDescent="0.2">
      <c r="BN13853" s="192"/>
      <c r="BO13853" s="197"/>
      <c r="BP13853" s="197"/>
      <c r="BQ13853" s="197"/>
    </row>
    <row r="13854" spans="66:69" x14ac:dyDescent="0.2">
      <c r="BN13854" s="192"/>
      <c r="BO13854" s="197"/>
      <c r="BP13854" s="197"/>
      <c r="BQ13854" s="197"/>
    </row>
    <row r="13855" spans="66:69" x14ac:dyDescent="0.2">
      <c r="BN13855" s="192"/>
      <c r="BO13855" s="197"/>
      <c r="BP13855" s="197"/>
      <c r="BQ13855" s="197"/>
    </row>
    <row r="13856" spans="66:69" x14ac:dyDescent="0.2">
      <c r="BN13856" s="192"/>
      <c r="BO13856" s="197"/>
      <c r="BP13856" s="197"/>
      <c r="BQ13856" s="197"/>
    </row>
    <row r="13857" spans="66:69" x14ac:dyDescent="0.2">
      <c r="BN13857" s="192"/>
      <c r="BO13857" s="197"/>
      <c r="BP13857" s="197"/>
      <c r="BQ13857" s="197"/>
    </row>
    <row r="13858" spans="66:69" x14ac:dyDescent="0.2">
      <c r="BN13858" s="192"/>
      <c r="BO13858" s="197"/>
      <c r="BP13858" s="197"/>
      <c r="BQ13858" s="197"/>
    </row>
    <row r="13859" spans="66:69" x14ac:dyDescent="0.2">
      <c r="BN13859" s="192"/>
      <c r="BO13859" s="197"/>
      <c r="BP13859" s="197"/>
      <c r="BQ13859" s="197"/>
    </row>
    <row r="13860" spans="66:69" x14ac:dyDescent="0.2">
      <c r="BN13860" s="192"/>
      <c r="BO13860" s="197"/>
      <c r="BP13860" s="197"/>
      <c r="BQ13860" s="197"/>
    </row>
    <row r="13861" spans="66:69" x14ac:dyDescent="0.2">
      <c r="BN13861" s="192"/>
      <c r="BO13861" s="197"/>
      <c r="BP13861" s="197"/>
      <c r="BQ13861" s="197"/>
    </row>
    <row r="13862" spans="66:69" x14ac:dyDescent="0.2">
      <c r="BN13862" s="192"/>
      <c r="BO13862" s="197"/>
      <c r="BP13862" s="197"/>
      <c r="BQ13862" s="197"/>
    </row>
    <row r="13863" spans="66:69" x14ac:dyDescent="0.2">
      <c r="BN13863" s="192"/>
      <c r="BO13863" s="197"/>
      <c r="BP13863" s="197"/>
      <c r="BQ13863" s="197"/>
    </row>
    <row r="13864" spans="66:69" x14ac:dyDescent="0.2">
      <c r="BN13864" s="192"/>
      <c r="BO13864" s="197"/>
      <c r="BP13864" s="197"/>
      <c r="BQ13864" s="197"/>
    </row>
    <row r="13865" spans="66:69" x14ac:dyDescent="0.2">
      <c r="BN13865" s="192"/>
      <c r="BO13865" s="197"/>
      <c r="BP13865" s="197"/>
      <c r="BQ13865" s="197"/>
    </row>
    <row r="13866" spans="66:69" x14ac:dyDescent="0.2">
      <c r="BN13866" s="192"/>
      <c r="BO13866" s="197"/>
      <c r="BP13866" s="197"/>
      <c r="BQ13866" s="197"/>
    </row>
    <row r="13867" spans="66:69" x14ac:dyDescent="0.2">
      <c r="BN13867" s="192"/>
      <c r="BO13867" s="197"/>
      <c r="BP13867" s="197"/>
      <c r="BQ13867" s="197"/>
    </row>
    <row r="13868" spans="66:69" x14ac:dyDescent="0.2">
      <c r="BN13868" s="192"/>
      <c r="BO13868" s="197"/>
      <c r="BP13868" s="197"/>
      <c r="BQ13868" s="197"/>
    </row>
    <row r="13869" spans="66:69" x14ac:dyDescent="0.2">
      <c r="BN13869" s="192"/>
      <c r="BO13869" s="197"/>
      <c r="BP13869" s="197"/>
      <c r="BQ13869" s="197"/>
    </row>
    <row r="13870" spans="66:69" x14ac:dyDescent="0.2">
      <c r="BN13870" s="192"/>
      <c r="BO13870" s="197"/>
      <c r="BP13870" s="197"/>
      <c r="BQ13870" s="197"/>
    </row>
    <row r="13871" spans="66:69" x14ac:dyDescent="0.2">
      <c r="BN13871" s="192"/>
      <c r="BO13871" s="197"/>
      <c r="BP13871" s="197"/>
      <c r="BQ13871" s="197"/>
    </row>
    <row r="13872" spans="66:69" x14ac:dyDescent="0.2">
      <c r="BN13872" s="192"/>
      <c r="BO13872" s="197"/>
      <c r="BP13872" s="197"/>
      <c r="BQ13872" s="197"/>
    </row>
    <row r="13873" spans="66:69" x14ac:dyDescent="0.2">
      <c r="BN13873" s="192"/>
      <c r="BO13873" s="197"/>
      <c r="BP13873" s="197"/>
      <c r="BQ13873" s="197"/>
    </row>
    <row r="13874" spans="66:69" x14ac:dyDescent="0.2">
      <c r="BN13874" s="192"/>
      <c r="BO13874" s="197"/>
      <c r="BP13874" s="197"/>
      <c r="BQ13874" s="197"/>
    </row>
    <row r="13875" spans="66:69" x14ac:dyDescent="0.2">
      <c r="BN13875" s="192"/>
      <c r="BO13875" s="197"/>
      <c r="BP13875" s="197"/>
      <c r="BQ13875" s="197"/>
    </row>
    <row r="13876" spans="66:69" x14ac:dyDescent="0.2">
      <c r="BN13876" s="192"/>
      <c r="BO13876" s="197"/>
      <c r="BP13876" s="197"/>
      <c r="BQ13876" s="197"/>
    </row>
    <row r="13877" spans="66:69" x14ac:dyDescent="0.2">
      <c r="BN13877" s="192"/>
      <c r="BO13877" s="197"/>
      <c r="BP13877" s="197"/>
      <c r="BQ13877" s="197"/>
    </row>
    <row r="13878" spans="66:69" x14ac:dyDescent="0.2">
      <c r="BN13878" s="192"/>
      <c r="BO13878" s="197"/>
      <c r="BP13878" s="197"/>
      <c r="BQ13878" s="197"/>
    </row>
    <row r="13879" spans="66:69" x14ac:dyDescent="0.2">
      <c r="BN13879" s="192"/>
      <c r="BO13879" s="197"/>
      <c r="BP13879" s="197"/>
      <c r="BQ13879" s="197"/>
    </row>
    <row r="13880" spans="66:69" x14ac:dyDescent="0.2">
      <c r="BN13880" s="192"/>
      <c r="BO13880" s="197"/>
      <c r="BP13880" s="197"/>
      <c r="BQ13880" s="197"/>
    </row>
    <row r="13881" spans="66:69" x14ac:dyDescent="0.2">
      <c r="BN13881" s="192"/>
      <c r="BO13881" s="197"/>
      <c r="BP13881" s="197"/>
      <c r="BQ13881" s="197"/>
    </row>
    <row r="13882" spans="66:69" x14ac:dyDescent="0.2">
      <c r="BN13882" s="192"/>
      <c r="BO13882" s="197"/>
      <c r="BP13882" s="197"/>
      <c r="BQ13882" s="197"/>
    </row>
    <row r="13883" spans="66:69" x14ac:dyDescent="0.2">
      <c r="BN13883" s="192"/>
      <c r="BO13883" s="197"/>
      <c r="BP13883" s="197"/>
      <c r="BQ13883" s="197"/>
    </row>
    <row r="13884" spans="66:69" x14ac:dyDescent="0.2">
      <c r="BN13884" s="192"/>
      <c r="BO13884" s="197"/>
      <c r="BP13884" s="197"/>
      <c r="BQ13884" s="197"/>
    </row>
    <row r="13885" spans="66:69" x14ac:dyDescent="0.2">
      <c r="BN13885" s="192"/>
      <c r="BO13885" s="197"/>
      <c r="BP13885" s="197"/>
      <c r="BQ13885" s="197"/>
    </row>
    <row r="13886" spans="66:69" x14ac:dyDescent="0.2">
      <c r="BN13886" s="192"/>
      <c r="BO13886" s="197"/>
      <c r="BP13886" s="197"/>
      <c r="BQ13886" s="197"/>
    </row>
    <row r="13887" spans="66:69" x14ac:dyDescent="0.2">
      <c r="BN13887" s="192"/>
      <c r="BO13887" s="197"/>
      <c r="BP13887" s="197"/>
      <c r="BQ13887" s="197"/>
    </row>
    <row r="13888" spans="66:69" x14ac:dyDescent="0.2">
      <c r="BN13888" s="192"/>
      <c r="BO13888" s="197"/>
      <c r="BP13888" s="197"/>
      <c r="BQ13888" s="197"/>
    </row>
    <row r="13889" spans="66:69" x14ac:dyDescent="0.2">
      <c r="BN13889" s="192"/>
      <c r="BO13889" s="197"/>
      <c r="BP13889" s="197"/>
      <c r="BQ13889" s="197"/>
    </row>
    <row r="13890" spans="66:69" x14ac:dyDescent="0.2">
      <c r="BN13890" s="192"/>
      <c r="BO13890" s="197"/>
      <c r="BP13890" s="197"/>
      <c r="BQ13890" s="197"/>
    </row>
    <row r="13891" spans="66:69" x14ac:dyDescent="0.2">
      <c r="BN13891" s="192"/>
      <c r="BO13891" s="197"/>
      <c r="BP13891" s="197"/>
      <c r="BQ13891" s="197"/>
    </row>
    <row r="13892" spans="66:69" x14ac:dyDescent="0.2">
      <c r="BN13892" s="192"/>
      <c r="BO13892" s="197"/>
      <c r="BP13892" s="197"/>
      <c r="BQ13892" s="197"/>
    </row>
    <row r="13893" spans="66:69" x14ac:dyDescent="0.2">
      <c r="BN13893" s="192"/>
      <c r="BO13893" s="197"/>
      <c r="BP13893" s="197"/>
      <c r="BQ13893" s="197"/>
    </row>
    <row r="13894" spans="66:69" x14ac:dyDescent="0.2">
      <c r="BN13894" s="192"/>
      <c r="BO13894" s="197"/>
      <c r="BP13894" s="197"/>
      <c r="BQ13894" s="197"/>
    </row>
    <row r="13895" spans="66:69" x14ac:dyDescent="0.2">
      <c r="BN13895" s="192"/>
      <c r="BO13895" s="197"/>
      <c r="BP13895" s="197"/>
      <c r="BQ13895" s="197"/>
    </row>
    <row r="13896" spans="66:69" x14ac:dyDescent="0.2">
      <c r="BN13896" s="192"/>
      <c r="BO13896" s="197"/>
      <c r="BP13896" s="197"/>
      <c r="BQ13896" s="197"/>
    </row>
    <row r="13897" spans="66:69" x14ac:dyDescent="0.2">
      <c r="BN13897" s="192"/>
      <c r="BO13897" s="197"/>
      <c r="BP13897" s="197"/>
      <c r="BQ13897" s="197"/>
    </row>
    <row r="13898" spans="66:69" x14ac:dyDescent="0.2">
      <c r="BN13898" s="192"/>
      <c r="BO13898" s="197"/>
      <c r="BP13898" s="197"/>
      <c r="BQ13898" s="197"/>
    </row>
    <row r="13899" spans="66:69" x14ac:dyDescent="0.2">
      <c r="BN13899" s="192"/>
      <c r="BO13899" s="197"/>
      <c r="BP13899" s="197"/>
      <c r="BQ13899" s="197"/>
    </row>
    <row r="13900" spans="66:69" x14ac:dyDescent="0.2">
      <c r="BN13900" s="192"/>
      <c r="BO13900" s="197"/>
      <c r="BP13900" s="197"/>
      <c r="BQ13900" s="197"/>
    </row>
    <row r="13901" spans="66:69" x14ac:dyDescent="0.2">
      <c r="BN13901" s="192"/>
      <c r="BO13901" s="197"/>
      <c r="BP13901" s="197"/>
      <c r="BQ13901" s="197"/>
    </row>
    <row r="13902" spans="66:69" x14ac:dyDescent="0.2">
      <c r="BN13902" s="192"/>
      <c r="BO13902" s="197"/>
      <c r="BP13902" s="197"/>
      <c r="BQ13902" s="197"/>
    </row>
    <row r="13903" spans="66:69" x14ac:dyDescent="0.2">
      <c r="BN13903" s="192"/>
      <c r="BO13903" s="197"/>
      <c r="BP13903" s="197"/>
      <c r="BQ13903" s="197"/>
    </row>
    <row r="13904" spans="66:69" x14ac:dyDescent="0.2">
      <c r="BN13904" s="192"/>
      <c r="BO13904" s="197"/>
      <c r="BP13904" s="197"/>
      <c r="BQ13904" s="197"/>
    </row>
    <row r="13905" spans="66:69" x14ac:dyDescent="0.2">
      <c r="BN13905" s="192"/>
      <c r="BO13905" s="197"/>
      <c r="BP13905" s="197"/>
      <c r="BQ13905" s="197"/>
    </row>
    <row r="13906" spans="66:69" x14ac:dyDescent="0.2">
      <c r="BN13906" s="192"/>
      <c r="BO13906" s="197"/>
      <c r="BP13906" s="197"/>
      <c r="BQ13906" s="197"/>
    </row>
    <row r="13907" spans="66:69" x14ac:dyDescent="0.2">
      <c r="BN13907" s="192"/>
      <c r="BO13907" s="197"/>
      <c r="BP13907" s="197"/>
      <c r="BQ13907" s="197"/>
    </row>
    <row r="13908" spans="66:69" x14ac:dyDescent="0.2">
      <c r="BN13908" s="192"/>
      <c r="BO13908" s="197"/>
      <c r="BP13908" s="197"/>
      <c r="BQ13908" s="197"/>
    </row>
    <row r="13909" spans="66:69" x14ac:dyDescent="0.2">
      <c r="BN13909" s="192"/>
      <c r="BO13909" s="197"/>
      <c r="BP13909" s="197"/>
      <c r="BQ13909" s="197"/>
    </row>
    <row r="13910" spans="66:69" x14ac:dyDescent="0.2">
      <c r="BN13910" s="192"/>
      <c r="BO13910" s="197"/>
      <c r="BP13910" s="197"/>
      <c r="BQ13910" s="197"/>
    </row>
    <row r="13911" spans="66:69" x14ac:dyDescent="0.2">
      <c r="BN13911" s="192"/>
      <c r="BO13911" s="197"/>
      <c r="BP13911" s="197"/>
      <c r="BQ13911" s="197"/>
    </row>
    <row r="13912" spans="66:69" x14ac:dyDescent="0.2">
      <c r="BN13912" s="192"/>
      <c r="BO13912" s="197"/>
      <c r="BP13912" s="197"/>
      <c r="BQ13912" s="197"/>
    </row>
    <row r="13913" spans="66:69" x14ac:dyDescent="0.2">
      <c r="BN13913" s="192"/>
      <c r="BO13913" s="197"/>
      <c r="BP13913" s="197"/>
      <c r="BQ13913" s="197"/>
    </row>
    <row r="13914" spans="66:69" x14ac:dyDescent="0.2">
      <c r="BN13914" s="192"/>
      <c r="BO13914" s="197"/>
      <c r="BP13914" s="197"/>
      <c r="BQ13914" s="197"/>
    </row>
    <row r="13915" spans="66:69" x14ac:dyDescent="0.2">
      <c r="BN13915" s="192"/>
      <c r="BO13915" s="197"/>
      <c r="BP13915" s="197"/>
      <c r="BQ13915" s="197"/>
    </row>
    <row r="13916" spans="66:69" x14ac:dyDescent="0.2">
      <c r="BN13916" s="192"/>
      <c r="BO13916" s="197"/>
      <c r="BP13916" s="197"/>
      <c r="BQ13916" s="197"/>
    </row>
    <row r="13917" spans="66:69" x14ac:dyDescent="0.2">
      <c r="BN13917" s="192"/>
      <c r="BO13917" s="197"/>
      <c r="BP13917" s="197"/>
      <c r="BQ13917" s="197"/>
    </row>
    <row r="13918" spans="66:69" x14ac:dyDescent="0.2">
      <c r="BN13918" s="192"/>
      <c r="BO13918" s="197"/>
      <c r="BP13918" s="197"/>
      <c r="BQ13918" s="197"/>
    </row>
    <row r="13919" spans="66:69" x14ac:dyDescent="0.2">
      <c r="BN13919" s="192"/>
      <c r="BO13919" s="197"/>
      <c r="BP13919" s="197"/>
      <c r="BQ13919" s="197"/>
    </row>
    <row r="13920" spans="66:69" x14ac:dyDescent="0.2">
      <c r="BN13920" s="192"/>
      <c r="BO13920" s="197"/>
      <c r="BP13920" s="197"/>
      <c r="BQ13920" s="197"/>
    </row>
    <row r="13921" spans="66:69" x14ac:dyDescent="0.2">
      <c r="BN13921" s="192"/>
      <c r="BO13921" s="197"/>
      <c r="BP13921" s="197"/>
      <c r="BQ13921" s="197"/>
    </row>
    <row r="13922" spans="66:69" x14ac:dyDescent="0.2">
      <c r="BN13922" s="192"/>
      <c r="BO13922" s="197"/>
      <c r="BP13922" s="197"/>
      <c r="BQ13922" s="197"/>
    </row>
    <row r="13923" spans="66:69" x14ac:dyDescent="0.2">
      <c r="BN13923" s="192"/>
      <c r="BO13923" s="197"/>
      <c r="BP13923" s="197"/>
      <c r="BQ13923" s="197"/>
    </row>
    <row r="13924" spans="66:69" x14ac:dyDescent="0.2">
      <c r="BN13924" s="192"/>
      <c r="BO13924" s="197"/>
      <c r="BP13924" s="197"/>
      <c r="BQ13924" s="197"/>
    </row>
    <row r="13925" spans="66:69" x14ac:dyDescent="0.2">
      <c r="BN13925" s="192"/>
      <c r="BO13925" s="197"/>
      <c r="BP13925" s="197"/>
      <c r="BQ13925" s="197"/>
    </row>
    <row r="13926" spans="66:69" x14ac:dyDescent="0.2">
      <c r="BN13926" s="192"/>
      <c r="BO13926" s="197"/>
      <c r="BP13926" s="197"/>
      <c r="BQ13926" s="197"/>
    </row>
    <row r="13927" spans="66:69" x14ac:dyDescent="0.2">
      <c r="BN13927" s="192"/>
      <c r="BO13927" s="197"/>
      <c r="BP13927" s="197"/>
      <c r="BQ13927" s="197"/>
    </row>
    <row r="13928" spans="66:69" x14ac:dyDescent="0.2">
      <c r="BN13928" s="192"/>
      <c r="BO13928" s="197"/>
      <c r="BP13928" s="197"/>
      <c r="BQ13928" s="197"/>
    </row>
    <row r="13929" spans="66:69" x14ac:dyDescent="0.2">
      <c r="BN13929" s="192"/>
      <c r="BO13929" s="197"/>
      <c r="BP13929" s="197"/>
      <c r="BQ13929" s="197"/>
    </row>
    <row r="13930" spans="66:69" x14ac:dyDescent="0.2">
      <c r="BN13930" s="192"/>
      <c r="BO13930" s="197"/>
      <c r="BP13930" s="197"/>
      <c r="BQ13930" s="197"/>
    </row>
    <row r="13931" spans="66:69" x14ac:dyDescent="0.2">
      <c r="BN13931" s="192"/>
      <c r="BO13931" s="197"/>
      <c r="BP13931" s="197"/>
      <c r="BQ13931" s="197"/>
    </row>
    <row r="13932" spans="66:69" x14ac:dyDescent="0.2">
      <c r="BN13932" s="192"/>
      <c r="BO13932" s="197"/>
      <c r="BP13932" s="197"/>
      <c r="BQ13932" s="197"/>
    </row>
    <row r="13933" spans="66:69" x14ac:dyDescent="0.2">
      <c r="BN13933" s="192"/>
      <c r="BO13933" s="197"/>
      <c r="BP13933" s="197"/>
      <c r="BQ13933" s="197"/>
    </row>
    <row r="13934" spans="66:69" x14ac:dyDescent="0.2">
      <c r="BN13934" s="192"/>
      <c r="BO13934" s="197"/>
      <c r="BP13934" s="197"/>
      <c r="BQ13934" s="197"/>
    </row>
    <row r="13935" spans="66:69" x14ac:dyDescent="0.2">
      <c r="BN13935" s="192"/>
      <c r="BO13935" s="197"/>
      <c r="BP13935" s="197"/>
      <c r="BQ13935" s="197"/>
    </row>
    <row r="13936" spans="66:69" x14ac:dyDescent="0.2">
      <c r="BN13936" s="192"/>
      <c r="BO13936" s="197"/>
      <c r="BP13936" s="197"/>
      <c r="BQ13936" s="197"/>
    </row>
    <row r="13937" spans="66:69" x14ac:dyDescent="0.2">
      <c r="BN13937" s="192"/>
      <c r="BO13937" s="197"/>
      <c r="BP13937" s="197"/>
      <c r="BQ13937" s="197"/>
    </row>
    <row r="13938" spans="66:69" x14ac:dyDescent="0.2">
      <c r="BN13938" s="192"/>
      <c r="BO13938" s="197"/>
      <c r="BP13938" s="197"/>
      <c r="BQ13938" s="197"/>
    </row>
    <row r="13939" spans="66:69" x14ac:dyDescent="0.2">
      <c r="BN13939" s="192"/>
      <c r="BO13939" s="197"/>
      <c r="BP13939" s="197"/>
      <c r="BQ13939" s="197"/>
    </row>
    <row r="13940" spans="66:69" x14ac:dyDescent="0.2">
      <c r="BN13940" s="192"/>
      <c r="BO13940" s="197"/>
      <c r="BP13940" s="197"/>
      <c r="BQ13940" s="197"/>
    </row>
    <row r="13941" spans="66:69" x14ac:dyDescent="0.2">
      <c r="BN13941" s="192"/>
      <c r="BO13941" s="197"/>
      <c r="BP13941" s="197"/>
      <c r="BQ13941" s="197"/>
    </row>
    <row r="13942" spans="66:69" x14ac:dyDescent="0.2">
      <c r="BN13942" s="192"/>
      <c r="BO13942" s="197"/>
      <c r="BP13942" s="197"/>
      <c r="BQ13942" s="197"/>
    </row>
    <row r="13943" spans="66:69" x14ac:dyDescent="0.2">
      <c r="BN13943" s="192"/>
      <c r="BO13943" s="197"/>
      <c r="BP13943" s="197"/>
      <c r="BQ13943" s="197"/>
    </row>
    <row r="13944" spans="66:69" x14ac:dyDescent="0.2">
      <c r="BN13944" s="192"/>
      <c r="BO13944" s="197"/>
      <c r="BP13944" s="197"/>
      <c r="BQ13944" s="197"/>
    </row>
    <row r="13945" spans="66:69" x14ac:dyDescent="0.2">
      <c r="BN13945" s="192"/>
      <c r="BO13945" s="197"/>
      <c r="BP13945" s="197"/>
      <c r="BQ13945" s="197"/>
    </row>
    <row r="13946" spans="66:69" x14ac:dyDescent="0.2">
      <c r="BN13946" s="192"/>
      <c r="BO13946" s="197"/>
      <c r="BP13946" s="197"/>
      <c r="BQ13946" s="197"/>
    </row>
    <row r="13947" spans="66:69" x14ac:dyDescent="0.2">
      <c r="BN13947" s="192"/>
      <c r="BO13947" s="197"/>
      <c r="BP13947" s="197"/>
      <c r="BQ13947" s="197"/>
    </row>
    <row r="13948" spans="66:69" x14ac:dyDescent="0.2">
      <c r="BN13948" s="192"/>
      <c r="BO13948" s="197"/>
      <c r="BP13948" s="197"/>
      <c r="BQ13948" s="197"/>
    </row>
    <row r="13949" spans="66:69" x14ac:dyDescent="0.2">
      <c r="BN13949" s="192"/>
      <c r="BO13949" s="197"/>
      <c r="BP13949" s="197"/>
      <c r="BQ13949" s="197"/>
    </row>
    <row r="13950" spans="66:69" x14ac:dyDescent="0.2">
      <c r="BN13950" s="192"/>
      <c r="BO13950" s="197"/>
      <c r="BP13950" s="197"/>
      <c r="BQ13950" s="197"/>
    </row>
    <row r="13951" spans="66:69" x14ac:dyDescent="0.2">
      <c r="BN13951" s="192"/>
      <c r="BO13951" s="197"/>
      <c r="BP13951" s="197"/>
      <c r="BQ13951" s="197"/>
    </row>
    <row r="13952" spans="66:69" x14ac:dyDescent="0.2">
      <c r="BN13952" s="192"/>
      <c r="BO13952" s="197"/>
      <c r="BP13952" s="197"/>
      <c r="BQ13952" s="197"/>
    </row>
    <row r="13953" spans="66:69" x14ac:dyDescent="0.2">
      <c r="BN13953" s="192"/>
      <c r="BO13953" s="197"/>
      <c r="BP13953" s="197"/>
      <c r="BQ13953" s="197"/>
    </row>
    <row r="13954" spans="66:69" x14ac:dyDescent="0.2">
      <c r="BN13954" s="192"/>
      <c r="BO13954" s="197"/>
      <c r="BP13954" s="197"/>
      <c r="BQ13954" s="197"/>
    </row>
    <row r="13955" spans="66:69" x14ac:dyDescent="0.2">
      <c r="BN13955" s="192"/>
      <c r="BO13955" s="197"/>
      <c r="BP13955" s="197"/>
      <c r="BQ13955" s="197"/>
    </row>
    <row r="13956" spans="66:69" x14ac:dyDescent="0.2">
      <c r="BN13956" s="192"/>
      <c r="BO13956" s="197"/>
      <c r="BP13956" s="197"/>
      <c r="BQ13956" s="197"/>
    </row>
    <row r="13957" spans="66:69" x14ac:dyDescent="0.2">
      <c r="BN13957" s="192"/>
      <c r="BO13957" s="197"/>
      <c r="BP13957" s="197"/>
      <c r="BQ13957" s="197"/>
    </row>
    <row r="13958" spans="66:69" x14ac:dyDescent="0.2">
      <c r="BN13958" s="192"/>
      <c r="BO13958" s="197"/>
      <c r="BP13958" s="197"/>
      <c r="BQ13958" s="197"/>
    </row>
    <row r="13959" spans="66:69" x14ac:dyDescent="0.2">
      <c r="BN13959" s="192"/>
      <c r="BO13959" s="197"/>
      <c r="BP13959" s="197"/>
      <c r="BQ13959" s="197"/>
    </row>
    <row r="13960" spans="66:69" x14ac:dyDescent="0.2">
      <c r="BN13960" s="192"/>
      <c r="BO13960" s="197"/>
      <c r="BP13960" s="197"/>
      <c r="BQ13960" s="197"/>
    </row>
    <row r="13961" spans="66:69" x14ac:dyDescent="0.2">
      <c r="BN13961" s="192"/>
      <c r="BO13961" s="197"/>
      <c r="BP13961" s="197"/>
      <c r="BQ13961" s="197"/>
    </row>
    <row r="13962" spans="66:69" x14ac:dyDescent="0.2">
      <c r="BN13962" s="192"/>
      <c r="BO13962" s="197"/>
      <c r="BP13962" s="197"/>
      <c r="BQ13962" s="197"/>
    </row>
    <row r="13963" spans="66:69" x14ac:dyDescent="0.2">
      <c r="BN13963" s="192"/>
      <c r="BO13963" s="197"/>
      <c r="BP13963" s="197"/>
      <c r="BQ13963" s="197"/>
    </row>
    <row r="13964" spans="66:69" x14ac:dyDescent="0.2">
      <c r="BN13964" s="192"/>
      <c r="BO13964" s="197"/>
      <c r="BP13964" s="197"/>
      <c r="BQ13964" s="197"/>
    </row>
    <row r="13965" spans="66:69" x14ac:dyDescent="0.2">
      <c r="BN13965" s="192"/>
      <c r="BO13965" s="197"/>
      <c r="BP13965" s="197"/>
      <c r="BQ13965" s="197"/>
    </row>
    <row r="13966" spans="66:69" x14ac:dyDescent="0.2">
      <c r="BN13966" s="192"/>
      <c r="BO13966" s="197"/>
      <c r="BP13966" s="197"/>
      <c r="BQ13966" s="197"/>
    </row>
    <row r="13967" spans="66:69" x14ac:dyDescent="0.2">
      <c r="BN13967" s="192"/>
      <c r="BO13967" s="197"/>
      <c r="BP13967" s="197"/>
      <c r="BQ13967" s="197"/>
    </row>
    <row r="13968" spans="66:69" x14ac:dyDescent="0.2">
      <c r="BN13968" s="192"/>
      <c r="BO13968" s="197"/>
      <c r="BP13968" s="197"/>
      <c r="BQ13968" s="197"/>
    </row>
    <row r="13969" spans="66:69" x14ac:dyDescent="0.2">
      <c r="BN13969" s="192"/>
      <c r="BO13969" s="197"/>
      <c r="BP13969" s="197"/>
      <c r="BQ13969" s="197"/>
    </row>
    <row r="13970" spans="66:69" x14ac:dyDescent="0.2">
      <c r="BN13970" s="192"/>
      <c r="BO13970" s="197"/>
      <c r="BP13970" s="197"/>
      <c r="BQ13970" s="197"/>
    </row>
    <row r="13971" spans="66:69" x14ac:dyDescent="0.2">
      <c r="BN13971" s="192"/>
      <c r="BO13971" s="197"/>
      <c r="BP13971" s="197"/>
      <c r="BQ13971" s="197"/>
    </row>
    <row r="13972" spans="66:69" x14ac:dyDescent="0.2">
      <c r="BN13972" s="192"/>
      <c r="BO13972" s="197"/>
      <c r="BP13972" s="197"/>
      <c r="BQ13972" s="197"/>
    </row>
    <row r="13973" spans="66:69" x14ac:dyDescent="0.2">
      <c r="BN13973" s="192"/>
      <c r="BO13973" s="197"/>
      <c r="BP13973" s="197"/>
      <c r="BQ13973" s="197"/>
    </row>
    <row r="13974" spans="66:69" x14ac:dyDescent="0.2">
      <c r="BN13974" s="192"/>
      <c r="BO13974" s="197"/>
      <c r="BP13974" s="197"/>
      <c r="BQ13974" s="197"/>
    </row>
    <row r="13975" spans="66:69" x14ac:dyDescent="0.2">
      <c r="BN13975" s="192"/>
      <c r="BO13975" s="197"/>
      <c r="BP13975" s="197"/>
      <c r="BQ13975" s="197"/>
    </row>
    <row r="13976" spans="66:69" x14ac:dyDescent="0.2">
      <c r="BN13976" s="192"/>
      <c r="BO13976" s="197"/>
      <c r="BP13976" s="197"/>
      <c r="BQ13976" s="197"/>
    </row>
    <row r="13977" spans="66:69" x14ac:dyDescent="0.2">
      <c r="BN13977" s="192"/>
      <c r="BO13977" s="197"/>
      <c r="BP13977" s="197"/>
      <c r="BQ13977" s="197"/>
    </row>
    <row r="13978" spans="66:69" x14ac:dyDescent="0.2">
      <c r="BN13978" s="192"/>
      <c r="BO13978" s="197"/>
      <c r="BP13978" s="197"/>
      <c r="BQ13978" s="197"/>
    </row>
    <row r="13979" spans="66:69" x14ac:dyDescent="0.2">
      <c r="BN13979" s="192"/>
      <c r="BO13979" s="197"/>
      <c r="BP13979" s="197"/>
      <c r="BQ13979" s="197"/>
    </row>
    <row r="13980" spans="66:69" x14ac:dyDescent="0.2">
      <c r="BN13980" s="192"/>
      <c r="BO13980" s="197"/>
      <c r="BP13980" s="197"/>
      <c r="BQ13980" s="197"/>
    </row>
    <row r="13981" spans="66:69" x14ac:dyDescent="0.2">
      <c r="BN13981" s="192"/>
      <c r="BO13981" s="197"/>
      <c r="BP13981" s="197"/>
      <c r="BQ13981" s="197"/>
    </row>
    <row r="13982" spans="66:69" x14ac:dyDescent="0.2">
      <c r="BN13982" s="192"/>
      <c r="BO13982" s="197"/>
      <c r="BP13982" s="197"/>
      <c r="BQ13982" s="197"/>
    </row>
    <row r="13983" spans="66:69" x14ac:dyDescent="0.2">
      <c r="BN13983" s="192"/>
      <c r="BO13983" s="197"/>
      <c r="BP13983" s="197"/>
      <c r="BQ13983" s="197"/>
    </row>
    <row r="13984" spans="66:69" x14ac:dyDescent="0.2">
      <c r="BN13984" s="192"/>
      <c r="BO13984" s="197"/>
      <c r="BP13984" s="197"/>
      <c r="BQ13984" s="197"/>
    </row>
    <row r="13985" spans="66:69" x14ac:dyDescent="0.2">
      <c r="BN13985" s="192"/>
      <c r="BO13985" s="197"/>
      <c r="BP13985" s="197"/>
      <c r="BQ13985" s="197"/>
    </row>
    <row r="13986" spans="66:69" x14ac:dyDescent="0.2">
      <c r="BN13986" s="192"/>
      <c r="BO13986" s="197"/>
      <c r="BP13986" s="197"/>
      <c r="BQ13986" s="197"/>
    </row>
    <row r="13987" spans="66:69" x14ac:dyDescent="0.2">
      <c r="BN13987" s="192"/>
      <c r="BO13987" s="197"/>
      <c r="BP13987" s="197"/>
      <c r="BQ13987" s="197"/>
    </row>
    <row r="13988" spans="66:69" x14ac:dyDescent="0.2">
      <c r="BN13988" s="192"/>
      <c r="BO13988" s="197"/>
      <c r="BP13988" s="197"/>
      <c r="BQ13988" s="197"/>
    </row>
    <row r="13989" spans="66:69" x14ac:dyDescent="0.2">
      <c r="BN13989" s="192"/>
      <c r="BO13989" s="197"/>
      <c r="BP13989" s="197"/>
      <c r="BQ13989" s="197"/>
    </row>
    <row r="13990" spans="66:69" x14ac:dyDescent="0.2">
      <c r="BN13990" s="192"/>
      <c r="BO13990" s="197"/>
      <c r="BP13990" s="197"/>
      <c r="BQ13990" s="197"/>
    </row>
    <row r="13991" spans="66:69" x14ac:dyDescent="0.2">
      <c r="BN13991" s="192"/>
      <c r="BO13991" s="197"/>
      <c r="BP13991" s="197"/>
      <c r="BQ13991" s="197"/>
    </row>
    <row r="13992" spans="66:69" x14ac:dyDescent="0.2">
      <c r="BN13992" s="192"/>
      <c r="BO13992" s="197"/>
      <c r="BP13992" s="197"/>
      <c r="BQ13992" s="197"/>
    </row>
    <row r="13993" spans="66:69" x14ac:dyDescent="0.2">
      <c r="BN13993" s="192"/>
      <c r="BO13993" s="197"/>
      <c r="BP13993" s="197"/>
      <c r="BQ13993" s="197"/>
    </row>
    <row r="13994" spans="66:69" x14ac:dyDescent="0.2">
      <c r="BN13994" s="192"/>
      <c r="BO13994" s="197"/>
      <c r="BP13994" s="197"/>
      <c r="BQ13994" s="197"/>
    </row>
    <row r="13995" spans="66:69" x14ac:dyDescent="0.2">
      <c r="BN13995" s="192"/>
      <c r="BO13995" s="197"/>
      <c r="BP13995" s="197"/>
      <c r="BQ13995" s="197"/>
    </row>
    <row r="13996" spans="66:69" x14ac:dyDescent="0.2">
      <c r="BN13996" s="192"/>
      <c r="BO13996" s="197"/>
      <c r="BP13996" s="197"/>
      <c r="BQ13996" s="197"/>
    </row>
    <row r="13997" spans="66:69" x14ac:dyDescent="0.2">
      <c r="BN13997" s="192"/>
      <c r="BO13997" s="197"/>
      <c r="BP13997" s="197"/>
      <c r="BQ13997" s="197"/>
    </row>
    <row r="13998" spans="66:69" x14ac:dyDescent="0.2">
      <c r="BN13998" s="192"/>
      <c r="BO13998" s="197"/>
      <c r="BP13998" s="197"/>
      <c r="BQ13998" s="197"/>
    </row>
    <row r="13999" spans="66:69" x14ac:dyDescent="0.2">
      <c r="BN13999" s="192"/>
      <c r="BO13999" s="197"/>
      <c r="BP13999" s="197"/>
      <c r="BQ13999" s="197"/>
    </row>
    <row r="14000" spans="66:69" x14ac:dyDescent="0.2">
      <c r="BN14000" s="192"/>
      <c r="BO14000" s="197"/>
      <c r="BP14000" s="197"/>
      <c r="BQ14000" s="197"/>
    </row>
    <row r="14001" spans="66:69" x14ac:dyDescent="0.2">
      <c r="BN14001" s="192"/>
      <c r="BO14001" s="197"/>
      <c r="BP14001" s="197"/>
      <c r="BQ14001" s="197"/>
    </row>
    <row r="14002" spans="66:69" x14ac:dyDescent="0.2">
      <c r="BN14002" s="192"/>
      <c r="BO14002" s="197"/>
      <c r="BP14002" s="197"/>
      <c r="BQ14002" s="197"/>
    </row>
    <row r="14003" spans="66:69" x14ac:dyDescent="0.2">
      <c r="BN14003" s="192"/>
      <c r="BO14003" s="197"/>
      <c r="BP14003" s="197"/>
      <c r="BQ14003" s="197"/>
    </row>
    <row r="14004" spans="66:69" x14ac:dyDescent="0.2">
      <c r="BN14004" s="192"/>
      <c r="BO14004" s="197"/>
      <c r="BP14004" s="197"/>
      <c r="BQ14004" s="197"/>
    </row>
    <row r="14005" spans="66:69" x14ac:dyDescent="0.2">
      <c r="BN14005" s="192"/>
      <c r="BO14005" s="197"/>
      <c r="BP14005" s="197"/>
      <c r="BQ14005" s="197"/>
    </row>
    <row r="14006" spans="66:69" x14ac:dyDescent="0.2">
      <c r="BN14006" s="192"/>
      <c r="BO14006" s="197"/>
      <c r="BP14006" s="197"/>
      <c r="BQ14006" s="197"/>
    </row>
    <row r="14007" spans="66:69" x14ac:dyDescent="0.2">
      <c r="BN14007" s="192"/>
      <c r="BO14007" s="197"/>
      <c r="BP14007" s="197"/>
      <c r="BQ14007" s="197"/>
    </row>
    <row r="14008" spans="66:69" x14ac:dyDescent="0.2">
      <c r="BN14008" s="192"/>
      <c r="BO14008" s="197"/>
      <c r="BP14008" s="197"/>
      <c r="BQ14008" s="197"/>
    </row>
    <row r="14009" spans="66:69" x14ac:dyDescent="0.2">
      <c r="BN14009" s="192"/>
      <c r="BO14009" s="197"/>
      <c r="BP14009" s="197"/>
      <c r="BQ14009" s="197"/>
    </row>
    <row r="14010" spans="66:69" x14ac:dyDescent="0.2">
      <c r="BN14010" s="192"/>
      <c r="BO14010" s="197"/>
      <c r="BP14010" s="197"/>
      <c r="BQ14010" s="197"/>
    </row>
    <row r="14011" spans="66:69" x14ac:dyDescent="0.2">
      <c r="BN14011" s="192"/>
      <c r="BO14011" s="197"/>
      <c r="BP14011" s="197"/>
      <c r="BQ14011" s="197"/>
    </row>
    <row r="14012" spans="66:69" x14ac:dyDescent="0.2">
      <c r="BN14012" s="192"/>
      <c r="BO14012" s="197"/>
      <c r="BP14012" s="197"/>
      <c r="BQ14012" s="197"/>
    </row>
    <row r="14013" spans="66:69" x14ac:dyDescent="0.2">
      <c r="BN14013" s="192"/>
      <c r="BO14013" s="197"/>
      <c r="BP14013" s="197"/>
      <c r="BQ14013" s="197"/>
    </row>
    <row r="14014" spans="66:69" x14ac:dyDescent="0.2">
      <c r="BN14014" s="192"/>
      <c r="BO14014" s="197"/>
      <c r="BP14014" s="197"/>
      <c r="BQ14014" s="197"/>
    </row>
    <row r="14015" spans="66:69" x14ac:dyDescent="0.2">
      <c r="BN14015" s="192"/>
      <c r="BO14015" s="197"/>
      <c r="BP14015" s="197"/>
      <c r="BQ14015" s="197"/>
    </row>
    <row r="14016" spans="66:69" x14ac:dyDescent="0.2">
      <c r="BN14016" s="192"/>
      <c r="BO14016" s="197"/>
      <c r="BP14016" s="197"/>
      <c r="BQ14016" s="197"/>
    </row>
    <row r="14017" spans="66:69" x14ac:dyDescent="0.2">
      <c r="BN14017" s="192"/>
      <c r="BO14017" s="197"/>
      <c r="BP14017" s="197"/>
      <c r="BQ14017" s="197"/>
    </row>
    <row r="14018" spans="66:69" x14ac:dyDescent="0.2">
      <c r="BN14018" s="192"/>
      <c r="BO14018" s="197"/>
      <c r="BP14018" s="197"/>
      <c r="BQ14018" s="197"/>
    </row>
    <row r="14019" spans="66:69" x14ac:dyDescent="0.2">
      <c r="BN14019" s="192"/>
      <c r="BO14019" s="197"/>
      <c r="BP14019" s="197"/>
      <c r="BQ14019" s="197"/>
    </row>
    <row r="14020" spans="66:69" x14ac:dyDescent="0.2">
      <c r="BN14020" s="192"/>
      <c r="BO14020" s="197"/>
      <c r="BP14020" s="197"/>
      <c r="BQ14020" s="197"/>
    </row>
    <row r="14021" spans="66:69" x14ac:dyDescent="0.2">
      <c r="BN14021" s="192"/>
      <c r="BO14021" s="197"/>
      <c r="BP14021" s="197"/>
      <c r="BQ14021" s="197"/>
    </row>
    <row r="14022" spans="66:69" x14ac:dyDescent="0.2">
      <c r="BN14022" s="192"/>
      <c r="BO14022" s="197"/>
      <c r="BP14022" s="197"/>
      <c r="BQ14022" s="197"/>
    </row>
    <row r="14023" spans="66:69" x14ac:dyDescent="0.2">
      <c r="BN14023" s="192"/>
      <c r="BO14023" s="197"/>
      <c r="BP14023" s="197"/>
      <c r="BQ14023" s="197"/>
    </row>
    <row r="14024" spans="66:69" x14ac:dyDescent="0.2">
      <c r="BN14024" s="192"/>
      <c r="BO14024" s="197"/>
      <c r="BP14024" s="197"/>
      <c r="BQ14024" s="197"/>
    </row>
    <row r="14025" spans="66:69" x14ac:dyDescent="0.2">
      <c r="BN14025" s="192"/>
      <c r="BO14025" s="197"/>
      <c r="BP14025" s="197"/>
      <c r="BQ14025" s="197"/>
    </row>
    <row r="14026" spans="66:69" x14ac:dyDescent="0.2">
      <c r="BN14026" s="192"/>
      <c r="BO14026" s="197"/>
      <c r="BP14026" s="197"/>
      <c r="BQ14026" s="197"/>
    </row>
    <row r="14027" spans="66:69" x14ac:dyDescent="0.2">
      <c r="BN14027" s="192"/>
      <c r="BO14027" s="197"/>
      <c r="BP14027" s="197"/>
      <c r="BQ14027" s="197"/>
    </row>
    <row r="14028" spans="66:69" x14ac:dyDescent="0.2">
      <c r="BN14028" s="192"/>
      <c r="BO14028" s="197"/>
      <c r="BP14028" s="197"/>
      <c r="BQ14028" s="197"/>
    </row>
    <row r="14029" spans="66:69" x14ac:dyDescent="0.2">
      <c r="BN14029" s="192"/>
      <c r="BO14029" s="197"/>
      <c r="BP14029" s="197"/>
      <c r="BQ14029" s="197"/>
    </row>
    <row r="14030" spans="66:69" x14ac:dyDescent="0.2">
      <c r="BN14030" s="192"/>
      <c r="BO14030" s="197"/>
      <c r="BP14030" s="197"/>
      <c r="BQ14030" s="197"/>
    </row>
    <row r="14031" spans="66:69" x14ac:dyDescent="0.2">
      <c r="BN14031" s="192"/>
      <c r="BO14031" s="197"/>
      <c r="BP14031" s="197"/>
      <c r="BQ14031" s="197"/>
    </row>
    <row r="14032" spans="66:69" x14ac:dyDescent="0.2">
      <c r="BN14032" s="192"/>
      <c r="BO14032" s="197"/>
      <c r="BP14032" s="197"/>
      <c r="BQ14032" s="197"/>
    </row>
    <row r="14033" spans="66:69" x14ac:dyDescent="0.2">
      <c r="BN14033" s="192"/>
      <c r="BO14033" s="197"/>
      <c r="BP14033" s="197"/>
      <c r="BQ14033" s="197"/>
    </row>
    <row r="14034" spans="66:69" x14ac:dyDescent="0.2">
      <c r="BN14034" s="192"/>
      <c r="BO14034" s="197"/>
      <c r="BP14034" s="197"/>
      <c r="BQ14034" s="197"/>
    </row>
    <row r="14035" spans="66:69" x14ac:dyDescent="0.2">
      <c r="BN14035" s="192"/>
      <c r="BO14035" s="197"/>
      <c r="BP14035" s="197"/>
      <c r="BQ14035" s="197"/>
    </row>
    <row r="14036" spans="66:69" x14ac:dyDescent="0.2">
      <c r="BN14036" s="192"/>
      <c r="BO14036" s="197"/>
      <c r="BP14036" s="197"/>
      <c r="BQ14036" s="197"/>
    </row>
    <row r="14037" spans="66:69" x14ac:dyDescent="0.2">
      <c r="BN14037" s="192"/>
      <c r="BO14037" s="197"/>
      <c r="BP14037" s="197"/>
      <c r="BQ14037" s="197"/>
    </row>
    <row r="14038" spans="66:69" x14ac:dyDescent="0.2">
      <c r="BN14038" s="192"/>
      <c r="BO14038" s="197"/>
      <c r="BP14038" s="197"/>
      <c r="BQ14038" s="197"/>
    </row>
    <row r="14039" spans="66:69" x14ac:dyDescent="0.2">
      <c r="BN14039" s="192"/>
      <c r="BO14039" s="197"/>
      <c r="BP14039" s="197"/>
      <c r="BQ14039" s="197"/>
    </row>
    <row r="14040" spans="66:69" x14ac:dyDescent="0.2">
      <c r="BN14040" s="192"/>
      <c r="BO14040" s="197"/>
      <c r="BP14040" s="197"/>
      <c r="BQ14040" s="197"/>
    </row>
    <row r="14041" spans="66:69" x14ac:dyDescent="0.2">
      <c r="BN14041" s="192"/>
      <c r="BO14041" s="197"/>
      <c r="BP14041" s="197"/>
      <c r="BQ14041" s="197"/>
    </row>
    <row r="14042" spans="66:69" x14ac:dyDescent="0.2">
      <c r="BN14042" s="192"/>
      <c r="BO14042" s="197"/>
      <c r="BP14042" s="197"/>
      <c r="BQ14042" s="197"/>
    </row>
    <row r="14043" spans="66:69" x14ac:dyDescent="0.2">
      <c r="BN14043" s="192"/>
      <c r="BO14043" s="197"/>
      <c r="BP14043" s="197"/>
      <c r="BQ14043" s="197"/>
    </row>
    <row r="14044" spans="66:69" x14ac:dyDescent="0.2">
      <c r="BN14044" s="192"/>
      <c r="BO14044" s="197"/>
      <c r="BP14044" s="197"/>
      <c r="BQ14044" s="197"/>
    </row>
    <row r="14045" spans="66:69" x14ac:dyDescent="0.2">
      <c r="BN14045" s="192"/>
      <c r="BO14045" s="197"/>
      <c r="BP14045" s="197"/>
      <c r="BQ14045" s="197"/>
    </row>
    <row r="14046" spans="66:69" x14ac:dyDescent="0.2">
      <c r="BN14046" s="192"/>
      <c r="BO14046" s="197"/>
      <c r="BP14046" s="197"/>
      <c r="BQ14046" s="197"/>
    </row>
    <row r="14047" spans="66:69" x14ac:dyDescent="0.2">
      <c r="BN14047" s="192"/>
      <c r="BO14047" s="197"/>
      <c r="BP14047" s="197"/>
      <c r="BQ14047" s="197"/>
    </row>
    <row r="14048" spans="66:69" x14ac:dyDescent="0.2">
      <c r="BN14048" s="192"/>
      <c r="BO14048" s="197"/>
      <c r="BP14048" s="197"/>
      <c r="BQ14048" s="197"/>
    </row>
    <row r="14049" spans="66:69" x14ac:dyDescent="0.2">
      <c r="BN14049" s="192"/>
      <c r="BO14049" s="197"/>
      <c r="BP14049" s="197"/>
      <c r="BQ14049" s="197"/>
    </row>
    <row r="14050" spans="66:69" x14ac:dyDescent="0.2">
      <c r="BN14050" s="192"/>
      <c r="BO14050" s="197"/>
      <c r="BP14050" s="197"/>
      <c r="BQ14050" s="197"/>
    </row>
    <row r="14051" spans="66:69" x14ac:dyDescent="0.2">
      <c r="BN14051" s="192"/>
      <c r="BO14051" s="197"/>
      <c r="BP14051" s="197"/>
      <c r="BQ14051" s="197"/>
    </row>
    <row r="14052" spans="66:69" x14ac:dyDescent="0.2">
      <c r="BN14052" s="192"/>
      <c r="BO14052" s="197"/>
      <c r="BP14052" s="197"/>
      <c r="BQ14052" s="197"/>
    </row>
    <row r="14053" spans="66:69" x14ac:dyDescent="0.2">
      <c r="BN14053" s="192"/>
      <c r="BO14053" s="197"/>
      <c r="BP14053" s="197"/>
      <c r="BQ14053" s="197"/>
    </row>
    <row r="14054" spans="66:69" x14ac:dyDescent="0.2">
      <c r="BN14054" s="192"/>
      <c r="BO14054" s="197"/>
      <c r="BP14054" s="197"/>
      <c r="BQ14054" s="197"/>
    </row>
    <row r="14055" spans="66:69" x14ac:dyDescent="0.2">
      <c r="BN14055" s="192"/>
      <c r="BO14055" s="197"/>
      <c r="BP14055" s="197"/>
      <c r="BQ14055" s="197"/>
    </row>
    <row r="14056" spans="66:69" x14ac:dyDescent="0.2">
      <c r="BN14056" s="192"/>
      <c r="BO14056" s="197"/>
      <c r="BP14056" s="197"/>
      <c r="BQ14056" s="197"/>
    </row>
    <row r="14057" spans="66:69" x14ac:dyDescent="0.2">
      <c r="BN14057" s="192"/>
      <c r="BO14057" s="197"/>
      <c r="BP14057" s="197"/>
      <c r="BQ14057" s="197"/>
    </row>
    <row r="14058" spans="66:69" x14ac:dyDescent="0.2">
      <c r="BN14058" s="192"/>
      <c r="BO14058" s="197"/>
      <c r="BP14058" s="197"/>
      <c r="BQ14058" s="197"/>
    </row>
    <row r="14059" spans="66:69" x14ac:dyDescent="0.2">
      <c r="BN14059" s="192"/>
      <c r="BO14059" s="197"/>
      <c r="BP14059" s="197"/>
      <c r="BQ14059" s="197"/>
    </row>
    <row r="14060" spans="66:69" x14ac:dyDescent="0.2">
      <c r="BN14060" s="192"/>
      <c r="BO14060" s="197"/>
      <c r="BP14060" s="197"/>
      <c r="BQ14060" s="197"/>
    </row>
    <row r="14061" spans="66:69" x14ac:dyDescent="0.2">
      <c r="BN14061" s="192"/>
      <c r="BO14061" s="197"/>
      <c r="BP14061" s="197"/>
      <c r="BQ14061" s="197"/>
    </row>
    <row r="14062" spans="66:69" x14ac:dyDescent="0.2">
      <c r="BN14062" s="192"/>
      <c r="BO14062" s="197"/>
      <c r="BP14062" s="197"/>
      <c r="BQ14062" s="197"/>
    </row>
    <row r="14063" spans="66:69" x14ac:dyDescent="0.2">
      <c r="BN14063" s="192"/>
      <c r="BO14063" s="197"/>
      <c r="BP14063" s="197"/>
      <c r="BQ14063" s="197"/>
    </row>
    <row r="14064" spans="66:69" x14ac:dyDescent="0.2">
      <c r="BN14064" s="192"/>
      <c r="BO14064" s="197"/>
      <c r="BP14064" s="197"/>
      <c r="BQ14064" s="197"/>
    </row>
    <row r="14065" spans="66:69" x14ac:dyDescent="0.2">
      <c r="BN14065" s="192"/>
      <c r="BO14065" s="197"/>
      <c r="BP14065" s="197"/>
      <c r="BQ14065" s="197"/>
    </row>
    <row r="14066" spans="66:69" x14ac:dyDescent="0.2">
      <c r="BN14066" s="192"/>
      <c r="BO14066" s="197"/>
      <c r="BP14066" s="197"/>
      <c r="BQ14066" s="197"/>
    </row>
    <row r="14067" spans="66:69" x14ac:dyDescent="0.2">
      <c r="BN14067" s="192"/>
      <c r="BO14067" s="197"/>
      <c r="BP14067" s="197"/>
      <c r="BQ14067" s="197"/>
    </row>
    <row r="14068" spans="66:69" x14ac:dyDescent="0.2">
      <c r="BN14068" s="192"/>
      <c r="BO14068" s="197"/>
      <c r="BP14068" s="197"/>
      <c r="BQ14068" s="197"/>
    </row>
    <row r="14069" spans="66:69" x14ac:dyDescent="0.2">
      <c r="BN14069" s="192"/>
      <c r="BO14069" s="197"/>
      <c r="BP14069" s="197"/>
      <c r="BQ14069" s="197"/>
    </row>
    <row r="14070" spans="66:69" x14ac:dyDescent="0.2">
      <c r="BN14070" s="192"/>
      <c r="BO14070" s="197"/>
      <c r="BP14070" s="197"/>
      <c r="BQ14070" s="197"/>
    </row>
    <row r="14071" spans="66:69" x14ac:dyDescent="0.2">
      <c r="BN14071" s="192"/>
      <c r="BO14071" s="197"/>
      <c r="BP14071" s="197"/>
      <c r="BQ14071" s="197"/>
    </row>
    <row r="14072" spans="66:69" x14ac:dyDescent="0.2">
      <c r="BN14072" s="192"/>
      <c r="BO14072" s="197"/>
      <c r="BP14072" s="197"/>
      <c r="BQ14072" s="197"/>
    </row>
    <row r="14073" spans="66:69" x14ac:dyDescent="0.2">
      <c r="BN14073" s="192"/>
      <c r="BO14073" s="197"/>
      <c r="BP14073" s="197"/>
      <c r="BQ14073" s="197"/>
    </row>
    <row r="14074" spans="66:69" x14ac:dyDescent="0.2">
      <c r="BN14074" s="192"/>
      <c r="BO14074" s="197"/>
      <c r="BP14074" s="197"/>
      <c r="BQ14074" s="197"/>
    </row>
    <row r="14075" spans="66:69" x14ac:dyDescent="0.2">
      <c r="BN14075" s="192"/>
      <c r="BO14075" s="197"/>
      <c r="BP14075" s="197"/>
      <c r="BQ14075" s="197"/>
    </row>
    <row r="14076" spans="66:69" x14ac:dyDescent="0.2">
      <c r="BN14076" s="192"/>
      <c r="BO14076" s="197"/>
      <c r="BP14076" s="197"/>
      <c r="BQ14076" s="197"/>
    </row>
    <row r="14077" spans="66:69" x14ac:dyDescent="0.2">
      <c r="BN14077" s="192"/>
      <c r="BO14077" s="197"/>
      <c r="BP14077" s="197"/>
      <c r="BQ14077" s="197"/>
    </row>
    <row r="14078" spans="66:69" x14ac:dyDescent="0.2">
      <c r="BN14078" s="192"/>
      <c r="BO14078" s="197"/>
      <c r="BP14078" s="197"/>
      <c r="BQ14078" s="197"/>
    </row>
    <row r="14079" spans="66:69" x14ac:dyDescent="0.2">
      <c r="BN14079" s="192"/>
      <c r="BO14079" s="197"/>
      <c r="BP14079" s="197"/>
      <c r="BQ14079" s="197"/>
    </row>
    <row r="14080" spans="66:69" x14ac:dyDescent="0.2">
      <c r="BN14080" s="192"/>
      <c r="BO14080" s="197"/>
      <c r="BP14080" s="197"/>
      <c r="BQ14080" s="197"/>
    </row>
    <row r="14081" spans="66:69" x14ac:dyDescent="0.2">
      <c r="BN14081" s="192"/>
      <c r="BO14081" s="197"/>
      <c r="BP14081" s="197"/>
      <c r="BQ14081" s="197"/>
    </row>
    <row r="14082" spans="66:69" x14ac:dyDescent="0.2">
      <c r="BN14082" s="192"/>
      <c r="BO14082" s="197"/>
      <c r="BP14082" s="197"/>
      <c r="BQ14082" s="197"/>
    </row>
    <row r="14083" spans="66:69" x14ac:dyDescent="0.2">
      <c r="BN14083" s="192"/>
      <c r="BO14083" s="197"/>
      <c r="BP14083" s="197"/>
      <c r="BQ14083" s="197"/>
    </row>
    <row r="14084" spans="66:69" x14ac:dyDescent="0.2">
      <c r="BN14084" s="192"/>
      <c r="BO14084" s="197"/>
      <c r="BP14084" s="197"/>
      <c r="BQ14084" s="197"/>
    </row>
    <row r="14085" spans="66:69" x14ac:dyDescent="0.2">
      <c r="BN14085" s="192"/>
      <c r="BO14085" s="197"/>
      <c r="BP14085" s="197"/>
      <c r="BQ14085" s="197"/>
    </row>
    <row r="14086" spans="66:69" x14ac:dyDescent="0.2">
      <c r="BN14086" s="192"/>
      <c r="BO14086" s="197"/>
      <c r="BP14086" s="197"/>
      <c r="BQ14086" s="197"/>
    </row>
    <row r="14087" spans="66:69" x14ac:dyDescent="0.2">
      <c r="BN14087" s="192"/>
      <c r="BO14087" s="197"/>
      <c r="BP14087" s="197"/>
      <c r="BQ14087" s="197"/>
    </row>
    <row r="14088" spans="66:69" x14ac:dyDescent="0.2">
      <c r="BN14088" s="192"/>
      <c r="BO14088" s="197"/>
      <c r="BP14088" s="197"/>
      <c r="BQ14088" s="197"/>
    </row>
    <row r="14089" spans="66:69" x14ac:dyDescent="0.2">
      <c r="BN14089" s="192"/>
      <c r="BO14089" s="197"/>
      <c r="BP14089" s="197"/>
      <c r="BQ14089" s="197"/>
    </row>
    <row r="14090" spans="66:69" x14ac:dyDescent="0.2">
      <c r="BN14090" s="192"/>
      <c r="BO14090" s="197"/>
      <c r="BP14090" s="197"/>
      <c r="BQ14090" s="197"/>
    </row>
    <row r="14091" spans="66:69" x14ac:dyDescent="0.2">
      <c r="BN14091" s="192"/>
      <c r="BO14091" s="197"/>
      <c r="BP14091" s="197"/>
      <c r="BQ14091" s="197"/>
    </row>
    <row r="14092" spans="66:69" x14ac:dyDescent="0.2">
      <c r="BN14092" s="192"/>
      <c r="BO14092" s="197"/>
      <c r="BP14092" s="197"/>
      <c r="BQ14092" s="197"/>
    </row>
    <row r="14093" spans="66:69" x14ac:dyDescent="0.2">
      <c r="BN14093" s="192"/>
      <c r="BO14093" s="197"/>
      <c r="BP14093" s="197"/>
      <c r="BQ14093" s="197"/>
    </row>
    <row r="14094" spans="66:69" x14ac:dyDescent="0.2">
      <c r="BN14094" s="192"/>
      <c r="BO14094" s="197"/>
      <c r="BP14094" s="197"/>
      <c r="BQ14094" s="197"/>
    </row>
    <row r="14095" spans="66:69" x14ac:dyDescent="0.2">
      <c r="BN14095" s="192"/>
      <c r="BO14095" s="197"/>
      <c r="BP14095" s="197"/>
      <c r="BQ14095" s="197"/>
    </row>
    <row r="14096" spans="66:69" x14ac:dyDescent="0.2">
      <c r="BN14096" s="192"/>
      <c r="BO14096" s="197"/>
      <c r="BP14096" s="197"/>
      <c r="BQ14096" s="197"/>
    </row>
    <row r="14097" spans="66:69" x14ac:dyDescent="0.2">
      <c r="BN14097" s="192"/>
      <c r="BO14097" s="197"/>
      <c r="BP14097" s="197"/>
      <c r="BQ14097" s="197"/>
    </row>
    <row r="14098" spans="66:69" x14ac:dyDescent="0.2">
      <c r="BN14098" s="192"/>
      <c r="BO14098" s="197"/>
      <c r="BP14098" s="197"/>
      <c r="BQ14098" s="197"/>
    </row>
    <row r="14099" spans="66:69" x14ac:dyDescent="0.2">
      <c r="BN14099" s="192"/>
      <c r="BO14099" s="197"/>
      <c r="BP14099" s="197"/>
      <c r="BQ14099" s="197"/>
    </row>
    <row r="14100" spans="66:69" x14ac:dyDescent="0.2">
      <c r="BN14100" s="192"/>
      <c r="BO14100" s="197"/>
      <c r="BP14100" s="197"/>
      <c r="BQ14100" s="197"/>
    </row>
    <row r="14101" spans="66:69" x14ac:dyDescent="0.2">
      <c r="BN14101" s="192"/>
      <c r="BO14101" s="197"/>
      <c r="BP14101" s="197"/>
      <c r="BQ14101" s="197"/>
    </row>
    <row r="14102" spans="66:69" x14ac:dyDescent="0.2">
      <c r="BN14102" s="192"/>
      <c r="BO14102" s="197"/>
      <c r="BP14102" s="197"/>
      <c r="BQ14102" s="197"/>
    </row>
    <row r="14103" spans="66:69" x14ac:dyDescent="0.2">
      <c r="BN14103" s="192"/>
      <c r="BO14103" s="197"/>
      <c r="BP14103" s="197"/>
      <c r="BQ14103" s="197"/>
    </row>
    <row r="14104" spans="66:69" x14ac:dyDescent="0.2">
      <c r="BN14104" s="192"/>
      <c r="BO14104" s="197"/>
      <c r="BP14104" s="197"/>
      <c r="BQ14104" s="197"/>
    </row>
    <row r="14105" spans="66:69" x14ac:dyDescent="0.2">
      <c r="BN14105" s="192"/>
      <c r="BO14105" s="197"/>
      <c r="BP14105" s="197"/>
      <c r="BQ14105" s="197"/>
    </row>
    <row r="14106" spans="66:69" x14ac:dyDescent="0.2">
      <c r="BN14106" s="192"/>
      <c r="BO14106" s="197"/>
      <c r="BP14106" s="197"/>
      <c r="BQ14106" s="197"/>
    </row>
    <row r="14107" spans="66:69" x14ac:dyDescent="0.2">
      <c r="BN14107" s="192"/>
      <c r="BO14107" s="197"/>
      <c r="BP14107" s="197"/>
      <c r="BQ14107" s="197"/>
    </row>
    <row r="14108" spans="66:69" x14ac:dyDescent="0.2">
      <c r="BN14108" s="192"/>
      <c r="BO14108" s="197"/>
      <c r="BP14108" s="197"/>
      <c r="BQ14108" s="197"/>
    </row>
    <row r="14109" spans="66:69" x14ac:dyDescent="0.2">
      <c r="BN14109" s="192"/>
      <c r="BO14109" s="197"/>
      <c r="BP14109" s="197"/>
      <c r="BQ14109" s="197"/>
    </row>
    <row r="14110" spans="66:69" x14ac:dyDescent="0.2">
      <c r="BN14110" s="192"/>
      <c r="BO14110" s="197"/>
      <c r="BP14110" s="197"/>
      <c r="BQ14110" s="197"/>
    </row>
    <row r="14111" spans="66:69" x14ac:dyDescent="0.2">
      <c r="BN14111" s="192"/>
      <c r="BO14111" s="197"/>
      <c r="BP14111" s="197"/>
      <c r="BQ14111" s="197"/>
    </row>
    <row r="14112" spans="66:69" x14ac:dyDescent="0.2">
      <c r="BN14112" s="192"/>
      <c r="BO14112" s="197"/>
      <c r="BP14112" s="197"/>
      <c r="BQ14112" s="197"/>
    </row>
    <row r="14113" spans="66:69" x14ac:dyDescent="0.2">
      <c r="BN14113" s="192"/>
      <c r="BO14113" s="197"/>
      <c r="BP14113" s="197"/>
      <c r="BQ14113" s="197"/>
    </row>
    <row r="14114" spans="66:69" x14ac:dyDescent="0.2">
      <c r="BN14114" s="192"/>
      <c r="BO14114" s="197"/>
      <c r="BP14114" s="197"/>
      <c r="BQ14114" s="197"/>
    </row>
    <row r="14115" spans="66:69" x14ac:dyDescent="0.2">
      <c r="BN14115" s="192"/>
      <c r="BO14115" s="197"/>
      <c r="BP14115" s="197"/>
      <c r="BQ14115" s="197"/>
    </row>
    <row r="14116" spans="66:69" x14ac:dyDescent="0.2">
      <c r="BN14116" s="192"/>
      <c r="BO14116" s="197"/>
      <c r="BP14116" s="197"/>
      <c r="BQ14116" s="197"/>
    </row>
    <row r="14117" spans="66:69" x14ac:dyDescent="0.2">
      <c r="BN14117" s="192"/>
      <c r="BO14117" s="197"/>
      <c r="BP14117" s="197"/>
      <c r="BQ14117" s="197"/>
    </row>
    <row r="14118" spans="66:69" x14ac:dyDescent="0.2">
      <c r="BN14118" s="192"/>
      <c r="BO14118" s="197"/>
      <c r="BP14118" s="197"/>
      <c r="BQ14118" s="197"/>
    </row>
    <row r="14119" spans="66:69" x14ac:dyDescent="0.2">
      <c r="BN14119" s="192"/>
      <c r="BO14119" s="197"/>
      <c r="BP14119" s="197"/>
      <c r="BQ14119" s="197"/>
    </row>
    <row r="14120" spans="66:69" x14ac:dyDescent="0.2">
      <c r="BN14120" s="192"/>
      <c r="BO14120" s="197"/>
      <c r="BP14120" s="197"/>
      <c r="BQ14120" s="197"/>
    </row>
    <row r="14121" spans="66:69" x14ac:dyDescent="0.2">
      <c r="BN14121" s="192"/>
      <c r="BO14121" s="197"/>
      <c r="BP14121" s="197"/>
      <c r="BQ14121" s="197"/>
    </row>
    <row r="14122" spans="66:69" x14ac:dyDescent="0.2">
      <c r="BN14122" s="192"/>
      <c r="BO14122" s="197"/>
      <c r="BP14122" s="197"/>
      <c r="BQ14122" s="197"/>
    </row>
    <row r="14123" spans="66:69" x14ac:dyDescent="0.2">
      <c r="BN14123" s="192"/>
      <c r="BO14123" s="197"/>
      <c r="BP14123" s="197"/>
      <c r="BQ14123" s="197"/>
    </row>
    <row r="14124" spans="66:69" x14ac:dyDescent="0.2">
      <c r="BN14124" s="192"/>
      <c r="BO14124" s="197"/>
      <c r="BP14124" s="197"/>
      <c r="BQ14124" s="197"/>
    </row>
    <row r="14125" spans="66:69" x14ac:dyDescent="0.2">
      <c r="BN14125" s="192"/>
      <c r="BO14125" s="197"/>
      <c r="BP14125" s="197"/>
      <c r="BQ14125" s="197"/>
    </row>
    <row r="14126" spans="66:69" x14ac:dyDescent="0.2">
      <c r="BN14126" s="192"/>
      <c r="BO14126" s="197"/>
      <c r="BP14126" s="197"/>
      <c r="BQ14126" s="197"/>
    </row>
    <row r="14127" spans="66:69" x14ac:dyDescent="0.2">
      <c r="BN14127" s="192"/>
      <c r="BO14127" s="197"/>
      <c r="BP14127" s="197"/>
      <c r="BQ14127" s="197"/>
    </row>
    <row r="14128" spans="66:69" x14ac:dyDescent="0.2">
      <c r="BN14128" s="192"/>
      <c r="BO14128" s="197"/>
      <c r="BP14128" s="197"/>
      <c r="BQ14128" s="197"/>
    </row>
    <row r="14129" spans="66:69" x14ac:dyDescent="0.2">
      <c r="BN14129" s="192"/>
      <c r="BO14129" s="197"/>
      <c r="BP14129" s="197"/>
      <c r="BQ14129" s="197"/>
    </row>
    <row r="14130" spans="66:69" x14ac:dyDescent="0.2">
      <c r="BN14130" s="192"/>
      <c r="BO14130" s="197"/>
      <c r="BP14130" s="197"/>
      <c r="BQ14130" s="197"/>
    </row>
    <row r="14131" spans="66:69" x14ac:dyDescent="0.2">
      <c r="BN14131" s="192"/>
      <c r="BO14131" s="197"/>
      <c r="BP14131" s="197"/>
      <c r="BQ14131" s="197"/>
    </row>
    <row r="14132" spans="66:69" x14ac:dyDescent="0.2">
      <c r="BN14132" s="192"/>
      <c r="BO14132" s="197"/>
      <c r="BP14132" s="197"/>
      <c r="BQ14132" s="197"/>
    </row>
    <row r="14133" spans="66:69" x14ac:dyDescent="0.2">
      <c r="BN14133" s="192"/>
      <c r="BO14133" s="197"/>
      <c r="BP14133" s="197"/>
      <c r="BQ14133" s="197"/>
    </row>
    <row r="14134" spans="66:69" x14ac:dyDescent="0.2">
      <c r="BN14134" s="192"/>
      <c r="BO14134" s="197"/>
      <c r="BP14134" s="197"/>
      <c r="BQ14134" s="197"/>
    </row>
    <row r="14135" spans="66:69" x14ac:dyDescent="0.2">
      <c r="BN14135" s="192"/>
      <c r="BO14135" s="197"/>
      <c r="BP14135" s="197"/>
      <c r="BQ14135" s="197"/>
    </row>
    <row r="14136" spans="66:69" x14ac:dyDescent="0.2">
      <c r="BN14136" s="192"/>
      <c r="BO14136" s="197"/>
      <c r="BP14136" s="197"/>
      <c r="BQ14136" s="197"/>
    </row>
    <row r="14137" spans="66:69" x14ac:dyDescent="0.2">
      <c r="BN14137" s="192"/>
      <c r="BO14137" s="197"/>
      <c r="BP14137" s="197"/>
      <c r="BQ14137" s="197"/>
    </row>
    <row r="14138" spans="66:69" x14ac:dyDescent="0.2">
      <c r="BN14138" s="192"/>
      <c r="BO14138" s="197"/>
      <c r="BP14138" s="197"/>
      <c r="BQ14138" s="197"/>
    </row>
    <row r="14139" spans="66:69" x14ac:dyDescent="0.2">
      <c r="BN14139" s="192"/>
      <c r="BO14139" s="197"/>
      <c r="BP14139" s="197"/>
      <c r="BQ14139" s="197"/>
    </row>
    <row r="14140" spans="66:69" x14ac:dyDescent="0.2">
      <c r="BN14140" s="192"/>
      <c r="BO14140" s="197"/>
      <c r="BP14140" s="197"/>
      <c r="BQ14140" s="197"/>
    </row>
    <row r="14141" spans="66:69" x14ac:dyDescent="0.2">
      <c r="BN14141" s="192"/>
      <c r="BO14141" s="197"/>
      <c r="BP14141" s="197"/>
      <c r="BQ14141" s="197"/>
    </row>
    <row r="14142" spans="66:69" x14ac:dyDescent="0.2">
      <c r="BN14142" s="192"/>
      <c r="BO14142" s="197"/>
      <c r="BP14142" s="197"/>
      <c r="BQ14142" s="197"/>
    </row>
    <row r="14143" spans="66:69" x14ac:dyDescent="0.2">
      <c r="BN14143" s="192"/>
      <c r="BO14143" s="197"/>
      <c r="BP14143" s="197"/>
      <c r="BQ14143" s="197"/>
    </row>
    <row r="14144" spans="66:69" x14ac:dyDescent="0.2">
      <c r="BN14144" s="192"/>
      <c r="BO14144" s="197"/>
      <c r="BP14144" s="197"/>
      <c r="BQ14144" s="197"/>
    </row>
    <row r="14145" spans="66:69" x14ac:dyDescent="0.2">
      <c r="BN14145" s="192"/>
      <c r="BO14145" s="197"/>
      <c r="BP14145" s="197"/>
      <c r="BQ14145" s="197"/>
    </row>
    <row r="14146" spans="66:69" x14ac:dyDescent="0.2">
      <c r="BN14146" s="192"/>
      <c r="BO14146" s="197"/>
      <c r="BP14146" s="197"/>
      <c r="BQ14146" s="197"/>
    </row>
    <row r="14147" spans="66:69" x14ac:dyDescent="0.2">
      <c r="BN14147" s="192"/>
      <c r="BO14147" s="197"/>
      <c r="BP14147" s="197"/>
      <c r="BQ14147" s="197"/>
    </row>
    <row r="14148" spans="66:69" x14ac:dyDescent="0.2">
      <c r="BN14148" s="192"/>
      <c r="BO14148" s="197"/>
      <c r="BP14148" s="197"/>
      <c r="BQ14148" s="197"/>
    </row>
    <row r="14149" spans="66:69" x14ac:dyDescent="0.2">
      <c r="BN14149" s="192"/>
      <c r="BO14149" s="197"/>
      <c r="BP14149" s="197"/>
      <c r="BQ14149" s="197"/>
    </row>
    <row r="14150" spans="66:69" x14ac:dyDescent="0.2">
      <c r="BN14150" s="192"/>
      <c r="BO14150" s="197"/>
      <c r="BP14150" s="197"/>
      <c r="BQ14150" s="197"/>
    </row>
    <row r="14151" spans="66:69" x14ac:dyDescent="0.2">
      <c r="BN14151" s="192"/>
      <c r="BO14151" s="197"/>
      <c r="BP14151" s="197"/>
      <c r="BQ14151" s="197"/>
    </row>
    <row r="14152" spans="66:69" x14ac:dyDescent="0.2">
      <c r="BN14152" s="192"/>
      <c r="BO14152" s="197"/>
      <c r="BP14152" s="197"/>
      <c r="BQ14152" s="197"/>
    </row>
    <row r="14153" spans="66:69" x14ac:dyDescent="0.2">
      <c r="BN14153" s="192"/>
      <c r="BO14153" s="197"/>
      <c r="BP14153" s="197"/>
      <c r="BQ14153" s="197"/>
    </row>
    <row r="14154" spans="66:69" x14ac:dyDescent="0.2">
      <c r="BN14154" s="192"/>
      <c r="BO14154" s="197"/>
      <c r="BP14154" s="197"/>
      <c r="BQ14154" s="197"/>
    </row>
    <row r="14155" spans="66:69" x14ac:dyDescent="0.2">
      <c r="BN14155" s="192"/>
      <c r="BO14155" s="197"/>
      <c r="BP14155" s="197"/>
      <c r="BQ14155" s="197"/>
    </row>
    <row r="14156" spans="66:69" x14ac:dyDescent="0.2">
      <c r="BN14156" s="192"/>
      <c r="BO14156" s="197"/>
      <c r="BP14156" s="197"/>
      <c r="BQ14156" s="197"/>
    </row>
    <row r="14157" spans="66:69" x14ac:dyDescent="0.2">
      <c r="BN14157" s="192"/>
      <c r="BO14157" s="197"/>
      <c r="BP14157" s="197"/>
      <c r="BQ14157" s="197"/>
    </row>
    <row r="14158" spans="66:69" x14ac:dyDescent="0.2">
      <c r="BN14158" s="192"/>
      <c r="BO14158" s="197"/>
      <c r="BP14158" s="197"/>
      <c r="BQ14158" s="197"/>
    </row>
    <row r="14159" spans="66:69" x14ac:dyDescent="0.2">
      <c r="BN14159" s="192"/>
      <c r="BO14159" s="197"/>
      <c r="BP14159" s="197"/>
      <c r="BQ14159" s="197"/>
    </row>
    <row r="14160" spans="66:69" x14ac:dyDescent="0.2">
      <c r="BN14160" s="192"/>
      <c r="BO14160" s="197"/>
      <c r="BP14160" s="197"/>
      <c r="BQ14160" s="197"/>
    </row>
    <row r="14161" spans="66:69" x14ac:dyDescent="0.2">
      <c r="BN14161" s="192"/>
      <c r="BO14161" s="197"/>
      <c r="BP14161" s="197"/>
      <c r="BQ14161" s="197"/>
    </row>
    <row r="14162" spans="66:69" x14ac:dyDescent="0.2">
      <c r="BN14162" s="192"/>
      <c r="BO14162" s="197"/>
      <c r="BP14162" s="197"/>
      <c r="BQ14162" s="197"/>
    </row>
    <row r="14163" spans="66:69" x14ac:dyDescent="0.2">
      <c r="BN14163" s="192"/>
      <c r="BO14163" s="197"/>
      <c r="BP14163" s="197"/>
      <c r="BQ14163" s="197"/>
    </row>
    <row r="14164" spans="66:69" x14ac:dyDescent="0.2">
      <c r="BN14164" s="192"/>
      <c r="BO14164" s="197"/>
      <c r="BP14164" s="197"/>
      <c r="BQ14164" s="197"/>
    </row>
    <row r="14165" spans="66:69" x14ac:dyDescent="0.2">
      <c r="BN14165" s="192"/>
      <c r="BO14165" s="197"/>
      <c r="BP14165" s="197"/>
      <c r="BQ14165" s="197"/>
    </row>
    <row r="14166" spans="66:69" x14ac:dyDescent="0.2">
      <c r="BN14166" s="192"/>
      <c r="BO14166" s="197"/>
      <c r="BP14166" s="197"/>
      <c r="BQ14166" s="197"/>
    </row>
    <row r="14167" spans="66:69" x14ac:dyDescent="0.2">
      <c r="BN14167" s="192"/>
      <c r="BO14167" s="197"/>
      <c r="BP14167" s="197"/>
      <c r="BQ14167" s="197"/>
    </row>
    <row r="14168" spans="66:69" x14ac:dyDescent="0.2">
      <c r="BN14168" s="192"/>
      <c r="BO14168" s="197"/>
      <c r="BP14168" s="197"/>
      <c r="BQ14168" s="197"/>
    </row>
    <row r="14169" spans="66:69" x14ac:dyDescent="0.2">
      <c r="BN14169" s="192"/>
      <c r="BO14169" s="197"/>
      <c r="BP14169" s="197"/>
      <c r="BQ14169" s="197"/>
    </row>
    <row r="14170" spans="66:69" x14ac:dyDescent="0.2">
      <c r="BN14170" s="192"/>
      <c r="BO14170" s="197"/>
      <c r="BP14170" s="197"/>
      <c r="BQ14170" s="197"/>
    </row>
    <row r="14171" spans="66:69" x14ac:dyDescent="0.2">
      <c r="BN14171" s="192"/>
      <c r="BO14171" s="197"/>
      <c r="BP14171" s="197"/>
      <c r="BQ14171" s="197"/>
    </row>
    <row r="14172" spans="66:69" x14ac:dyDescent="0.2">
      <c r="BN14172" s="192"/>
      <c r="BO14172" s="197"/>
      <c r="BP14172" s="197"/>
      <c r="BQ14172" s="197"/>
    </row>
    <row r="14173" spans="66:69" x14ac:dyDescent="0.2">
      <c r="BN14173" s="192"/>
      <c r="BO14173" s="197"/>
      <c r="BP14173" s="197"/>
      <c r="BQ14173" s="197"/>
    </row>
    <row r="14174" spans="66:69" x14ac:dyDescent="0.2">
      <c r="BN14174" s="192"/>
      <c r="BO14174" s="197"/>
      <c r="BP14174" s="197"/>
      <c r="BQ14174" s="197"/>
    </row>
    <row r="14175" spans="66:69" x14ac:dyDescent="0.2">
      <c r="BN14175" s="192"/>
      <c r="BO14175" s="197"/>
      <c r="BP14175" s="197"/>
      <c r="BQ14175" s="197"/>
    </row>
    <row r="14176" spans="66:69" x14ac:dyDescent="0.2">
      <c r="BN14176" s="192"/>
      <c r="BO14176" s="197"/>
      <c r="BP14176" s="197"/>
      <c r="BQ14176" s="197"/>
    </row>
    <row r="14177" spans="66:69" x14ac:dyDescent="0.2">
      <c r="BN14177" s="192"/>
      <c r="BO14177" s="197"/>
      <c r="BP14177" s="197"/>
      <c r="BQ14177" s="197"/>
    </row>
    <row r="14178" spans="66:69" x14ac:dyDescent="0.2">
      <c r="BN14178" s="192"/>
      <c r="BO14178" s="197"/>
      <c r="BP14178" s="197"/>
      <c r="BQ14178" s="197"/>
    </row>
    <row r="14179" spans="66:69" x14ac:dyDescent="0.2">
      <c r="BN14179" s="192"/>
      <c r="BO14179" s="197"/>
      <c r="BP14179" s="197"/>
      <c r="BQ14179" s="197"/>
    </row>
    <row r="14180" spans="66:69" x14ac:dyDescent="0.2">
      <c r="BN14180" s="192"/>
      <c r="BO14180" s="197"/>
      <c r="BP14180" s="197"/>
      <c r="BQ14180" s="197"/>
    </row>
    <row r="14181" spans="66:69" x14ac:dyDescent="0.2">
      <c r="BN14181" s="192"/>
      <c r="BO14181" s="197"/>
      <c r="BP14181" s="197"/>
      <c r="BQ14181" s="197"/>
    </row>
    <row r="14182" spans="66:69" x14ac:dyDescent="0.2">
      <c r="BN14182" s="192"/>
      <c r="BO14182" s="197"/>
      <c r="BP14182" s="197"/>
      <c r="BQ14182" s="197"/>
    </row>
    <row r="14183" spans="66:69" x14ac:dyDescent="0.2">
      <c r="BN14183" s="192"/>
      <c r="BO14183" s="197"/>
      <c r="BP14183" s="197"/>
      <c r="BQ14183" s="197"/>
    </row>
    <row r="14184" spans="66:69" x14ac:dyDescent="0.2">
      <c r="BN14184" s="192"/>
      <c r="BO14184" s="197"/>
      <c r="BP14184" s="197"/>
      <c r="BQ14184" s="197"/>
    </row>
    <row r="14185" spans="66:69" x14ac:dyDescent="0.2">
      <c r="BN14185" s="192"/>
      <c r="BO14185" s="197"/>
      <c r="BP14185" s="197"/>
      <c r="BQ14185" s="197"/>
    </row>
    <row r="14186" spans="66:69" x14ac:dyDescent="0.2">
      <c r="BN14186" s="192"/>
      <c r="BO14186" s="197"/>
      <c r="BP14186" s="197"/>
      <c r="BQ14186" s="197"/>
    </row>
    <row r="14187" spans="66:69" x14ac:dyDescent="0.2">
      <c r="BN14187" s="192"/>
      <c r="BO14187" s="197"/>
      <c r="BP14187" s="197"/>
      <c r="BQ14187" s="197"/>
    </row>
    <row r="14188" spans="66:69" x14ac:dyDescent="0.2">
      <c r="BN14188" s="192"/>
      <c r="BO14188" s="197"/>
      <c r="BP14188" s="197"/>
      <c r="BQ14188" s="197"/>
    </row>
    <row r="14189" spans="66:69" x14ac:dyDescent="0.2">
      <c r="BN14189" s="192"/>
      <c r="BO14189" s="197"/>
      <c r="BP14189" s="197"/>
      <c r="BQ14189" s="197"/>
    </row>
    <row r="14190" spans="66:69" x14ac:dyDescent="0.2">
      <c r="BN14190" s="192"/>
      <c r="BO14190" s="197"/>
      <c r="BP14190" s="197"/>
      <c r="BQ14190" s="197"/>
    </row>
    <row r="14191" spans="66:69" x14ac:dyDescent="0.2">
      <c r="BN14191" s="192"/>
      <c r="BO14191" s="197"/>
      <c r="BP14191" s="197"/>
      <c r="BQ14191" s="197"/>
    </row>
    <row r="14192" spans="66:69" x14ac:dyDescent="0.2">
      <c r="BN14192" s="192"/>
      <c r="BO14192" s="197"/>
      <c r="BP14192" s="197"/>
      <c r="BQ14192" s="197"/>
    </row>
    <row r="14193" spans="66:69" x14ac:dyDescent="0.2">
      <c r="BN14193" s="192"/>
      <c r="BO14193" s="197"/>
      <c r="BP14193" s="197"/>
      <c r="BQ14193" s="197"/>
    </row>
    <row r="14194" spans="66:69" x14ac:dyDescent="0.2">
      <c r="BN14194" s="192"/>
      <c r="BO14194" s="197"/>
      <c r="BP14194" s="197"/>
      <c r="BQ14194" s="197"/>
    </row>
    <row r="14195" spans="66:69" x14ac:dyDescent="0.2">
      <c r="BN14195" s="192"/>
      <c r="BO14195" s="197"/>
      <c r="BP14195" s="197"/>
      <c r="BQ14195" s="197"/>
    </row>
    <row r="14196" spans="66:69" x14ac:dyDescent="0.2">
      <c r="BN14196" s="192"/>
      <c r="BO14196" s="197"/>
      <c r="BP14196" s="197"/>
      <c r="BQ14196" s="197"/>
    </row>
    <row r="14197" spans="66:69" x14ac:dyDescent="0.2">
      <c r="BN14197" s="192"/>
      <c r="BO14197" s="197"/>
      <c r="BP14197" s="197"/>
      <c r="BQ14197" s="197"/>
    </row>
    <row r="14198" spans="66:69" x14ac:dyDescent="0.2">
      <c r="BN14198" s="192"/>
      <c r="BO14198" s="197"/>
      <c r="BP14198" s="197"/>
      <c r="BQ14198" s="197"/>
    </row>
    <row r="14199" spans="66:69" x14ac:dyDescent="0.2">
      <c r="BN14199" s="192"/>
      <c r="BO14199" s="197"/>
      <c r="BP14199" s="197"/>
      <c r="BQ14199" s="197"/>
    </row>
    <row r="14200" spans="66:69" x14ac:dyDescent="0.2">
      <c r="BN14200" s="192"/>
      <c r="BO14200" s="197"/>
      <c r="BP14200" s="197"/>
      <c r="BQ14200" s="197"/>
    </row>
    <row r="14201" spans="66:69" x14ac:dyDescent="0.2">
      <c r="BN14201" s="192"/>
      <c r="BO14201" s="197"/>
      <c r="BP14201" s="197"/>
      <c r="BQ14201" s="197"/>
    </row>
    <row r="14202" spans="66:69" x14ac:dyDescent="0.2">
      <c r="BN14202" s="192"/>
      <c r="BO14202" s="197"/>
      <c r="BP14202" s="197"/>
      <c r="BQ14202" s="197"/>
    </row>
    <row r="14203" spans="66:69" x14ac:dyDescent="0.2">
      <c r="BN14203" s="192"/>
      <c r="BO14203" s="197"/>
      <c r="BP14203" s="197"/>
      <c r="BQ14203" s="197"/>
    </row>
    <row r="14204" spans="66:69" x14ac:dyDescent="0.2">
      <c r="BN14204" s="192"/>
      <c r="BO14204" s="197"/>
      <c r="BP14204" s="197"/>
      <c r="BQ14204" s="197"/>
    </row>
    <row r="14205" spans="66:69" x14ac:dyDescent="0.2">
      <c r="BN14205" s="192"/>
      <c r="BO14205" s="197"/>
      <c r="BP14205" s="197"/>
      <c r="BQ14205" s="197"/>
    </row>
    <row r="14206" spans="66:69" x14ac:dyDescent="0.2">
      <c r="BN14206" s="192"/>
      <c r="BO14206" s="197"/>
      <c r="BP14206" s="197"/>
      <c r="BQ14206" s="197"/>
    </row>
    <row r="14207" spans="66:69" x14ac:dyDescent="0.2">
      <c r="BN14207" s="192"/>
      <c r="BO14207" s="197"/>
      <c r="BP14207" s="197"/>
      <c r="BQ14207" s="197"/>
    </row>
    <row r="14208" spans="66:69" x14ac:dyDescent="0.2">
      <c r="BN14208" s="192"/>
      <c r="BO14208" s="197"/>
      <c r="BP14208" s="197"/>
      <c r="BQ14208" s="197"/>
    </row>
    <row r="14209" spans="66:69" x14ac:dyDescent="0.2">
      <c r="BN14209" s="192"/>
      <c r="BO14209" s="197"/>
      <c r="BP14209" s="197"/>
      <c r="BQ14209" s="197"/>
    </row>
    <row r="14210" spans="66:69" x14ac:dyDescent="0.2">
      <c r="BN14210" s="192"/>
      <c r="BO14210" s="197"/>
      <c r="BP14210" s="197"/>
      <c r="BQ14210" s="197"/>
    </row>
    <row r="14211" spans="66:69" x14ac:dyDescent="0.2">
      <c r="BN14211" s="192"/>
      <c r="BO14211" s="197"/>
      <c r="BP14211" s="197"/>
      <c r="BQ14211" s="197"/>
    </row>
    <row r="14212" spans="66:69" x14ac:dyDescent="0.2">
      <c r="BN14212" s="192"/>
      <c r="BO14212" s="197"/>
      <c r="BP14212" s="197"/>
      <c r="BQ14212" s="197"/>
    </row>
    <row r="14213" spans="66:69" x14ac:dyDescent="0.2">
      <c r="BN14213" s="192"/>
      <c r="BO14213" s="197"/>
      <c r="BP14213" s="197"/>
      <c r="BQ14213" s="197"/>
    </row>
    <row r="14214" spans="66:69" x14ac:dyDescent="0.2">
      <c r="BN14214" s="192"/>
      <c r="BO14214" s="197"/>
      <c r="BP14214" s="197"/>
      <c r="BQ14214" s="197"/>
    </row>
    <row r="14215" spans="66:69" x14ac:dyDescent="0.2">
      <c r="BN14215" s="192"/>
      <c r="BO14215" s="197"/>
      <c r="BP14215" s="197"/>
      <c r="BQ14215" s="197"/>
    </row>
    <row r="14216" spans="66:69" x14ac:dyDescent="0.2">
      <c r="BN14216" s="192"/>
      <c r="BO14216" s="197"/>
      <c r="BP14216" s="197"/>
      <c r="BQ14216" s="197"/>
    </row>
    <row r="14217" spans="66:69" x14ac:dyDescent="0.2">
      <c r="BN14217" s="192"/>
      <c r="BO14217" s="197"/>
      <c r="BP14217" s="197"/>
      <c r="BQ14217" s="197"/>
    </row>
    <row r="14218" spans="66:69" x14ac:dyDescent="0.2">
      <c r="BN14218" s="192"/>
      <c r="BO14218" s="197"/>
      <c r="BP14218" s="197"/>
      <c r="BQ14218" s="197"/>
    </row>
    <row r="14219" spans="66:69" x14ac:dyDescent="0.2">
      <c r="BN14219" s="192"/>
      <c r="BO14219" s="197"/>
      <c r="BP14219" s="197"/>
      <c r="BQ14219" s="197"/>
    </row>
    <row r="14220" spans="66:69" x14ac:dyDescent="0.2">
      <c r="BN14220" s="192"/>
      <c r="BO14220" s="197"/>
      <c r="BP14220" s="197"/>
      <c r="BQ14220" s="197"/>
    </row>
    <row r="14221" spans="66:69" x14ac:dyDescent="0.2">
      <c r="BN14221" s="192"/>
      <c r="BO14221" s="197"/>
      <c r="BP14221" s="197"/>
      <c r="BQ14221" s="197"/>
    </row>
    <row r="14222" spans="66:69" x14ac:dyDescent="0.2">
      <c r="BN14222" s="192"/>
      <c r="BO14222" s="197"/>
      <c r="BP14222" s="197"/>
      <c r="BQ14222" s="197"/>
    </row>
    <row r="14223" spans="66:69" x14ac:dyDescent="0.2">
      <c r="BN14223" s="192"/>
      <c r="BO14223" s="197"/>
      <c r="BP14223" s="197"/>
      <c r="BQ14223" s="197"/>
    </row>
    <row r="14224" spans="66:69" x14ac:dyDescent="0.2">
      <c r="BN14224" s="192"/>
      <c r="BO14224" s="197"/>
      <c r="BP14224" s="197"/>
      <c r="BQ14224" s="197"/>
    </row>
    <row r="14225" spans="66:69" x14ac:dyDescent="0.2">
      <c r="BN14225" s="192"/>
      <c r="BO14225" s="197"/>
      <c r="BP14225" s="197"/>
      <c r="BQ14225" s="197"/>
    </row>
    <row r="14226" spans="66:69" x14ac:dyDescent="0.2">
      <c r="BN14226" s="192"/>
      <c r="BO14226" s="197"/>
      <c r="BP14226" s="197"/>
      <c r="BQ14226" s="197"/>
    </row>
    <row r="14227" spans="66:69" x14ac:dyDescent="0.2">
      <c r="BN14227" s="192"/>
      <c r="BO14227" s="197"/>
      <c r="BP14227" s="197"/>
      <c r="BQ14227" s="197"/>
    </row>
    <row r="14228" spans="66:69" x14ac:dyDescent="0.2">
      <c r="BN14228" s="192"/>
      <c r="BO14228" s="197"/>
      <c r="BP14228" s="197"/>
      <c r="BQ14228" s="197"/>
    </row>
    <row r="14229" spans="66:69" x14ac:dyDescent="0.2">
      <c r="BN14229" s="192"/>
      <c r="BO14229" s="197"/>
      <c r="BP14229" s="197"/>
      <c r="BQ14229" s="197"/>
    </row>
    <row r="14230" spans="66:69" x14ac:dyDescent="0.2">
      <c r="BN14230" s="192"/>
      <c r="BO14230" s="197"/>
      <c r="BP14230" s="197"/>
      <c r="BQ14230" s="197"/>
    </row>
    <row r="14231" spans="66:69" x14ac:dyDescent="0.2">
      <c r="BN14231" s="192"/>
      <c r="BO14231" s="197"/>
      <c r="BP14231" s="197"/>
      <c r="BQ14231" s="197"/>
    </row>
    <row r="14232" spans="66:69" x14ac:dyDescent="0.2">
      <c r="BN14232" s="192"/>
      <c r="BO14232" s="197"/>
      <c r="BP14232" s="197"/>
      <c r="BQ14232" s="197"/>
    </row>
    <row r="14233" spans="66:69" x14ac:dyDescent="0.2">
      <c r="BN14233" s="192"/>
      <c r="BO14233" s="197"/>
      <c r="BP14233" s="197"/>
      <c r="BQ14233" s="197"/>
    </row>
    <row r="14234" spans="66:69" x14ac:dyDescent="0.2">
      <c r="BN14234" s="192"/>
      <c r="BO14234" s="197"/>
      <c r="BP14234" s="197"/>
      <c r="BQ14234" s="197"/>
    </row>
    <row r="14235" spans="66:69" x14ac:dyDescent="0.2">
      <c r="BN14235" s="192"/>
      <c r="BO14235" s="197"/>
      <c r="BP14235" s="197"/>
      <c r="BQ14235" s="197"/>
    </row>
    <row r="14236" spans="66:69" x14ac:dyDescent="0.2">
      <c r="BN14236" s="192"/>
      <c r="BO14236" s="197"/>
      <c r="BP14236" s="197"/>
      <c r="BQ14236" s="197"/>
    </row>
    <row r="14237" spans="66:69" x14ac:dyDescent="0.2">
      <c r="BN14237" s="192"/>
      <c r="BO14237" s="197"/>
      <c r="BP14237" s="197"/>
      <c r="BQ14237" s="197"/>
    </row>
    <row r="14238" spans="66:69" x14ac:dyDescent="0.2">
      <c r="BN14238" s="192"/>
      <c r="BO14238" s="197"/>
      <c r="BP14238" s="197"/>
      <c r="BQ14238" s="197"/>
    </row>
    <row r="14239" spans="66:69" x14ac:dyDescent="0.2">
      <c r="BN14239" s="192"/>
      <c r="BO14239" s="197"/>
      <c r="BP14239" s="197"/>
      <c r="BQ14239" s="197"/>
    </row>
    <row r="14240" spans="66:69" x14ac:dyDescent="0.2">
      <c r="BN14240" s="192"/>
      <c r="BO14240" s="197"/>
      <c r="BP14240" s="197"/>
      <c r="BQ14240" s="197"/>
    </row>
    <row r="14241" spans="66:69" x14ac:dyDescent="0.2">
      <c r="BN14241" s="192"/>
      <c r="BO14241" s="197"/>
      <c r="BP14241" s="197"/>
      <c r="BQ14241" s="197"/>
    </row>
    <row r="14242" spans="66:69" x14ac:dyDescent="0.2">
      <c r="BN14242" s="192"/>
      <c r="BO14242" s="197"/>
      <c r="BP14242" s="197"/>
      <c r="BQ14242" s="197"/>
    </row>
    <row r="14243" spans="66:69" x14ac:dyDescent="0.2">
      <c r="BN14243" s="192"/>
      <c r="BO14243" s="197"/>
      <c r="BP14243" s="197"/>
      <c r="BQ14243" s="197"/>
    </row>
    <row r="14244" spans="66:69" x14ac:dyDescent="0.2">
      <c r="BN14244" s="192"/>
      <c r="BO14244" s="197"/>
      <c r="BP14244" s="197"/>
      <c r="BQ14244" s="197"/>
    </row>
    <row r="14245" spans="66:69" x14ac:dyDescent="0.2">
      <c r="BN14245" s="192"/>
      <c r="BO14245" s="197"/>
      <c r="BP14245" s="197"/>
      <c r="BQ14245" s="197"/>
    </row>
    <row r="14246" spans="66:69" x14ac:dyDescent="0.2">
      <c r="BN14246" s="192"/>
      <c r="BO14246" s="197"/>
      <c r="BP14246" s="197"/>
      <c r="BQ14246" s="197"/>
    </row>
    <row r="14247" spans="66:69" x14ac:dyDescent="0.2">
      <c r="BN14247" s="192"/>
      <c r="BO14247" s="197"/>
      <c r="BP14247" s="197"/>
      <c r="BQ14247" s="197"/>
    </row>
    <row r="14248" spans="66:69" x14ac:dyDescent="0.2">
      <c r="BN14248" s="192"/>
      <c r="BO14248" s="197"/>
      <c r="BP14248" s="197"/>
      <c r="BQ14248" s="197"/>
    </row>
    <row r="14249" spans="66:69" x14ac:dyDescent="0.2">
      <c r="BN14249" s="192"/>
      <c r="BO14249" s="197"/>
      <c r="BP14249" s="197"/>
      <c r="BQ14249" s="197"/>
    </row>
    <row r="14250" spans="66:69" x14ac:dyDescent="0.2">
      <c r="BN14250" s="192"/>
      <c r="BO14250" s="197"/>
      <c r="BP14250" s="197"/>
      <c r="BQ14250" s="197"/>
    </row>
    <row r="14251" spans="66:69" x14ac:dyDescent="0.2">
      <c r="BN14251" s="192"/>
      <c r="BO14251" s="197"/>
      <c r="BP14251" s="197"/>
      <c r="BQ14251" s="197"/>
    </row>
    <row r="14252" spans="66:69" x14ac:dyDescent="0.2">
      <c r="BN14252" s="192"/>
      <c r="BO14252" s="197"/>
      <c r="BP14252" s="197"/>
      <c r="BQ14252" s="197"/>
    </row>
    <row r="14253" spans="66:69" x14ac:dyDescent="0.2">
      <c r="BN14253" s="192"/>
      <c r="BO14253" s="197"/>
      <c r="BP14253" s="197"/>
      <c r="BQ14253" s="197"/>
    </row>
    <row r="14254" spans="66:69" x14ac:dyDescent="0.2">
      <c r="BN14254" s="192"/>
      <c r="BO14254" s="197"/>
      <c r="BP14254" s="197"/>
      <c r="BQ14254" s="197"/>
    </row>
    <row r="14255" spans="66:69" x14ac:dyDescent="0.2">
      <c r="BN14255" s="192"/>
      <c r="BO14255" s="197"/>
      <c r="BP14255" s="197"/>
      <c r="BQ14255" s="197"/>
    </row>
    <row r="14256" spans="66:69" x14ac:dyDescent="0.2">
      <c r="BN14256" s="192"/>
      <c r="BO14256" s="197"/>
      <c r="BP14256" s="197"/>
      <c r="BQ14256" s="197"/>
    </row>
    <row r="14257" spans="66:69" x14ac:dyDescent="0.2">
      <c r="BN14257" s="192"/>
      <c r="BO14257" s="197"/>
      <c r="BP14257" s="197"/>
      <c r="BQ14257" s="197"/>
    </row>
    <row r="14258" spans="66:69" x14ac:dyDescent="0.2">
      <c r="BN14258" s="192"/>
      <c r="BO14258" s="197"/>
      <c r="BP14258" s="197"/>
      <c r="BQ14258" s="197"/>
    </row>
    <row r="14259" spans="66:69" x14ac:dyDescent="0.2">
      <c r="BN14259" s="192"/>
      <c r="BO14259" s="197"/>
      <c r="BP14259" s="197"/>
      <c r="BQ14259" s="197"/>
    </row>
    <row r="14260" spans="66:69" x14ac:dyDescent="0.2">
      <c r="BN14260" s="192"/>
      <c r="BO14260" s="197"/>
      <c r="BP14260" s="197"/>
      <c r="BQ14260" s="197"/>
    </row>
    <row r="14261" spans="66:69" x14ac:dyDescent="0.2">
      <c r="BN14261" s="192"/>
      <c r="BO14261" s="197"/>
      <c r="BP14261" s="197"/>
      <c r="BQ14261" s="197"/>
    </row>
    <row r="14262" spans="66:69" x14ac:dyDescent="0.2">
      <c r="BN14262" s="192"/>
      <c r="BO14262" s="197"/>
      <c r="BP14262" s="197"/>
      <c r="BQ14262" s="197"/>
    </row>
    <row r="14263" spans="66:69" x14ac:dyDescent="0.2">
      <c r="BN14263" s="192"/>
      <c r="BO14263" s="197"/>
      <c r="BP14263" s="197"/>
      <c r="BQ14263" s="197"/>
    </row>
    <row r="14264" spans="66:69" x14ac:dyDescent="0.2">
      <c r="BN14264" s="192"/>
      <c r="BO14264" s="197"/>
      <c r="BP14264" s="197"/>
      <c r="BQ14264" s="197"/>
    </row>
    <row r="14265" spans="66:69" x14ac:dyDescent="0.2">
      <c r="BN14265" s="192"/>
      <c r="BO14265" s="197"/>
      <c r="BP14265" s="197"/>
      <c r="BQ14265" s="197"/>
    </row>
    <row r="14266" spans="66:69" x14ac:dyDescent="0.2">
      <c r="BN14266" s="192"/>
      <c r="BO14266" s="197"/>
      <c r="BP14266" s="197"/>
      <c r="BQ14266" s="197"/>
    </row>
    <row r="14267" spans="66:69" x14ac:dyDescent="0.2">
      <c r="BN14267" s="192"/>
      <c r="BO14267" s="197"/>
      <c r="BP14267" s="197"/>
      <c r="BQ14267" s="197"/>
    </row>
    <row r="14268" spans="66:69" x14ac:dyDescent="0.2">
      <c r="BN14268" s="192"/>
      <c r="BO14268" s="197"/>
      <c r="BP14268" s="197"/>
      <c r="BQ14268" s="197"/>
    </row>
    <row r="14269" spans="66:69" x14ac:dyDescent="0.2">
      <c r="BN14269" s="192"/>
      <c r="BO14269" s="197"/>
      <c r="BP14269" s="197"/>
      <c r="BQ14269" s="197"/>
    </row>
    <row r="14270" spans="66:69" x14ac:dyDescent="0.2">
      <c r="BN14270" s="192"/>
      <c r="BO14270" s="197"/>
      <c r="BP14270" s="197"/>
      <c r="BQ14270" s="197"/>
    </row>
    <row r="14271" spans="66:69" x14ac:dyDescent="0.2">
      <c r="BN14271" s="192"/>
      <c r="BO14271" s="197"/>
      <c r="BP14271" s="197"/>
      <c r="BQ14271" s="197"/>
    </row>
    <row r="14272" spans="66:69" x14ac:dyDescent="0.2">
      <c r="BN14272" s="192"/>
      <c r="BO14272" s="197"/>
      <c r="BP14272" s="197"/>
      <c r="BQ14272" s="197"/>
    </row>
    <row r="14273" spans="66:69" x14ac:dyDescent="0.2">
      <c r="BN14273" s="192"/>
      <c r="BO14273" s="197"/>
      <c r="BP14273" s="197"/>
      <c r="BQ14273" s="197"/>
    </row>
    <row r="14274" spans="66:69" x14ac:dyDescent="0.2">
      <c r="BN14274" s="192"/>
      <c r="BO14274" s="197"/>
      <c r="BP14274" s="197"/>
      <c r="BQ14274" s="197"/>
    </row>
    <row r="14275" spans="66:69" x14ac:dyDescent="0.2">
      <c r="BN14275" s="192"/>
      <c r="BO14275" s="197"/>
      <c r="BP14275" s="197"/>
      <c r="BQ14275" s="197"/>
    </row>
    <row r="14276" spans="66:69" x14ac:dyDescent="0.2">
      <c r="BN14276" s="192"/>
      <c r="BO14276" s="197"/>
      <c r="BP14276" s="197"/>
      <c r="BQ14276" s="197"/>
    </row>
    <row r="14277" spans="66:69" x14ac:dyDescent="0.2">
      <c r="BN14277" s="192"/>
      <c r="BO14277" s="197"/>
      <c r="BP14277" s="197"/>
      <c r="BQ14277" s="197"/>
    </row>
    <row r="14278" spans="66:69" x14ac:dyDescent="0.2">
      <c r="BN14278" s="192"/>
      <c r="BO14278" s="197"/>
      <c r="BP14278" s="197"/>
      <c r="BQ14278" s="197"/>
    </row>
    <row r="14279" spans="66:69" x14ac:dyDescent="0.2">
      <c r="BN14279" s="192"/>
      <c r="BO14279" s="197"/>
      <c r="BP14279" s="197"/>
      <c r="BQ14279" s="197"/>
    </row>
    <row r="14280" spans="66:69" x14ac:dyDescent="0.2">
      <c r="BN14280" s="192"/>
      <c r="BO14280" s="197"/>
      <c r="BP14280" s="197"/>
      <c r="BQ14280" s="197"/>
    </row>
    <row r="14281" spans="66:69" x14ac:dyDescent="0.2">
      <c r="BN14281" s="192"/>
      <c r="BO14281" s="197"/>
      <c r="BP14281" s="197"/>
      <c r="BQ14281" s="197"/>
    </row>
    <row r="14282" spans="66:69" x14ac:dyDescent="0.2">
      <c r="BN14282" s="192"/>
      <c r="BO14282" s="197"/>
      <c r="BP14282" s="197"/>
      <c r="BQ14282" s="197"/>
    </row>
    <row r="14283" spans="66:69" x14ac:dyDescent="0.2">
      <c r="BN14283" s="192"/>
      <c r="BO14283" s="197"/>
      <c r="BP14283" s="197"/>
      <c r="BQ14283" s="197"/>
    </row>
    <row r="14284" spans="66:69" x14ac:dyDescent="0.2">
      <c r="BN14284" s="192"/>
      <c r="BO14284" s="197"/>
      <c r="BP14284" s="197"/>
      <c r="BQ14284" s="197"/>
    </row>
    <row r="14285" spans="66:69" x14ac:dyDescent="0.2">
      <c r="BN14285" s="192"/>
      <c r="BO14285" s="197"/>
      <c r="BP14285" s="197"/>
      <c r="BQ14285" s="197"/>
    </row>
    <row r="14286" spans="66:69" x14ac:dyDescent="0.2">
      <c r="BN14286" s="192"/>
      <c r="BO14286" s="197"/>
      <c r="BP14286" s="197"/>
      <c r="BQ14286" s="197"/>
    </row>
    <row r="14287" spans="66:69" x14ac:dyDescent="0.2">
      <c r="BN14287" s="192"/>
      <c r="BO14287" s="197"/>
      <c r="BP14287" s="197"/>
      <c r="BQ14287" s="197"/>
    </row>
    <row r="14288" spans="66:69" x14ac:dyDescent="0.2">
      <c r="BN14288" s="192"/>
      <c r="BO14288" s="197"/>
      <c r="BP14288" s="197"/>
      <c r="BQ14288" s="197"/>
    </row>
    <row r="14289" spans="66:69" x14ac:dyDescent="0.2">
      <c r="BN14289" s="192"/>
      <c r="BO14289" s="197"/>
      <c r="BP14289" s="197"/>
      <c r="BQ14289" s="197"/>
    </row>
    <row r="14290" spans="66:69" x14ac:dyDescent="0.2">
      <c r="BN14290" s="192"/>
      <c r="BO14290" s="197"/>
      <c r="BP14290" s="197"/>
      <c r="BQ14290" s="197"/>
    </row>
    <row r="14291" spans="66:69" x14ac:dyDescent="0.2">
      <c r="BN14291" s="192"/>
      <c r="BO14291" s="197"/>
      <c r="BP14291" s="197"/>
      <c r="BQ14291" s="197"/>
    </row>
    <row r="14292" spans="66:69" x14ac:dyDescent="0.2">
      <c r="BN14292" s="192"/>
      <c r="BO14292" s="197"/>
      <c r="BP14292" s="197"/>
      <c r="BQ14292" s="197"/>
    </row>
    <row r="14293" spans="66:69" x14ac:dyDescent="0.2">
      <c r="BN14293" s="192"/>
      <c r="BO14293" s="197"/>
      <c r="BP14293" s="197"/>
      <c r="BQ14293" s="197"/>
    </row>
    <row r="14294" spans="66:69" x14ac:dyDescent="0.2">
      <c r="BN14294" s="192"/>
      <c r="BO14294" s="197"/>
      <c r="BP14294" s="197"/>
      <c r="BQ14294" s="197"/>
    </row>
    <row r="14295" spans="66:69" x14ac:dyDescent="0.2">
      <c r="BN14295" s="192"/>
      <c r="BO14295" s="197"/>
      <c r="BP14295" s="197"/>
      <c r="BQ14295" s="197"/>
    </row>
    <row r="14296" spans="66:69" x14ac:dyDescent="0.2">
      <c r="BN14296" s="192"/>
      <c r="BO14296" s="197"/>
      <c r="BP14296" s="197"/>
      <c r="BQ14296" s="197"/>
    </row>
    <row r="14297" spans="66:69" x14ac:dyDescent="0.2">
      <c r="BN14297" s="192"/>
      <c r="BO14297" s="197"/>
      <c r="BP14297" s="197"/>
      <c r="BQ14297" s="197"/>
    </row>
    <row r="14298" spans="66:69" x14ac:dyDescent="0.2">
      <c r="BN14298" s="192"/>
      <c r="BO14298" s="197"/>
      <c r="BP14298" s="197"/>
      <c r="BQ14298" s="197"/>
    </row>
    <row r="14299" spans="66:69" x14ac:dyDescent="0.2">
      <c r="BN14299" s="192"/>
      <c r="BO14299" s="197"/>
      <c r="BP14299" s="197"/>
      <c r="BQ14299" s="197"/>
    </row>
    <row r="14300" spans="66:69" x14ac:dyDescent="0.2">
      <c r="BN14300" s="192"/>
      <c r="BO14300" s="197"/>
      <c r="BP14300" s="197"/>
      <c r="BQ14300" s="197"/>
    </row>
    <row r="14301" spans="66:69" x14ac:dyDescent="0.2">
      <c r="BN14301" s="192"/>
      <c r="BO14301" s="197"/>
      <c r="BP14301" s="197"/>
      <c r="BQ14301" s="197"/>
    </row>
    <row r="14302" spans="66:69" x14ac:dyDescent="0.2">
      <c r="BN14302" s="192"/>
      <c r="BO14302" s="197"/>
      <c r="BP14302" s="197"/>
      <c r="BQ14302" s="197"/>
    </row>
    <row r="14303" spans="66:69" x14ac:dyDescent="0.2">
      <c r="BN14303" s="192"/>
      <c r="BO14303" s="197"/>
      <c r="BP14303" s="197"/>
      <c r="BQ14303" s="197"/>
    </row>
    <row r="14304" spans="66:69" x14ac:dyDescent="0.2">
      <c r="BN14304" s="192"/>
      <c r="BO14304" s="197"/>
      <c r="BP14304" s="197"/>
      <c r="BQ14304" s="197"/>
    </row>
    <row r="14305" spans="66:69" x14ac:dyDescent="0.2">
      <c r="BN14305" s="192"/>
      <c r="BO14305" s="197"/>
      <c r="BP14305" s="197"/>
      <c r="BQ14305" s="197"/>
    </row>
    <row r="14306" spans="66:69" x14ac:dyDescent="0.2">
      <c r="BN14306" s="192"/>
      <c r="BO14306" s="197"/>
      <c r="BP14306" s="197"/>
      <c r="BQ14306" s="197"/>
    </row>
    <row r="14307" spans="66:69" x14ac:dyDescent="0.2">
      <c r="BN14307" s="192"/>
      <c r="BO14307" s="197"/>
      <c r="BP14307" s="197"/>
      <c r="BQ14307" s="197"/>
    </row>
    <row r="14308" spans="66:69" x14ac:dyDescent="0.2">
      <c r="BN14308" s="192"/>
      <c r="BO14308" s="197"/>
      <c r="BP14308" s="197"/>
      <c r="BQ14308" s="197"/>
    </row>
    <row r="14309" spans="66:69" x14ac:dyDescent="0.2">
      <c r="BN14309" s="192"/>
      <c r="BO14309" s="197"/>
      <c r="BP14309" s="197"/>
      <c r="BQ14309" s="197"/>
    </row>
    <row r="14310" spans="66:69" x14ac:dyDescent="0.2">
      <c r="BN14310" s="192"/>
      <c r="BO14310" s="197"/>
      <c r="BP14310" s="197"/>
      <c r="BQ14310" s="197"/>
    </row>
    <row r="14311" spans="66:69" x14ac:dyDescent="0.2">
      <c r="BN14311" s="192"/>
      <c r="BO14311" s="197"/>
      <c r="BP14311" s="197"/>
      <c r="BQ14311" s="197"/>
    </row>
    <row r="14312" spans="66:69" x14ac:dyDescent="0.2">
      <c r="BN14312" s="192"/>
      <c r="BO14312" s="197"/>
      <c r="BP14312" s="197"/>
      <c r="BQ14312" s="197"/>
    </row>
    <row r="14313" spans="66:69" x14ac:dyDescent="0.2">
      <c r="BN14313" s="192"/>
      <c r="BO14313" s="197"/>
      <c r="BP14313" s="197"/>
      <c r="BQ14313" s="197"/>
    </row>
    <row r="14314" spans="66:69" x14ac:dyDescent="0.2">
      <c r="BN14314" s="192"/>
      <c r="BO14314" s="197"/>
      <c r="BP14314" s="197"/>
      <c r="BQ14314" s="197"/>
    </row>
    <row r="14315" spans="66:69" x14ac:dyDescent="0.2">
      <c r="BN14315" s="192"/>
      <c r="BO14315" s="197"/>
      <c r="BP14315" s="197"/>
      <c r="BQ14315" s="197"/>
    </row>
    <row r="14316" spans="66:69" x14ac:dyDescent="0.2">
      <c r="BN14316" s="192"/>
      <c r="BO14316" s="197"/>
      <c r="BP14316" s="197"/>
      <c r="BQ14316" s="197"/>
    </row>
    <row r="14317" spans="66:69" x14ac:dyDescent="0.2">
      <c r="BN14317" s="192"/>
      <c r="BO14317" s="197"/>
      <c r="BP14317" s="197"/>
      <c r="BQ14317" s="197"/>
    </row>
    <row r="14318" spans="66:69" x14ac:dyDescent="0.2">
      <c r="BN14318" s="192"/>
      <c r="BO14318" s="197"/>
      <c r="BP14318" s="197"/>
      <c r="BQ14318" s="197"/>
    </row>
    <row r="14319" spans="66:69" x14ac:dyDescent="0.2">
      <c r="BN14319" s="192"/>
      <c r="BO14319" s="197"/>
      <c r="BP14319" s="197"/>
      <c r="BQ14319" s="197"/>
    </row>
    <row r="14320" spans="66:69" x14ac:dyDescent="0.2">
      <c r="BN14320" s="192"/>
      <c r="BO14320" s="197"/>
      <c r="BP14320" s="197"/>
      <c r="BQ14320" s="197"/>
    </row>
    <row r="14321" spans="66:69" x14ac:dyDescent="0.2">
      <c r="BN14321" s="192"/>
      <c r="BO14321" s="197"/>
      <c r="BP14321" s="197"/>
      <c r="BQ14321" s="197"/>
    </row>
    <row r="14322" spans="66:69" x14ac:dyDescent="0.2">
      <c r="BN14322" s="192"/>
      <c r="BO14322" s="197"/>
      <c r="BP14322" s="197"/>
      <c r="BQ14322" s="197"/>
    </row>
    <row r="14323" spans="66:69" x14ac:dyDescent="0.2">
      <c r="BN14323" s="192"/>
      <c r="BO14323" s="197"/>
      <c r="BP14323" s="197"/>
      <c r="BQ14323" s="197"/>
    </row>
    <row r="14324" spans="66:69" x14ac:dyDescent="0.2">
      <c r="BN14324" s="192"/>
      <c r="BO14324" s="197"/>
      <c r="BP14324" s="197"/>
      <c r="BQ14324" s="197"/>
    </row>
    <row r="14325" spans="66:69" x14ac:dyDescent="0.2">
      <c r="BN14325" s="192"/>
      <c r="BO14325" s="197"/>
      <c r="BP14325" s="197"/>
      <c r="BQ14325" s="197"/>
    </row>
    <row r="14326" spans="66:69" x14ac:dyDescent="0.2">
      <c r="BN14326" s="192"/>
      <c r="BO14326" s="197"/>
      <c r="BP14326" s="197"/>
      <c r="BQ14326" s="197"/>
    </row>
    <row r="14327" spans="66:69" x14ac:dyDescent="0.2">
      <c r="BN14327" s="192"/>
      <c r="BO14327" s="197"/>
      <c r="BP14327" s="197"/>
      <c r="BQ14327" s="197"/>
    </row>
    <row r="14328" spans="66:69" x14ac:dyDescent="0.2">
      <c r="BN14328" s="192"/>
      <c r="BO14328" s="197"/>
      <c r="BP14328" s="197"/>
      <c r="BQ14328" s="197"/>
    </row>
    <row r="14329" spans="66:69" x14ac:dyDescent="0.2">
      <c r="BN14329" s="192"/>
      <c r="BO14329" s="197"/>
      <c r="BP14329" s="197"/>
      <c r="BQ14329" s="197"/>
    </row>
    <row r="14330" spans="66:69" x14ac:dyDescent="0.2">
      <c r="BN14330" s="192"/>
      <c r="BO14330" s="197"/>
      <c r="BP14330" s="197"/>
      <c r="BQ14330" s="197"/>
    </row>
    <row r="14331" spans="66:69" x14ac:dyDescent="0.2">
      <c r="BN14331" s="192"/>
      <c r="BO14331" s="197"/>
      <c r="BP14331" s="197"/>
      <c r="BQ14331" s="197"/>
    </row>
    <row r="14332" spans="66:69" x14ac:dyDescent="0.2">
      <c r="BN14332" s="192"/>
      <c r="BO14332" s="197"/>
      <c r="BP14332" s="197"/>
      <c r="BQ14332" s="197"/>
    </row>
    <row r="14333" spans="66:69" x14ac:dyDescent="0.2">
      <c r="BN14333" s="192"/>
      <c r="BO14333" s="197"/>
      <c r="BP14333" s="197"/>
      <c r="BQ14333" s="197"/>
    </row>
    <row r="14334" spans="66:69" x14ac:dyDescent="0.2">
      <c r="BN14334" s="192"/>
      <c r="BO14334" s="197"/>
      <c r="BP14334" s="197"/>
      <c r="BQ14334" s="197"/>
    </row>
    <row r="14335" spans="66:69" x14ac:dyDescent="0.2">
      <c r="BN14335" s="192"/>
      <c r="BO14335" s="197"/>
      <c r="BP14335" s="197"/>
      <c r="BQ14335" s="197"/>
    </row>
    <row r="14336" spans="66:69" x14ac:dyDescent="0.2">
      <c r="BN14336" s="192"/>
      <c r="BO14336" s="197"/>
      <c r="BP14336" s="197"/>
      <c r="BQ14336" s="197"/>
    </row>
    <row r="14337" spans="66:69" x14ac:dyDescent="0.2">
      <c r="BN14337" s="192"/>
      <c r="BO14337" s="197"/>
      <c r="BP14337" s="197"/>
      <c r="BQ14337" s="197"/>
    </row>
    <row r="14338" spans="66:69" x14ac:dyDescent="0.2">
      <c r="BN14338" s="192"/>
      <c r="BO14338" s="197"/>
      <c r="BP14338" s="197"/>
      <c r="BQ14338" s="197"/>
    </row>
    <row r="14339" spans="66:69" x14ac:dyDescent="0.2">
      <c r="BN14339" s="192"/>
      <c r="BO14339" s="197"/>
      <c r="BP14339" s="197"/>
      <c r="BQ14339" s="197"/>
    </row>
    <row r="14340" spans="66:69" x14ac:dyDescent="0.2">
      <c r="BN14340" s="192"/>
      <c r="BO14340" s="197"/>
      <c r="BP14340" s="197"/>
      <c r="BQ14340" s="197"/>
    </row>
    <row r="14341" spans="66:69" x14ac:dyDescent="0.2">
      <c r="BN14341" s="192"/>
      <c r="BO14341" s="197"/>
      <c r="BP14341" s="197"/>
      <c r="BQ14341" s="197"/>
    </row>
    <row r="14342" spans="66:69" x14ac:dyDescent="0.2">
      <c r="BN14342" s="192"/>
      <c r="BO14342" s="197"/>
      <c r="BP14342" s="197"/>
      <c r="BQ14342" s="197"/>
    </row>
    <row r="14343" spans="66:69" x14ac:dyDescent="0.2">
      <c r="BN14343" s="192"/>
      <c r="BO14343" s="197"/>
      <c r="BP14343" s="197"/>
      <c r="BQ14343" s="197"/>
    </row>
    <row r="14344" spans="66:69" x14ac:dyDescent="0.2">
      <c r="BN14344" s="192"/>
      <c r="BO14344" s="197"/>
      <c r="BP14344" s="197"/>
      <c r="BQ14344" s="197"/>
    </row>
    <row r="14345" spans="66:69" x14ac:dyDescent="0.2">
      <c r="BN14345" s="192"/>
      <c r="BO14345" s="197"/>
      <c r="BP14345" s="197"/>
      <c r="BQ14345" s="197"/>
    </row>
    <row r="14346" spans="66:69" x14ac:dyDescent="0.2">
      <c r="BN14346" s="192"/>
      <c r="BO14346" s="197"/>
      <c r="BP14346" s="197"/>
      <c r="BQ14346" s="197"/>
    </row>
    <row r="14347" spans="66:69" x14ac:dyDescent="0.2">
      <c r="BN14347" s="192"/>
      <c r="BO14347" s="197"/>
      <c r="BP14347" s="197"/>
      <c r="BQ14347" s="197"/>
    </row>
    <row r="14348" spans="66:69" x14ac:dyDescent="0.2">
      <c r="BN14348" s="192"/>
      <c r="BO14348" s="197"/>
      <c r="BP14348" s="197"/>
      <c r="BQ14348" s="197"/>
    </row>
    <row r="14349" spans="66:69" x14ac:dyDescent="0.2">
      <c r="BN14349" s="192"/>
      <c r="BO14349" s="197"/>
      <c r="BP14349" s="197"/>
      <c r="BQ14349" s="197"/>
    </row>
    <row r="14350" spans="66:69" x14ac:dyDescent="0.2">
      <c r="BN14350" s="192"/>
      <c r="BO14350" s="197"/>
      <c r="BP14350" s="197"/>
      <c r="BQ14350" s="197"/>
    </row>
    <row r="14351" spans="66:69" x14ac:dyDescent="0.2">
      <c r="BN14351" s="192"/>
      <c r="BO14351" s="197"/>
      <c r="BP14351" s="197"/>
      <c r="BQ14351" s="197"/>
    </row>
    <row r="14352" spans="66:69" x14ac:dyDescent="0.2">
      <c r="BN14352" s="192"/>
      <c r="BO14352" s="197"/>
      <c r="BP14352" s="197"/>
      <c r="BQ14352" s="197"/>
    </row>
    <row r="14353" spans="66:69" x14ac:dyDescent="0.2">
      <c r="BN14353" s="192"/>
      <c r="BO14353" s="197"/>
      <c r="BP14353" s="197"/>
      <c r="BQ14353" s="197"/>
    </row>
    <row r="14354" spans="66:69" x14ac:dyDescent="0.2">
      <c r="BN14354" s="192"/>
      <c r="BO14354" s="197"/>
      <c r="BP14354" s="197"/>
      <c r="BQ14354" s="197"/>
    </row>
    <row r="14355" spans="66:69" x14ac:dyDescent="0.2">
      <c r="BN14355" s="192"/>
      <c r="BO14355" s="197"/>
      <c r="BP14355" s="197"/>
      <c r="BQ14355" s="197"/>
    </row>
    <row r="14356" spans="66:69" x14ac:dyDescent="0.2">
      <c r="BN14356" s="192"/>
      <c r="BO14356" s="197"/>
      <c r="BP14356" s="197"/>
      <c r="BQ14356" s="197"/>
    </row>
    <row r="14357" spans="66:69" x14ac:dyDescent="0.2">
      <c r="BN14357" s="192"/>
      <c r="BO14357" s="197"/>
      <c r="BP14357" s="197"/>
      <c r="BQ14357" s="197"/>
    </row>
    <row r="14358" spans="66:69" x14ac:dyDescent="0.2">
      <c r="BN14358" s="192"/>
      <c r="BO14358" s="197"/>
      <c r="BP14358" s="197"/>
      <c r="BQ14358" s="197"/>
    </row>
    <row r="14359" spans="66:69" x14ac:dyDescent="0.2">
      <c r="BN14359" s="192"/>
      <c r="BO14359" s="197"/>
      <c r="BP14359" s="197"/>
      <c r="BQ14359" s="197"/>
    </row>
    <row r="14360" spans="66:69" x14ac:dyDescent="0.2">
      <c r="BN14360" s="192"/>
      <c r="BO14360" s="197"/>
      <c r="BP14360" s="197"/>
      <c r="BQ14360" s="197"/>
    </row>
    <row r="14361" spans="66:69" x14ac:dyDescent="0.2">
      <c r="BN14361" s="192"/>
      <c r="BO14361" s="197"/>
      <c r="BP14361" s="197"/>
      <c r="BQ14361" s="197"/>
    </row>
    <row r="14362" spans="66:69" x14ac:dyDescent="0.2">
      <c r="BN14362" s="192"/>
      <c r="BO14362" s="197"/>
      <c r="BP14362" s="197"/>
      <c r="BQ14362" s="197"/>
    </row>
    <row r="14363" spans="66:69" x14ac:dyDescent="0.2">
      <c r="BN14363" s="192"/>
      <c r="BO14363" s="197"/>
      <c r="BP14363" s="197"/>
      <c r="BQ14363" s="197"/>
    </row>
    <row r="14364" spans="66:69" x14ac:dyDescent="0.2">
      <c r="BN14364" s="192"/>
      <c r="BO14364" s="197"/>
      <c r="BP14364" s="197"/>
      <c r="BQ14364" s="197"/>
    </row>
    <row r="14365" spans="66:69" x14ac:dyDescent="0.2">
      <c r="BN14365" s="192"/>
      <c r="BO14365" s="197"/>
      <c r="BP14365" s="197"/>
      <c r="BQ14365" s="197"/>
    </row>
    <row r="14366" spans="66:69" x14ac:dyDescent="0.2">
      <c r="BN14366" s="192"/>
      <c r="BO14366" s="197"/>
      <c r="BP14366" s="197"/>
      <c r="BQ14366" s="197"/>
    </row>
    <row r="14367" spans="66:69" x14ac:dyDescent="0.2">
      <c r="BN14367" s="192"/>
      <c r="BO14367" s="197"/>
      <c r="BP14367" s="197"/>
      <c r="BQ14367" s="197"/>
    </row>
    <row r="14368" spans="66:69" x14ac:dyDescent="0.2">
      <c r="BN14368" s="192"/>
      <c r="BO14368" s="197"/>
      <c r="BP14368" s="197"/>
      <c r="BQ14368" s="197"/>
    </row>
    <row r="14369" spans="66:69" x14ac:dyDescent="0.2">
      <c r="BN14369" s="192"/>
      <c r="BO14369" s="197"/>
      <c r="BP14369" s="197"/>
      <c r="BQ14369" s="197"/>
    </row>
    <row r="14370" spans="66:69" x14ac:dyDescent="0.2">
      <c r="BN14370" s="192"/>
      <c r="BO14370" s="197"/>
      <c r="BP14370" s="197"/>
      <c r="BQ14370" s="197"/>
    </row>
    <row r="14371" spans="66:69" x14ac:dyDescent="0.2">
      <c r="BN14371" s="192"/>
      <c r="BO14371" s="197"/>
      <c r="BP14371" s="197"/>
      <c r="BQ14371" s="197"/>
    </row>
    <row r="14372" spans="66:69" x14ac:dyDescent="0.2">
      <c r="BN14372" s="192"/>
      <c r="BO14372" s="197"/>
      <c r="BP14372" s="197"/>
      <c r="BQ14372" s="197"/>
    </row>
    <row r="14373" spans="66:69" x14ac:dyDescent="0.2">
      <c r="BN14373" s="192"/>
      <c r="BO14373" s="197"/>
      <c r="BP14373" s="197"/>
      <c r="BQ14373" s="197"/>
    </row>
    <row r="14374" spans="66:69" x14ac:dyDescent="0.2">
      <c r="BN14374" s="192"/>
      <c r="BO14374" s="197"/>
      <c r="BP14374" s="197"/>
      <c r="BQ14374" s="197"/>
    </row>
    <row r="14375" spans="66:69" x14ac:dyDescent="0.2">
      <c r="BN14375" s="192"/>
      <c r="BO14375" s="197"/>
      <c r="BP14375" s="197"/>
      <c r="BQ14375" s="197"/>
    </row>
    <row r="14376" spans="66:69" x14ac:dyDescent="0.2">
      <c r="BN14376" s="192"/>
      <c r="BO14376" s="197"/>
      <c r="BP14376" s="197"/>
      <c r="BQ14376" s="197"/>
    </row>
    <row r="14377" spans="66:69" x14ac:dyDescent="0.2">
      <c r="BN14377" s="192"/>
      <c r="BO14377" s="197"/>
      <c r="BP14377" s="197"/>
      <c r="BQ14377" s="197"/>
    </row>
    <row r="14378" spans="66:69" x14ac:dyDescent="0.2">
      <c r="BN14378" s="192"/>
      <c r="BO14378" s="197"/>
      <c r="BP14378" s="197"/>
      <c r="BQ14378" s="197"/>
    </row>
    <row r="14379" spans="66:69" x14ac:dyDescent="0.2">
      <c r="BN14379" s="192"/>
      <c r="BO14379" s="197"/>
      <c r="BP14379" s="197"/>
      <c r="BQ14379" s="197"/>
    </row>
    <row r="14380" spans="66:69" x14ac:dyDescent="0.2">
      <c r="BN14380" s="192"/>
      <c r="BO14380" s="197"/>
      <c r="BP14380" s="197"/>
      <c r="BQ14380" s="197"/>
    </row>
    <row r="14381" spans="66:69" x14ac:dyDescent="0.2">
      <c r="BN14381" s="192"/>
      <c r="BO14381" s="197"/>
      <c r="BP14381" s="197"/>
      <c r="BQ14381" s="197"/>
    </row>
    <row r="14382" spans="66:69" x14ac:dyDescent="0.2">
      <c r="BN14382" s="192"/>
      <c r="BO14382" s="197"/>
      <c r="BP14382" s="197"/>
      <c r="BQ14382" s="197"/>
    </row>
    <row r="14383" spans="66:69" x14ac:dyDescent="0.2">
      <c r="BN14383" s="192"/>
      <c r="BO14383" s="197"/>
      <c r="BP14383" s="197"/>
      <c r="BQ14383" s="197"/>
    </row>
    <row r="14384" spans="66:69" x14ac:dyDescent="0.2">
      <c r="BN14384" s="192"/>
      <c r="BO14384" s="197"/>
      <c r="BP14384" s="197"/>
      <c r="BQ14384" s="197"/>
    </row>
    <row r="14385" spans="66:69" x14ac:dyDescent="0.2">
      <c r="BN14385" s="192"/>
      <c r="BO14385" s="197"/>
      <c r="BP14385" s="197"/>
      <c r="BQ14385" s="197"/>
    </row>
    <row r="14386" spans="66:69" x14ac:dyDescent="0.2">
      <c r="BN14386" s="192"/>
      <c r="BO14386" s="197"/>
      <c r="BP14386" s="197"/>
      <c r="BQ14386" s="197"/>
    </row>
    <row r="14387" spans="66:69" x14ac:dyDescent="0.2">
      <c r="BN14387" s="192"/>
      <c r="BO14387" s="197"/>
      <c r="BP14387" s="197"/>
      <c r="BQ14387" s="197"/>
    </row>
    <row r="14388" spans="66:69" x14ac:dyDescent="0.2">
      <c r="BN14388" s="192"/>
      <c r="BO14388" s="197"/>
      <c r="BP14388" s="197"/>
      <c r="BQ14388" s="197"/>
    </row>
    <row r="14389" spans="66:69" x14ac:dyDescent="0.2">
      <c r="BN14389" s="192"/>
      <c r="BO14389" s="197"/>
      <c r="BP14389" s="197"/>
      <c r="BQ14389" s="197"/>
    </row>
    <row r="14390" spans="66:69" x14ac:dyDescent="0.2">
      <c r="BN14390" s="192"/>
      <c r="BO14390" s="197"/>
      <c r="BP14390" s="197"/>
      <c r="BQ14390" s="197"/>
    </row>
    <row r="14391" spans="66:69" x14ac:dyDescent="0.2">
      <c r="BN14391" s="192"/>
      <c r="BO14391" s="197"/>
      <c r="BP14391" s="197"/>
      <c r="BQ14391" s="197"/>
    </row>
    <row r="14392" spans="66:69" x14ac:dyDescent="0.2">
      <c r="BN14392" s="192"/>
      <c r="BO14392" s="197"/>
      <c r="BP14392" s="197"/>
      <c r="BQ14392" s="197"/>
    </row>
    <row r="14393" spans="66:69" x14ac:dyDescent="0.2">
      <c r="BN14393" s="192"/>
      <c r="BO14393" s="197"/>
      <c r="BP14393" s="197"/>
      <c r="BQ14393" s="197"/>
    </row>
    <row r="14394" spans="66:69" x14ac:dyDescent="0.2">
      <c r="BN14394" s="192"/>
      <c r="BO14394" s="197"/>
      <c r="BP14394" s="197"/>
      <c r="BQ14394" s="197"/>
    </row>
    <row r="14395" spans="66:69" x14ac:dyDescent="0.2">
      <c r="BN14395" s="192"/>
      <c r="BO14395" s="197"/>
      <c r="BP14395" s="197"/>
      <c r="BQ14395" s="197"/>
    </row>
    <row r="14396" spans="66:69" x14ac:dyDescent="0.2">
      <c r="BN14396" s="192"/>
      <c r="BO14396" s="197"/>
      <c r="BP14396" s="197"/>
      <c r="BQ14396" s="197"/>
    </row>
    <row r="14397" spans="66:69" x14ac:dyDescent="0.2">
      <c r="BN14397" s="192"/>
      <c r="BO14397" s="197"/>
      <c r="BP14397" s="197"/>
      <c r="BQ14397" s="197"/>
    </row>
    <row r="14398" spans="66:69" x14ac:dyDescent="0.2">
      <c r="BN14398" s="192"/>
      <c r="BO14398" s="197"/>
      <c r="BP14398" s="197"/>
      <c r="BQ14398" s="197"/>
    </row>
    <row r="14399" spans="66:69" x14ac:dyDescent="0.2">
      <c r="BN14399" s="192"/>
      <c r="BO14399" s="197"/>
      <c r="BP14399" s="197"/>
      <c r="BQ14399" s="197"/>
    </row>
    <row r="14400" spans="66:69" x14ac:dyDescent="0.2">
      <c r="BN14400" s="192"/>
      <c r="BO14400" s="197"/>
      <c r="BP14400" s="197"/>
      <c r="BQ14400" s="197"/>
    </row>
    <row r="14401" spans="66:69" x14ac:dyDescent="0.2">
      <c r="BN14401" s="192"/>
      <c r="BO14401" s="197"/>
      <c r="BP14401" s="197"/>
      <c r="BQ14401" s="197"/>
    </row>
    <row r="14402" spans="66:69" x14ac:dyDescent="0.2">
      <c r="BN14402" s="192"/>
      <c r="BO14402" s="197"/>
      <c r="BP14402" s="197"/>
      <c r="BQ14402" s="197"/>
    </row>
    <row r="14403" spans="66:69" x14ac:dyDescent="0.2">
      <c r="BN14403" s="192"/>
      <c r="BO14403" s="197"/>
      <c r="BP14403" s="197"/>
      <c r="BQ14403" s="197"/>
    </row>
    <row r="14404" spans="66:69" x14ac:dyDescent="0.2">
      <c r="BN14404" s="192"/>
      <c r="BO14404" s="197"/>
      <c r="BP14404" s="197"/>
      <c r="BQ14404" s="197"/>
    </row>
    <row r="14405" spans="66:69" x14ac:dyDescent="0.2">
      <c r="BN14405" s="192"/>
      <c r="BO14405" s="197"/>
      <c r="BP14405" s="197"/>
      <c r="BQ14405" s="197"/>
    </row>
    <row r="14406" spans="66:69" x14ac:dyDescent="0.2">
      <c r="BN14406" s="192"/>
      <c r="BO14406" s="197"/>
      <c r="BP14406" s="197"/>
      <c r="BQ14406" s="197"/>
    </row>
    <row r="14407" spans="66:69" x14ac:dyDescent="0.2">
      <c r="BN14407" s="192"/>
      <c r="BO14407" s="197"/>
      <c r="BP14407" s="197"/>
      <c r="BQ14407" s="197"/>
    </row>
    <row r="14408" spans="66:69" x14ac:dyDescent="0.2">
      <c r="BN14408" s="192"/>
      <c r="BO14408" s="197"/>
      <c r="BP14408" s="197"/>
      <c r="BQ14408" s="197"/>
    </row>
    <row r="14409" spans="66:69" x14ac:dyDescent="0.2">
      <c r="BN14409" s="192"/>
      <c r="BO14409" s="197"/>
      <c r="BP14409" s="197"/>
      <c r="BQ14409" s="197"/>
    </row>
    <row r="14410" spans="66:69" x14ac:dyDescent="0.2">
      <c r="BN14410" s="192"/>
      <c r="BO14410" s="197"/>
      <c r="BP14410" s="197"/>
      <c r="BQ14410" s="197"/>
    </row>
    <row r="14411" spans="66:69" x14ac:dyDescent="0.2">
      <c r="BN14411" s="192"/>
      <c r="BO14411" s="197"/>
      <c r="BP14411" s="197"/>
      <c r="BQ14411" s="197"/>
    </row>
    <row r="14412" spans="66:69" x14ac:dyDescent="0.2">
      <c r="BN14412" s="192"/>
      <c r="BO14412" s="197"/>
      <c r="BP14412" s="197"/>
      <c r="BQ14412" s="197"/>
    </row>
    <row r="14413" spans="66:69" x14ac:dyDescent="0.2">
      <c r="BN14413" s="192"/>
      <c r="BO14413" s="197"/>
      <c r="BP14413" s="197"/>
      <c r="BQ14413" s="197"/>
    </row>
    <row r="14414" spans="66:69" x14ac:dyDescent="0.2">
      <c r="BN14414" s="192"/>
      <c r="BO14414" s="197"/>
      <c r="BP14414" s="197"/>
      <c r="BQ14414" s="197"/>
    </row>
    <row r="14415" spans="66:69" x14ac:dyDescent="0.2">
      <c r="BN14415" s="192"/>
      <c r="BO14415" s="197"/>
      <c r="BP14415" s="197"/>
      <c r="BQ14415" s="197"/>
    </row>
    <row r="14416" spans="66:69" x14ac:dyDescent="0.2">
      <c r="BN14416" s="192"/>
      <c r="BO14416" s="197"/>
      <c r="BP14416" s="197"/>
      <c r="BQ14416" s="197"/>
    </row>
    <row r="14417" spans="66:69" x14ac:dyDescent="0.2">
      <c r="BN14417" s="192"/>
      <c r="BO14417" s="197"/>
      <c r="BP14417" s="197"/>
      <c r="BQ14417" s="197"/>
    </row>
    <row r="14418" spans="66:69" x14ac:dyDescent="0.2">
      <c r="BN14418" s="192"/>
      <c r="BO14418" s="197"/>
      <c r="BP14418" s="197"/>
      <c r="BQ14418" s="197"/>
    </row>
    <row r="14419" spans="66:69" x14ac:dyDescent="0.2">
      <c r="BN14419" s="192"/>
      <c r="BO14419" s="197"/>
      <c r="BP14419" s="197"/>
      <c r="BQ14419" s="197"/>
    </row>
    <row r="14420" spans="66:69" x14ac:dyDescent="0.2">
      <c r="BN14420" s="192"/>
      <c r="BO14420" s="197"/>
      <c r="BP14420" s="197"/>
      <c r="BQ14420" s="197"/>
    </row>
    <row r="14421" spans="66:69" x14ac:dyDescent="0.2">
      <c r="BN14421" s="192"/>
      <c r="BO14421" s="197"/>
      <c r="BP14421" s="197"/>
      <c r="BQ14421" s="197"/>
    </row>
    <row r="14422" spans="66:69" x14ac:dyDescent="0.2">
      <c r="BN14422" s="192"/>
      <c r="BO14422" s="197"/>
      <c r="BP14422" s="197"/>
      <c r="BQ14422" s="197"/>
    </row>
    <row r="14423" spans="66:69" x14ac:dyDescent="0.2">
      <c r="BN14423" s="192"/>
      <c r="BO14423" s="197"/>
      <c r="BP14423" s="197"/>
      <c r="BQ14423" s="197"/>
    </row>
    <row r="14424" spans="66:69" x14ac:dyDescent="0.2">
      <c r="BN14424" s="192"/>
      <c r="BO14424" s="197"/>
      <c r="BP14424" s="197"/>
      <c r="BQ14424" s="197"/>
    </row>
    <row r="14425" spans="66:69" x14ac:dyDescent="0.2">
      <c r="BN14425" s="192"/>
      <c r="BO14425" s="197"/>
      <c r="BP14425" s="197"/>
      <c r="BQ14425" s="197"/>
    </row>
    <row r="14426" spans="66:69" x14ac:dyDescent="0.2">
      <c r="BN14426" s="192"/>
      <c r="BO14426" s="197"/>
      <c r="BP14426" s="197"/>
      <c r="BQ14426" s="197"/>
    </row>
    <row r="14427" spans="66:69" x14ac:dyDescent="0.2">
      <c r="BN14427" s="192"/>
      <c r="BO14427" s="197"/>
      <c r="BP14427" s="197"/>
      <c r="BQ14427" s="197"/>
    </row>
    <row r="14428" spans="66:69" x14ac:dyDescent="0.2">
      <c r="BN14428" s="192"/>
      <c r="BO14428" s="197"/>
      <c r="BP14428" s="197"/>
      <c r="BQ14428" s="197"/>
    </row>
    <row r="14429" spans="66:69" x14ac:dyDescent="0.2">
      <c r="BN14429" s="192"/>
      <c r="BO14429" s="197"/>
      <c r="BP14429" s="197"/>
      <c r="BQ14429" s="197"/>
    </row>
    <row r="14430" spans="66:69" x14ac:dyDescent="0.2">
      <c r="BN14430" s="192"/>
      <c r="BO14430" s="197"/>
      <c r="BP14430" s="197"/>
      <c r="BQ14430" s="197"/>
    </row>
    <row r="14431" spans="66:69" x14ac:dyDescent="0.2">
      <c r="BN14431" s="192"/>
      <c r="BO14431" s="197"/>
      <c r="BP14431" s="197"/>
      <c r="BQ14431" s="197"/>
    </row>
    <row r="14432" spans="66:69" x14ac:dyDescent="0.2">
      <c r="BN14432" s="192"/>
      <c r="BO14432" s="197"/>
      <c r="BP14432" s="197"/>
      <c r="BQ14432" s="197"/>
    </row>
    <row r="14433" spans="66:69" x14ac:dyDescent="0.2">
      <c r="BN14433" s="192"/>
      <c r="BO14433" s="197"/>
      <c r="BP14433" s="197"/>
      <c r="BQ14433" s="197"/>
    </row>
    <row r="14434" spans="66:69" x14ac:dyDescent="0.2">
      <c r="BN14434" s="192"/>
      <c r="BO14434" s="197"/>
      <c r="BP14434" s="197"/>
      <c r="BQ14434" s="197"/>
    </row>
    <row r="14435" spans="66:69" x14ac:dyDescent="0.2">
      <c r="BN14435" s="192"/>
      <c r="BO14435" s="197"/>
      <c r="BP14435" s="197"/>
      <c r="BQ14435" s="197"/>
    </row>
    <row r="14436" spans="66:69" x14ac:dyDescent="0.2">
      <c r="BN14436" s="192"/>
      <c r="BO14436" s="197"/>
      <c r="BP14436" s="197"/>
      <c r="BQ14436" s="197"/>
    </row>
    <row r="14437" spans="66:69" x14ac:dyDescent="0.2">
      <c r="BN14437" s="192"/>
      <c r="BO14437" s="197"/>
      <c r="BP14437" s="197"/>
      <c r="BQ14437" s="197"/>
    </row>
    <row r="14438" spans="66:69" x14ac:dyDescent="0.2">
      <c r="BN14438" s="192"/>
      <c r="BO14438" s="197"/>
      <c r="BP14438" s="197"/>
      <c r="BQ14438" s="197"/>
    </row>
    <row r="14439" spans="66:69" x14ac:dyDescent="0.2">
      <c r="BN14439" s="192"/>
      <c r="BO14439" s="197"/>
      <c r="BP14439" s="197"/>
      <c r="BQ14439" s="197"/>
    </row>
    <row r="14440" spans="66:69" x14ac:dyDescent="0.2">
      <c r="BN14440" s="192"/>
      <c r="BO14440" s="197"/>
      <c r="BP14440" s="197"/>
      <c r="BQ14440" s="197"/>
    </row>
    <row r="14441" spans="66:69" x14ac:dyDescent="0.2">
      <c r="BN14441" s="192"/>
      <c r="BO14441" s="197"/>
      <c r="BP14441" s="197"/>
      <c r="BQ14441" s="197"/>
    </row>
    <row r="14442" spans="66:69" x14ac:dyDescent="0.2">
      <c r="BN14442" s="192"/>
      <c r="BO14442" s="197"/>
      <c r="BP14442" s="197"/>
      <c r="BQ14442" s="197"/>
    </row>
    <row r="14443" spans="66:69" x14ac:dyDescent="0.2">
      <c r="BN14443" s="192"/>
      <c r="BO14443" s="197"/>
      <c r="BP14443" s="197"/>
      <c r="BQ14443" s="197"/>
    </row>
    <row r="14444" spans="66:69" x14ac:dyDescent="0.2">
      <c r="BN14444" s="192"/>
      <c r="BO14444" s="197"/>
      <c r="BP14444" s="197"/>
      <c r="BQ14444" s="197"/>
    </row>
    <row r="14445" spans="66:69" x14ac:dyDescent="0.2">
      <c r="BN14445" s="192"/>
      <c r="BO14445" s="197"/>
      <c r="BP14445" s="197"/>
      <c r="BQ14445" s="197"/>
    </row>
    <row r="14446" spans="66:69" x14ac:dyDescent="0.2">
      <c r="BN14446" s="192"/>
      <c r="BO14446" s="197"/>
      <c r="BP14446" s="197"/>
      <c r="BQ14446" s="197"/>
    </row>
    <row r="14447" spans="66:69" x14ac:dyDescent="0.2">
      <c r="BN14447" s="192"/>
      <c r="BO14447" s="197"/>
      <c r="BP14447" s="197"/>
      <c r="BQ14447" s="197"/>
    </row>
    <row r="14448" spans="66:69" x14ac:dyDescent="0.2">
      <c r="BN14448" s="192"/>
      <c r="BO14448" s="197"/>
      <c r="BP14448" s="197"/>
      <c r="BQ14448" s="197"/>
    </row>
    <row r="14449" spans="66:69" x14ac:dyDescent="0.2">
      <c r="BN14449" s="192"/>
      <c r="BO14449" s="197"/>
      <c r="BP14449" s="197"/>
      <c r="BQ14449" s="197"/>
    </row>
    <row r="14450" spans="66:69" x14ac:dyDescent="0.2">
      <c r="BN14450" s="192"/>
      <c r="BO14450" s="197"/>
      <c r="BP14450" s="197"/>
      <c r="BQ14450" s="197"/>
    </row>
    <row r="14451" spans="66:69" x14ac:dyDescent="0.2">
      <c r="BN14451" s="192"/>
      <c r="BO14451" s="197"/>
      <c r="BP14451" s="197"/>
      <c r="BQ14451" s="197"/>
    </row>
    <row r="14452" spans="66:69" x14ac:dyDescent="0.2">
      <c r="BN14452" s="192"/>
      <c r="BO14452" s="197"/>
      <c r="BP14452" s="197"/>
      <c r="BQ14452" s="197"/>
    </row>
    <row r="14453" spans="66:69" x14ac:dyDescent="0.2">
      <c r="BN14453" s="192"/>
      <c r="BO14453" s="197"/>
      <c r="BP14453" s="197"/>
      <c r="BQ14453" s="197"/>
    </row>
    <row r="14454" spans="66:69" x14ac:dyDescent="0.2">
      <c r="BN14454" s="192"/>
      <c r="BO14454" s="197"/>
      <c r="BP14454" s="197"/>
      <c r="BQ14454" s="197"/>
    </row>
    <row r="14455" spans="66:69" x14ac:dyDescent="0.2">
      <c r="BN14455" s="192"/>
      <c r="BO14455" s="197"/>
      <c r="BP14455" s="197"/>
      <c r="BQ14455" s="197"/>
    </row>
    <row r="14456" spans="66:69" x14ac:dyDescent="0.2">
      <c r="BN14456" s="192"/>
      <c r="BO14456" s="197"/>
      <c r="BP14456" s="197"/>
      <c r="BQ14456" s="197"/>
    </row>
    <row r="14457" spans="66:69" x14ac:dyDescent="0.2">
      <c r="BN14457" s="192"/>
      <c r="BO14457" s="197"/>
      <c r="BP14457" s="197"/>
      <c r="BQ14457" s="197"/>
    </row>
    <row r="14458" spans="66:69" x14ac:dyDescent="0.2">
      <c r="BN14458" s="192"/>
      <c r="BO14458" s="197"/>
      <c r="BP14458" s="197"/>
      <c r="BQ14458" s="197"/>
    </row>
    <row r="14459" spans="66:69" x14ac:dyDescent="0.2">
      <c r="BN14459" s="192"/>
      <c r="BO14459" s="197"/>
      <c r="BP14459" s="197"/>
      <c r="BQ14459" s="197"/>
    </row>
    <row r="14460" spans="66:69" x14ac:dyDescent="0.2">
      <c r="BN14460" s="192"/>
      <c r="BO14460" s="197"/>
      <c r="BP14460" s="197"/>
      <c r="BQ14460" s="197"/>
    </row>
    <row r="14461" spans="66:69" x14ac:dyDescent="0.2">
      <c r="BN14461" s="192"/>
      <c r="BO14461" s="197"/>
      <c r="BP14461" s="197"/>
      <c r="BQ14461" s="197"/>
    </row>
    <row r="14462" spans="66:69" x14ac:dyDescent="0.2">
      <c r="BN14462" s="192"/>
      <c r="BO14462" s="197"/>
      <c r="BP14462" s="197"/>
      <c r="BQ14462" s="197"/>
    </row>
    <row r="14463" spans="66:69" x14ac:dyDescent="0.2">
      <c r="BN14463" s="192"/>
      <c r="BO14463" s="197"/>
      <c r="BP14463" s="197"/>
      <c r="BQ14463" s="197"/>
    </row>
    <row r="14464" spans="66:69" x14ac:dyDescent="0.2">
      <c r="BN14464" s="192"/>
      <c r="BO14464" s="197"/>
      <c r="BP14464" s="197"/>
      <c r="BQ14464" s="197"/>
    </row>
    <row r="14465" spans="66:69" x14ac:dyDescent="0.2">
      <c r="BN14465" s="192"/>
      <c r="BO14465" s="197"/>
      <c r="BP14465" s="197"/>
      <c r="BQ14465" s="197"/>
    </row>
    <row r="14466" spans="66:69" x14ac:dyDescent="0.2">
      <c r="BN14466" s="192"/>
      <c r="BO14466" s="197"/>
      <c r="BP14466" s="197"/>
      <c r="BQ14466" s="197"/>
    </row>
    <row r="14467" spans="66:69" x14ac:dyDescent="0.2">
      <c r="BN14467" s="192"/>
      <c r="BO14467" s="197"/>
      <c r="BP14467" s="197"/>
      <c r="BQ14467" s="197"/>
    </row>
    <row r="14468" spans="66:69" x14ac:dyDescent="0.2">
      <c r="BN14468" s="192"/>
      <c r="BO14468" s="197"/>
      <c r="BP14468" s="197"/>
      <c r="BQ14468" s="197"/>
    </row>
    <row r="14469" spans="66:69" x14ac:dyDescent="0.2">
      <c r="BN14469" s="192"/>
      <c r="BO14469" s="197"/>
      <c r="BP14469" s="197"/>
      <c r="BQ14469" s="197"/>
    </row>
    <row r="14470" spans="66:69" x14ac:dyDescent="0.2">
      <c r="BN14470" s="192"/>
      <c r="BO14470" s="197"/>
      <c r="BP14470" s="197"/>
      <c r="BQ14470" s="197"/>
    </row>
    <row r="14471" spans="66:69" x14ac:dyDescent="0.2">
      <c r="BN14471" s="192"/>
      <c r="BO14471" s="197"/>
      <c r="BP14471" s="197"/>
      <c r="BQ14471" s="197"/>
    </row>
    <row r="14472" spans="66:69" x14ac:dyDescent="0.2">
      <c r="BN14472" s="192"/>
      <c r="BO14472" s="197"/>
      <c r="BP14472" s="197"/>
      <c r="BQ14472" s="197"/>
    </row>
    <row r="14473" spans="66:69" x14ac:dyDescent="0.2">
      <c r="BN14473" s="192"/>
      <c r="BO14473" s="197"/>
      <c r="BP14473" s="197"/>
      <c r="BQ14473" s="197"/>
    </row>
    <row r="14474" spans="66:69" x14ac:dyDescent="0.2">
      <c r="BN14474" s="192"/>
      <c r="BO14474" s="197"/>
      <c r="BP14474" s="197"/>
      <c r="BQ14474" s="197"/>
    </row>
    <row r="14475" spans="66:69" x14ac:dyDescent="0.2">
      <c r="BN14475" s="192"/>
      <c r="BO14475" s="197"/>
      <c r="BP14475" s="197"/>
      <c r="BQ14475" s="197"/>
    </row>
    <row r="14476" spans="66:69" x14ac:dyDescent="0.2">
      <c r="BN14476" s="192"/>
      <c r="BO14476" s="197"/>
      <c r="BP14476" s="197"/>
      <c r="BQ14476" s="197"/>
    </row>
    <row r="14477" spans="66:69" x14ac:dyDescent="0.2">
      <c r="BN14477" s="192"/>
      <c r="BO14477" s="197"/>
      <c r="BP14477" s="197"/>
      <c r="BQ14477" s="197"/>
    </row>
    <row r="14478" spans="66:69" x14ac:dyDescent="0.2">
      <c r="BN14478" s="192"/>
      <c r="BO14478" s="197"/>
      <c r="BP14478" s="197"/>
      <c r="BQ14478" s="197"/>
    </row>
    <row r="14479" spans="66:69" x14ac:dyDescent="0.2">
      <c r="BN14479" s="192"/>
      <c r="BO14479" s="197"/>
      <c r="BP14479" s="197"/>
      <c r="BQ14479" s="197"/>
    </row>
    <row r="14480" spans="66:69" x14ac:dyDescent="0.2">
      <c r="BN14480" s="192"/>
      <c r="BO14480" s="197"/>
      <c r="BP14480" s="197"/>
      <c r="BQ14480" s="197"/>
    </row>
    <row r="14481" spans="66:69" x14ac:dyDescent="0.2">
      <c r="BN14481" s="192"/>
      <c r="BO14481" s="197"/>
      <c r="BP14481" s="197"/>
      <c r="BQ14481" s="197"/>
    </row>
    <row r="14482" spans="66:69" x14ac:dyDescent="0.2">
      <c r="BN14482" s="192"/>
      <c r="BO14482" s="197"/>
      <c r="BP14482" s="197"/>
      <c r="BQ14482" s="197"/>
    </row>
    <row r="14483" spans="66:69" x14ac:dyDescent="0.2">
      <c r="BN14483" s="192"/>
      <c r="BO14483" s="197"/>
      <c r="BP14483" s="197"/>
      <c r="BQ14483" s="197"/>
    </row>
    <row r="14484" spans="66:69" x14ac:dyDescent="0.2">
      <c r="BN14484" s="192"/>
      <c r="BO14484" s="197"/>
      <c r="BP14484" s="197"/>
      <c r="BQ14484" s="197"/>
    </row>
    <row r="14485" spans="66:69" x14ac:dyDescent="0.2">
      <c r="BN14485" s="192"/>
      <c r="BO14485" s="197"/>
      <c r="BP14485" s="197"/>
      <c r="BQ14485" s="197"/>
    </row>
    <row r="14486" spans="66:69" x14ac:dyDescent="0.2">
      <c r="BN14486" s="192"/>
      <c r="BO14486" s="197"/>
      <c r="BP14486" s="197"/>
      <c r="BQ14486" s="197"/>
    </row>
    <row r="14487" spans="66:69" x14ac:dyDescent="0.2">
      <c r="BN14487" s="192"/>
      <c r="BO14487" s="197"/>
      <c r="BP14487" s="197"/>
      <c r="BQ14487" s="197"/>
    </row>
    <row r="14488" spans="66:69" x14ac:dyDescent="0.2">
      <c r="BN14488" s="192"/>
      <c r="BO14488" s="197"/>
      <c r="BP14488" s="197"/>
      <c r="BQ14488" s="197"/>
    </row>
    <row r="14489" spans="66:69" x14ac:dyDescent="0.2">
      <c r="BN14489" s="192"/>
      <c r="BO14489" s="197"/>
      <c r="BP14489" s="197"/>
      <c r="BQ14489" s="197"/>
    </row>
    <row r="14490" spans="66:69" x14ac:dyDescent="0.2">
      <c r="BN14490" s="192"/>
      <c r="BO14490" s="197"/>
      <c r="BP14490" s="197"/>
      <c r="BQ14490" s="197"/>
    </row>
    <row r="14491" spans="66:69" x14ac:dyDescent="0.2">
      <c r="BN14491" s="192"/>
      <c r="BO14491" s="197"/>
      <c r="BP14491" s="197"/>
      <c r="BQ14491" s="197"/>
    </row>
    <row r="14492" spans="66:69" x14ac:dyDescent="0.2">
      <c r="BN14492" s="192"/>
      <c r="BO14492" s="197"/>
      <c r="BP14492" s="197"/>
      <c r="BQ14492" s="197"/>
    </row>
    <row r="14493" spans="66:69" x14ac:dyDescent="0.2">
      <c r="BN14493" s="192"/>
      <c r="BO14493" s="197"/>
      <c r="BP14493" s="197"/>
      <c r="BQ14493" s="197"/>
    </row>
    <row r="14494" spans="66:69" x14ac:dyDescent="0.2">
      <c r="BN14494" s="192"/>
      <c r="BO14494" s="197"/>
      <c r="BP14494" s="197"/>
      <c r="BQ14494" s="197"/>
    </row>
    <row r="14495" spans="66:69" x14ac:dyDescent="0.2">
      <c r="BN14495" s="192"/>
      <c r="BO14495" s="197"/>
      <c r="BP14495" s="197"/>
      <c r="BQ14495" s="197"/>
    </row>
    <row r="14496" spans="66:69" x14ac:dyDescent="0.2">
      <c r="BN14496" s="192"/>
      <c r="BO14496" s="197"/>
      <c r="BP14496" s="197"/>
      <c r="BQ14496" s="197"/>
    </row>
    <row r="14497" spans="66:69" x14ac:dyDescent="0.2">
      <c r="BN14497" s="192"/>
      <c r="BO14497" s="197"/>
      <c r="BP14497" s="197"/>
      <c r="BQ14497" s="197"/>
    </row>
    <row r="14498" spans="66:69" x14ac:dyDescent="0.2">
      <c r="BN14498" s="192"/>
      <c r="BO14498" s="197"/>
      <c r="BP14498" s="197"/>
      <c r="BQ14498" s="197"/>
    </row>
    <row r="14499" spans="66:69" x14ac:dyDescent="0.2">
      <c r="BN14499" s="192"/>
      <c r="BO14499" s="197"/>
      <c r="BP14499" s="197"/>
      <c r="BQ14499" s="197"/>
    </row>
    <row r="14500" spans="66:69" x14ac:dyDescent="0.2">
      <c r="BN14500" s="192"/>
      <c r="BO14500" s="197"/>
      <c r="BP14500" s="197"/>
      <c r="BQ14500" s="197"/>
    </row>
    <row r="14501" spans="66:69" x14ac:dyDescent="0.2">
      <c r="BN14501" s="192"/>
      <c r="BO14501" s="197"/>
      <c r="BP14501" s="197"/>
      <c r="BQ14501" s="197"/>
    </row>
    <row r="14502" spans="66:69" x14ac:dyDescent="0.2">
      <c r="BN14502" s="192"/>
      <c r="BO14502" s="197"/>
      <c r="BP14502" s="197"/>
      <c r="BQ14502" s="197"/>
    </row>
    <row r="14503" spans="66:69" x14ac:dyDescent="0.2">
      <c r="BN14503" s="192"/>
      <c r="BO14503" s="197"/>
      <c r="BP14503" s="197"/>
      <c r="BQ14503" s="197"/>
    </row>
    <row r="14504" spans="66:69" x14ac:dyDescent="0.2">
      <c r="BN14504" s="192"/>
      <c r="BO14504" s="197"/>
      <c r="BP14504" s="197"/>
      <c r="BQ14504" s="197"/>
    </row>
    <row r="14505" spans="66:69" x14ac:dyDescent="0.2">
      <c r="BN14505" s="192"/>
      <c r="BO14505" s="197"/>
      <c r="BP14505" s="197"/>
      <c r="BQ14505" s="197"/>
    </row>
    <row r="14506" spans="66:69" x14ac:dyDescent="0.2">
      <c r="BN14506" s="192"/>
      <c r="BO14506" s="197"/>
      <c r="BP14506" s="197"/>
      <c r="BQ14506" s="197"/>
    </row>
    <row r="14507" spans="66:69" x14ac:dyDescent="0.2">
      <c r="BN14507" s="192"/>
      <c r="BO14507" s="197"/>
      <c r="BP14507" s="197"/>
      <c r="BQ14507" s="197"/>
    </row>
    <row r="14508" spans="66:69" x14ac:dyDescent="0.2">
      <c r="BN14508" s="192"/>
      <c r="BO14508" s="197"/>
      <c r="BP14508" s="197"/>
      <c r="BQ14508" s="197"/>
    </row>
    <row r="14509" spans="66:69" x14ac:dyDescent="0.2">
      <c r="BN14509" s="192"/>
      <c r="BO14509" s="197"/>
      <c r="BP14509" s="197"/>
      <c r="BQ14509" s="197"/>
    </row>
    <row r="14510" spans="66:69" x14ac:dyDescent="0.2">
      <c r="BN14510" s="192"/>
      <c r="BO14510" s="197"/>
      <c r="BP14510" s="197"/>
      <c r="BQ14510" s="197"/>
    </row>
    <row r="14511" spans="66:69" x14ac:dyDescent="0.2">
      <c r="BN14511" s="192"/>
      <c r="BO14511" s="197"/>
      <c r="BP14511" s="197"/>
      <c r="BQ14511" s="197"/>
    </row>
    <row r="14512" spans="66:69" x14ac:dyDescent="0.2">
      <c r="BN14512" s="192"/>
      <c r="BO14512" s="197"/>
      <c r="BP14512" s="197"/>
      <c r="BQ14512" s="197"/>
    </row>
    <row r="14513" spans="66:69" x14ac:dyDescent="0.2">
      <c r="BN14513" s="192"/>
      <c r="BO14513" s="197"/>
      <c r="BP14513" s="197"/>
      <c r="BQ14513" s="197"/>
    </row>
    <row r="14514" spans="66:69" x14ac:dyDescent="0.2">
      <c r="BN14514" s="192"/>
      <c r="BO14514" s="197"/>
      <c r="BP14514" s="197"/>
      <c r="BQ14514" s="197"/>
    </row>
    <row r="14515" spans="66:69" x14ac:dyDescent="0.2">
      <c r="BN14515" s="192"/>
      <c r="BO14515" s="197"/>
      <c r="BP14515" s="197"/>
      <c r="BQ14515" s="197"/>
    </row>
    <row r="14516" spans="66:69" x14ac:dyDescent="0.2">
      <c r="BN14516" s="192"/>
      <c r="BO14516" s="197"/>
      <c r="BP14516" s="197"/>
      <c r="BQ14516" s="197"/>
    </row>
    <row r="14517" spans="66:69" x14ac:dyDescent="0.2">
      <c r="BN14517" s="192"/>
      <c r="BO14517" s="197"/>
      <c r="BP14517" s="197"/>
      <c r="BQ14517" s="197"/>
    </row>
    <row r="14518" spans="66:69" x14ac:dyDescent="0.2">
      <c r="BN14518" s="192"/>
      <c r="BO14518" s="197"/>
      <c r="BP14518" s="197"/>
      <c r="BQ14518" s="197"/>
    </row>
    <row r="14519" spans="66:69" x14ac:dyDescent="0.2">
      <c r="BN14519" s="192"/>
      <c r="BO14519" s="197"/>
      <c r="BP14519" s="197"/>
      <c r="BQ14519" s="197"/>
    </row>
    <row r="14520" spans="66:69" x14ac:dyDescent="0.2">
      <c r="BN14520" s="192"/>
      <c r="BO14520" s="197"/>
      <c r="BP14520" s="197"/>
      <c r="BQ14520" s="197"/>
    </row>
    <row r="14521" spans="66:69" x14ac:dyDescent="0.2">
      <c r="BN14521" s="192"/>
      <c r="BO14521" s="197"/>
      <c r="BP14521" s="197"/>
      <c r="BQ14521" s="197"/>
    </row>
    <row r="14522" spans="66:69" x14ac:dyDescent="0.2">
      <c r="BN14522" s="192"/>
      <c r="BO14522" s="197"/>
      <c r="BP14522" s="197"/>
      <c r="BQ14522" s="197"/>
    </row>
    <row r="14523" spans="66:69" x14ac:dyDescent="0.2">
      <c r="BN14523" s="192"/>
      <c r="BO14523" s="197"/>
      <c r="BP14523" s="197"/>
      <c r="BQ14523" s="197"/>
    </row>
    <row r="14524" spans="66:69" x14ac:dyDescent="0.2">
      <c r="BN14524" s="192"/>
      <c r="BO14524" s="197"/>
      <c r="BP14524" s="197"/>
      <c r="BQ14524" s="197"/>
    </row>
    <row r="14525" spans="66:69" x14ac:dyDescent="0.2">
      <c r="BN14525" s="192"/>
      <c r="BO14525" s="197"/>
      <c r="BP14525" s="197"/>
      <c r="BQ14525" s="197"/>
    </row>
    <row r="14526" spans="66:69" x14ac:dyDescent="0.2">
      <c r="BN14526" s="192"/>
      <c r="BO14526" s="197"/>
      <c r="BP14526" s="197"/>
      <c r="BQ14526" s="197"/>
    </row>
    <row r="14527" spans="66:69" x14ac:dyDescent="0.2">
      <c r="BN14527" s="192"/>
      <c r="BO14527" s="197"/>
      <c r="BP14527" s="197"/>
      <c r="BQ14527" s="197"/>
    </row>
    <row r="14528" spans="66:69" x14ac:dyDescent="0.2">
      <c r="BN14528" s="192"/>
      <c r="BO14528" s="197"/>
      <c r="BP14528" s="197"/>
      <c r="BQ14528" s="197"/>
    </row>
    <row r="14529" spans="66:69" x14ac:dyDescent="0.2">
      <c r="BN14529" s="192"/>
      <c r="BO14529" s="197"/>
      <c r="BP14529" s="197"/>
      <c r="BQ14529" s="197"/>
    </row>
    <row r="14530" spans="66:69" x14ac:dyDescent="0.2">
      <c r="BN14530" s="192"/>
      <c r="BO14530" s="197"/>
      <c r="BP14530" s="197"/>
      <c r="BQ14530" s="197"/>
    </row>
    <row r="14531" spans="66:69" x14ac:dyDescent="0.2">
      <c r="BN14531" s="192"/>
      <c r="BO14531" s="197"/>
      <c r="BP14531" s="197"/>
      <c r="BQ14531" s="197"/>
    </row>
    <row r="14532" spans="66:69" x14ac:dyDescent="0.2">
      <c r="BN14532" s="192"/>
      <c r="BO14532" s="197"/>
      <c r="BP14532" s="197"/>
      <c r="BQ14532" s="197"/>
    </row>
    <row r="14533" spans="66:69" x14ac:dyDescent="0.2">
      <c r="BN14533" s="192"/>
      <c r="BO14533" s="197"/>
      <c r="BP14533" s="197"/>
      <c r="BQ14533" s="197"/>
    </row>
    <row r="14534" spans="66:69" x14ac:dyDescent="0.2">
      <c r="BN14534" s="192"/>
      <c r="BO14534" s="197"/>
      <c r="BP14534" s="197"/>
      <c r="BQ14534" s="197"/>
    </row>
    <row r="14535" spans="66:69" x14ac:dyDescent="0.2">
      <c r="BN14535" s="192"/>
      <c r="BO14535" s="197"/>
      <c r="BP14535" s="197"/>
      <c r="BQ14535" s="197"/>
    </row>
    <row r="14536" spans="66:69" x14ac:dyDescent="0.2">
      <c r="BN14536" s="192"/>
      <c r="BO14536" s="197"/>
      <c r="BP14536" s="197"/>
      <c r="BQ14536" s="197"/>
    </row>
    <row r="14537" spans="66:69" x14ac:dyDescent="0.2">
      <c r="BN14537" s="192"/>
      <c r="BO14537" s="197"/>
      <c r="BP14537" s="197"/>
      <c r="BQ14537" s="197"/>
    </row>
    <row r="14538" spans="66:69" x14ac:dyDescent="0.2">
      <c r="BN14538" s="192"/>
      <c r="BO14538" s="197"/>
      <c r="BP14538" s="197"/>
      <c r="BQ14538" s="197"/>
    </row>
    <row r="14539" spans="66:69" x14ac:dyDescent="0.2">
      <c r="BN14539" s="192"/>
      <c r="BO14539" s="197"/>
      <c r="BP14539" s="197"/>
      <c r="BQ14539" s="197"/>
    </row>
    <row r="14540" spans="66:69" x14ac:dyDescent="0.2">
      <c r="BN14540" s="192"/>
      <c r="BO14540" s="197"/>
      <c r="BP14540" s="197"/>
      <c r="BQ14540" s="197"/>
    </row>
    <row r="14541" spans="66:69" x14ac:dyDescent="0.2">
      <c r="BN14541" s="192"/>
      <c r="BO14541" s="197"/>
      <c r="BP14541" s="197"/>
      <c r="BQ14541" s="197"/>
    </row>
    <row r="14542" spans="66:69" x14ac:dyDescent="0.2">
      <c r="BN14542" s="192"/>
      <c r="BO14542" s="197"/>
      <c r="BP14542" s="197"/>
      <c r="BQ14542" s="197"/>
    </row>
    <row r="14543" spans="66:69" x14ac:dyDescent="0.2">
      <c r="BN14543" s="192"/>
      <c r="BO14543" s="197"/>
      <c r="BP14543" s="197"/>
      <c r="BQ14543" s="197"/>
    </row>
    <row r="14544" spans="66:69" x14ac:dyDescent="0.2">
      <c r="BN14544" s="192"/>
      <c r="BO14544" s="197"/>
      <c r="BP14544" s="197"/>
      <c r="BQ14544" s="197"/>
    </row>
    <row r="14545" spans="66:69" x14ac:dyDescent="0.2">
      <c r="BN14545" s="192"/>
      <c r="BO14545" s="197"/>
      <c r="BP14545" s="197"/>
      <c r="BQ14545" s="197"/>
    </row>
    <row r="14546" spans="66:69" x14ac:dyDescent="0.2">
      <c r="BN14546" s="192"/>
      <c r="BO14546" s="197"/>
      <c r="BP14546" s="197"/>
      <c r="BQ14546" s="197"/>
    </row>
    <row r="14547" spans="66:69" x14ac:dyDescent="0.2">
      <c r="BN14547" s="192"/>
      <c r="BO14547" s="197"/>
      <c r="BP14547" s="197"/>
      <c r="BQ14547" s="197"/>
    </row>
    <row r="14548" spans="66:69" x14ac:dyDescent="0.2">
      <c r="BN14548" s="192"/>
      <c r="BO14548" s="197"/>
      <c r="BP14548" s="197"/>
      <c r="BQ14548" s="197"/>
    </row>
    <row r="14549" spans="66:69" x14ac:dyDescent="0.2">
      <c r="BN14549" s="192"/>
      <c r="BO14549" s="197"/>
      <c r="BP14549" s="197"/>
      <c r="BQ14549" s="197"/>
    </row>
    <row r="14550" spans="66:69" x14ac:dyDescent="0.2">
      <c r="BN14550" s="192"/>
      <c r="BO14550" s="197"/>
      <c r="BP14550" s="197"/>
      <c r="BQ14550" s="197"/>
    </row>
    <row r="14551" spans="66:69" x14ac:dyDescent="0.2">
      <c r="BN14551" s="192"/>
      <c r="BO14551" s="197"/>
      <c r="BP14551" s="197"/>
      <c r="BQ14551" s="197"/>
    </row>
    <row r="14552" spans="66:69" x14ac:dyDescent="0.2">
      <c r="BN14552" s="192"/>
      <c r="BO14552" s="197"/>
      <c r="BP14552" s="197"/>
      <c r="BQ14552" s="197"/>
    </row>
    <row r="14553" spans="66:69" x14ac:dyDescent="0.2">
      <c r="BN14553" s="192"/>
      <c r="BO14553" s="197"/>
      <c r="BP14553" s="197"/>
      <c r="BQ14553" s="197"/>
    </row>
    <row r="14554" spans="66:69" x14ac:dyDescent="0.2">
      <c r="BN14554" s="192"/>
      <c r="BO14554" s="197"/>
      <c r="BP14554" s="197"/>
      <c r="BQ14554" s="197"/>
    </row>
    <row r="14555" spans="66:69" x14ac:dyDescent="0.2">
      <c r="BN14555" s="192"/>
      <c r="BO14555" s="197"/>
      <c r="BP14555" s="197"/>
      <c r="BQ14555" s="197"/>
    </row>
    <row r="14556" spans="66:69" x14ac:dyDescent="0.2">
      <c r="BN14556" s="192"/>
      <c r="BO14556" s="197"/>
      <c r="BP14556" s="197"/>
      <c r="BQ14556" s="197"/>
    </row>
    <row r="14557" spans="66:69" x14ac:dyDescent="0.2">
      <c r="BN14557" s="192"/>
      <c r="BO14557" s="197"/>
      <c r="BP14557" s="197"/>
      <c r="BQ14557" s="197"/>
    </row>
    <row r="14558" spans="66:69" x14ac:dyDescent="0.2">
      <c r="BN14558" s="192"/>
      <c r="BO14558" s="197"/>
      <c r="BP14558" s="197"/>
      <c r="BQ14558" s="197"/>
    </row>
    <row r="14559" spans="66:69" x14ac:dyDescent="0.2">
      <c r="BN14559" s="192"/>
      <c r="BO14559" s="197"/>
      <c r="BP14559" s="197"/>
      <c r="BQ14559" s="197"/>
    </row>
    <row r="14560" spans="66:69" x14ac:dyDescent="0.2">
      <c r="BN14560" s="192"/>
      <c r="BO14560" s="197"/>
      <c r="BP14560" s="197"/>
      <c r="BQ14560" s="197"/>
    </row>
    <row r="14561" spans="66:69" x14ac:dyDescent="0.2">
      <c r="BN14561" s="192"/>
      <c r="BO14561" s="197"/>
      <c r="BP14561" s="197"/>
      <c r="BQ14561" s="197"/>
    </row>
    <row r="14562" spans="66:69" x14ac:dyDescent="0.2">
      <c r="BN14562" s="192"/>
      <c r="BO14562" s="197"/>
      <c r="BP14562" s="197"/>
      <c r="BQ14562" s="197"/>
    </row>
    <row r="14563" spans="66:69" x14ac:dyDescent="0.2">
      <c r="BN14563" s="192"/>
      <c r="BO14563" s="197"/>
      <c r="BP14563" s="197"/>
      <c r="BQ14563" s="197"/>
    </row>
    <row r="14564" spans="66:69" x14ac:dyDescent="0.2">
      <c r="BN14564" s="192"/>
      <c r="BO14564" s="197"/>
      <c r="BP14564" s="197"/>
      <c r="BQ14564" s="197"/>
    </row>
    <row r="14565" spans="66:69" x14ac:dyDescent="0.2">
      <c r="BN14565" s="192"/>
      <c r="BO14565" s="197"/>
      <c r="BP14565" s="197"/>
      <c r="BQ14565" s="197"/>
    </row>
    <row r="14566" spans="66:69" x14ac:dyDescent="0.2">
      <c r="BN14566" s="192"/>
      <c r="BO14566" s="197"/>
      <c r="BP14566" s="197"/>
      <c r="BQ14566" s="197"/>
    </row>
    <row r="14567" spans="66:69" x14ac:dyDescent="0.2">
      <c r="BN14567" s="192"/>
      <c r="BO14567" s="197"/>
      <c r="BP14567" s="197"/>
      <c r="BQ14567" s="197"/>
    </row>
    <row r="14568" spans="66:69" x14ac:dyDescent="0.2">
      <c r="BN14568" s="192"/>
      <c r="BO14568" s="197"/>
      <c r="BP14568" s="197"/>
      <c r="BQ14568" s="197"/>
    </row>
    <row r="14569" spans="66:69" x14ac:dyDescent="0.2">
      <c r="BN14569" s="192"/>
      <c r="BO14569" s="197"/>
      <c r="BP14569" s="197"/>
      <c r="BQ14569" s="197"/>
    </row>
    <row r="14570" spans="66:69" x14ac:dyDescent="0.2">
      <c r="BN14570" s="192"/>
      <c r="BO14570" s="197"/>
      <c r="BP14570" s="197"/>
      <c r="BQ14570" s="197"/>
    </row>
    <row r="14571" spans="66:69" x14ac:dyDescent="0.2">
      <c r="BN14571" s="192"/>
      <c r="BO14571" s="197"/>
      <c r="BP14571" s="197"/>
      <c r="BQ14571" s="197"/>
    </row>
    <row r="14572" spans="66:69" x14ac:dyDescent="0.2">
      <c r="BN14572" s="192"/>
      <c r="BO14572" s="197"/>
      <c r="BP14572" s="197"/>
      <c r="BQ14572" s="197"/>
    </row>
    <row r="14573" spans="66:69" x14ac:dyDescent="0.2">
      <c r="BN14573" s="192"/>
      <c r="BO14573" s="197"/>
      <c r="BP14573" s="197"/>
      <c r="BQ14573" s="197"/>
    </row>
    <row r="14574" spans="66:69" x14ac:dyDescent="0.2">
      <c r="BN14574" s="192"/>
      <c r="BO14574" s="197"/>
      <c r="BP14574" s="197"/>
      <c r="BQ14574" s="197"/>
    </row>
    <row r="14575" spans="66:69" x14ac:dyDescent="0.2">
      <c r="BN14575" s="192"/>
      <c r="BO14575" s="197"/>
      <c r="BP14575" s="197"/>
      <c r="BQ14575" s="197"/>
    </row>
    <row r="14576" spans="66:69" x14ac:dyDescent="0.2">
      <c r="BN14576" s="192"/>
      <c r="BO14576" s="197"/>
      <c r="BP14576" s="197"/>
      <c r="BQ14576" s="197"/>
    </row>
    <row r="14577" spans="66:69" x14ac:dyDescent="0.2">
      <c r="BN14577" s="192"/>
      <c r="BO14577" s="197"/>
      <c r="BP14577" s="197"/>
      <c r="BQ14577" s="197"/>
    </row>
    <row r="14578" spans="66:69" x14ac:dyDescent="0.2">
      <c r="BN14578" s="192"/>
      <c r="BO14578" s="197"/>
      <c r="BP14578" s="197"/>
      <c r="BQ14578" s="197"/>
    </row>
    <row r="14579" spans="66:69" x14ac:dyDescent="0.2">
      <c r="BN14579" s="192"/>
      <c r="BO14579" s="197"/>
      <c r="BP14579" s="197"/>
      <c r="BQ14579" s="197"/>
    </row>
    <row r="14580" spans="66:69" x14ac:dyDescent="0.2">
      <c r="BN14580" s="192"/>
      <c r="BO14580" s="197"/>
      <c r="BP14580" s="197"/>
      <c r="BQ14580" s="197"/>
    </row>
    <row r="14581" spans="66:69" x14ac:dyDescent="0.2">
      <c r="BN14581" s="192"/>
      <c r="BO14581" s="197"/>
      <c r="BP14581" s="197"/>
      <c r="BQ14581" s="197"/>
    </row>
    <row r="14582" spans="66:69" x14ac:dyDescent="0.2">
      <c r="BN14582" s="192"/>
      <c r="BO14582" s="197"/>
      <c r="BP14582" s="197"/>
      <c r="BQ14582" s="197"/>
    </row>
    <row r="14583" spans="66:69" x14ac:dyDescent="0.2">
      <c r="BN14583" s="192"/>
      <c r="BO14583" s="197"/>
      <c r="BP14583" s="197"/>
      <c r="BQ14583" s="197"/>
    </row>
    <row r="14584" spans="66:69" x14ac:dyDescent="0.2">
      <c r="BN14584" s="192"/>
      <c r="BO14584" s="197"/>
      <c r="BP14584" s="197"/>
      <c r="BQ14584" s="197"/>
    </row>
    <row r="14585" spans="66:69" x14ac:dyDescent="0.2">
      <c r="BN14585" s="192"/>
      <c r="BO14585" s="197"/>
      <c r="BP14585" s="197"/>
      <c r="BQ14585" s="197"/>
    </row>
    <row r="14586" spans="66:69" x14ac:dyDescent="0.2">
      <c r="BN14586" s="192"/>
      <c r="BO14586" s="197"/>
      <c r="BP14586" s="197"/>
      <c r="BQ14586" s="197"/>
    </row>
    <row r="14587" spans="66:69" x14ac:dyDescent="0.2">
      <c r="BN14587" s="192"/>
      <c r="BO14587" s="197"/>
      <c r="BP14587" s="197"/>
      <c r="BQ14587" s="197"/>
    </row>
    <row r="14588" spans="66:69" x14ac:dyDescent="0.2">
      <c r="BN14588" s="192"/>
      <c r="BO14588" s="197"/>
      <c r="BP14588" s="197"/>
      <c r="BQ14588" s="197"/>
    </row>
    <row r="14589" spans="66:69" x14ac:dyDescent="0.2">
      <c r="BN14589" s="192"/>
      <c r="BO14589" s="197"/>
      <c r="BP14589" s="197"/>
      <c r="BQ14589" s="197"/>
    </row>
    <row r="14590" spans="66:69" x14ac:dyDescent="0.2">
      <c r="BN14590" s="192"/>
      <c r="BO14590" s="197"/>
      <c r="BP14590" s="197"/>
      <c r="BQ14590" s="197"/>
    </row>
    <row r="14591" spans="66:69" x14ac:dyDescent="0.2">
      <c r="BN14591" s="192"/>
      <c r="BO14591" s="197"/>
      <c r="BP14591" s="197"/>
      <c r="BQ14591" s="197"/>
    </row>
    <row r="14592" spans="66:69" x14ac:dyDescent="0.2">
      <c r="BN14592" s="192"/>
      <c r="BO14592" s="197"/>
      <c r="BP14592" s="197"/>
      <c r="BQ14592" s="197"/>
    </row>
    <row r="14593" spans="66:69" x14ac:dyDescent="0.2">
      <c r="BN14593" s="192"/>
      <c r="BO14593" s="197"/>
      <c r="BP14593" s="197"/>
      <c r="BQ14593" s="197"/>
    </row>
    <row r="14594" spans="66:69" x14ac:dyDescent="0.2">
      <c r="BN14594" s="192"/>
      <c r="BO14594" s="197"/>
      <c r="BP14594" s="197"/>
      <c r="BQ14594" s="197"/>
    </row>
    <row r="14595" spans="66:69" x14ac:dyDescent="0.2">
      <c r="BN14595" s="192"/>
      <c r="BO14595" s="197"/>
      <c r="BP14595" s="197"/>
      <c r="BQ14595" s="197"/>
    </row>
    <row r="14596" spans="66:69" x14ac:dyDescent="0.2">
      <c r="BN14596" s="192"/>
      <c r="BO14596" s="197"/>
      <c r="BP14596" s="197"/>
      <c r="BQ14596" s="197"/>
    </row>
    <row r="14597" spans="66:69" x14ac:dyDescent="0.2">
      <c r="BN14597" s="192"/>
      <c r="BO14597" s="197"/>
      <c r="BP14597" s="197"/>
      <c r="BQ14597" s="197"/>
    </row>
    <row r="14598" spans="66:69" x14ac:dyDescent="0.2">
      <c r="BN14598" s="192"/>
      <c r="BO14598" s="197"/>
      <c r="BP14598" s="197"/>
      <c r="BQ14598" s="197"/>
    </row>
    <row r="14599" spans="66:69" x14ac:dyDescent="0.2">
      <c r="BN14599" s="192"/>
      <c r="BO14599" s="197"/>
      <c r="BP14599" s="197"/>
      <c r="BQ14599" s="197"/>
    </row>
    <row r="14600" spans="66:69" x14ac:dyDescent="0.2">
      <c r="BN14600" s="192"/>
      <c r="BO14600" s="197"/>
      <c r="BP14600" s="197"/>
      <c r="BQ14600" s="197"/>
    </row>
    <row r="14601" spans="66:69" x14ac:dyDescent="0.2">
      <c r="BN14601" s="192"/>
      <c r="BO14601" s="197"/>
      <c r="BP14601" s="197"/>
      <c r="BQ14601" s="197"/>
    </row>
    <row r="14602" spans="66:69" x14ac:dyDescent="0.2">
      <c r="BN14602" s="192"/>
      <c r="BO14602" s="197"/>
      <c r="BP14602" s="197"/>
      <c r="BQ14602" s="197"/>
    </row>
    <row r="14603" spans="66:69" x14ac:dyDescent="0.2">
      <c r="BN14603" s="192"/>
      <c r="BO14603" s="197"/>
      <c r="BP14603" s="197"/>
      <c r="BQ14603" s="197"/>
    </row>
    <row r="14604" spans="66:69" x14ac:dyDescent="0.2">
      <c r="BN14604" s="192"/>
      <c r="BO14604" s="197"/>
      <c r="BP14604" s="197"/>
      <c r="BQ14604" s="197"/>
    </row>
    <row r="14605" spans="66:69" x14ac:dyDescent="0.2">
      <c r="BN14605" s="192"/>
      <c r="BO14605" s="197"/>
      <c r="BP14605" s="197"/>
      <c r="BQ14605" s="197"/>
    </row>
    <row r="14606" spans="66:69" x14ac:dyDescent="0.2">
      <c r="BN14606" s="192"/>
      <c r="BO14606" s="197"/>
      <c r="BP14606" s="197"/>
      <c r="BQ14606" s="197"/>
    </row>
    <row r="14607" spans="66:69" x14ac:dyDescent="0.2">
      <c r="BN14607" s="192"/>
      <c r="BO14607" s="197"/>
      <c r="BP14607" s="197"/>
      <c r="BQ14607" s="197"/>
    </row>
    <row r="14608" spans="66:69" x14ac:dyDescent="0.2">
      <c r="BN14608" s="192"/>
      <c r="BO14608" s="197"/>
      <c r="BP14608" s="197"/>
      <c r="BQ14608" s="197"/>
    </row>
    <row r="14609" spans="66:69" x14ac:dyDescent="0.2">
      <c r="BN14609" s="192"/>
      <c r="BO14609" s="197"/>
      <c r="BP14609" s="197"/>
      <c r="BQ14609" s="197"/>
    </row>
    <row r="14610" spans="66:69" x14ac:dyDescent="0.2">
      <c r="BN14610" s="192"/>
      <c r="BO14610" s="197"/>
      <c r="BP14610" s="197"/>
      <c r="BQ14610" s="197"/>
    </row>
    <row r="14611" spans="66:69" x14ac:dyDescent="0.2">
      <c r="BN14611" s="192"/>
      <c r="BO14611" s="197"/>
      <c r="BP14611" s="197"/>
      <c r="BQ14611" s="197"/>
    </row>
    <row r="14612" spans="66:69" x14ac:dyDescent="0.2">
      <c r="BN14612" s="192"/>
      <c r="BO14612" s="197"/>
      <c r="BP14612" s="197"/>
      <c r="BQ14612" s="197"/>
    </row>
    <row r="14613" spans="66:69" x14ac:dyDescent="0.2">
      <c r="BN14613" s="192"/>
      <c r="BO14613" s="197"/>
      <c r="BP14613" s="197"/>
      <c r="BQ14613" s="197"/>
    </row>
    <row r="14614" spans="66:69" x14ac:dyDescent="0.2">
      <c r="BN14614" s="192"/>
      <c r="BO14614" s="197"/>
      <c r="BP14614" s="197"/>
      <c r="BQ14614" s="197"/>
    </row>
    <row r="14615" spans="66:69" x14ac:dyDescent="0.2">
      <c r="BN14615" s="192"/>
      <c r="BO14615" s="197"/>
      <c r="BP14615" s="197"/>
      <c r="BQ14615" s="197"/>
    </row>
    <row r="14616" spans="66:69" x14ac:dyDescent="0.2">
      <c r="BN14616" s="192"/>
      <c r="BO14616" s="197"/>
      <c r="BP14616" s="197"/>
      <c r="BQ14616" s="197"/>
    </row>
    <row r="14617" spans="66:69" x14ac:dyDescent="0.2">
      <c r="BN14617" s="192"/>
      <c r="BO14617" s="197"/>
      <c r="BP14617" s="197"/>
      <c r="BQ14617" s="197"/>
    </row>
    <row r="14618" spans="66:69" x14ac:dyDescent="0.2">
      <c r="BN14618" s="192"/>
      <c r="BO14618" s="197"/>
      <c r="BP14618" s="197"/>
      <c r="BQ14618" s="197"/>
    </row>
    <row r="14619" spans="66:69" x14ac:dyDescent="0.2">
      <c r="BN14619" s="192"/>
      <c r="BO14619" s="197"/>
      <c r="BP14619" s="197"/>
      <c r="BQ14619" s="197"/>
    </row>
    <row r="14620" spans="66:69" x14ac:dyDescent="0.2">
      <c r="BN14620" s="192"/>
      <c r="BO14620" s="197"/>
      <c r="BP14620" s="197"/>
      <c r="BQ14620" s="197"/>
    </row>
    <row r="14621" spans="66:69" x14ac:dyDescent="0.2">
      <c r="BN14621" s="192"/>
      <c r="BO14621" s="197"/>
      <c r="BP14621" s="197"/>
      <c r="BQ14621" s="197"/>
    </row>
    <row r="14622" spans="66:69" x14ac:dyDescent="0.2">
      <c r="BN14622" s="192"/>
      <c r="BO14622" s="197"/>
      <c r="BP14622" s="197"/>
      <c r="BQ14622" s="197"/>
    </row>
    <row r="14623" spans="66:69" x14ac:dyDescent="0.2">
      <c r="BN14623" s="192"/>
      <c r="BO14623" s="197"/>
      <c r="BP14623" s="197"/>
      <c r="BQ14623" s="197"/>
    </row>
    <row r="14624" spans="66:69" x14ac:dyDescent="0.2">
      <c r="BN14624" s="192"/>
      <c r="BO14624" s="197"/>
      <c r="BP14624" s="197"/>
      <c r="BQ14624" s="197"/>
    </row>
    <row r="14625" spans="66:69" x14ac:dyDescent="0.2">
      <c r="BN14625" s="192"/>
      <c r="BO14625" s="197"/>
      <c r="BP14625" s="197"/>
      <c r="BQ14625" s="197"/>
    </row>
    <row r="14626" spans="66:69" x14ac:dyDescent="0.2">
      <c r="BN14626" s="192"/>
      <c r="BO14626" s="197"/>
      <c r="BP14626" s="197"/>
      <c r="BQ14626" s="197"/>
    </row>
    <row r="14627" spans="66:69" x14ac:dyDescent="0.2">
      <c r="BN14627" s="192"/>
      <c r="BO14627" s="197"/>
      <c r="BP14627" s="197"/>
      <c r="BQ14627" s="197"/>
    </row>
    <row r="14628" spans="66:69" x14ac:dyDescent="0.2">
      <c r="BN14628" s="192"/>
      <c r="BO14628" s="197"/>
      <c r="BP14628" s="197"/>
      <c r="BQ14628" s="197"/>
    </row>
    <row r="14629" spans="66:69" x14ac:dyDescent="0.2">
      <c r="BN14629" s="192"/>
      <c r="BO14629" s="197"/>
      <c r="BP14629" s="197"/>
      <c r="BQ14629" s="197"/>
    </row>
    <row r="14630" spans="66:69" x14ac:dyDescent="0.2">
      <c r="BN14630" s="192"/>
      <c r="BO14630" s="197"/>
      <c r="BP14630" s="197"/>
      <c r="BQ14630" s="197"/>
    </row>
    <row r="14631" spans="66:69" x14ac:dyDescent="0.2">
      <c r="BN14631" s="192"/>
      <c r="BO14631" s="197"/>
      <c r="BP14631" s="197"/>
      <c r="BQ14631" s="197"/>
    </row>
    <row r="14632" spans="66:69" x14ac:dyDescent="0.2">
      <c r="BN14632" s="192"/>
      <c r="BO14632" s="197"/>
      <c r="BP14632" s="197"/>
      <c r="BQ14632" s="197"/>
    </row>
    <row r="14633" spans="66:69" x14ac:dyDescent="0.2">
      <c r="BN14633" s="192"/>
      <c r="BO14633" s="197"/>
      <c r="BP14633" s="197"/>
      <c r="BQ14633" s="197"/>
    </row>
    <row r="14634" spans="66:69" x14ac:dyDescent="0.2">
      <c r="BN14634" s="192"/>
      <c r="BO14634" s="197"/>
      <c r="BP14634" s="197"/>
      <c r="BQ14634" s="197"/>
    </row>
    <row r="14635" spans="66:69" x14ac:dyDescent="0.2">
      <c r="BN14635" s="192"/>
      <c r="BO14635" s="197"/>
      <c r="BP14635" s="197"/>
      <c r="BQ14635" s="197"/>
    </row>
    <row r="14636" spans="66:69" x14ac:dyDescent="0.2">
      <c r="BN14636" s="192"/>
      <c r="BO14636" s="197"/>
      <c r="BP14636" s="197"/>
      <c r="BQ14636" s="197"/>
    </row>
    <row r="14637" spans="66:69" x14ac:dyDescent="0.2">
      <c r="BN14637" s="192"/>
      <c r="BO14637" s="197"/>
      <c r="BP14637" s="197"/>
      <c r="BQ14637" s="197"/>
    </row>
    <row r="14638" spans="66:69" x14ac:dyDescent="0.2">
      <c r="BN14638" s="192"/>
      <c r="BO14638" s="197"/>
      <c r="BP14638" s="197"/>
      <c r="BQ14638" s="197"/>
    </row>
    <row r="14639" spans="66:69" x14ac:dyDescent="0.2">
      <c r="BN14639" s="192"/>
      <c r="BO14639" s="197"/>
      <c r="BP14639" s="197"/>
      <c r="BQ14639" s="197"/>
    </row>
    <row r="14640" spans="66:69" x14ac:dyDescent="0.2">
      <c r="BN14640" s="192"/>
      <c r="BO14640" s="197"/>
      <c r="BP14640" s="197"/>
      <c r="BQ14640" s="197"/>
    </row>
    <row r="14641" spans="66:69" x14ac:dyDescent="0.2">
      <c r="BN14641" s="192"/>
      <c r="BO14641" s="197"/>
      <c r="BP14641" s="197"/>
      <c r="BQ14641" s="197"/>
    </row>
    <row r="14642" spans="66:69" x14ac:dyDescent="0.2">
      <c r="BN14642" s="192"/>
      <c r="BO14642" s="197"/>
      <c r="BP14642" s="197"/>
      <c r="BQ14642" s="197"/>
    </row>
    <row r="14643" spans="66:69" x14ac:dyDescent="0.2">
      <c r="BN14643" s="192"/>
      <c r="BO14643" s="197"/>
      <c r="BP14643" s="197"/>
      <c r="BQ14643" s="197"/>
    </row>
    <row r="14644" spans="66:69" x14ac:dyDescent="0.2">
      <c r="BN14644" s="192"/>
      <c r="BO14644" s="197"/>
      <c r="BP14644" s="197"/>
      <c r="BQ14644" s="197"/>
    </row>
    <row r="14645" spans="66:69" x14ac:dyDescent="0.2">
      <c r="BN14645" s="192"/>
      <c r="BO14645" s="197"/>
      <c r="BP14645" s="197"/>
      <c r="BQ14645" s="197"/>
    </row>
    <row r="14646" spans="66:69" x14ac:dyDescent="0.2">
      <c r="BN14646" s="192"/>
      <c r="BO14646" s="197"/>
      <c r="BP14646" s="197"/>
      <c r="BQ14646" s="197"/>
    </row>
    <row r="14647" spans="66:69" x14ac:dyDescent="0.2">
      <c r="BN14647" s="192"/>
      <c r="BO14647" s="197"/>
      <c r="BP14647" s="197"/>
      <c r="BQ14647" s="197"/>
    </row>
    <row r="14648" spans="66:69" x14ac:dyDescent="0.2">
      <c r="BN14648" s="192"/>
      <c r="BO14648" s="197"/>
      <c r="BP14648" s="197"/>
      <c r="BQ14648" s="197"/>
    </row>
    <row r="14649" spans="66:69" x14ac:dyDescent="0.2">
      <c r="BN14649" s="192"/>
      <c r="BO14649" s="197"/>
      <c r="BP14649" s="197"/>
      <c r="BQ14649" s="197"/>
    </row>
    <row r="14650" spans="66:69" x14ac:dyDescent="0.2">
      <c r="BN14650" s="192"/>
      <c r="BO14650" s="197"/>
      <c r="BP14650" s="197"/>
      <c r="BQ14650" s="197"/>
    </row>
    <row r="14651" spans="66:69" x14ac:dyDescent="0.2">
      <c r="BN14651" s="192"/>
      <c r="BO14651" s="197"/>
      <c r="BP14651" s="197"/>
      <c r="BQ14651" s="197"/>
    </row>
    <row r="14652" spans="66:69" x14ac:dyDescent="0.2">
      <c r="BN14652" s="192"/>
      <c r="BO14652" s="197"/>
      <c r="BP14652" s="197"/>
      <c r="BQ14652" s="197"/>
    </row>
    <row r="14653" spans="66:69" x14ac:dyDescent="0.2">
      <c r="BN14653" s="192"/>
      <c r="BO14653" s="197"/>
      <c r="BP14653" s="197"/>
      <c r="BQ14653" s="197"/>
    </row>
    <row r="14654" spans="66:69" x14ac:dyDescent="0.2">
      <c r="BN14654" s="192"/>
      <c r="BO14654" s="197"/>
      <c r="BP14654" s="197"/>
      <c r="BQ14654" s="197"/>
    </row>
    <row r="14655" spans="66:69" x14ac:dyDescent="0.2">
      <c r="BN14655" s="192"/>
      <c r="BO14655" s="197"/>
      <c r="BP14655" s="197"/>
      <c r="BQ14655" s="197"/>
    </row>
    <row r="14656" spans="66:69" x14ac:dyDescent="0.2">
      <c r="BN14656" s="192"/>
      <c r="BO14656" s="197"/>
      <c r="BP14656" s="197"/>
      <c r="BQ14656" s="197"/>
    </row>
    <row r="14657" spans="66:69" x14ac:dyDescent="0.2">
      <c r="BN14657" s="192"/>
      <c r="BO14657" s="197"/>
      <c r="BP14657" s="197"/>
      <c r="BQ14657" s="197"/>
    </row>
    <row r="14658" spans="66:69" x14ac:dyDescent="0.2">
      <c r="BN14658" s="192"/>
      <c r="BO14658" s="197"/>
      <c r="BP14658" s="197"/>
      <c r="BQ14658" s="197"/>
    </row>
    <row r="14659" spans="66:69" x14ac:dyDescent="0.2">
      <c r="BN14659" s="192"/>
      <c r="BO14659" s="197"/>
      <c r="BP14659" s="197"/>
      <c r="BQ14659" s="197"/>
    </row>
    <row r="14660" spans="66:69" x14ac:dyDescent="0.2">
      <c r="BN14660" s="192"/>
      <c r="BO14660" s="197"/>
      <c r="BP14660" s="197"/>
      <c r="BQ14660" s="197"/>
    </row>
    <row r="14661" spans="66:69" x14ac:dyDescent="0.2">
      <c r="BN14661" s="192"/>
      <c r="BO14661" s="197"/>
      <c r="BP14661" s="197"/>
      <c r="BQ14661" s="197"/>
    </row>
    <row r="14662" spans="66:69" x14ac:dyDescent="0.2">
      <c r="BN14662" s="192"/>
      <c r="BO14662" s="197"/>
      <c r="BP14662" s="197"/>
      <c r="BQ14662" s="197"/>
    </row>
    <row r="14663" spans="66:69" x14ac:dyDescent="0.2">
      <c r="BN14663" s="192"/>
      <c r="BO14663" s="197"/>
      <c r="BP14663" s="197"/>
      <c r="BQ14663" s="197"/>
    </row>
    <row r="14664" spans="66:69" x14ac:dyDescent="0.2">
      <c r="BN14664" s="192"/>
      <c r="BO14664" s="197"/>
      <c r="BP14664" s="197"/>
      <c r="BQ14664" s="197"/>
    </row>
    <row r="14665" spans="66:69" x14ac:dyDescent="0.2">
      <c r="BN14665" s="192"/>
      <c r="BO14665" s="197"/>
      <c r="BP14665" s="197"/>
      <c r="BQ14665" s="197"/>
    </row>
    <row r="14666" spans="66:69" x14ac:dyDescent="0.2">
      <c r="BN14666" s="192"/>
      <c r="BO14666" s="197"/>
      <c r="BP14666" s="197"/>
      <c r="BQ14666" s="197"/>
    </row>
    <row r="14667" spans="66:69" x14ac:dyDescent="0.2">
      <c r="BN14667" s="192"/>
      <c r="BO14667" s="197"/>
      <c r="BP14667" s="197"/>
      <c r="BQ14667" s="197"/>
    </row>
    <row r="14668" spans="66:69" x14ac:dyDescent="0.2">
      <c r="BN14668" s="192"/>
      <c r="BO14668" s="197"/>
      <c r="BP14668" s="197"/>
      <c r="BQ14668" s="197"/>
    </row>
    <row r="14669" spans="66:69" x14ac:dyDescent="0.2">
      <c r="BN14669" s="192"/>
      <c r="BO14669" s="197"/>
      <c r="BP14669" s="197"/>
      <c r="BQ14669" s="197"/>
    </row>
    <row r="14670" spans="66:69" x14ac:dyDescent="0.2">
      <c r="BN14670" s="192"/>
      <c r="BO14670" s="197"/>
      <c r="BP14670" s="197"/>
      <c r="BQ14670" s="197"/>
    </row>
    <row r="14671" spans="66:69" x14ac:dyDescent="0.2">
      <c r="BN14671" s="192"/>
      <c r="BO14671" s="197"/>
      <c r="BP14671" s="197"/>
      <c r="BQ14671" s="197"/>
    </row>
    <row r="14672" spans="66:69" x14ac:dyDescent="0.2">
      <c r="BN14672" s="192"/>
      <c r="BO14672" s="197"/>
      <c r="BP14672" s="197"/>
      <c r="BQ14672" s="197"/>
    </row>
    <row r="14673" spans="66:69" x14ac:dyDescent="0.2">
      <c r="BN14673" s="192"/>
      <c r="BO14673" s="197"/>
      <c r="BP14673" s="197"/>
      <c r="BQ14673" s="197"/>
    </row>
    <row r="14674" spans="66:69" x14ac:dyDescent="0.2">
      <c r="BN14674" s="192"/>
      <c r="BO14674" s="197"/>
      <c r="BP14674" s="197"/>
      <c r="BQ14674" s="197"/>
    </row>
    <row r="14675" spans="66:69" x14ac:dyDescent="0.2">
      <c r="BN14675" s="192"/>
      <c r="BO14675" s="197"/>
      <c r="BP14675" s="197"/>
      <c r="BQ14675" s="197"/>
    </row>
    <row r="14676" spans="66:69" x14ac:dyDescent="0.2">
      <c r="BN14676" s="192"/>
      <c r="BO14676" s="197"/>
      <c r="BP14676" s="197"/>
      <c r="BQ14676" s="197"/>
    </row>
    <row r="14677" spans="66:69" x14ac:dyDescent="0.2">
      <c r="BN14677" s="192"/>
      <c r="BO14677" s="197"/>
      <c r="BP14677" s="197"/>
      <c r="BQ14677" s="197"/>
    </row>
    <row r="14678" spans="66:69" x14ac:dyDescent="0.2">
      <c r="BN14678" s="192"/>
      <c r="BO14678" s="197"/>
      <c r="BP14678" s="197"/>
      <c r="BQ14678" s="197"/>
    </row>
    <row r="14679" spans="66:69" x14ac:dyDescent="0.2">
      <c r="BN14679" s="192"/>
      <c r="BO14679" s="197"/>
      <c r="BP14679" s="197"/>
      <c r="BQ14679" s="197"/>
    </row>
    <row r="14680" spans="66:69" x14ac:dyDescent="0.2">
      <c r="BN14680" s="192"/>
      <c r="BO14680" s="197"/>
      <c r="BP14680" s="197"/>
      <c r="BQ14680" s="197"/>
    </row>
    <row r="14681" spans="66:69" x14ac:dyDescent="0.2">
      <c r="BN14681" s="192"/>
      <c r="BO14681" s="197"/>
      <c r="BP14681" s="197"/>
      <c r="BQ14681" s="197"/>
    </row>
    <row r="14682" spans="66:69" x14ac:dyDescent="0.2">
      <c r="BN14682" s="192"/>
      <c r="BO14682" s="197"/>
      <c r="BP14682" s="197"/>
      <c r="BQ14682" s="197"/>
    </row>
    <row r="14683" spans="66:69" x14ac:dyDescent="0.2">
      <c r="BN14683" s="192"/>
      <c r="BO14683" s="197"/>
      <c r="BP14683" s="197"/>
      <c r="BQ14683" s="197"/>
    </row>
    <row r="14684" spans="66:69" x14ac:dyDescent="0.2">
      <c r="BN14684" s="192"/>
      <c r="BO14684" s="197"/>
      <c r="BP14684" s="197"/>
      <c r="BQ14684" s="197"/>
    </row>
    <row r="14685" spans="66:69" x14ac:dyDescent="0.2">
      <c r="BN14685" s="192"/>
      <c r="BO14685" s="197"/>
      <c r="BP14685" s="197"/>
      <c r="BQ14685" s="197"/>
    </row>
    <row r="14686" spans="66:69" x14ac:dyDescent="0.2">
      <c r="BN14686" s="192"/>
      <c r="BO14686" s="197"/>
      <c r="BP14686" s="197"/>
      <c r="BQ14686" s="197"/>
    </row>
    <row r="14687" spans="66:69" x14ac:dyDescent="0.2">
      <c r="BN14687" s="192"/>
      <c r="BO14687" s="197"/>
      <c r="BP14687" s="197"/>
      <c r="BQ14687" s="197"/>
    </row>
    <row r="14688" spans="66:69" x14ac:dyDescent="0.2">
      <c r="BN14688" s="192"/>
      <c r="BO14688" s="197"/>
      <c r="BP14688" s="197"/>
      <c r="BQ14688" s="197"/>
    </row>
    <row r="14689" spans="66:69" x14ac:dyDescent="0.2">
      <c r="BN14689" s="192"/>
      <c r="BO14689" s="197"/>
      <c r="BP14689" s="197"/>
      <c r="BQ14689" s="197"/>
    </row>
    <row r="14690" spans="66:69" x14ac:dyDescent="0.2">
      <c r="BN14690" s="192"/>
      <c r="BO14690" s="197"/>
      <c r="BP14690" s="197"/>
      <c r="BQ14690" s="197"/>
    </row>
    <row r="14691" spans="66:69" x14ac:dyDescent="0.2">
      <c r="BN14691" s="192"/>
      <c r="BO14691" s="197"/>
      <c r="BP14691" s="197"/>
      <c r="BQ14691" s="197"/>
    </row>
    <row r="14692" spans="66:69" x14ac:dyDescent="0.2">
      <c r="BN14692" s="192"/>
      <c r="BO14692" s="197"/>
      <c r="BP14692" s="197"/>
      <c r="BQ14692" s="197"/>
    </row>
    <row r="14693" spans="66:69" x14ac:dyDescent="0.2">
      <c r="BN14693" s="192"/>
      <c r="BO14693" s="197"/>
      <c r="BP14693" s="197"/>
      <c r="BQ14693" s="197"/>
    </row>
    <row r="14694" spans="66:69" x14ac:dyDescent="0.2">
      <c r="BN14694" s="192"/>
      <c r="BO14694" s="197"/>
      <c r="BP14694" s="197"/>
      <c r="BQ14694" s="197"/>
    </row>
    <row r="14695" spans="66:69" x14ac:dyDescent="0.2">
      <c r="BN14695" s="192"/>
      <c r="BO14695" s="197"/>
      <c r="BP14695" s="197"/>
      <c r="BQ14695" s="197"/>
    </row>
    <row r="14696" spans="66:69" x14ac:dyDescent="0.2">
      <c r="BN14696" s="192"/>
      <c r="BO14696" s="197"/>
      <c r="BP14696" s="197"/>
      <c r="BQ14696" s="197"/>
    </row>
    <row r="14697" spans="66:69" x14ac:dyDescent="0.2">
      <c r="BN14697" s="192"/>
      <c r="BO14697" s="197"/>
      <c r="BP14697" s="197"/>
      <c r="BQ14697" s="197"/>
    </row>
    <row r="14698" spans="66:69" x14ac:dyDescent="0.2">
      <c r="BN14698" s="192"/>
      <c r="BO14698" s="197"/>
      <c r="BP14698" s="197"/>
      <c r="BQ14698" s="197"/>
    </row>
    <row r="14699" spans="66:69" x14ac:dyDescent="0.2">
      <c r="BN14699" s="192"/>
      <c r="BO14699" s="197"/>
      <c r="BP14699" s="197"/>
      <c r="BQ14699" s="197"/>
    </row>
    <row r="14700" spans="66:69" x14ac:dyDescent="0.2">
      <c r="BN14700" s="192"/>
      <c r="BO14700" s="197"/>
      <c r="BP14700" s="197"/>
      <c r="BQ14700" s="197"/>
    </row>
    <row r="14701" spans="66:69" x14ac:dyDescent="0.2">
      <c r="BN14701" s="192"/>
      <c r="BO14701" s="197"/>
      <c r="BP14701" s="197"/>
      <c r="BQ14701" s="197"/>
    </row>
    <row r="14702" spans="66:69" x14ac:dyDescent="0.2">
      <c r="BN14702" s="192"/>
      <c r="BO14702" s="197"/>
      <c r="BP14702" s="197"/>
      <c r="BQ14702" s="197"/>
    </row>
    <row r="14703" spans="66:69" x14ac:dyDescent="0.2">
      <c r="BN14703" s="192"/>
      <c r="BO14703" s="197"/>
      <c r="BP14703" s="197"/>
      <c r="BQ14703" s="197"/>
    </row>
    <row r="14704" spans="66:69" x14ac:dyDescent="0.2">
      <c r="BN14704" s="192"/>
      <c r="BO14704" s="197"/>
      <c r="BP14704" s="197"/>
      <c r="BQ14704" s="197"/>
    </row>
    <row r="14705" spans="66:69" x14ac:dyDescent="0.2">
      <c r="BN14705" s="192"/>
      <c r="BO14705" s="197"/>
      <c r="BP14705" s="197"/>
      <c r="BQ14705" s="197"/>
    </row>
    <row r="14706" spans="66:69" x14ac:dyDescent="0.2">
      <c r="BN14706" s="192"/>
      <c r="BO14706" s="197"/>
      <c r="BP14706" s="197"/>
      <c r="BQ14706" s="197"/>
    </row>
    <row r="14707" spans="66:69" x14ac:dyDescent="0.2">
      <c r="BN14707" s="192"/>
      <c r="BO14707" s="197"/>
      <c r="BP14707" s="197"/>
      <c r="BQ14707" s="197"/>
    </row>
    <row r="14708" spans="66:69" x14ac:dyDescent="0.2">
      <c r="BN14708" s="192"/>
      <c r="BO14708" s="197"/>
      <c r="BP14708" s="197"/>
      <c r="BQ14708" s="197"/>
    </row>
    <row r="14709" spans="66:69" x14ac:dyDescent="0.2">
      <c r="BN14709" s="192"/>
      <c r="BO14709" s="197"/>
      <c r="BP14709" s="197"/>
      <c r="BQ14709" s="197"/>
    </row>
    <row r="14710" spans="66:69" x14ac:dyDescent="0.2">
      <c r="BN14710" s="192"/>
      <c r="BO14710" s="197"/>
      <c r="BP14710" s="197"/>
      <c r="BQ14710" s="197"/>
    </row>
    <row r="14711" spans="66:69" x14ac:dyDescent="0.2">
      <c r="BN14711" s="192"/>
      <c r="BO14711" s="197"/>
      <c r="BP14711" s="197"/>
      <c r="BQ14711" s="197"/>
    </row>
    <row r="14712" spans="66:69" x14ac:dyDescent="0.2">
      <c r="BN14712" s="192"/>
      <c r="BO14712" s="197"/>
      <c r="BP14712" s="197"/>
      <c r="BQ14712" s="197"/>
    </row>
    <row r="14713" spans="66:69" x14ac:dyDescent="0.2">
      <c r="BN14713" s="192"/>
      <c r="BO14713" s="197"/>
      <c r="BP14713" s="197"/>
      <c r="BQ14713" s="197"/>
    </row>
    <row r="14714" spans="66:69" x14ac:dyDescent="0.2">
      <c r="BN14714" s="192"/>
      <c r="BO14714" s="197"/>
      <c r="BP14714" s="197"/>
      <c r="BQ14714" s="197"/>
    </row>
    <row r="14715" spans="66:69" x14ac:dyDescent="0.2">
      <c r="BN14715" s="192"/>
      <c r="BO14715" s="197"/>
      <c r="BP14715" s="197"/>
      <c r="BQ14715" s="197"/>
    </row>
    <row r="14716" spans="66:69" x14ac:dyDescent="0.2">
      <c r="BN14716" s="192"/>
      <c r="BO14716" s="197"/>
      <c r="BP14716" s="197"/>
      <c r="BQ14716" s="197"/>
    </row>
    <row r="14717" spans="66:69" x14ac:dyDescent="0.2">
      <c r="BN14717" s="192"/>
      <c r="BO14717" s="197"/>
      <c r="BP14717" s="197"/>
      <c r="BQ14717" s="197"/>
    </row>
    <row r="14718" spans="66:69" x14ac:dyDescent="0.2">
      <c r="BN14718" s="192"/>
      <c r="BO14718" s="197"/>
      <c r="BP14718" s="197"/>
      <c r="BQ14718" s="197"/>
    </row>
    <row r="14719" spans="66:69" x14ac:dyDescent="0.2">
      <c r="BN14719" s="192"/>
      <c r="BO14719" s="197"/>
      <c r="BP14719" s="197"/>
      <c r="BQ14719" s="197"/>
    </row>
    <row r="14720" spans="66:69" x14ac:dyDescent="0.2">
      <c r="BN14720" s="192"/>
      <c r="BO14720" s="197"/>
      <c r="BP14720" s="197"/>
      <c r="BQ14720" s="197"/>
    </row>
    <row r="14721" spans="66:69" x14ac:dyDescent="0.2">
      <c r="BN14721" s="192"/>
      <c r="BO14721" s="197"/>
      <c r="BP14721" s="197"/>
      <c r="BQ14721" s="197"/>
    </row>
    <row r="14722" spans="66:69" x14ac:dyDescent="0.2">
      <c r="BN14722" s="192"/>
      <c r="BO14722" s="197"/>
      <c r="BP14722" s="197"/>
      <c r="BQ14722" s="197"/>
    </row>
    <row r="14723" spans="66:69" x14ac:dyDescent="0.2">
      <c r="BN14723" s="192"/>
      <c r="BO14723" s="197"/>
      <c r="BP14723" s="197"/>
      <c r="BQ14723" s="197"/>
    </row>
    <row r="14724" spans="66:69" x14ac:dyDescent="0.2">
      <c r="BN14724" s="192"/>
      <c r="BO14724" s="197"/>
      <c r="BP14724" s="197"/>
      <c r="BQ14724" s="197"/>
    </row>
    <row r="14725" spans="66:69" x14ac:dyDescent="0.2">
      <c r="BN14725" s="192"/>
      <c r="BO14725" s="197"/>
      <c r="BP14725" s="197"/>
      <c r="BQ14725" s="197"/>
    </row>
    <row r="14726" spans="66:69" x14ac:dyDescent="0.2">
      <c r="BN14726" s="192"/>
      <c r="BO14726" s="197"/>
      <c r="BP14726" s="197"/>
      <c r="BQ14726" s="197"/>
    </row>
    <row r="14727" spans="66:69" x14ac:dyDescent="0.2">
      <c r="BN14727" s="192"/>
      <c r="BO14727" s="197"/>
      <c r="BP14727" s="197"/>
      <c r="BQ14727" s="197"/>
    </row>
    <row r="14728" spans="66:69" x14ac:dyDescent="0.2">
      <c r="BN14728" s="192"/>
      <c r="BO14728" s="197"/>
      <c r="BP14728" s="197"/>
      <c r="BQ14728" s="197"/>
    </row>
    <row r="14729" spans="66:69" x14ac:dyDescent="0.2">
      <c r="BN14729" s="192"/>
      <c r="BO14729" s="197"/>
      <c r="BP14729" s="197"/>
      <c r="BQ14729" s="197"/>
    </row>
    <row r="14730" spans="66:69" x14ac:dyDescent="0.2">
      <c r="BN14730" s="192"/>
      <c r="BO14730" s="197"/>
      <c r="BP14730" s="197"/>
      <c r="BQ14730" s="197"/>
    </row>
    <row r="14731" spans="66:69" x14ac:dyDescent="0.2">
      <c r="BN14731" s="192"/>
      <c r="BO14731" s="197"/>
      <c r="BP14731" s="197"/>
      <c r="BQ14731" s="197"/>
    </row>
    <row r="14732" spans="66:69" x14ac:dyDescent="0.2">
      <c r="BN14732" s="192"/>
      <c r="BO14732" s="197"/>
      <c r="BP14732" s="197"/>
      <c r="BQ14732" s="197"/>
    </row>
    <row r="14733" spans="66:69" x14ac:dyDescent="0.2">
      <c r="BN14733" s="192"/>
      <c r="BO14733" s="197"/>
      <c r="BP14733" s="197"/>
      <c r="BQ14733" s="197"/>
    </row>
    <row r="14734" spans="66:69" x14ac:dyDescent="0.2">
      <c r="BN14734" s="192"/>
      <c r="BO14734" s="197"/>
      <c r="BP14734" s="197"/>
      <c r="BQ14734" s="197"/>
    </row>
    <row r="14735" spans="66:69" x14ac:dyDescent="0.2">
      <c r="BN14735" s="192"/>
      <c r="BO14735" s="197"/>
      <c r="BP14735" s="197"/>
      <c r="BQ14735" s="197"/>
    </row>
    <row r="14736" spans="66:69" x14ac:dyDescent="0.2">
      <c r="BN14736" s="192"/>
      <c r="BO14736" s="197"/>
      <c r="BP14736" s="197"/>
      <c r="BQ14736" s="197"/>
    </row>
    <row r="14737" spans="66:69" x14ac:dyDescent="0.2">
      <c r="BN14737" s="192"/>
      <c r="BO14737" s="197"/>
      <c r="BP14737" s="197"/>
      <c r="BQ14737" s="197"/>
    </row>
    <row r="14738" spans="66:69" x14ac:dyDescent="0.2">
      <c r="BN14738" s="192"/>
      <c r="BO14738" s="197"/>
      <c r="BP14738" s="197"/>
      <c r="BQ14738" s="197"/>
    </row>
    <row r="14739" spans="66:69" x14ac:dyDescent="0.2">
      <c r="BN14739" s="192"/>
      <c r="BO14739" s="197"/>
      <c r="BP14739" s="197"/>
      <c r="BQ14739" s="197"/>
    </row>
    <row r="14740" spans="66:69" x14ac:dyDescent="0.2">
      <c r="BN14740" s="192"/>
      <c r="BO14740" s="197"/>
      <c r="BP14740" s="197"/>
      <c r="BQ14740" s="197"/>
    </row>
    <row r="14741" spans="66:69" x14ac:dyDescent="0.2">
      <c r="BN14741" s="192"/>
      <c r="BO14741" s="197"/>
      <c r="BP14741" s="197"/>
      <c r="BQ14741" s="197"/>
    </row>
    <row r="14742" spans="66:69" x14ac:dyDescent="0.2">
      <c r="BN14742" s="192"/>
      <c r="BO14742" s="197"/>
      <c r="BP14742" s="197"/>
      <c r="BQ14742" s="197"/>
    </row>
    <row r="14743" spans="66:69" x14ac:dyDescent="0.2">
      <c r="BN14743" s="192"/>
      <c r="BO14743" s="197"/>
      <c r="BP14743" s="197"/>
      <c r="BQ14743" s="197"/>
    </row>
    <row r="14744" spans="66:69" x14ac:dyDescent="0.2">
      <c r="BN14744" s="192"/>
      <c r="BO14744" s="197"/>
      <c r="BP14744" s="197"/>
      <c r="BQ14744" s="197"/>
    </row>
    <row r="14745" spans="66:69" x14ac:dyDescent="0.2">
      <c r="BN14745" s="192"/>
      <c r="BO14745" s="197"/>
      <c r="BP14745" s="197"/>
      <c r="BQ14745" s="197"/>
    </row>
    <row r="14746" spans="66:69" x14ac:dyDescent="0.2">
      <c r="BN14746" s="192"/>
      <c r="BO14746" s="197"/>
      <c r="BP14746" s="197"/>
      <c r="BQ14746" s="197"/>
    </row>
    <row r="14747" spans="66:69" x14ac:dyDescent="0.2">
      <c r="BN14747" s="192"/>
      <c r="BO14747" s="197"/>
      <c r="BP14747" s="197"/>
      <c r="BQ14747" s="197"/>
    </row>
    <row r="14748" spans="66:69" x14ac:dyDescent="0.2">
      <c r="BN14748" s="192"/>
      <c r="BO14748" s="197"/>
      <c r="BP14748" s="197"/>
      <c r="BQ14748" s="197"/>
    </row>
    <row r="14749" spans="66:69" x14ac:dyDescent="0.2">
      <c r="BN14749" s="192"/>
      <c r="BO14749" s="197"/>
      <c r="BP14749" s="197"/>
      <c r="BQ14749" s="197"/>
    </row>
    <row r="14750" spans="66:69" x14ac:dyDescent="0.2">
      <c r="BN14750" s="192"/>
      <c r="BO14750" s="197"/>
      <c r="BP14750" s="197"/>
      <c r="BQ14750" s="197"/>
    </row>
    <row r="14751" spans="66:69" x14ac:dyDescent="0.2">
      <c r="BN14751" s="192"/>
      <c r="BO14751" s="197"/>
      <c r="BP14751" s="197"/>
      <c r="BQ14751" s="197"/>
    </row>
    <row r="14752" spans="66:69" x14ac:dyDescent="0.2">
      <c r="BN14752" s="192"/>
      <c r="BO14752" s="197"/>
      <c r="BP14752" s="197"/>
      <c r="BQ14752" s="197"/>
    </row>
    <row r="14753" spans="66:69" x14ac:dyDescent="0.2">
      <c r="BN14753" s="192"/>
      <c r="BO14753" s="197"/>
      <c r="BP14753" s="197"/>
      <c r="BQ14753" s="197"/>
    </row>
    <row r="14754" spans="66:69" x14ac:dyDescent="0.2">
      <c r="BN14754" s="192"/>
      <c r="BO14754" s="197"/>
      <c r="BP14754" s="197"/>
      <c r="BQ14754" s="197"/>
    </row>
    <row r="14755" spans="66:69" x14ac:dyDescent="0.2">
      <c r="BN14755" s="192"/>
      <c r="BO14755" s="197"/>
      <c r="BP14755" s="197"/>
      <c r="BQ14755" s="197"/>
    </row>
    <row r="14756" spans="66:69" x14ac:dyDescent="0.2">
      <c r="BN14756" s="192"/>
      <c r="BO14756" s="197"/>
      <c r="BP14756" s="197"/>
      <c r="BQ14756" s="197"/>
    </row>
    <row r="14757" spans="66:69" x14ac:dyDescent="0.2">
      <c r="BN14757" s="192"/>
      <c r="BO14757" s="197"/>
      <c r="BP14757" s="197"/>
      <c r="BQ14757" s="197"/>
    </row>
    <row r="14758" spans="66:69" x14ac:dyDescent="0.2">
      <c r="BN14758" s="192"/>
      <c r="BO14758" s="197"/>
      <c r="BP14758" s="197"/>
      <c r="BQ14758" s="197"/>
    </row>
    <row r="14759" spans="66:69" x14ac:dyDescent="0.2">
      <c r="BN14759" s="192"/>
      <c r="BO14759" s="197"/>
      <c r="BP14759" s="197"/>
      <c r="BQ14759" s="197"/>
    </row>
    <row r="14760" spans="66:69" x14ac:dyDescent="0.2">
      <c r="BN14760" s="192"/>
      <c r="BO14760" s="197"/>
      <c r="BP14760" s="197"/>
      <c r="BQ14760" s="197"/>
    </row>
    <row r="14761" spans="66:69" x14ac:dyDescent="0.2">
      <c r="BN14761" s="192"/>
      <c r="BO14761" s="197"/>
      <c r="BP14761" s="197"/>
      <c r="BQ14761" s="197"/>
    </row>
    <row r="14762" spans="66:69" x14ac:dyDescent="0.2">
      <c r="BN14762" s="192"/>
      <c r="BO14762" s="197"/>
      <c r="BP14762" s="197"/>
      <c r="BQ14762" s="197"/>
    </row>
    <row r="14763" spans="66:69" x14ac:dyDescent="0.2">
      <c r="BN14763" s="192"/>
      <c r="BO14763" s="197"/>
      <c r="BP14763" s="197"/>
      <c r="BQ14763" s="197"/>
    </row>
    <row r="14764" spans="66:69" x14ac:dyDescent="0.2">
      <c r="BN14764" s="192"/>
      <c r="BO14764" s="197"/>
      <c r="BP14764" s="197"/>
      <c r="BQ14764" s="197"/>
    </row>
    <row r="14765" spans="66:69" x14ac:dyDescent="0.2">
      <c r="BN14765" s="192"/>
      <c r="BO14765" s="197"/>
      <c r="BP14765" s="197"/>
      <c r="BQ14765" s="197"/>
    </row>
    <row r="14766" spans="66:69" x14ac:dyDescent="0.2">
      <c r="BN14766" s="192"/>
      <c r="BO14766" s="197"/>
      <c r="BP14766" s="197"/>
      <c r="BQ14766" s="197"/>
    </row>
    <row r="14767" spans="66:69" x14ac:dyDescent="0.2">
      <c r="BN14767" s="192"/>
      <c r="BO14767" s="197"/>
      <c r="BP14767" s="197"/>
      <c r="BQ14767" s="197"/>
    </row>
    <row r="14768" spans="66:69" x14ac:dyDescent="0.2">
      <c r="BN14768" s="192"/>
      <c r="BO14768" s="197"/>
      <c r="BP14768" s="197"/>
      <c r="BQ14768" s="197"/>
    </row>
    <row r="14769" spans="66:69" x14ac:dyDescent="0.2">
      <c r="BN14769" s="192"/>
      <c r="BO14769" s="197"/>
      <c r="BP14769" s="197"/>
      <c r="BQ14769" s="197"/>
    </row>
    <row r="14770" spans="66:69" x14ac:dyDescent="0.2">
      <c r="BN14770" s="192"/>
      <c r="BO14770" s="197"/>
      <c r="BP14770" s="197"/>
      <c r="BQ14770" s="197"/>
    </row>
    <row r="14771" spans="66:69" x14ac:dyDescent="0.2">
      <c r="BN14771" s="192"/>
      <c r="BO14771" s="197"/>
      <c r="BP14771" s="197"/>
      <c r="BQ14771" s="197"/>
    </row>
    <row r="14772" spans="66:69" x14ac:dyDescent="0.2">
      <c r="BN14772" s="192"/>
      <c r="BO14772" s="197"/>
      <c r="BP14772" s="197"/>
      <c r="BQ14772" s="197"/>
    </row>
    <row r="14773" spans="66:69" x14ac:dyDescent="0.2">
      <c r="BN14773" s="192"/>
      <c r="BO14773" s="197"/>
      <c r="BP14773" s="197"/>
      <c r="BQ14773" s="197"/>
    </row>
    <row r="14774" spans="66:69" x14ac:dyDescent="0.2">
      <c r="BN14774" s="192"/>
      <c r="BO14774" s="197"/>
      <c r="BP14774" s="197"/>
      <c r="BQ14774" s="197"/>
    </row>
    <row r="14775" spans="66:69" x14ac:dyDescent="0.2">
      <c r="BN14775" s="192"/>
      <c r="BO14775" s="197"/>
      <c r="BP14775" s="197"/>
      <c r="BQ14775" s="197"/>
    </row>
    <row r="14776" spans="66:69" x14ac:dyDescent="0.2">
      <c r="BN14776" s="192"/>
      <c r="BO14776" s="197"/>
      <c r="BP14776" s="197"/>
      <c r="BQ14776" s="197"/>
    </row>
    <row r="14777" spans="66:69" x14ac:dyDescent="0.2">
      <c r="BN14777" s="192"/>
      <c r="BO14777" s="197"/>
      <c r="BP14777" s="197"/>
      <c r="BQ14777" s="197"/>
    </row>
    <row r="14778" spans="66:69" x14ac:dyDescent="0.2">
      <c r="BN14778" s="192"/>
      <c r="BO14778" s="197"/>
      <c r="BP14778" s="197"/>
      <c r="BQ14778" s="197"/>
    </row>
    <row r="14779" spans="66:69" x14ac:dyDescent="0.2">
      <c r="BN14779" s="192"/>
      <c r="BO14779" s="197"/>
      <c r="BP14779" s="197"/>
      <c r="BQ14779" s="197"/>
    </row>
    <row r="14780" spans="66:69" x14ac:dyDescent="0.2">
      <c r="BN14780" s="192"/>
      <c r="BO14780" s="197"/>
      <c r="BP14780" s="197"/>
      <c r="BQ14780" s="197"/>
    </row>
    <row r="14781" spans="66:69" x14ac:dyDescent="0.2">
      <c r="BN14781" s="192"/>
      <c r="BO14781" s="197"/>
      <c r="BP14781" s="197"/>
      <c r="BQ14781" s="197"/>
    </row>
    <row r="14782" spans="66:69" x14ac:dyDescent="0.2">
      <c r="BN14782" s="192"/>
      <c r="BO14782" s="197"/>
      <c r="BP14782" s="197"/>
      <c r="BQ14782" s="197"/>
    </row>
    <row r="14783" spans="66:69" x14ac:dyDescent="0.2">
      <c r="BN14783" s="192"/>
      <c r="BO14783" s="197"/>
      <c r="BP14783" s="197"/>
      <c r="BQ14783" s="197"/>
    </row>
    <row r="14784" spans="66:69" x14ac:dyDescent="0.2">
      <c r="BN14784" s="192"/>
      <c r="BO14784" s="197"/>
      <c r="BP14784" s="197"/>
      <c r="BQ14784" s="197"/>
    </row>
    <row r="14785" spans="66:69" x14ac:dyDescent="0.2">
      <c r="BN14785" s="192"/>
      <c r="BO14785" s="197"/>
      <c r="BP14785" s="197"/>
      <c r="BQ14785" s="197"/>
    </row>
    <row r="14786" spans="66:69" x14ac:dyDescent="0.2">
      <c r="BN14786" s="192"/>
      <c r="BO14786" s="197"/>
      <c r="BP14786" s="197"/>
      <c r="BQ14786" s="197"/>
    </row>
    <row r="14787" spans="66:69" x14ac:dyDescent="0.2">
      <c r="BN14787" s="192"/>
      <c r="BO14787" s="197"/>
      <c r="BP14787" s="197"/>
      <c r="BQ14787" s="197"/>
    </row>
    <row r="14788" spans="66:69" x14ac:dyDescent="0.2">
      <c r="BN14788" s="192"/>
      <c r="BO14788" s="197"/>
      <c r="BP14788" s="197"/>
      <c r="BQ14788" s="197"/>
    </row>
    <row r="14789" spans="66:69" x14ac:dyDescent="0.2">
      <c r="BN14789" s="192"/>
      <c r="BO14789" s="197"/>
      <c r="BP14789" s="197"/>
      <c r="BQ14789" s="197"/>
    </row>
    <row r="14790" spans="66:69" x14ac:dyDescent="0.2">
      <c r="BN14790" s="192"/>
      <c r="BO14790" s="197"/>
      <c r="BP14790" s="197"/>
      <c r="BQ14790" s="197"/>
    </row>
    <row r="14791" spans="66:69" x14ac:dyDescent="0.2">
      <c r="BN14791" s="192"/>
      <c r="BO14791" s="197"/>
      <c r="BP14791" s="197"/>
      <c r="BQ14791" s="197"/>
    </row>
    <row r="14792" spans="66:69" x14ac:dyDescent="0.2">
      <c r="BN14792" s="192"/>
      <c r="BO14792" s="197"/>
      <c r="BP14792" s="197"/>
      <c r="BQ14792" s="197"/>
    </row>
    <row r="14793" spans="66:69" x14ac:dyDescent="0.2">
      <c r="BN14793" s="192"/>
      <c r="BO14793" s="197"/>
      <c r="BP14793" s="197"/>
      <c r="BQ14793" s="197"/>
    </row>
    <row r="14794" spans="66:69" x14ac:dyDescent="0.2">
      <c r="BN14794" s="192"/>
      <c r="BO14794" s="197"/>
      <c r="BP14794" s="197"/>
      <c r="BQ14794" s="197"/>
    </row>
    <row r="14795" spans="66:69" x14ac:dyDescent="0.2">
      <c r="BN14795" s="192"/>
      <c r="BO14795" s="197"/>
      <c r="BP14795" s="197"/>
      <c r="BQ14795" s="197"/>
    </row>
    <row r="14796" spans="66:69" x14ac:dyDescent="0.2">
      <c r="BN14796" s="192"/>
      <c r="BO14796" s="197"/>
      <c r="BP14796" s="197"/>
      <c r="BQ14796" s="197"/>
    </row>
    <row r="14797" spans="66:69" x14ac:dyDescent="0.2">
      <c r="BN14797" s="192"/>
      <c r="BO14797" s="197"/>
      <c r="BP14797" s="197"/>
      <c r="BQ14797" s="197"/>
    </row>
    <row r="14798" spans="66:69" x14ac:dyDescent="0.2">
      <c r="BN14798" s="192"/>
      <c r="BO14798" s="197"/>
      <c r="BP14798" s="197"/>
      <c r="BQ14798" s="197"/>
    </row>
    <row r="14799" spans="66:69" x14ac:dyDescent="0.2">
      <c r="BN14799" s="192"/>
      <c r="BO14799" s="197"/>
      <c r="BP14799" s="197"/>
      <c r="BQ14799" s="197"/>
    </row>
    <row r="14800" spans="66:69" x14ac:dyDescent="0.2">
      <c r="BN14800" s="192"/>
      <c r="BO14800" s="197"/>
      <c r="BP14800" s="197"/>
      <c r="BQ14800" s="197"/>
    </row>
    <row r="14801" spans="66:69" x14ac:dyDescent="0.2">
      <c r="BN14801" s="192"/>
      <c r="BO14801" s="197"/>
      <c r="BP14801" s="197"/>
      <c r="BQ14801" s="197"/>
    </row>
    <row r="14802" spans="66:69" x14ac:dyDescent="0.2">
      <c r="BN14802" s="192"/>
      <c r="BO14802" s="197"/>
      <c r="BP14802" s="197"/>
      <c r="BQ14802" s="197"/>
    </row>
    <row r="14803" spans="66:69" x14ac:dyDescent="0.2">
      <c r="BN14803" s="192"/>
      <c r="BO14803" s="197"/>
      <c r="BP14803" s="197"/>
      <c r="BQ14803" s="197"/>
    </row>
    <row r="14804" spans="66:69" x14ac:dyDescent="0.2">
      <c r="BN14804" s="192"/>
      <c r="BO14804" s="197"/>
      <c r="BP14804" s="197"/>
      <c r="BQ14804" s="197"/>
    </row>
    <row r="14805" spans="66:69" x14ac:dyDescent="0.2">
      <c r="BN14805" s="192"/>
      <c r="BO14805" s="197"/>
      <c r="BP14805" s="197"/>
      <c r="BQ14805" s="197"/>
    </row>
    <row r="14806" spans="66:69" x14ac:dyDescent="0.2">
      <c r="BN14806" s="192"/>
      <c r="BO14806" s="197"/>
      <c r="BP14806" s="197"/>
      <c r="BQ14806" s="197"/>
    </row>
    <row r="14807" spans="66:69" x14ac:dyDescent="0.2">
      <c r="BN14807" s="192"/>
      <c r="BO14807" s="197"/>
      <c r="BP14807" s="197"/>
      <c r="BQ14807" s="197"/>
    </row>
    <row r="14808" spans="66:69" x14ac:dyDescent="0.2">
      <c r="BN14808" s="192"/>
      <c r="BO14808" s="197"/>
      <c r="BP14808" s="197"/>
      <c r="BQ14808" s="197"/>
    </row>
    <row r="14809" spans="66:69" x14ac:dyDescent="0.2">
      <c r="BN14809" s="192"/>
      <c r="BO14809" s="197"/>
      <c r="BP14809" s="197"/>
      <c r="BQ14809" s="197"/>
    </row>
    <row r="14810" spans="66:69" x14ac:dyDescent="0.2">
      <c r="BN14810" s="192"/>
      <c r="BO14810" s="197"/>
      <c r="BP14810" s="197"/>
      <c r="BQ14810" s="197"/>
    </row>
    <row r="14811" spans="66:69" x14ac:dyDescent="0.2">
      <c r="BN14811" s="192"/>
      <c r="BO14811" s="197"/>
      <c r="BP14811" s="197"/>
      <c r="BQ14811" s="197"/>
    </row>
    <row r="14812" spans="66:69" x14ac:dyDescent="0.2">
      <c r="BN14812" s="192"/>
      <c r="BO14812" s="197"/>
      <c r="BP14812" s="197"/>
      <c r="BQ14812" s="197"/>
    </row>
    <row r="14813" spans="66:69" x14ac:dyDescent="0.2">
      <c r="BN14813" s="192"/>
      <c r="BO14813" s="197"/>
      <c r="BP14813" s="197"/>
      <c r="BQ14813" s="197"/>
    </row>
    <row r="14814" spans="66:69" x14ac:dyDescent="0.2">
      <c r="BN14814" s="192"/>
      <c r="BO14814" s="197"/>
      <c r="BP14814" s="197"/>
      <c r="BQ14814" s="197"/>
    </row>
    <row r="14815" spans="66:69" x14ac:dyDescent="0.2">
      <c r="BN14815" s="192"/>
      <c r="BO14815" s="197"/>
      <c r="BP14815" s="197"/>
      <c r="BQ14815" s="197"/>
    </row>
    <row r="14816" spans="66:69" x14ac:dyDescent="0.2">
      <c r="BN14816" s="192"/>
      <c r="BO14816" s="197"/>
      <c r="BP14816" s="197"/>
      <c r="BQ14816" s="197"/>
    </row>
    <row r="14817" spans="66:69" x14ac:dyDescent="0.2">
      <c r="BN14817" s="192"/>
      <c r="BO14817" s="197"/>
      <c r="BP14817" s="197"/>
      <c r="BQ14817" s="197"/>
    </row>
    <row r="14818" spans="66:69" x14ac:dyDescent="0.2">
      <c r="BN14818" s="192"/>
      <c r="BO14818" s="197"/>
      <c r="BP14818" s="197"/>
      <c r="BQ14818" s="197"/>
    </row>
    <row r="14819" spans="66:69" x14ac:dyDescent="0.2">
      <c r="BN14819" s="192"/>
      <c r="BO14819" s="197"/>
      <c r="BP14819" s="197"/>
      <c r="BQ14819" s="197"/>
    </row>
    <row r="14820" spans="66:69" x14ac:dyDescent="0.2">
      <c r="BN14820" s="192"/>
      <c r="BO14820" s="197"/>
      <c r="BP14820" s="197"/>
      <c r="BQ14820" s="197"/>
    </row>
    <row r="14821" spans="66:69" x14ac:dyDescent="0.2">
      <c r="BN14821" s="192"/>
      <c r="BO14821" s="197"/>
      <c r="BP14821" s="197"/>
      <c r="BQ14821" s="197"/>
    </row>
    <row r="14822" spans="66:69" x14ac:dyDescent="0.2">
      <c r="BN14822" s="192"/>
      <c r="BO14822" s="197"/>
      <c r="BP14822" s="197"/>
      <c r="BQ14822" s="197"/>
    </row>
    <row r="14823" spans="66:69" x14ac:dyDescent="0.2">
      <c r="BN14823" s="192"/>
      <c r="BO14823" s="197"/>
      <c r="BP14823" s="197"/>
      <c r="BQ14823" s="197"/>
    </row>
    <row r="14824" spans="66:69" x14ac:dyDescent="0.2">
      <c r="BN14824" s="192"/>
      <c r="BO14824" s="197"/>
      <c r="BP14824" s="197"/>
      <c r="BQ14824" s="197"/>
    </row>
    <row r="14825" spans="66:69" x14ac:dyDescent="0.2">
      <c r="BN14825" s="192"/>
      <c r="BO14825" s="197"/>
      <c r="BP14825" s="197"/>
      <c r="BQ14825" s="197"/>
    </row>
    <row r="14826" spans="66:69" x14ac:dyDescent="0.2">
      <c r="BN14826" s="192"/>
      <c r="BO14826" s="197"/>
      <c r="BP14826" s="197"/>
      <c r="BQ14826" s="197"/>
    </row>
    <row r="14827" spans="66:69" x14ac:dyDescent="0.2">
      <c r="BN14827" s="192"/>
      <c r="BO14827" s="197"/>
      <c r="BP14827" s="197"/>
      <c r="BQ14827" s="197"/>
    </row>
    <row r="14828" spans="66:69" x14ac:dyDescent="0.2">
      <c r="BN14828" s="192"/>
      <c r="BO14828" s="197"/>
      <c r="BP14828" s="197"/>
      <c r="BQ14828" s="197"/>
    </row>
    <row r="14829" spans="66:69" x14ac:dyDescent="0.2">
      <c r="BN14829" s="192"/>
      <c r="BO14829" s="197"/>
      <c r="BP14829" s="197"/>
      <c r="BQ14829" s="197"/>
    </row>
    <row r="14830" spans="66:69" x14ac:dyDescent="0.2">
      <c r="BN14830" s="192"/>
      <c r="BO14830" s="197"/>
      <c r="BP14830" s="197"/>
      <c r="BQ14830" s="197"/>
    </row>
    <row r="14831" spans="66:69" x14ac:dyDescent="0.2">
      <c r="BN14831" s="192"/>
      <c r="BO14831" s="197"/>
      <c r="BP14831" s="197"/>
      <c r="BQ14831" s="197"/>
    </row>
    <row r="14832" spans="66:69" x14ac:dyDescent="0.2">
      <c r="BN14832" s="192"/>
      <c r="BO14832" s="197"/>
      <c r="BP14832" s="197"/>
      <c r="BQ14832" s="197"/>
    </row>
    <row r="14833" spans="66:69" x14ac:dyDescent="0.2">
      <c r="BN14833" s="192"/>
      <c r="BO14833" s="197"/>
      <c r="BP14833" s="197"/>
      <c r="BQ14833" s="197"/>
    </row>
    <row r="14834" spans="66:69" x14ac:dyDescent="0.2">
      <c r="BN14834" s="192"/>
      <c r="BO14834" s="197"/>
      <c r="BP14834" s="197"/>
      <c r="BQ14834" s="197"/>
    </row>
    <row r="14835" spans="66:69" x14ac:dyDescent="0.2">
      <c r="BN14835" s="192"/>
      <c r="BO14835" s="197"/>
      <c r="BP14835" s="197"/>
      <c r="BQ14835" s="197"/>
    </row>
    <row r="14836" spans="66:69" x14ac:dyDescent="0.2">
      <c r="BN14836" s="192"/>
      <c r="BO14836" s="197"/>
      <c r="BP14836" s="197"/>
      <c r="BQ14836" s="197"/>
    </row>
    <row r="14837" spans="66:69" x14ac:dyDescent="0.2">
      <c r="BN14837" s="192"/>
      <c r="BO14837" s="197"/>
      <c r="BP14837" s="197"/>
      <c r="BQ14837" s="197"/>
    </row>
    <row r="14838" spans="66:69" x14ac:dyDescent="0.2">
      <c r="BN14838" s="192"/>
      <c r="BO14838" s="197"/>
      <c r="BP14838" s="197"/>
      <c r="BQ14838" s="197"/>
    </row>
    <row r="14839" spans="66:69" x14ac:dyDescent="0.2">
      <c r="BN14839" s="192"/>
      <c r="BO14839" s="197"/>
      <c r="BP14839" s="197"/>
      <c r="BQ14839" s="197"/>
    </row>
    <row r="14840" spans="66:69" x14ac:dyDescent="0.2">
      <c r="BN14840" s="192"/>
      <c r="BO14840" s="197"/>
      <c r="BP14840" s="197"/>
      <c r="BQ14840" s="197"/>
    </row>
    <row r="14841" spans="66:69" x14ac:dyDescent="0.2">
      <c r="BN14841" s="192"/>
      <c r="BO14841" s="197"/>
      <c r="BP14841" s="197"/>
      <c r="BQ14841" s="197"/>
    </row>
    <row r="14842" spans="66:69" x14ac:dyDescent="0.2">
      <c r="BN14842" s="192"/>
      <c r="BO14842" s="197"/>
      <c r="BP14842" s="197"/>
      <c r="BQ14842" s="197"/>
    </row>
    <row r="14843" spans="66:69" x14ac:dyDescent="0.2">
      <c r="BN14843" s="192"/>
      <c r="BO14843" s="197"/>
      <c r="BP14843" s="197"/>
      <c r="BQ14843" s="197"/>
    </row>
    <row r="14844" spans="66:69" x14ac:dyDescent="0.2">
      <c r="BN14844" s="192"/>
      <c r="BO14844" s="197"/>
      <c r="BP14844" s="197"/>
      <c r="BQ14844" s="197"/>
    </row>
    <row r="14845" spans="66:69" x14ac:dyDescent="0.2">
      <c r="BN14845" s="192"/>
      <c r="BO14845" s="197"/>
      <c r="BP14845" s="197"/>
      <c r="BQ14845" s="197"/>
    </row>
    <row r="14846" spans="66:69" x14ac:dyDescent="0.2">
      <c r="BN14846" s="192"/>
      <c r="BO14846" s="197"/>
      <c r="BP14846" s="197"/>
      <c r="BQ14846" s="197"/>
    </row>
    <row r="14847" spans="66:69" x14ac:dyDescent="0.2">
      <c r="BN14847" s="192"/>
      <c r="BO14847" s="197"/>
      <c r="BP14847" s="197"/>
      <c r="BQ14847" s="197"/>
    </row>
    <row r="14848" spans="66:69" x14ac:dyDescent="0.2">
      <c r="BN14848" s="192"/>
      <c r="BO14848" s="197"/>
      <c r="BP14848" s="197"/>
      <c r="BQ14848" s="197"/>
    </row>
    <row r="14849" spans="66:69" x14ac:dyDescent="0.2">
      <c r="BN14849" s="192"/>
      <c r="BO14849" s="197"/>
      <c r="BP14849" s="197"/>
      <c r="BQ14849" s="197"/>
    </row>
    <row r="14850" spans="66:69" x14ac:dyDescent="0.2">
      <c r="BN14850" s="192"/>
      <c r="BO14850" s="197"/>
      <c r="BP14850" s="197"/>
      <c r="BQ14850" s="197"/>
    </row>
    <row r="14851" spans="66:69" x14ac:dyDescent="0.2">
      <c r="BN14851" s="192"/>
      <c r="BO14851" s="197"/>
      <c r="BP14851" s="197"/>
      <c r="BQ14851" s="197"/>
    </row>
    <row r="14852" spans="66:69" x14ac:dyDescent="0.2">
      <c r="BN14852" s="192"/>
      <c r="BO14852" s="197"/>
      <c r="BP14852" s="197"/>
      <c r="BQ14852" s="197"/>
    </row>
    <row r="14853" spans="66:69" x14ac:dyDescent="0.2">
      <c r="BN14853" s="192"/>
      <c r="BO14853" s="197"/>
      <c r="BP14853" s="197"/>
      <c r="BQ14853" s="197"/>
    </row>
    <row r="14854" spans="66:69" x14ac:dyDescent="0.2">
      <c r="BN14854" s="192"/>
      <c r="BO14854" s="197"/>
      <c r="BP14854" s="197"/>
      <c r="BQ14854" s="197"/>
    </row>
    <row r="14855" spans="66:69" x14ac:dyDescent="0.2">
      <c r="BN14855" s="192"/>
      <c r="BO14855" s="197"/>
      <c r="BP14855" s="197"/>
      <c r="BQ14855" s="197"/>
    </row>
    <row r="14856" spans="66:69" x14ac:dyDescent="0.2">
      <c r="BN14856" s="192"/>
      <c r="BO14856" s="197"/>
      <c r="BP14856" s="197"/>
      <c r="BQ14856" s="197"/>
    </row>
    <row r="14857" spans="66:69" x14ac:dyDescent="0.2">
      <c r="BN14857" s="192"/>
      <c r="BO14857" s="197"/>
      <c r="BP14857" s="197"/>
      <c r="BQ14857" s="197"/>
    </row>
    <row r="14858" spans="66:69" x14ac:dyDescent="0.2">
      <c r="BN14858" s="192"/>
      <c r="BO14858" s="197"/>
      <c r="BP14858" s="197"/>
      <c r="BQ14858" s="197"/>
    </row>
    <row r="14859" spans="66:69" x14ac:dyDescent="0.2">
      <c r="BN14859" s="192"/>
      <c r="BO14859" s="197"/>
      <c r="BP14859" s="197"/>
      <c r="BQ14859" s="197"/>
    </row>
    <row r="14860" spans="66:69" x14ac:dyDescent="0.2">
      <c r="BN14860" s="192"/>
      <c r="BO14860" s="197"/>
      <c r="BP14860" s="197"/>
      <c r="BQ14860" s="197"/>
    </row>
    <row r="14861" spans="66:69" x14ac:dyDescent="0.2">
      <c r="BN14861" s="192"/>
      <c r="BO14861" s="197"/>
      <c r="BP14861" s="197"/>
      <c r="BQ14861" s="197"/>
    </row>
    <row r="14862" spans="66:69" x14ac:dyDescent="0.2">
      <c r="BN14862" s="192"/>
      <c r="BO14862" s="197"/>
      <c r="BP14862" s="197"/>
      <c r="BQ14862" s="197"/>
    </row>
    <row r="14863" spans="66:69" x14ac:dyDescent="0.2">
      <c r="BN14863" s="192"/>
      <c r="BO14863" s="197"/>
      <c r="BP14863" s="197"/>
      <c r="BQ14863" s="197"/>
    </row>
    <row r="14864" spans="66:69" x14ac:dyDescent="0.2">
      <c r="BN14864" s="192"/>
      <c r="BO14864" s="197"/>
      <c r="BP14864" s="197"/>
      <c r="BQ14864" s="197"/>
    </row>
    <row r="14865" spans="66:69" x14ac:dyDescent="0.2">
      <c r="BN14865" s="192"/>
      <c r="BO14865" s="197"/>
      <c r="BP14865" s="197"/>
      <c r="BQ14865" s="197"/>
    </row>
    <row r="14866" spans="66:69" x14ac:dyDescent="0.2">
      <c r="BN14866" s="192"/>
      <c r="BO14866" s="197"/>
      <c r="BP14866" s="197"/>
      <c r="BQ14866" s="197"/>
    </row>
    <row r="14867" spans="66:69" x14ac:dyDescent="0.2">
      <c r="BN14867" s="192"/>
      <c r="BO14867" s="197"/>
      <c r="BP14867" s="197"/>
      <c r="BQ14867" s="197"/>
    </row>
    <row r="14868" spans="66:69" x14ac:dyDescent="0.2">
      <c r="BN14868" s="192"/>
      <c r="BO14868" s="197"/>
      <c r="BP14868" s="197"/>
      <c r="BQ14868" s="197"/>
    </row>
    <row r="14869" spans="66:69" x14ac:dyDescent="0.2">
      <c r="BN14869" s="192"/>
      <c r="BO14869" s="197"/>
      <c r="BP14869" s="197"/>
      <c r="BQ14869" s="197"/>
    </row>
    <row r="14870" spans="66:69" x14ac:dyDescent="0.2">
      <c r="BN14870" s="192"/>
      <c r="BO14870" s="197"/>
      <c r="BP14870" s="197"/>
      <c r="BQ14870" s="197"/>
    </row>
    <row r="14871" spans="66:69" x14ac:dyDescent="0.2">
      <c r="BN14871" s="192"/>
      <c r="BO14871" s="197"/>
      <c r="BP14871" s="197"/>
      <c r="BQ14871" s="197"/>
    </row>
    <row r="14872" spans="66:69" x14ac:dyDescent="0.2">
      <c r="BN14872" s="192"/>
      <c r="BO14872" s="197"/>
      <c r="BP14872" s="197"/>
      <c r="BQ14872" s="197"/>
    </row>
    <row r="14873" spans="66:69" x14ac:dyDescent="0.2">
      <c r="BN14873" s="192"/>
      <c r="BO14873" s="197"/>
      <c r="BP14873" s="197"/>
      <c r="BQ14873" s="197"/>
    </row>
    <row r="14874" spans="66:69" x14ac:dyDescent="0.2">
      <c r="BN14874" s="192"/>
      <c r="BO14874" s="197"/>
      <c r="BP14874" s="197"/>
      <c r="BQ14874" s="197"/>
    </row>
    <row r="14875" spans="66:69" x14ac:dyDescent="0.2">
      <c r="BN14875" s="192"/>
      <c r="BO14875" s="197"/>
      <c r="BP14875" s="197"/>
      <c r="BQ14875" s="197"/>
    </row>
    <row r="14876" spans="66:69" x14ac:dyDescent="0.2">
      <c r="BN14876" s="192"/>
      <c r="BO14876" s="197"/>
      <c r="BP14876" s="197"/>
      <c r="BQ14876" s="197"/>
    </row>
    <row r="14877" spans="66:69" x14ac:dyDescent="0.2">
      <c r="BN14877" s="192"/>
      <c r="BO14877" s="197"/>
      <c r="BP14877" s="197"/>
      <c r="BQ14877" s="197"/>
    </row>
    <row r="14878" spans="66:69" x14ac:dyDescent="0.2">
      <c r="BN14878" s="192"/>
      <c r="BO14878" s="197"/>
      <c r="BP14878" s="197"/>
      <c r="BQ14878" s="197"/>
    </row>
    <row r="14879" spans="66:69" x14ac:dyDescent="0.2">
      <c r="BN14879" s="192"/>
      <c r="BO14879" s="197"/>
      <c r="BP14879" s="197"/>
      <c r="BQ14879" s="197"/>
    </row>
    <row r="14880" spans="66:69" x14ac:dyDescent="0.2">
      <c r="BN14880" s="192"/>
      <c r="BO14880" s="197"/>
      <c r="BP14880" s="197"/>
      <c r="BQ14880" s="197"/>
    </row>
    <row r="14881" spans="66:69" x14ac:dyDescent="0.2">
      <c r="BN14881" s="192"/>
      <c r="BO14881" s="197"/>
      <c r="BP14881" s="197"/>
      <c r="BQ14881" s="197"/>
    </row>
    <row r="14882" spans="66:69" x14ac:dyDescent="0.2">
      <c r="BN14882" s="192"/>
      <c r="BO14882" s="197"/>
      <c r="BP14882" s="197"/>
      <c r="BQ14882" s="197"/>
    </row>
    <row r="14883" spans="66:69" x14ac:dyDescent="0.2">
      <c r="BN14883" s="192"/>
      <c r="BO14883" s="197"/>
      <c r="BP14883" s="197"/>
      <c r="BQ14883" s="197"/>
    </row>
    <row r="14884" spans="66:69" x14ac:dyDescent="0.2">
      <c r="BN14884" s="192"/>
      <c r="BO14884" s="197"/>
      <c r="BP14884" s="197"/>
      <c r="BQ14884" s="197"/>
    </row>
    <row r="14885" spans="66:69" x14ac:dyDescent="0.2">
      <c r="BN14885" s="192"/>
      <c r="BO14885" s="197"/>
      <c r="BP14885" s="197"/>
      <c r="BQ14885" s="197"/>
    </row>
    <row r="14886" spans="66:69" x14ac:dyDescent="0.2">
      <c r="BN14886" s="192"/>
      <c r="BO14886" s="197"/>
      <c r="BP14886" s="197"/>
      <c r="BQ14886" s="197"/>
    </row>
    <row r="14887" spans="66:69" x14ac:dyDescent="0.2">
      <c r="BN14887" s="192"/>
      <c r="BO14887" s="197"/>
      <c r="BP14887" s="197"/>
      <c r="BQ14887" s="197"/>
    </row>
    <row r="14888" spans="66:69" x14ac:dyDescent="0.2">
      <c r="BN14888" s="192"/>
      <c r="BO14888" s="197"/>
      <c r="BP14888" s="197"/>
      <c r="BQ14888" s="197"/>
    </row>
    <row r="14889" spans="66:69" x14ac:dyDescent="0.2">
      <c r="BN14889" s="192"/>
      <c r="BO14889" s="197"/>
      <c r="BP14889" s="197"/>
      <c r="BQ14889" s="197"/>
    </row>
    <row r="14890" spans="66:69" x14ac:dyDescent="0.2">
      <c r="BN14890" s="192"/>
      <c r="BO14890" s="197"/>
      <c r="BP14890" s="197"/>
      <c r="BQ14890" s="197"/>
    </row>
    <row r="14891" spans="66:69" x14ac:dyDescent="0.2">
      <c r="BN14891" s="192"/>
      <c r="BO14891" s="197"/>
      <c r="BP14891" s="197"/>
      <c r="BQ14891" s="197"/>
    </row>
    <row r="14892" spans="66:69" x14ac:dyDescent="0.2">
      <c r="BN14892" s="192"/>
      <c r="BO14892" s="197"/>
      <c r="BP14892" s="197"/>
      <c r="BQ14892" s="197"/>
    </row>
    <row r="14893" spans="66:69" x14ac:dyDescent="0.2">
      <c r="BN14893" s="192"/>
      <c r="BO14893" s="197"/>
      <c r="BP14893" s="197"/>
      <c r="BQ14893" s="197"/>
    </row>
    <row r="14894" spans="66:69" x14ac:dyDescent="0.2">
      <c r="BN14894" s="192"/>
      <c r="BO14894" s="197"/>
      <c r="BP14894" s="197"/>
      <c r="BQ14894" s="197"/>
    </row>
    <row r="14895" spans="66:69" x14ac:dyDescent="0.2">
      <c r="BN14895" s="192"/>
      <c r="BO14895" s="197"/>
      <c r="BP14895" s="197"/>
      <c r="BQ14895" s="197"/>
    </row>
    <row r="14896" spans="66:69" x14ac:dyDescent="0.2">
      <c r="BN14896" s="192"/>
      <c r="BO14896" s="197"/>
      <c r="BP14896" s="197"/>
      <c r="BQ14896" s="197"/>
    </row>
    <row r="14897" spans="66:69" x14ac:dyDescent="0.2">
      <c r="BN14897" s="192"/>
      <c r="BO14897" s="197"/>
      <c r="BP14897" s="197"/>
      <c r="BQ14897" s="197"/>
    </row>
    <row r="14898" spans="66:69" x14ac:dyDescent="0.2">
      <c r="BN14898" s="192"/>
      <c r="BO14898" s="197"/>
      <c r="BP14898" s="197"/>
      <c r="BQ14898" s="197"/>
    </row>
    <row r="14899" spans="66:69" x14ac:dyDescent="0.2">
      <c r="BN14899" s="192"/>
      <c r="BO14899" s="197"/>
      <c r="BP14899" s="197"/>
      <c r="BQ14899" s="197"/>
    </row>
    <row r="14900" spans="66:69" x14ac:dyDescent="0.2">
      <c r="BN14900" s="192"/>
      <c r="BO14900" s="197"/>
      <c r="BP14900" s="197"/>
      <c r="BQ14900" s="197"/>
    </row>
    <row r="14901" spans="66:69" x14ac:dyDescent="0.2">
      <c r="BN14901" s="192"/>
      <c r="BO14901" s="197"/>
      <c r="BP14901" s="197"/>
      <c r="BQ14901" s="197"/>
    </row>
    <row r="14902" spans="66:69" x14ac:dyDescent="0.2">
      <c r="BN14902" s="192"/>
      <c r="BO14902" s="197"/>
      <c r="BP14902" s="197"/>
      <c r="BQ14902" s="197"/>
    </row>
    <row r="14903" spans="66:69" x14ac:dyDescent="0.2">
      <c r="BN14903" s="192"/>
      <c r="BO14903" s="197"/>
      <c r="BP14903" s="197"/>
      <c r="BQ14903" s="197"/>
    </row>
    <row r="14904" spans="66:69" x14ac:dyDescent="0.2">
      <c r="BN14904" s="192"/>
      <c r="BO14904" s="197"/>
      <c r="BP14904" s="197"/>
      <c r="BQ14904" s="197"/>
    </row>
    <row r="14905" spans="66:69" x14ac:dyDescent="0.2">
      <c r="BN14905" s="192"/>
      <c r="BO14905" s="197"/>
      <c r="BP14905" s="197"/>
      <c r="BQ14905" s="197"/>
    </row>
    <row r="14906" spans="66:69" x14ac:dyDescent="0.2">
      <c r="BN14906" s="192"/>
      <c r="BO14906" s="197"/>
      <c r="BP14906" s="197"/>
      <c r="BQ14906" s="197"/>
    </row>
    <row r="14907" spans="66:69" x14ac:dyDescent="0.2">
      <c r="BN14907" s="192"/>
      <c r="BO14907" s="197"/>
      <c r="BP14907" s="197"/>
      <c r="BQ14907" s="197"/>
    </row>
    <row r="14908" spans="66:69" x14ac:dyDescent="0.2">
      <c r="BN14908" s="192"/>
      <c r="BO14908" s="197"/>
      <c r="BP14908" s="197"/>
      <c r="BQ14908" s="197"/>
    </row>
    <row r="14909" spans="66:69" x14ac:dyDescent="0.2">
      <c r="BN14909" s="192"/>
      <c r="BO14909" s="197"/>
      <c r="BP14909" s="197"/>
      <c r="BQ14909" s="197"/>
    </row>
    <row r="14910" spans="66:69" x14ac:dyDescent="0.2">
      <c r="BN14910" s="192"/>
      <c r="BO14910" s="197"/>
      <c r="BP14910" s="197"/>
      <c r="BQ14910" s="197"/>
    </row>
    <row r="14911" spans="66:69" x14ac:dyDescent="0.2">
      <c r="BN14911" s="192"/>
      <c r="BO14911" s="197"/>
      <c r="BP14911" s="197"/>
      <c r="BQ14911" s="197"/>
    </row>
    <row r="14912" spans="66:69" x14ac:dyDescent="0.2">
      <c r="BN14912" s="192"/>
      <c r="BO14912" s="197"/>
      <c r="BP14912" s="197"/>
      <c r="BQ14912" s="197"/>
    </row>
    <row r="14913" spans="66:69" x14ac:dyDescent="0.2">
      <c r="BN14913" s="192"/>
      <c r="BO14913" s="197"/>
      <c r="BP14913" s="197"/>
      <c r="BQ14913" s="197"/>
    </row>
    <row r="14914" spans="66:69" x14ac:dyDescent="0.2">
      <c r="BN14914" s="192"/>
      <c r="BO14914" s="197"/>
      <c r="BP14914" s="197"/>
      <c r="BQ14914" s="197"/>
    </row>
    <row r="14915" spans="66:69" x14ac:dyDescent="0.2">
      <c r="BN14915" s="192"/>
      <c r="BO14915" s="197"/>
      <c r="BP14915" s="197"/>
      <c r="BQ14915" s="197"/>
    </row>
    <row r="14916" spans="66:69" x14ac:dyDescent="0.2">
      <c r="BN14916" s="192"/>
      <c r="BO14916" s="197"/>
      <c r="BP14916" s="197"/>
      <c r="BQ14916" s="197"/>
    </row>
    <row r="14917" spans="66:69" x14ac:dyDescent="0.2">
      <c r="BN14917" s="192"/>
      <c r="BO14917" s="197"/>
      <c r="BP14917" s="197"/>
      <c r="BQ14917" s="197"/>
    </row>
    <row r="14918" spans="66:69" x14ac:dyDescent="0.2">
      <c r="BN14918" s="192"/>
      <c r="BO14918" s="197"/>
      <c r="BP14918" s="197"/>
      <c r="BQ14918" s="197"/>
    </row>
    <row r="14919" spans="66:69" x14ac:dyDescent="0.2">
      <c r="BN14919" s="192"/>
      <c r="BO14919" s="197"/>
      <c r="BP14919" s="197"/>
      <c r="BQ14919" s="197"/>
    </row>
    <row r="14920" spans="66:69" x14ac:dyDescent="0.2">
      <c r="BN14920" s="192"/>
      <c r="BO14920" s="197"/>
      <c r="BP14920" s="197"/>
      <c r="BQ14920" s="197"/>
    </row>
    <row r="14921" spans="66:69" x14ac:dyDescent="0.2">
      <c r="BN14921" s="192"/>
      <c r="BO14921" s="197"/>
      <c r="BP14921" s="197"/>
      <c r="BQ14921" s="197"/>
    </row>
    <row r="14922" spans="66:69" x14ac:dyDescent="0.2">
      <c r="BN14922" s="192"/>
      <c r="BO14922" s="197"/>
      <c r="BP14922" s="197"/>
      <c r="BQ14922" s="197"/>
    </row>
    <row r="14923" spans="66:69" x14ac:dyDescent="0.2">
      <c r="BN14923" s="192"/>
      <c r="BO14923" s="197"/>
      <c r="BP14923" s="197"/>
      <c r="BQ14923" s="197"/>
    </row>
    <row r="14924" spans="66:69" x14ac:dyDescent="0.2">
      <c r="BN14924" s="192"/>
      <c r="BO14924" s="197"/>
      <c r="BP14924" s="197"/>
      <c r="BQ14924" s="197"/>
    </row>
    <row r="14925" spans="66:69" x14ac:dyDescent="0.2">
      <c r="BN14925" s="192"/>
      <c r="BO14925" s="197"/>
      <c r="BP14925" s="197"/>
      <c r="BQ14925" s="197"/>
    </row>
    <row r="14926" spans="66:69" x14ac:dyDescent="0.2">
      <c r="BN14926" s="192"/>
      <c r="BO14926" s="197"/>
      <c r="BP14926" s="197"/>
      <c r="BQ14926" s="197"/>
    </row>
    <row r="14927" spans="66:69" x14ac:dyDescent="0.2">
      <c r="BN14927" s="192"/>
      <c r="BO14927" s="197"/>
      <c r="BP14927" s="197"/>
      <c r="BQ14927" s="197"/>
    </row>
    <row r="14928" spans="66:69" x14ac:dyDescent="0.2">
      <c r="BN14928" s="192"/>
      <c r="BO14928" s="197"/>
      <c r="BP14928" s="197"/>
      <c r="BQ14928" s="197"/>
    </row>
    <row r="14929" spans="66:69" x14ac:dyDescent="0.2">
      <c r="BN14929" s="192"/>
      <c r="BO14929" s="197"/>
      <c r="BP14929" s="197"/>
      <c r="BQ14929" s="197"/>
    </row>
    <row r="14930" spans="66:69" x14ac:dyDescent="0.2">
      <c r="BN14930" s="192"/>
      <c r="BO14930" s="197"/>
      <c r="BP14930" s="197"/>
      <c r="BQ14930" s="197"/>
    </row>
    <row r="14931" spans="66:69" x14ac:dyDescent="0.2">
      <c r="BN14931" s="192"/>
      <c r="BO14931" s="197"/>
      <c r="BP14931" s="197"/>
      <c r="BQ14931" s="197"/>
    </row>
    <row r="14932" spans="66:69" x14ac:dyDescent="0.2">
      <c r="BN14932" s="192"/>
      <c r="BO14932" s="197"/>
      <c r="BP14932" s="197"/>
      <c r="BQ14932" s="197"/>
    </row>
    <row r="14933" spans="66:69" x14ac:dyDescent="0.2">
      <c r="BN14933" s="192"/>
      <c r="BO14933" s="197"/>
      <c r="BP14933" s="197"/>
      <c r="BQ14933" s="197"/>
    </row>
    <row r="14934" spans="66:69" x14ac:dyDescent="0.2">
      <c r="BN14934" s="192"/>
      <c r="BO14934" s="197"/>
      <c r="BP14934" s="197"/>
      <c r="BQ14934" s="197"/>
    </row>
    <row r="14935" spans="66:69" x14ac:dyDescent="0.2">
      <c r="BN14935" s="192"/>
      <c r="BO14935" s="197"/>
      <c r="BP14935" s="197"/>
      <c r="BQ14935" s="197"/>
    </row>
    <row r="14936" spans="66:69" x14ac:dyDescent="0.2">
      <c r="BN14936" s="192"/>
      <c r="BO14936" s="197"/>
      <c r="BP14936" s="197"/>
      <c r="BQ14936" s="197"/>
    </row>
    <row r="14937" spans="66:69" x14ac:dyDescent="0.2">
      <c r="BN14937" s="192"/>
      <c r="BO14937" s="197"/>
      <c r="BP14937" s="197"/>
      <c r="BQ14937" s="197"/>
    </row>
    <row r="14938" spans="66:69" x14ac:dyDescent="0.2">
      <c r="BN14938" s="192"/>
      <c r="BO14938" s="197"/>
      <c r="BP14938" s="197"/>
      <c r="BQ14938" s="197"/>
    </row>
    <row r="14939" spans="66:69" x14ac:dyDescent="0.2">
      <c r="BN14939" s="192"/>
      <c r="BO14939" s="197"/>
      <c r="BP14939" s="197"/>
      <c r="BQ14939" s="197"/>
    </row>
    <row r="14940" spans="66:69" x14ac:dyDescent="0.2">
      <c r="BN14940" s="192"/>
      <c r="BO14940" s="197"/>
      <c r="BP14940" s="197"/>
      <c r="BQ14940" s="197"/>
    </row>
    <row r="14941" spans="66:69" x14ac:dyDescent="0.2">
      <c r="BN14941" s="192"/>
      <c r="BO14941" s="197"/>
      <c r="BP14941" s="197"/>
      <c r="BQ14941" s="197"/>
    </row>
    <row r="14942" spans="66:69" x14ac:dyDescent="0.2">
      <c r="BN14942" s="192"/>
      <c r="BO14942" s="197"/>
      <c r="BP14942" s="197"/>
      <c r="BQ14942" s="197"/>
    </row>
    <row r="14943" spans="66:69" x14ac:dyDescent="0.2">
      <c r="BN14943" s="192"/>
      <c r="BO14943" s="197"/>
      <c r="BP14943" s="197"/>
      <c r="BQ14943" s="197"/>
    </row>
    <row r="14944" spans="66:69" x14ac:dyDescent="0.2">
      <c r="BN14944" s="192"/>
      <c r="BO14944" s="197"/>
      <c r="BP14944" s="197"/>
      <c r="BQ14944" s="197"/>
    </row>
    <row r="14945" spans="66:69" x14ac:dyDescent="0.2">
      <c r="BN14945" s="192"/>
      <c r="BO14945" s="197"/>
      <c r="BP14945" s="197"/>
      <c r="BQ14945" s="197"/>
    </row>
    <row r="14946" spans="66:69" x14ac:dyDescent="0.2">
      <c r="BN14946" s="192"/>
      <c r="BO14946" s="197"/>
      <c r="BP14946" s="197"/>
      <c r="BQ14946" s="197"/>
    </row>
    <row r="14947" spans="66:69" x14ac:dyDescent="0.2">
      <c r="BN14947" s="192"/>
      <c r="BO14947" s="197"/>
      <c r="BP14947" s="197"/>
      <c r="BQ14947" s="197"/>
    </row>
    <row r="14948" spans="66:69" x14ac:dyDescent="0.2">
      <c r="BN14948" s="192"/>
      <c r="BO14948" s="197"/>
      <c r="BP14948" s="197"/>
      <c r="BQ14948" s="197"/>
    </row>
    <row r="14949" spans="66:69" x14ac:dyDescent="0.2">
      <c r="BN14949" s="192"/>
      <c r="BO14949" s="197"/>
      <c r="BP14949" s="197"/>
      <c r="BQ14949" s="197"/>
    </row>
    <row r="14950" spans="66:69" x14ac:dyDescent="0.2">
      <c r="BN14950" s="192"/>
      <c r="BO14950" s="197"/>
      <c r="BP14950" s="197"/>
      <c r="BQ14950" s="197"/>
    </row>
    <row r="14951" spans="66:69" x14ac:dyDescent="0.2">
      <c r="BN14951" s="192"/>
      <c r="BO14951" s="197"/>
      <c r="BP14951" s="197"/>
      <c r="BQ14951" s="197"/>
    </row>
    <row r="14952" spans="66:69" x14ac:dyDescent="0.2">
      <c r="BN14952" s="192"/>
      <c r="BO14952" s="197"/>
      <c r="BP14952" s="197"/>
      <c r="BQ14952" s="197"/>
    </row>
    <row r="14953" spans="66:69" x14ac:dyDescent="0.2">
      <c r="BN14953" s="192"/>
      <c r="BO14953" s="197"/>
      <c r="BP14953" s="197"/>
      <c r="BQ14953" s="197"/>
    </row>
    <row r="14954" spans="66:69" x14ac:dyDescent="0.2">
      <c r="BN14954" s="192"/>
      <c r="BO14954" s="197"/>
      <c r="BP14954" s="197"/>
      <c r="BQ14954" s="197"/>
    </row>
    <row r="14955" spans="66:69" x14ac:dyDescent="0.2">
      <c r="BN14955" s="192"/>
      <c r="BO14955" s="197"/>
      <c r="BP14955" s="197"/>
      <c r="BQ14955" s="197"/>
    </row>
    <row r="14956" spans="66:69" x14ac:dyDescent="0.2">
      <c r="BN14956" s="192"/>
      <c r="BO14956" s="197"/>
      <c r="BP14956" s="197"/>
      <c r="BQ14956" s="197"/>
    </row>
    <row r="14957" spans="66:69" x14ac:dyDescent="0.2">
      <c r="BN14957" s="192"/>
      <c r="BO14957" s="197"/>
      <c r="BP14957" s="197"/>
      <c r="BQ14957" s="197"/>
    </row>
    <row r="14958" spans="66:69" x14ac:dyDescent="0.2">
      <c r="BN14958" s="192"/>
      <c r="BO14958" s="197"/>
      <c r="BP14958" s="197"/>
      <c r="BQ14958" s="197"/>
    </row>
    <row r="14959" spans="66:69" x14ac:dyDescent="0.2">
      <c r="BN14959" s="192"/>
      <c r="BO14959" s="197"/>
      <c r="BP14959" s="197"/>
      <c r="BQ14959" s="197"/>
    </row>
    <row r="14960" spans="66:69" x14ac:dyDescent="0.2">
      <c r="BN14960" s="192"/>
      <c r="BO14960" s="197"/>
      <c r="BP14960" s="197"/>
      <c r="BQ14960" s="197"/>
    </row>
    <row r="14961" spans="66:69" x14ac:dyDescent="0.2">
      <c r="BN14961" s="192"/>
      <c r="BO14961" s="197"/>
      <c r="BP14961" s="197"/>
      <c r="BQ14961" s="197"/>
    </row>
    <row r="14962" spans="66:69" x14ac:dyDescent="0.2">
      <c r="BN14962" s="192"/>
      <c r="BO14962" s="197"/>
      <c r="BP14962" s="197"/>
      <c r="BQ14962" s="197"/>
    </row>
    <row r="14963" spans="66:69" x14ac:dyDescent="0.2">
      <c r="BN14963" s="192"/>
      <c r="BO14963" s="197"/>
      <c r="BP14963" s="197"/>
      <c r="BQ14963" s="197"/>
    </row>
    <row r="14964" spans="66:69" x14ac:dyDescent="0.2">
      <c r="BN14964" s="192"/>
      <c r="BO14964" s="197"/>
      <c r="BP14964" s="197"/>
      <c r="BQ14964" s="197"/>
    </row>
    <row r="14965" spans="66:69" x14ac:dyDescent="0.2">
      <c r="BN14965" s="192"/>
      <c r="BO14965" s="197"/>
      <c r="BP14965" s="197"/>
      <c r="BQ14965" s="197"/>
    </row>
    <row r="14966" spans="66:69" x14ac:dyDescent="0.2">
      <c r="BN14966" s="192"/>
      <c r="BO14966" s="197"/>
      <c r="BP14966" s="197"/>
      <c r="BQ14966" s="197"/>
    </row>
    <row r="14967" spans="66:69" x14ac:dyDescent="0.2">
      <c r="BN14967" s="192"/>
      <c r="BO14967" s="197"/>
      <c r="BP14967" s="197"/>
      <c r="BQ14967" s="197"/>
    </row>
    <row r="14968" spans="66:69" x14ac:dyDescent="0.2">
      <c r="BN14968" s="192"/>
      <c r="BO14968" s="197"/>
      <c r="BP14968" s="197"/>
      <c r="BQ14968" s="197"/>
    </row>
    <row r="14969" spans="66:69" x14ac:dyDescent="0.2">
      <c r="BN14969" s="192"/>
      <c r="BO14969" s="197"/>
      <c r="BP14969" s="197"/>
      <c r="BQ14969" s="197"/>
    </row>
    <row r="14970" spans="66:69" x14ac:dyDescent="0.2">
      <c r="BN14970" s="192"/>
      <c r="BO14970" s="197"/>
      <c r="BP14970" s="197"/>
      <c r="BQ14970" s="197"/>
    </row>
    <row r="14971" spans="66:69" x14ac:dyDescent="0.2">
      <c r="BN14971" s="192"/>
      <c r="BO14971" s="197"/>
      <c r="BP14971" s="197"/>
      <c r="BQ14971" s="197"/>
    </row>
    <row r="14972" spans="66:69" x14ac:dyDescent="0.2">
      <c r="BN14972" s="192"/>
      <c r="BO14972" s="197"/>
      <c r="BP14972" s="197"/>
      <c r="BQ14972" s="197"/>
    </row>
    <row r="14973" spans="66:69" x14ac:dyDescent="0.2">
      <c r="BN14973" s="192"/>
      <c r="BO14973" s="197"/>
      <c r="BP14973" s="197"/>
      <c r="BQ14973" s="197"/>
    </row>
    <row r="14974" spans="66:69" x14ac:dyDescent="0.2">
      <c r="BN14974" s="192"/>
      <c r="BO14974" s="197"/>
      <c r="BP14974" s="197"/>
      <c r="BQ14974" s="197"/>
    </row>
    <row r="14975" spans="66:69" x14ac:dyDescent="0.2">
      <c r="BN14975" s="192"/>
      <c r="BO14975" s="197"/>
      <c r="BP14975" s="197"/>
      <c r="BQ14975" s="197"/>
    </row>
    <row r="14976" spans="66:69" x14ac:dyDescent="0.2">
      <c r="BN14976" s="192"/>
      <c r="BO14976" s="197"/>
      <c r="BP14976" s="197"/>
      <c r="BQ14976" s="197"/>
    </row>
    <row r="14977" spans="66:69" x14ac:dyDescent="0.2">
      <c r="BN14977" s="192"/>
      <c r="BO14977" s="197"/>
      <c r="BP14977" s="197"/>
      <c r="BQ14977" s="197"/>
    </row>
    <row r="14978" spans="66:69" x14ac:dyDescent="0.2">
      <c r="BN14978" s="192"/>
      <c r="BO14978" s="197"/>
      <c r="BP14978" s="197"/>
      <c r="BQ14978" s="197"/>
    </row>
    <row r="14979" spans="66:69" x14ac:dyDescent="0.2">
      <c r="BN14979" s="192"/>
      <c r="BO14979" s="197"/>
      <c r="BP14979" s="197"/>
      <c r="BQ14979" s="197"/>
    </row>
    <row r="14980" spans="66:69" x14ac:dyDescent="0.2">
      <c r="BN14980" s="192"/>
      <c r="BO14980" s="197"/>
      <c r="BP14980" s="197"/>
      <c r="BQ14980" s="197"/>
    </row>
    <row r="14981" spans="66:69" x14ac:dyDescent="0.2">
      <c r="BN14981" s="192"/>
      <c r="BO14981" s="197"/>
      <c r="BP14981" s="197"/>
      <c r="BQ14981" s="197"/>
    </row>
    <row r="14982" spans="66:69" x14ac:dyDescent="0.2">
      <c r="BN14982" s="192"/>
      <c r="BO14982" s="197"/>
      <c r="BP14982" s="197"/>
      <c r="BQ14982" s="197"/>
    </row>
    <row r="14983" spans="66:69" x14ac:dyDescent="0.2">
      <c r="BN14983" s="192"/>
      <c r="BO14983" s="197"/>
      <c r="BP14983" s="197"/>
      <c r="BQ14983" s="197"/>
    </row>
    <row r="14984" spans="66:69" x14ac:dyDescent="0.2">
      <c r="BN14984" s="192"/>
      <c r="BO14984" s="197"/>
      <c r="BP14984" s="197"/>
      <c r="BQ14984" s="197"/>
    </row>
    <row r="14985" spans="66:69" x14ac:dyDescent="0.2">
      <c r="BN14985" s="192"/>
      <c r="BO14985" s="197"/>
      <c r="BP14985" s="197"/>
      <c r="BQ14985" s="197"/>
    </row>
    <row r="14986" spans="66:69" x14ac:dyDescent="0.2">
      <c r="BN14986" s="192"/>
      <c r="BO14986" s="197"/>
      <c r="BP14986" s="197"/>
      <c r="BQ14986" s="197"/>
    </row>
    <row r="14987" spans="66:69" x14ac:dyDescent="0.2">
      <c r="BN14987" s="192"/>
      <c r="BO14987" s="197"/>
      <c r="BP14987" s="197"/>
      <c r="BQ14987" s="197"/>
    </row>
    <row r="14988" spans="66:69" x14ac:dyDescent="0.2">
      <c r="BN14988" s="192"/>
      <c r="BO14988" s="197"/>
      <c r="BP14988" s="197"/>
      <c r="BQ14988" s="197"/>
    </row>
    <row r="14989" spans="66:69" x14ac:dyDescent="0.2">
      <c r="BN14989" s="192"/>
      <c r="BO14989" s="197"/>
      <c r="BP14989" s="197"/>
      <c r="BQ14989" s="197"/>
    </row>
    <row r="14990" spans="66:69" x14ac:dyDescent="0.2">
      <c r="BN14990" s="192"/>
      <c r="BO14990" s="197"/>
      <c r="BP14990" s="197"/>
      <c r="BQ14990" s="197"/>
    </row>
    <row r="14991" spans="66:69" x14ac:dyDescent="0.2">
      <c r="BN14991" s="192"/>
      <c r="BO14991" s="197"/>
      <c r="BP14991" s="197"/>
      <c r="BQ14991" s="197"/>
    </row>
    <row r="14992" spans="66:69" x14ac:dyDescent="0.2">
      <c r="BN14992" s="192"/>
      <c r="BO14992" s="197"/>
      <c r="BP14992" s="197"/>
      <c r="BQ14992" s="197"/>
    </row>
    <row r="14993" spans="66:69" x14ac:dyDescent="0.2">
      <c r="BN14993" s="192"/>
      <c r="BO14993" s="197"/>
      <c r="BP14993" s="197"/>
      <c r="BQ14993" s="197"/>
    </row>
    <row r="14994" spans="66:69" x14ac:dyDescent="0.2">
      <c r="BN14994" s="192"/>
      <c r="BO14994" s="197"/>
      <c r="BP14994" s="197"/>
      <c r="BQ14994" s="197"/>
    </row>
    <row r="14995" spans="66:69" x14ac:dyDescent="0.2">
      <c r="BN14995" s="192"/>
      <c r="BO14995" s="197"/>
      <c r="BP14995" s="197"/>
      <c r="BQ14995" s="197"/>
    </row>
    <row r="14996" spans="66:69" x14ac:dyDescent="0.2">
      <c r="BN14996" s="192"/>
      <c r="BO14996" s="197"/>
      <c r="BP14996" s="197"/>
      <c r="BQ14996" s="197"/>
    </row>
    <row r="14997" spans="66:69" x14ac:dyDescent="0.2">
      <c r="BN14997" s="192"/>
      <c r="BO14997" s="197"/>
      <c r="BP14997" s="197"/>
      <c r="BQ14997" s="197"/>
    </row>
    <row r="14998" spans="66:69" x14ac:dyDescent="0.2">
      <c r="BN14998" s="192"/>
      <c r="BO14998" s="197"/>
      <c r="BP14998" s="197"/>
      <c r="BQ14998" s="197"/>
    </row>
    <row r="14999" spans="66:69" x14ac:dyDescent="0.2">
      <c r="BN14999" s="192"/>
      <c r="BO14999" s="197"/>
      <c r="BP14999" s="197"/>
      <c r="BQ14999" s="197"/>
    </row>
    <row r="15000" spans="66:69" x14ac:dyDescent="0.2">
      <c r="BN15000" s="192"/>
      <c r="BO15000" s="197"/>
      <c r="BP15000" s="197"/>
      <c r="BQ15000" s="197"/>
    </row>
    <row r="15001" spans="66:69" x14ac:dyDescent="0.2">
      <c r="BN15001" s="192"/>
      <c r="BO15001" s="197"/>
      <c r="BP15001" s="197"/>
      <c r="BQ15001" s="197"/>
    </row>
    <row r="15002" spans="66:69" x14ac:dyDescent="0.2">
      <c r="BN15002" s="192"/>
      <c r="BO15002" s="197"/>
      <c r="BP15002" s="197"/>
      <c r="BQ15002" s="197"/>
    </row>
    <row r="15003" spans="66:69" x14ac:dyDescent="0.2">
      <c r="BN15003" s="192"/>
      <c r="BO15003" s="197"/>
      <c r="BP15003" s="197"/>
      <c r="BQ15003" s="197"/>
    </row>
    <row r="15004" spans="66:69" x14ac:dyDescent="0.2">
      <c r="BN15004" s="192"/>
      <c r="BO15004" s="197"/>
      <c r="BP15004" s="197"/>
      <c r="BQ15004" s="197"/>
    </row>
    <row r="15005" spans="66:69" x14ac:dyDescent="0.2">
      <c r="BN15005" s="192"/>
      <c r="BO15005" s="197"/>
      <c r="BP15005" s="197"/>
      <c r="BQ15005" s="197"/>
    </row>
    <row r="15006" spans="66:69" x14ac:dyDescent="0.2">
      <c r="BN15006" s="192"/>
      <c r="BO15006" s="197"/>
      <c r="BP15006" s="197"/>
      <c r="BQ15006" s="197"/>
    </row>
    <row r="15007" spans="66:69" x14ac:dyDescent="0.2">
      <c r="BN15007" s="192"/>
      <c r="BO15007" s="197"/>
      <c r="BP15007" s="197"/>
      <c r="BQ15007" s="197"/>
    </row>
    <row r="15008" spans="66:69" x14ac:dyDescent="0.2">
      <c r="BN15008" s="192"/>
      <c r="BO15008" s="197"/>
      <c r="BP15008" s="197"/>
      <c r="BQ15008" s="197"/>
    </row>
    <row r="15009" spans="66:69" x14ac:dyDescent="0.2">
      <c r="BN15009" s="192"/>
      <c r="BO15009" s="197"/>
      <c r="BP15009" s="197"/>
      <c r="BQ15009" s="197"/>
    </row>
    <row r="15010" spans="66:69" x14ac:dyDescent="0.2">
      <c r="BN15010" s="192"/>
      <c r="BO15010" s="197"/>
      <c r="BP15010" s="197"/>
      <c r="BQ15010" s="197"/>
    </row>
    <row r="15011" spans="66:69" x14ac:dyDescent="0.2">
      <c r="BN15011" s="192"/>
      <c r="BO15011" s="197"/>
      <c r="BP15011" s="197"/>
      <c r="BQ15011" s="197"/>
    </row>
    <row r="15012" spans="66:69" x14ac:dyDescent="0.2">
      <c r="BN15012" s="192"/>
      <c r="BO15012" s="197"/>
      <c r="BP15012" s="197"/>
      <c r="BQ15012" s="197"/>
    </row>
    <row r="15013" spans="66:69" x14ac:dyDescent="0.2">
      <c r="BN15013" s="192"/>
      <c r="BO15013" s="197"/>
      <c r="BP15013" s="197"/>
      <c r="BQ15013" s="197"/>
    </row>
    <row r="15014" spans="66:69" x14ac:dyDescent="0.2">
      <c r="BN15014" s="192"/>
      <c r="BO15014" s="197"/>
      <c r="BP15014" s="197"/>
      <c r="BQ15014" s="197"/>
    </row>
    <row r="15015" spans="66:69" x14ac:dyDescent="0.2">
      <c r="BN15015" s="192"/>
      <c r="BO15015" s="197"/>
      <c r="BP15015" s="197"/>
      <c r="BQ15015" s="197"/>
    </row>
    <row r="15016" spans="66:69" x14ac:dyDescent="0.2">
      <c r="BN15016" s="192"/>
      <c r="BO15016" s="197"/>
      <c r="BP15016" s="197"/>
      <c r="BQ15016" s="197"/>
    </row>
    <row r="15017" spans="66:69" x14ac:dyDescent="0.2">
      <c r="BN15017" s="192"/>
      <c r="BO15017" s="197"/>
      <c r="BP15017" s="197"/>
      <c r="BQ15017" s="197"/>
    </row>
    <row r="15018" spans="66:69" x14ac:dyDescent="0.2">
      <c r="BN15018" s="192"/>
      <c r="BO15018" s="197"/>
      <c r="BP15018" s="197"/>
      <c r="BQ15018" s="197"/>
    </row>
    <row r="15019" spans="66:69" x14ac:dyDescent="0.2">
      <c r="BN15019" s="192"/>
      <c r="BO15019" s="197"/>
      <c r="BP15019" s="197"/>
      <c r="BQ15019" s="197"/>
    </row>
    <row r="15020" spans="66:69" x14ac:dyDescent="0.2">
      <c r="BN15020" s="192"/>
      <c r="BO15020" s="197"/>
      <c r="BP15020" s="197"/>
      <c r="BQ15020" s="197"/>
    </row>
    <row r="15021" spans="66:69" x14ac:dyDescent="0.2">
      <c r="BN15021" s="192"/>
      <c r="BO15021" s="197"/>
      <c r="BP15021" s="197"/>
      <c r="BQ15021" s="197"/>
    </row>
    <row r="15022" spans="66:69" x14ac:dyDescent="0.2">
      <c r="BN15022" s="192"/>
      <c r="BO15022" s="197"/>
      <c r="BP15022" s="197"/>
      <c r="BQ15022" s="197"/>
    </row>
    <row r="15023" spans="66:69" x14ac:dyDescent="0.2">
      <c r="BN15023" s="192"/>
      <c r="BO15023" s="197"/>
      <c r="BP15023" s="197"/>
      <c r="BQ15023" s="197"/>
    </row>
    <row r="15024" spans="66:69" x14ac:dyDescent="0.2">
      <c r="BN15024" s="192"/>
      <c r="BO15024" s="197"/>
      <c r="BP15024" s="197"/>
      <c r="BQ15024" s="197"/>
    </row>
    <row r="15025" spans="66:69" x14ac:dyDescent="0.2">
      <c r="BN15025" s="192"/>
      <c r="BO15025" s="197"/>
      <c r="BP15025" s="197"/>
      <c r="BQ15025" s="197"/>
    </row>
    <row r="15026" spans="66:69" x14ac:dyDescent="0.2">
      <c r="BN15026" s="192"/>
      <c r="BO15026" s="197"/>
      <c r="BP15026" s="197"/>
      <c r="BQ15026" s="197"/>
    </row>
    <row r="15027" spans="66:69" x14ac:dyDescent="0.2">
      <c r="BN15027" s="192"/>
      <c r="BO15027" s="197"/>
      <c r="BP15027" s="197"/>
      <c r="BQ15027" s="197"/>
    </row>
    <row r="15028" spans="66:69" x14ac:dyDescent="0.2">
      <c r="BN15028" s="192"/>
      <c r="BO15028" s="197"/>
      <c r="BP15028" s="197"/>
      <c r="BQ15028" s="197"/>
    </row>
    <row r="15029" spans="66:69" x14ac:dyDescent="0.2">
      <c r="BN15029" s="192"/>
      <c r="BO15029" s="197"/>
      <c r="BP15029" s="197"/>
      <c r="BQ15029" s="197"/>
    </row>
    <row r="15030" spans="66:69" x14ac:dyDescent="0.2">
      <c r="BN15030" s="192"/>
      <c r="BO15030" s="197"/>
      <c r="BP15030" s="197"/>
      <c r="BQ15030" s="197"/>
    </row>
    <row r="15031" spans="66:69" x14ac:dyDescent="0.2">
      <c r="BN15031" s="192"/>
      <c r="BO15031" s="197"/>
      <c r="BP15031" s="197"/>
      <c r="BQ15031" s="197"/>
    </row>
    <row r="15032" spans="66:69" x14ac:dyDescent="0.2">
      <c r="BN15032" s="192"/>
      <c r="BO15032" s="197"/>
      <c r="BP15032" s="197"/>
      <c r="BQ15032" s="197"/>
    </row>
    <row r="15033" spans="66:69" x14ac:dyDescent="0.2">
      <c r="BN15033" s="192"/>
      <c r="BO15033" s="197"/>
      <c r="BP15033" s="197"/>
      <c r="BQ15033" s="197"/>
    </row>
    <row r="15034" spans="66:69" x14ac:dyDescent="0.2">
      <c r="BN15034" s="192"/>
      <c r="BO15034" s="197"/>
      <c r="BP15034" s="197"/>
      <c r="BQ15034" s="197"/>
    </row>
    <row r="15035" spans="66:69" x14ac:dyDescent="0.2">
      <c r="BN15035" s="192"/>
      <c r="BO15035" s="197"/>
      <c r="BP15035" s="197"/>
      <c r="BQ15035" s="197"/>
    </row>
    <row r="15036" spans="66:69" x14ac:dyDescent="0.2">
      <c r="BN15036" s="192"/>
      <c r="BO15036" s="197"/>
      <c r="BP15036" s="197"/>
      <c r="BQ15036" s="197"/>
    </row>
    <row r="15037" spans="66:69" x14ac:dyDescent="0.2">
      <c r="BN15037" s="192"/>
      <c r="BO15037" s="197"/>
      <c r="BP15037" s="197"/>
      <c r="BQ15037" s="197"/>
    </row>
    <row r="15038" spans="66:69" x14ac:dyDescent="0.2">
      <c r="BN15038" s="192"/>
      <c r="BO15038" s="197"/>
      <c r="BP15038" s="197"/>
      <c r="BQ15038" s="197"/>
    </row>
    <row r="15039" spans="66:69" x14ac:dyDescent="0.2">
      <c r="BN15039" s="192"/>
      <c r="BO15039" s="197"/>
      <c r="BP15039" s="197"/>
      <c r="BQ15039" s="197"/>
    </row>
    <row r="15040" spans="66:69" x14ac:dyDescent="0.2">
      <c r="BN15040" s="192"/>
      <c r="BO15040" s="197"/>
      <c r="BP15040" s="197"/>
      <c r="BQ15040" s="197"/>
    </row>
    <row r="15041" spans="66:69" x14ac:dyDescent="0.2">
      <c r="BN15041" s="192"/>
      <c r="BO15041" s="197"/>
      <c r="BP15041" s="197"/>
      <c r="BQ15041" s="197"/>
    </row>
    <row r="15042" spans="66:69" x14ac:dyDescent="0.2">
      <c r="BN15042" s="192"/>
      <c r="BO15042" s="197"/>
      <c r="BP15042" s="197"/>
      <c r="BQ15042" s="197"/>
    </row>
    <row r="15043" spans="66:69" x14ac:dyDescent="0.2">
      <c r="BN15043" s="192"/>
      <c r="BO15043" s="197"/>
      <c r="BP15043" s="197"/>
      <c r="BQ15043" s="197"/>
    </row>
    <row r="15044" spans="66:69" x14ac:dyDescent="0.2">
      <c r="BN15044" s="192"/>
      <c r="BO15044" s="197"/>
      <c r="BP15044" s="197"/>
      <c r="BQ15044" s="197"/>
    </row>
    <row r="15045" spans="66:69" x14ac:dyDescent="0.2">
      <c r="BN15045" s="192"/>
      <c r="BO15045" s="197"/>
      <c r="BP15045" s="197"/>
      <c r="BQ15045" s="197"/>
    </row>
    <row r="15046" spans="66:69" x14ac:dyDescent="0.2">
      <c r="BN15046" s="192"/>
      <c r="BO15046" s="197"/>
      <c r="BP15046" s="197"/>
      <c r="BQ15046" s="197"/>
    </row>
    <row r="15047" spans="66:69" x14ac:dyDescent="0.2">
      <c r="BN15047" s="192"/>
      <c r="BO15047" s="197"/>
      <c r="BP15047" s="197"/>
      <c r="BQ15047" s="197"/>
    </row>
    <row r="15048" spans="66:69" x14ac:dyDescent="0.2">
      <c r="BN15048" s="192"/>
      <c r="BO15048" s="197"/>
      <c r="BP15048" s="197"/>
      <c r="BQ15048" s="197"/>
    </row>
    <row r="15049" spans="66:69" x14ac:dyDescent="0.2">
      <c r="BN15049" s="192"/>
      <c r="BO15049" s="197"/>
      <c r="BP15049" s="197"/>
      <c r="BQ15049" s="197"/>
    </row>
    <row r="15050" spans="66:69" x14ac:dyDescent="0.2">
      <c r="BN15050" s="192"/>
      <c r="BO15050" s="197"/>
      <c r="BP15050" s="197"/>
      <c r="BQ15050" s="197"/>
    </row>
    <row r="15051" spans="66:69" x14ac:dyDescent="0.2">
      <c r="BN15051" s="192"/>
      <c r="BO15051" s="197"/>
      <c r="BP15051" s="197"/>
      <c r="BQ15051" s="197"/>
    </row>
    <row r="15052" spans="66:69" x14ac:dyDescent="0.2">
      <c r="BN15052" s="192"/>
      <c r="BO15052" s="197"/>
      <c r="BP15052" s="197"/>
      <c r="BQ15052" s="197"/>
    </row>
    <row r="15053" spans="66:69" x14ac:dyDescent="0.2">
      <c r="BN15053" s="192"/>
      <c r="BO15053" s="197"/>
      <c r="BP15053" s="197"/>
      <c r="BQ15053" s="197"/>
    </row>
    <row r="15054" spans="66:69" x14ac:dyDescent="0.2">
      <c r="BN15054" s="192"/>
      <c r="BO15054" s="197"/>
      <c r="BP15054" s="197"/>
      <c r="BQ15054" s="197"/>
    </row>
    <row r="15055" spans="66:69" x14ac:dyDescent="0.2">
      <c r="BN15055" s="192"/>
      <c r="BO15055" s="197"/>
      <c r="BP15055" s="197"/>
      <c r="BQ15055" s="197"/>
    </row>
    <row r="15056" spans="66:69" x14ac:dyDescent="0.2">
      <c r="BN15056" s="192"/>
      <c r="BO15056" s="197"/>
      <c r="BP15056" s="197"/>
      <c r="BQ15056" s="197"/>
    </row>
    <row r="15057" spans="66:69" x14ac:dyDescent="0.2">
      <c r="BN15057" s="192"/>
      <c r="BO15057" s="197"/>
      <c r="BP15057" s="197"/>
      <c r="BQ15057" s="197"/>
    </row>
    <row r="15058" spans="66:69" x14ac:dyDescent="0.2">
      <c r="BN15058" s="192"/>
      <c r="BO15058" s="197"/>
      <c r="BP15058" s="197"/>
      <c r="BQ15058" s="197"/>
    </row>
    <row r="15059" spans="66:69" x14ac:dyDescent="0.2">
      <c r="BN15059" s="192"/>
      <c r="BO15059" s="197"/>
      <c r="BP15059" s="197"/>
      <c r="BQ15059" s="197"/>
    </row>
    <row r="15060" spans="66:69" x14ac:dyDescent="0.2">
      <c r="BN15060" s="192"/>
      <c r="BO15060" s="197"/>
      <c r="BP15060" s="197"/>
      <c r="BQ15060" s="197"/>
    </row>
    <row r="15061" spans="66:69" x14ac:dyDescent="0.2">
      <c r="BN15061" s="192"/>
      <c r="BO15061" s="197"/>
      <c r="BP15061" s="197"/>
      <c r="BQ15061" s="197"/>
    </row>
    <row r="15062" spans="66:69" x14ac:dyDescent="0.2">
      <c r="BN15062" s="192"/>
      <c r="BO15062" s="197"/>
      <c r="BP15062" s="197"/>
      <c r="BQ15062" s="197"/>
    </row>
    <row r="15063" spans="66:69" x14ac:dyDescent="0.2">
      <c r="BN15063" s="192"/>
      <c r="BO15063" s="197"/>
      <c r="BP15063" s="197"/>
      <c r="BQ15063" s="197"/>
    </row>
    <row r="15064" spans="66:69" x14ac:dyDescent="0.2">
      <c r="BN15064" s="192"/>
      <c r="BO15064" s="197"/>
      <c r="BP15064" s="197"/>
      <c r="BQ15064" s="197"/>
    </row>
    <row r="15065" spans="66:69" x14ac:dyDescent="0.2">
      <c r="BN15065" s="192"/>
      <c r="BO15065" s="197"/>
      <c r="BP15065" s="197"/>
      <c r="BQ15065" s="197"/>
    </row>
    <row r="15066" spans="66:69" x14ac:dyDescent="0.2">
      <c r="BN15066" s="192"/>
      <c r="BO15066" s="197"/>
      <c r="BP15066" s="197"/>
      <c r="BQ15066" s="197"/>
    </row>
    <row r="15067" spans="66:69" x14ac:dyDescent="0.2">
      <c r="BN15067" s="192"/>
      <c r="BO15067" s="197"/>
      <c r="BP15067" s="197"/>
      <c r="BQ15067" s="197"/>
    </row>
    <row r="15068" spans="66:69" x14ac:dyDescent="0.2">
      <c r="BN15068" s="192"/>
      <c r="BO15068" s="197"/>
      <c r="BP15068" s="197"/>
      <c r="BQ15068" s="197"/>
    </row>
    <row r="15069" spans="66:69" x14ac:dyDescent="0.2">
      <c r="BN15069" s="192"/>
      <c r="BO15069" s="197"/>
      <c r="BP15069" s="197"/>
      <c r="BQ15069" s="197"/>
    </row>
    <row r="15070" spans="66:69" x14ac:dyDescent="0.2">
      <c r="BN15070" s="192"/>
      <c r="BO15070" s="197"/>
      <c r="BP15070" s="197"/>
      <c r="BQ15070" s="197"/>
    </row>
    <row r="15071" spans="66:69" x14ac:dyDescent="0.2">
      <c r="BN15071" s="192"/>
      <c r="BO15071" s="197"/>
      <c r="BP15071" s="197"/>
      <c r="BQ15071" s="197"/>
    </row>
    <row r="15072" spans="66:69" x14ac:dyDescent="0.2">
      <c r="BN15072" s="192"/>
      <c r="BO15072" s="197"/>
      <c r="BP15072" s="197"/>
      <c r="BQ15072" s="197"/>
    </row>
    <row r="15073" spans="66:69" x14ac:dyDescent="0.2">
      <c r="BN15073" s="192"/>
      <c r="BO15073" s="197"/>
      <c r="BP15073" s="197"/>
      <c r="BQ15073" s="197"/>
    </row>
    <row r="15074" spans="66:69" x14ac:dyDescent="0.2">
      <c r="BN15074" s="192"/>
      <c r="BO15074" s="197"/>
      <c r="BP15074" s="197"/>
      <c r="BQ15074" s="197"/>
    </row>
    <row r="15075" spans="66:69" x14ac:dyDescent="0.2">
      <c r="BN15075" s="192"/>
      <c r="BO15075" s="197"/>
      <c r="BP15075" s="197"/>
      <c r="BQ15075" s="197"/>
    </row>
    <row r="15076" spans="66:69" x14ac:dyDescent="0.2">
      <c r="BN15076" s="192"/>
      <c r="BO15076" s="197"/>
      <c r="BP15076" s="197"/>
      <c r="BQ15076" s="197"/>
    </row>
    <row r="15077" spans="66:69" x14ac:dyDescent="0.2">
      <c r="BN15077" s="192"/>
      <c r="BO15077" s="197"/>
      <c r="BP15077" s="197"/>
      <c r="BQ15077" s="197"/>
    </row>
    <row r="15078" spans="66:69" x14ac:dyDescent="0.2">
      <c r="BN15078" s="192"/>
      <c r="BO15078" s="197"/>
      <c r="BP15078" s="197"/>
      <c r="BQ15078" s="197"/>
    </row>
    <row r="15079" spans="66:69" x14ac:dyDescent="0.2">
      <c r="BN15079" s="192"/>
      <c r="BO15079" s="197"/>
      <c r="BP15079" s="197"/>
      <c r="BQ15079" s="197"/>
    </row>
    <row r="15080" spans="66:69" x14ac:dyDescent="0.2">
      <c r="BN15080" s="192"/>
      <c r="BO15080" s="197"/>
      <c r="BP15080" s="197"/>
      <c r="BQ15080" s="197"/>
    </row>
    <row r="15081" spans="66:69" x14ac:dyDescent="0.2">
      <c r="BN15081" s="192"/>
      <c r="BO15081" s="197"/>
      <c r="BP15081" s="197"/>
      <c r="BQ15081" s="197"/>
    </row>
    <row r="15082" spans="66:69" x14ac:dyDescent="0.2">
      <c r="BN15082" s="192"/>
      <c r="BO15082" s="197"/>
      <c r="BP15082" s="197"/>
      <c r="BQ15082" s="197"/>
    </row>
    <row r="15083" spans="66:69" x14ac:dyDescent="0.2">
      <c r="BN15083" s="192"/>
      <c r="BO15083" s="197"/>
      <c r="BP15083" s="197"/>
      <c r="BQ15083" s="197"/>
    </row>
    <row r="15084" spans="66:69" x14ac:dyDescent="0.2">
      <c r="BN15084" s="192"/>
      <c r="BO15084" s="197"/>
      <c r="BP15084" s="197"/>
      <c r="BQ15084" s="197"/>
    </row>
    <row r="15085" spans="66:69" x14ac:dyDescent="0.2">
      <c r="BN15085" s="192"/>
      <c r="BO15085" s="197"/>
      <c r="BP15085" s="197"/>
      <c r="BQ15085" s="197"/>
    </row>
    <row r="15086" spans="66:69" x14ac:dyDescent="0.2">
      <c r="BN15086" s="192"/>
      <c r="BO15086" s="197"/>
      <c r="BP15086" s="197"/>
      <c r="BQ15086" s="197"/>
    </row>
    <row r="15087" spans="66:69" x14ac:dyDescent="0.2">
      <c r="BN15087" s="192"/>
      <c r="BO15087" s="197"/>
      <c r="BP15087" s="197"/>
      <c r="BQ15087" s="197"/>
    </row>
    <row r="15088" spans="66:69" x14ac:dyDescent="0.2">
      <c r="BN15088" s="192"/>
      <c r="BO15088" s="197"/>
      <c r="BP15088" s="197"/>
      <c r="BQ15088" s="197"/>
    </row>
    <row r="15089" spans="66:69" x14ac:dyDescent="0.2">
      <c r="BN15089" s="192"/>
      <c r="BO15089" s="197"/>
      <c r="BP15089" s="197"/>
      <c r="BQ15089" s="197"/>
    </row>
    <row r="15090" spans="66:69" x14ac:dyDescent="0.2">
      <c r="BN15090" s="192"/>
      <c r="BO15090" s="197"/>
      <c r="BP15090" s="197"/>
      <c r="BQ15090" s="197"/>
    </row>
    <row r="15091" spans="66:69" x14ac:dyDescent="0.2">
      <c r="BN15091" s="192"/>
      <c r="BO15091" s="197"/>
      <c r="BP15091" s="197"/>
      <c r="BQ15091" s="197"/>
    </row>
    <row r="15092" spans="66:69" x14ac:dyDescent="0.2">
      <c r="BN15092" s="192"/>
      <c r="BO15092" s="197"/>
      <c r="BP15092" s="197"/>
      <c r="BQ15092" s="197"/>
    </row>
    <row r="15093" spans="66:69" x14ac:dyDescent="0.2">
      <c r="BN15093" s="192"/>
      <c r="BO15093" s="197"/>
      <c r="BP15093" s="197"/>
      <c r="BQ15093" s="197"/>
    </row>
    <row r="15094" spans="66:69" x14ac:dyDescent="0.2">
      <c r="BN15094" s="192"/>
      <c r="BO15094" s="197"/>
      <c r="BP15094" s="197"/>
      <c r="BQ15094" s="197"/>
    </row>
    <row r="15095" spans="66:69" x14ac:dyDescent="0.2">
      <c r="BN15095" s="192"/>
      <c r="BO15095" s="197"/>
      <c r="BP15095" s="197"/>
      <c r="BQ15095" s="197"/>
    </row>
    <row r="15096" spans="66:69" x14ac:dyDescent="0.2">
      <c r="BN15096" s="192"/>
      <c r="BO15096" s="197"/>
      <c r="BP15096" s="197"/>
      <c r="BQ15096" s="197"/>
    </row>
    <row r="15097" spans="66:69" x14ac:dyDescent="0.2">
      <c r="BN15097" s="192"/>
      <c r="BO15097" s="197"/>
      <c r="BP15097" s="197"/>
      <c r="BQ15097" s="197"/>
    </row>
    <row r="15098" spans="66:69" x14ac:dyDescent="0.2">
      <c r="BN15098" s="192"/>
      <c r="BO15098" s="197"/>
      <c r="BP15098" s="197"/>
      <c r="BQ15098" s="197"/>
    </row>
    <row r="15099" spans="66:69" x14ac:dyDescent="0.2">
      <c r="BN15099" s="192"/>
      <c r="BO15099" s="197"/>
      <c r="BP15099" s="197"/>
      <c r="BQ15099" s="197"/>
    </row>
    <row r="15100" spans="66:69" x14ac:dyDescent="0.2">
      <c r="BN15100" s="192"/>
      <c r="BO15100" s="197"/>
      <c r="BP15100" s="197"/>
      <c r="BQ15100" s="197"/>
    </row>
    <row r="15101" spans="66:69" x14ac:dyDescent="0.2">
      <c r="BN15101" s="192"/>
      <c r="BO15101" s="197"/>
      <c r="BP15101" s="197"/>
      <c r="BQ15101" s="197"/>
    </row>
    <row r="15102" spans="66:69" x14ac:dyDescent="0.2">
      <c r="BN15102" s="192"/>
      <c r="BO15102" s="197"/>
      <c r="BP15102" s="197"/>
      <c r="BQ15102" s="197"/>
    </row>
    <row r="15103" spans="66:69" x14ac:dyDescent="0.2">
      <c r="BN15103" s="192"/>
      <c r="BO15103" s="197"/>
      <c r="BP15103" s="197"/>
      <c r="BQ15103" s="197"/>
    </row>
    <row r="15104" spans="66:69" x14ac:dyDescent="0.2">
      <c r="BN15104" s="192"/>
      <c r="BO15104" s="197"/>
      <c r="BP15104" s="197"/>
      <c r="BQ15104" s="197"/>
    </row>
    <row r="15105" spans="66:69" x14ac:dyDescent="0.2">
      <c r="BN15105" s="192"/>
      <c r="BO15105" s="197"/>
      <c r="BP15105" s="197"/>
      <c r="BQ15105" s="197"/>
    </row>
    <row r="15106" spans="66:69" x14ac:dyDescent="0.2">
      <c r="BN15106" s="192"/>
      <c r="BO15106" s="197"/>
      <c r="BP15106" s="197"/>
      <c r="BQ15106" s="197"/>
    </row>
    <row r="15107" spans="66:69" x14ac:dyDescent="0.2">
      <c r="BN15107" s="192"/>
      <c r="BO15107" s="197"/>
      <c r="BP15107" s="197"/>
      <c r="BQ15107" s="197"/>
    </row>
    <row r="15108" spans="66:69" x14ac:dyDescent="0.2">
      <c r="BN15108" s="192"/>
      <c r="BO15108" s="197"/>
      <c r="BP15108" s="197"/>
      <c r="BQ15108" s="197"/>
    </row>
    <row r="15109" spans="66:69" x14ac:dyDescent="0.2">
      <c r="BN15109" s="192"/>
      <c r="BO15109" s="197"/>
      <c r="BP15109" s="197"/>
      <c r="BQ15109" s="197"/>
    </row>
    <row r="15110" spans="66:69" x14ac:dyDescent="0.2">
      <c r="BN15110" s="192"/>
      <c r="BO15110" s="197"/>
      <c r="BP15110" s="197"/>
      <c r="BQ15110" s="197"/>
    </row>
    <row r="15111" spans="66:69" x14ac:dyDescent="0.2">
      <c r="BN15111" s="192"/>
      <c r="BO15111" s="197"/>
      <c r="BP15111" s="197"/>
      <c r="BQ15111" s="197"/>
    </row>
    <row r="15112" spans="66:69" x14ac:dyDescent="0.2">
      <c r="BN15112" s="192"/>
      <c r="BO15112" s="197"/>
      <c r="BP15112" s="197"/>
      <c r="BQ15112" s="197"/>
    </row>
    <row r="15113" spans="66:69" x14ac:dyDescent="0.2">
      <c r="BN15113" s="192"/>
      <c r="BO15113" s="197"/>
      <c r="BP15113" s="197"/>
      <c r="BQ15113" s="197"/>
    </row>
    <row r="15114" spans="66:69" x14ac:dyDescent="0.2">
      <c r="BN15114" s="192"/>
      <c r="BO15114" s="197"/>
      <c r="BP15114" s="197"/>
      <c r="BQ15114" s="197"/>
    </row>
    <row r="15115" spans="66:69" x14ac:dyDescent="0.2">
      <c r="BN15115" s="192"/>
      <c r="BO15115" s="197"/>
      <c r="BP15115" s="197"/>
      <c r="BQ15115" s="197"/>
    </row>
    <row r="15116" spans="66:69" x14ac:dyDescent="0.2">
      <c r="BN15116" s="192"/>
      <c r="BO15116" s="197"/>
      <c r="BP15116" s="197"/>
      <c r="BQ15116" s="197"/>
    </row>
    <row r="15117" spans="66:69" x14ac:dyDescent="0.2">
      <c r="BN15117" s="192"/>
      <c r="BO15117" s="197"/>
      <c r="BP15117" s="197"/>
      <c r="BQ15117" s="197"/>
    </row>
    <row r="15118" spans="66:69" x14ac:dyDescent="0.2">
      <c r="BN15118" s="192"/>
      <c r="BO15118" s="197"/>
      <c r="BP15118" s="197"/>
      <c r="BQ15118" s="197"/>
    </row>
    <row r="15119" spans="66:69" x14ac:dyDescent="0.2">
      <c r="BN15119" s="192"/>
      <c r="BO15119" s="197"/>
      <c r="BP15119" s="197"/>
      <c r="BQ15119" s="197"/>
    </row>
    <row r="15120" spans="66:69" x14ac:dyDescent="0.2">
      <c r="BN15120" s="192"/>
      <c r="BO15120" s="197"/>
      <c r="BP15120" s="197"/>
      <c r="BQ15120" s="197"/>
    </row>
    <row r="15121" spans="66:69" x14ac:dyDescent="0.2">
      <c r="BN15121" s="192"/>
      <c r="BO15121" s="197"/>
      <c r="BP15121" s="197"/>
      <c r="BQ15121" s="197"/>
    </row>
    <row r="15122" spans="66:69" x14ac:dyDescent="0.2">
      <c r="BN15122" s="192"/>
      <c r="BO15122" s="197"/>
      <c r="BP15122" s="197"/>
      <c r="BQ15122" s="197"/>
    </row>
    <row r="15123" spans="66:69" x14ac:dyDescent="0.2">
      <c r="BN15123" s="192"/>
      <c r="BO15123" s="197"/>
      <c r="BP15123" s="197"/>
      <c r="BQ15123" s="197"/>
    </row>
    <row r="15124" spans="66:69" x14ac:dyDescent="0.2">
      <c r="BN15124" s="192"/>
      <c r="BO15124" s="197"/>
      <c r="BP15124" s="197"/>
      <c r="BQ15124" s="197"/>
    </row>
    <row r="15125" spans="66:69" x14ac:dyDescent="0.2">
      <c r="BN15125" s="192"/>
      <c r="BO15125" s="197"/>
      <c r="BP15125" s="197"/>
      <c r="BQ15125" s="197"/>
    </row>
    <row r="15126" spans="66:69" x14ac:dyDescent="0.2">
      <c r="BN15126" s="192"/>
      <c r="BO15126" s="197"/>
      <c r="BP15126" s="197"/>
      <c r="BQ15126" s="197"/>
    </row>
    <row r="15127" spans="66:69" x14ac:dyDescent="0.2">
      <c r="BN15127" s="192"/>
      <c r="BO15127" s="197"/>
      <c r="BP15127" s="197"/>
      <c r="BQ15127" s="197"/>
    </row>
    <row r="15128" spans="66:69" x14ac:dyDescent="0.2">
      <c r="BN15128" s="192"/>
      <c r="BO15128" s="197"/>
      <c r="BP15128" s="197"/>
      <c r="BQ15128" s="197"/>
    </row>
    <row r="15129" spans="66:69" x14ac:dyDescent="0.2">
      <c r="BN15129" s="192"/>
      <c r="BO15129" s="197"/>
      <c r="BP15129" s="197"/>
      <c r="BQ15129" s="197"/>
    </row>
    <row r="15130" spans="66:69" x14ac:dyDescent="0.2">
      <c r="BN15130" s="192"/>
      <c r="BO15130" s="197"/>
      <c r="BP15130" s="197"/>
      <c r="BQ15130" s="197"/>
    </row>
    <row r="15131" spans="66:69" x14ac:dyDescent="0.2">
      <c r="BN15131" s="192"/>
      <c r="BO15131" s="197"/>
      <c r="BP15131" s="197"/>
      <c r="BQ15131" s="197"/>
    </row>
    <row r="15132" spans="66:69" x14ac:dyDescent="0.2">
      <c r="BN15132" s="192"/>
      <c r="BO15132" s="197"/>
      <c r="BP15132" s="197"/>
      <c r="BQ15132" s="197"/>
    </row>
    <row r="15133" spans="66:69" x14ac:dyDescent="0.2">
      <c r="BN15133" s="192"/>
      <c r="BO15133" s="197"/>
      <c r="BP15133" s="197"/>
      <c r="BQ15133" s="197"/>
    </row>
    <row r="15134" spans="66:69" x14ac:dyDescent="0.2">
      <c r="BN15134" s="192"/>
      <c r="BO15134" s="197"/>
      <c r="BP15134" s="197"/>
      <c r="BQ15134" s="197"/>
    </row>
    <row r="15135" spans="66:69" x14ac:dyDescent="0.2">
      <c r="BN15135" s="192"/>
      <c r="BO15135" s="197"/>
      <c r="BP15135" s="197"/>
      <c r="BQ15135" s="197"/>
    </row>
    <row r="15136" spans="66:69" x14ac:dyDescent="0.2">
      <c r="BN15136" s="192"/>
      <c r="BO15136" s="197"/>
      <c r="BP15136" s="197"/>
      <c r="BQ15136" s="197"/>
    </row>
    <row r="15137" spans="66:69" x14ac:dyDescent="0.2">
      <c r="BN15137" s="192"/>
      <c r="BO15137" s="197"/>
      <c r="BP15137" s="197"/>
      <c r="BQ15137" s="197"/>
    </row>
    <row r="15138" spans="66:69" x14ac:dyDescent="0.2">
      <c r="BN15138" s="192"/>
      <c r="BO15138" s="197"/>
      <c r="BP15138" s="197"/>
      <c r="BQ15138" s="197"/>
    </row>
    <row r="15139" spans="66:69" x14ac:dyDescent="0.2">
      <c r="BN15139" s="192"/>
      <c r="BO15139" s="197"/>
      <c r="BP15139" s="197"/>
      <c r="BQ15139" s="197"/>
    </row>
    <row r="15140" spans="66:69" x14ac:dyDescent="0.2">
      <c r="BN15140" s="192"/>
      <c r="BO15140" s="197"/>
      <c r="BP15140" s="197"/>
      <c r="BQ15140" s="197"/>
    </row>
    <row r="15141" spans="66:69" x14ac:dyDescent="0.2">
      <c r="BN15141" s="192"/>
      <c r="BO15141" s="197"/>
      <c r="BP15141" s="197"/>
      <c r="BQ15141" s="197"/>
    </row>
    <row r="15142" spans="66:69" x14ac:dyDescent="0.2">
      <c r="BN15142" s="192"/>
      <c r="BO15142" s="197"/>
      <c r="BP15142" s="197"/>
      <c r="BQ15142" s="197"/>
    </row>
    <row r="15143" spans="66:69" x14ac:dyDescent="0.2">
      <c r="BN15143" s="192"/>
      <c r="BO15143" s="197"/>
      <c r="BP15143" s="197"/>
      <c r="BQ15143" s="197"/>
    </row>
    <row r="15144" spans="66:69" x14ac:dyDescent="0.2">
      <c r="BN15144" s="192"/>
      <c r="BO15144" s="197"/>
      <c r="BP15144" s="197"/>
      <c r="BQ15144" s="197"/>
    </row>
    <row r="15145" spans="66:69" x14ac:dyDescent="0.2">
      <c r="BN15145" s="192"/>
      <c r="BO15145" s="197"/>
      <c r="BP15145" s="197"/>
      <c r="BQ15145" s="197"/>
    </row>
    <row r="15146" spans="66:69" x14ac:dyDescent="0.2">
      <c r="BN15146" s="192"/>
      <c r="BO15146" s="197"/>
      <c r="BP15146" s="197"/>
      <c r="BQ15146" s="197"/>
    </row>
    <row r="15147" spans="66:69" x14ac:dyDescent="0.2">
      <c r="BN15147" s="192"/>
      <c r="BO15147" s="197"/>
      <c r="BP15147" s="197"/>
      <c r="BQ15147" s="197"/>
    </row>
    <row r="15148" spans="66:69" x14ac:dyDescent="0.2">
      <c r="BN15148" s="192"/>
      <c r="BO15148" s="197"/>
      <c r="BP15148" s="197"/>
      <c r="BQ15148" s="197"/>
    </row>
    <row r="15149" spans="66:69" x14ac:dyDescent="0.2">
      <c r="BN15149" s="192"/>
      <c r="BO15149" s="197"/>
      <c r="BP15149" s="197"/>
      <c r="BQ15149" s="197"/>
    </row>
    <row r="15150" spans="66:69" x14ac:dyDescent="0.2">
      <c r="BN15150" s="192"/>
      <c r="BO15150" s="197"/>
      <c r="BP15150" s="197"/>
      <c r="BQ15150" s="197"/>
    </row>
    <row r="15151" spans="66:69" x14ac:dyDescent="0.2">
      <c r="BN15151" s="192"/>
      <c r="BO15151" s="197"/>
      <c r="BP15151" s="197"/>
      <c r="BQ15151" s="197"/>
    </row>
    <row r="15152" spans="66:69" x14ac:dyDescent="0.2">
      <c r="BN15152" s="192"/>
      <c r="BO15152" s="197"/>
      <c r="BP15152" s="197"/>
      <c r="BQ15152" s="197"/>
    </row>
    <row r="15153" spans="66:69" x14ac:dyDescent="0.2">
      <c r="BN15153" s="192"/>
      <c r="BO15153" s="197"/>
      <c r="BP15153" s="197"/>
      <c r="BQ15153" s="197"/>
    </row>
    <row r="15154" spans="66:69" x14ac:dyDescent="0.2">
      <c r="BN15154" s="192"/>
      <c r="BO15154" s="197"/>
      <c r="BP15154" s="197"/>
      <c r="BQ15154" s="197"/>
    </row>
    <row r="15155" spans="66:69" x14ac:dyDescent="0.2">
      <c r="BN15155" s="192"/>
      <c r="BO15155" s="197"/>
      <c r="BP15155" s="197"/>
      <c r="BQ15155" s="197"/>
    </row>
    <row r="15156" spans="66:69" x14ac:dyDescent="0.2">
      <c r="BN15156" s="192"/>
      <c r="BO15156" s="197"/>
      <c r="BP15156" s="197"/>
      <c r="BQ15156" s="197"/>
    </row>
    <row r="15157" spans="66:69" x14ac:dyDescent="0.2">
      <c r="BN15157" s="192"/>
      <c r="BO15157" s="197"/>
      <c r="BP15157" s="197"/>
      <c r="BQ15157" s="197"/>
    </row>
    <row r="15158" spans="66:69" x14ac:dyDescent="0.2">
      <c r="BN15158" s="192"/>
      <c r="BO15158" s="197"/>
      <c r="BP15158" s="197"/>
      <c r="BQ15158" s="197"/>
    </row>
    <row r="15159" spans="66:69" x14ac:dyDescent="0.2">
      <c r="BN15159" s="192"/>
      <c r="BO15159" s="197"/>
      <c r="BP15159" s="197"/>
      <c r="BQ15159" s="197"/>
    </row>
    <row r="15160" spans="66:69" x14ac:dyDescent="0.2">
      <c r="BN15160" s="192"/>
      <c r="BO15160" s="197"/>
      <c r="BP15160" s="197"/>
      <c r="BQ15160" s="197"/>
    </row>
    <row r="15161" spans="66:69" x14ac:dyDescent="0.2">
      <c r="BN15161" s="192"/>
      <c r="BO15161" s="197"/>
      <c r="BP15161" s="197"/>
      <c r="BQ15161" s="197"/>
    </row>
    <row r="15162" spans="66:69" x14ac:dyDescent="0.2">
      <c r="BN15162" s="192"/>
      <c r="BO15162" s="197"/>
      <c r="BP15162" s="197"/>
      <c r="BQ15162" s="197"/>
    </row>
    <row r="15163" spans="66:69" x14ac:dyDescent="0.2">
      <c r="BN15163" s="192"/>
      <c r="BO15163" s="197"/>
      <c r="BP15163" s="197"/>
      <c r="BQ15163" s="197"/>
    </row>
    <row r="15164" spans="66:69" x14ac:dyDescent="0.2">
      <c r="BN15164" s="192"/>
      <c r="BO15164" s="197"/>
      <c r="BP15164" s="197"/>
      <c r="BQ15164" s="197"/>
    </row>
    <row r="15165" spans="66:69" x14ac:dyDescent="0.2">
      <c r="BN15165" s="192"/>
      <c r="BO15165" s="197"/>
      <c r="BP15165" s="197"/>
      <c r="BQ15165" s="197"/>
    </row>
    <row r="15166" spans="66:69" x14ac:dyDescent="0.2">
      <c r="BN15166" s="192"/>
      <c r="BO15166" s="197"/>
      <c r="BP15166" s="197"/>
      <c r="BQ15166" s="197"/>
    </row>
    <row r="15167" spans="66:69" x14ac:dyDescent="0.2">
      <c r="BN15167" s="192"/>
      <c r="BO15167" s="197"/>
      <c r="BP15167" s="197"/>
      <c r="BQ15167" s="197"/>
    </row>
    <row r="15168" spans="66:69" x14ac:dyDescent="0.2">
      <c r="BN15168" s="192"/>
      <c r="BO15168" s="197"/>
      <c r="BP15168" s="197"/>
      <c r="BQ15168" s="197"/>
    </row>
    <row r="15169" spans="66:69" x14ac:dyDescent="0.2">
      <c r="BN15169" s="192"/>
      <c r="BO15169" s="197"/>
      <c r="BP15169" s="197"/>
      <c r="BQ15169" s="197"/>
    </row>
    <row r="15170" spans="66:69" x14ac:dyDescent="0.2">
      <c r="BN15170" s="192"/>
      <c r="BO15170" s="197"/>
      <c r="BP15170" s="197"/>
      <c r="BQ15170" s="197"/>
    </row>
    <row r="15171" spans="66:69" x14ac:dyDescent="0.2">
      <c r="BN15171" s="192"/>
      <c r="BO15171" s="197"/>
      <c r="BP15171" s="197"/>
      <c r="BQ15171" s="197"/>
    </row>
    <row r="15172" spans="66:69" x14ac:dyDescent="0.2">
      <c r="BN15172" s="192"/>
      <c r="BO15172" s="197"/>
      <c r="BP15172" s="197"/>
      <c r="BQ15172" s="197"/>
    </row>
    <row r="15173" spans="66:69" x14ac:dyDescent="0.2">
      <c r="BN15173" s="192"/>
      <c r="BO15173" s="197"/>
      <c r="BP15173" s="197"/>
      <c r="BQ15173" s="197"/>
    </row>
    <row r="15174" spans="66:69" x14ac:dyDescent="0.2">
      <c r="BN15174" s="192"/>
      <c r="BO15174" s="197"/>
      <c r="BP15174" s="197"/>
      <c r="BQ15174" s="197"/>
    </row>
    <row r="15175" spans="66:69" x14ac:dyDescent="0.2">
      <c r="BN15175" s="192"/>
      <c r="BO15175" s="197"/>
      <c r="BP15175" s="197"/>
      <c r="BQ15175" s="197"/>
    </row>
    <row r="15176" spans="66:69" x14ac:dyDescent="0.2">
      <c r="BN15176" s="192"/>
      <c r="BO15176" s="197"/>
      <c r="BP15176" s="197"/>
      <c r="BQ15176" s="197"/>
    </row>
    <row r="15177" spans="66:69" x14ac:dyDescent="0.2">
      <c r="BN15177" s="192"/>
      <c r="BO15177" s="197"/>
      <c r="BP15177" s="197"/>
      <c r="BQ15177" s="197"/>
    </row>
    <row r="15178" spans="66:69" x14ac:dyDescent="0.2">
      <c r="BN15178" s="192"/>
      <c r="BO15178" s="197"/>
      <c r="BP15178" s="197"/>
      <c r="BQ15178" s="197"/>
    </row>
    <row r="15179" spans="66:69" x14ac:dyDescent="0.2">
      <c r="BN15179" s="192"/>
      <c r="BO15179" s="197"/>
      <c r="BP15179" s="197"/>
      <c r="BQ15179" s="197"/>
    </row>
    <row r="15180" spans="66:69" x14ac:dyDescent="0.2">
      <c r="BN15180" s="192"/>
      <c r="BO15180" s="197"/>
      <c r="BP15180" s="197"/>
      <c r="BQ15180" s="197"/>
    </row>
    <row r="15181" spans="66:69" x14ac:dyDescent="0.2">
      <c r="BN15181" s="192"/>
      <c r="BO15181" s="197"/>
      <c r="BP15181" s="197"/>
      <c r="BQ15181" s="197"/>
    </row>
    <row r="15182" spans="66:69" x14ac:dyDescent="0.2">
      <c r="BN15182" s="192"/>
      <c r="BO15182" s="197"/>
      <c r="BP15182" s="197"/>
      <c r="BQ15182" s="197"/>
    </row>
    <row r="15183" spans="66:69" x14ac:dyDescent="0.2">
      <c r="BN15183" s="192"/>
      <c r="BO15183" s="197"/>
      <c r="BP15183" s="197"/>
      <c r="BQ15183" s="197"/>
    </row>
    <row r="15184" spans="66:69" x14ac:dyDescent="0.2">
      <c r="BN15184" s="192"/>
      <c r="BO15184" s="197"/>
      <c r="BP15184" s="197"/>
      <c r="BQ15184" s="197"/>
    </row>
    <row r="15185" spans="66:69" x14ac:dyDescent="0.2">
      <c r="BN15185" s="192"/>
      <c r="BO15185" s="197"/>
      <c r="BP15185" s="197"/>
      <c r="BQ15185" s="197"/>
    </row>
    <row r="15186" spans="66:69" x14ac:dyDescent="0.2">
      <c r="BN15186" s="192"/>
      <c r="BO15186" s="197"/>
      <c r="BP15186" s="197"/>
      <c r="BQ15186" s="197"/>
    </row>
    <row r="15187" spans="66:69" x14ac:dyDescent="0.2">
      <c r="BN15187" s="192"/>
      <c r="BO15187" s="197"/>
      <c r="BP15187" s="197"/>
      <c r="BQ15187" s="197"/>
    </row>
    <row r="15188" spans="66:69" x14ac:dyDescent="0.2">
      <c r="BN15188" s="192"/>
      <c r="BO15188" s="197"/>
      <c r="BP15188" s="197"/>
      <c r="BQ15188" s="197"/>
    </row>
    <row r="15189" spans="66:69" x14ac:dyDescent="0.2">
      <c r="BN15189" s="192"/>
      <c r="BO15189" s="197"/>
      <c r="BP15189" s="197"/>
      <c r="BQ15189" s="197"/>
    </row>
    <row r="15190" spans="66:69" x14ac:dyDescent="0.2">
      <c r="BN15190" s="192"/>
      <c r="BO15190" s="197"/>
      <c r="BP15190" s="197"/>
      <c r="BQ15190" s="197"/>
    </row>
    <row r="15191" spans="66:69" x14ac:dyDescent="0.2">
      <c r="BN15191" s="192"/>
      <c r="BO15191" s="197"/>
      <c r="BP15191" s="197"/>
      <c r="BQ15191" s="197"/>
    </row>
    <row r="15192" spans="66:69" x14ac:dyDescent="0.2">
      <c r="BN15192" s="192"/>
      <c r="BO15192" s="197"/>
      <c r="BP15192" s="197"/>
      <c r="BQ15192" s="197"/>
    </row>
    <row r="15193" spans="66:69" x14ac:dyDescent="0.2">
      <c r="BN15193" s="192"/>
      <c r="BO15193" s="197"/>
      <c r="BP15193" s="197"/>
      <c r="BQ15193" s="197"/>
    </row>
    <row r="15194" spans="66:69" x14ac:dyDescent="0.2">
      <c r="BN15194" s="192"/>
      <c r="BO15194" s="197"/>
      <c r="BP15194" s="197"/>
      <c r="BQ15194" s="197"/>
    </row>
    <row r="15195" spans="66:69" x14ac:dyDescent="0.2">
      <c r="BN15195" s="192"/>
      <c r="BO15195" s="197"/>
      <c r="BP15195" s="197"/>
      <c r="BQ15195" s="197"/>
    </row>
    <row r="15196" spans="66:69" x14ac:dyDescent="0.2">
      <c r="BN15196" s="192"/>
      <c r="BO15196" s="197"/>
      <c r="BP15196" s="197"/>
      <c r="BQ15196" s="197"/>
    </row>
    <row r="15197" spans="66:69" x14ac:dyDescent="0.2">
      <c r="BN15197" s="192"/>
      <c r="BO15197" s="197"/>
      <c r="BP15197" s="197"/>
      <c r="BQ15197" s="197"/>
    </row>
    <row r="15198" spans="66:69" x14ac:dyDescent="0.2">
      <c r="BN15198" s="192"/>
      <c r="BO15198" s="197"/>
      <c r="BP15198" s="197"/>
      <c r="BQ15198" s="197"/>
    </row>
    <row r="15199" spans="66:69" x14ac:dyDescent="0.2">
      <c r="BN15199" s="192"/>
      <c r="BO15199" s="197"/>
      <c r="BP15199" s="197"/>
      <c r="BQ15199" s="197"/>
    </row>
    <row r="15200" spans="66:69" x14ac:dyDescent="0.2">
      <c r="BN15200" s="192"/>
      <c r="BO15200" s="197"/>
      <c r="BP15200" s="197"/>
      <c r="BQ15200" s="197"/>
    </row>
    <row r="15201" spans="66:69" x14ac:dyDescent="0.2">
      <c r="BN15201" s="192"/>
      <c r="BO15201" s="197"/>
      <c r="BP15201" s="197"/>
      <c r="BQ15201" s="197"/>
    </row>
    <row r="15202" spans="66:69" x14ac:dyDescent="0.2">
      <c r="BN15202" s="192"/>
      <c r="BO15202" s="197"/>
      <c r="BP15202" s="197"/>
      <c r="BQ15202" s="197"/>
    </row>
    <row r="15203" spans="66:69" x14ac:dyDescent="0.2">
      <c r="BN15203" s="192"/>
      <c r="BO15203" s="197"/>
      <c r="BP15203" s="197"/>
      <c r="BQ15203" s="197"/>
    </row>
    <row r="15204" spans="66:69" x14ac:dyDescent="0.2">
      <c r="BN15204" s="192"/>
      <c r="BO15204" s="197"/>
      <c r="BP15204" s="197"/>
      <c r="BQ15204" s="197"/>
    </row>
    <row r="15205" spans="66:69" x14ac:dyDescent="0.2">
      <c r="BN15205" s="192"/>
      <c r="BO15205" s="197"/>
      <c r="BP15205" s="197"/>
      <c r="BQ15205" s="197"/>
    </row>
    <row r="15206" spans="66:69" x14ac:dyDescent="0.2">
      <c r="BN15206" s="192"/>
      <c r="BO15206" s="197"/>
      <c r="BP15206" s="197"/>
      <c r="BQ15206" s="197"/>
    </row>
    <row r="15207" spans="66:69" x14ac:dyDescent="0.2">
      <c r="BN15207" s="192"/>
      <c r="BO15207" s="197"/>
      <c r="BP15207" s="197"/>
      <c r="BQ15207" s="197"/>
    </row>
    <row r="15208" spans="66:69" x14ac:dyDescent="0.2">
      <c r="BN15208" s="192"/>
      <c r="BO15208" s="197"/>
      <c r="BP15208" s="197"/>
      <c r="BQ15208" s="197"/>
    </row>
    <row r="15209" spans="66:69" x14ac:dyDescent="0.2">
      <c r="BN15209" s="192"/>
      <c r="BO15209" s="197"/>
      <c r="BP15209" s="197"/>
      <c r="BQ15209" s="197"/>
    </row>
    <row r="15210" spans="66:69" x14ac:dyDescent="0.2">
      <c r="BN15210" s="192"/>
      <c r="BO15210" s="197"/>
      <c r="BP15210" s="197"/>
      <c r="BQ15210" s="197"/>
    </row>
    <row r="15211" spans="66:69" x14ac:dyDescent="0.2">
      <c r="BN15211" s="192"/>
      <c r="BO15211" s="197"/>
      <c r="BP15211" s="197"/>
      <c r="BQ15211" s="197"/>
    </row>
    <row r="15212" spans="66:69" x14ac:dyDescent="0.2">
      <c r="BN15212" s="192"/>
      <c r="BO15212" s="197"/>
      <c r="BP15212" s="197"/>
      <c r="BQ15212" s="197"/>
    </row>
    <row r="15213" spans="66:69" x14ac:dyDescent="0.2">
      <c r="BN15213" s="192"/>
      <c r="BO15213" s="197"/>
      <c r="BP15213" s="197"/>
      <c r="BQ15213" s="197"/>
    </row>
    <row r="15214" spans="66:69" x14ac:dyDescent="0.2">
      <c r="BN15214" s="192"/>
      <c r="BO15214" s="197"/>
      <c r="BP15214" s="197"/>
      <c r="BQ15214" s="197"/>
    </row>
    <row r="15215" spans="66:69" x14ac:dyDescent="0.2">
      <c r="BN15215" s="192"/>
      <c r="BO15215" s="197"/>
      <c r="BP15215" s="197"/>
      <c r="BQ15215" s="197"/>
    </row>
    <row r="15216" spans="66:69" x14ac:dyDescent="0.2">
      <c r="BN15216" s="192"/>
      <c r="BO15216" s="197"/>
      <c r="BP15216" s="197"/>
      <c r="BQ15216" s="197"/>
    </row>
    <row r="15217" spans="66:69" x14ac:dyDescent="0.2">
      <c r="BN15217" s="192"/>
      <c r="BO15217" s="197"/>
      <c r="BP15217" s="197"/>
      <c r="BQ15217" s="197"/>
    </row>
    <row r="15218" spans="66:69" x14ac:dyDescent="0.2">
      <c r="BN15218" s="192"/>
      <c r="BO15218" s="197"/>
      <c r="BP15218" s="197"/>
      <c r="BQ15218" s="197"/>
    </row>
    <row r="15219" spans="66:69" x14ac:dyDescent="0.2">
      <c r="BN15219" s="192"/>
      <c r="BO15219" s="197"/>
      <c r="BP15219" s="197"/>
      <c r="BQ15219" s="197"/>
    </row>
    <row r="15220" spans="66:69" x14ac:dyDescent="0.2">
      <c r="BN15220" s="192"/>
      <c r="BO15220" s="197"/>
      <c r="BP15220" s="197"/>
      <c r="BQ15220" s="197"/>
    </row>
    <row r="15221" spans="66:69" x14ac:dyDescent="0.2">
      <c r="BN15221" s="192"/>
      <c r="BO15221" s="197"/>
      <c r="BP15221" s="197"/>
      <c r="BQ15221" s="197"/>
    </row>
    <row r="15222" spans="66:69" x14ac:dyDescent="0.2">
      <c r="BN15222" s="192"/>
      <c r="BO15222" s="197"/>
      <c r="BP15222" s="197"/>
      <c r="BQ15222" s="197"/>
    </row>
    <row r="15223" spans="66:69" x14ac:dyDescent="0.2">
      <c r="BN15223" s="192"/>
      <c r="BO15223" s="197"/>
      <c r="BP15223" s="197"/>
      <c r="BQ15223" s="197"/>
    </row>
    <row r="15224" spans="66:69" x14ac:dyDescent="0.2">
      <c r="BN15224" s="192"/>
      <c r="BO15224" s="197"/>
      <c r="BP15224" s="197"/>
      <c r="BQ15224" s="197"/>
    </row>
    <row r="15225" spans="66:69" x14ac:dyDescent="0.2">
      <c r="BN15225" s="192"/>
      <c r="BO15225" s="197"/>
      <c r="BP15225" s="197"/>
      <c r="BQ15225" s="197"/>
    </row>
    <row r="15226" spans="66:69" x14ac:dyDescent="0.2">
      <c r="BN15226" s="192"/>
      <c r="BO15226" s="197"/>
      <c r="BP15226" s="197"/>
      <c r="BQ15226" s="197"/>
    </row>
    <row r="15227" spans="66:69" x14ac:dyDescent="0.2">
      <c r="BN15227" s="192"/>
      <c r="BO15227" s="197"/>
      <c r="BP15227" s="197"/>
      <c r="BQ15227" s="197"/>
    </row>
    <row r="15228" spans="66:69" x14ac:dyDescent="0.2">
      <c r="BN15228" s="192"/>
      <c r="BO15228" s="197"/>
      <c r="BP15228" s="197"/>
      <c r="BQ15228" s="197"/>
    </row>
    <row r="15229" spans="66:69" x14ac:dyDescent="0.2">
      <c r="BN15229" s="192"/>
      <c r="BO15229" s="197"/>
      <c r="BP15229" s="197"/>
      <c r="BQ15229" s="197"/>
    </row>
    <row r="15230" spans="66:69" x14ac:dyDescent="0.2">
      <c r="BN15230" s="192"/>
      <c r="BO15230" s="197"/>
      <c r="BP15230" s="197"/>
      <c r="BQ15230" s="197"/>
    </row>
    <row r="15231" spans="66:69" x14ac:dyDescent="0.2">
      <c r="BN15231" s="192"/>
      <c r="BO15231" s="197"/>
      <c r="BP15231" s="197"/>
      <c r="BQ15231" s="197"/>
    </row>
    <row r="15232" spans="66:69" x14ac:dyDescent="0.2">
      <c r="BN15232" s="192"/>
      <c r="BO15232" s="197"/>
      <c r="BP15232" s="197"/>
      <c r="BQ15232" s="197"/>
    </row>
    <row r="15233" spans="66:69" x14ac:dyDescent="0.2">
      <c r="BN15233" s="192"/>
      <c r="BO15233" s="197"/>
      <c r="BP15233" s="197"/>
      <c r="BQ15233" s="197"/>
    </row>
    <row r="15234" spans="66:69" x14ac:dyDescent="0.2">
      <c r="BN15234" s="192"/>
      <c r="BO15234" s="197"/>
      <c r="BP15234" s="197"/>
      <c r="BQ15234" s="197"/>
    </row>
    <row r="15235" spans="66:69" x14ac:dyDescent="0.2">
      <c r="BN15235" s="192"/>
      <c r="BO15235" s="197"/>
      <c r="BP15235" s="197"/>
      <c r="BQ15235" s="197"/>
    </row>
    <row r="15236" spans="66:69" x14ac:dyDescent="0.2">
      <c r="BN15236" s="192"/>
      <c r="BO15236" s="197"/>
      <c r="BP15236" s="197"/>
      <c r="BQ15236" s="197"/>
    </row>
    <row r="15237" spans="66:69" x14ac:dyDescent="0.2">
      <c r="BN15237" s="192"/>
      <c r="BO15237" s="197"/>
      <c r="BP15237" s="197"/>
      <c r="BQ15237" s="197"/>
    </row>
    <row r="15238" spans="66:69" x14ac:dyDescent="0.2">
      <c r="BN15238" s="192"/>
      <c r="BO15238" s="197"/>
      <c r="BP15238" s="197"/>
      <c r="BQ15238" s="197"/>
    </row>
    <row r="15239" spans="66:69" x14ac:dyDescent="0.2">
      <c r="BN15239" s="192"/>
      <c r="BO15239" s="197"/>
      <c r="BP15239" s="197"/>
      <c r="BQ15239" s="197"/>
    </row>
    <row r="15240" spans="66:69" x14ac:dyDescent="0.2">
      <c r="BN15240" s="192"/>
      <c r="BO15240" s="197"/>
      <c r="BP15240" s="197"/>
      <c r="BQ15240" s="197"/>
    </row>
    <row r="15241" spans="66:69" x14ac:dyDescent="0.2">
      <c r="BN15241" s="192"/>
      <c r="BO15241" s="197"/>
      <c r="BP15241" s="197"/>
      <c r="BQ15241" s="197"/>
    </row>
    <row r="15242" spans="66:69" x14ac:dyDescent="0.2">
      <c r="BN15242" s="192"/>
      <c r="BO15242" s="197"/>
      <c r="BP15242" s="197"/>
      <c r="BQ15242" s="197"/>
    </row>
    <row r="15243" spans="66:69" x14ac:dyDescent="0.2">
      <c r="BN15243" s="192"/>
      <c r="BO15243" s="197"/>
      <c r="BP15243" s="197"/>
      <c r="BQ15243" s="197"/>
    </row>
    <row r="15244" spans="66:69" x14ac:dyDescent="0.2">
      <c r="BN15244" s="192"/>
      <c r="BO15244" s="197"/>
      <c r="BP15244" s="197"/>
      <c r="BQ15244" s="197"/>
    </row>
    <row r="15245" spans="66:69" x14ac:dyDescent="0.2">
      <c r="BN15245" s="192"/>
      <c r="BO15245" s="197"/>
      <c r="BP15245" s="197"/>
      <c r="BQ15245" s="197"/>
    </row>
    <row r="15246" spans="66:69" x14ac:dyDescent="0.2">
      <c r="BN15246" s="192"/>
      <c r="BO15246" s="197"/>
      <c r="BP15246" s="197"/>
      <c r="BQ15246" s="197"/>
    </row>
    <row r="15247" spans="66:69" x14ac:dyDescent="0.2">
      <c r="BN15247" s="192"/>
      <c r="BO15247" s="197"/>
      <c r="BP15247" s="197"/>
      <c r="BQ15247" s="197"/>
    </row>
    <row r="15248" spans="66:69" x14ac:dyDescent="0.2">
      <c r="BN15248" s="192"/>
      <c r="BO15248" s="197"/>
      <c r="BP15248" s="197"/>
      <c r="BQ15248" s="197"/>
    </row>
    <row r="15249" spans="66:69" x14ac:dyDescent="0.2">
      <c r="BN15249" s="192"/>
      <c r="BO15249" s="197"/>
      <c r="BP15249" s="197"/>
      <c r="BQ15249" s="197"/>
    </row>
    <row r="15250" spans="66:69" x14ac:dyDescent="0.2">
      <c r="BN15250" s="192"/>
      <c r="BO15250" s="197"/>
      <c r="BP15250" s="197"/>
      <c r="BQ15250" s="197"/>
    </row>
    <row r="15251" spans="66:69" x14ac:dyDescent="0.2">
      <c r="BN15251" s="192"/>
      <c r="BO15251" s="197"/>
      <c r="BP15251" s="197"/>
      <c r="BQ15251" s="197"/>
    </row>
    <row r="15252" spans="66:69" x14ac:dyDescent="0.2">
      <c r="BN15252" s="192"/>
      <c r="BO15252" s="197"/>
      <c r="BP15252" s="197"/>
      <c r="BQ15252" s="197"/>
    </row>
    <row r="15253" spans="66:69" x14ac:dyDescent="0.2">
      <c r="BN15253" s="192"/>
      <c r="BO15253" s="197"/>
      <c r="BP15253" s="197"/>
      <c r="BQ15253" s="197"/>
    </row>
    <row r="15254" spans="66:69" x14ac:dyDescent="0.2">
      <c r="BN15254" s="192"/>
      <c r="BO15254" s="197"/>
      <c r="BP15254" s="197"/>
      <c r="BQ15254" s="197"/>
    </row>
    <row r="15255" spans="66:69" x14ac:dyDescent="0.2">
      <c r="BN15255" s="192"/>
      <c r="BO15255" s="197"/>
      <c r="BP15255" s="197"/>
      <c r="BQ15255" s="197"/>
    </row>
    <row r="15256" spans="66:69" x14ac:dyDescent="0.2">
      <c r="BN15256" s="192"/>
      <c r="BO15256" s="197"/>
      <c r="BP15256" s="197"/>
      <c r="BQ15256" s="197"/>
    </row>
    <row r="15257" spans="66:69" x14ac:dyDescent="0.2">
      <c r="BN15257" s="192"/>
      <c r="BO15257" s="197"/>
      <c r="BP15257" s="197"/>
      <c r="BQ15257" s="197"/>
    </row>
    <row r="15258" spans="66:69" x14ac:dyDescent="0.2">
      <c r="BN15258" s="192"/>
      <c r="BO15258" s="197"/>
      <c r="BP15258" s="197"/>
      <c r="BQ15258" s="197"/>
    </row>
    <row r="15259" spans="66:69" x14ac:dyDescent="0.2">
      <c r="BN15259" s="192"/>
      <c r="BO15259" s="197"/>
      <c r="BP15259" s="197"/>
      <c r="BQ15259" s="197"/>
    </row>
    <row r="15260" spans="66:69" x14ac:dyDescent="0.2">
      <c r="BN15260" s="192"/>
      <c r="BO15260" s="197"/>
      <c r="BP15260" s="197"/>
      <c r="BQ15260" s="197"/>
    </row>
    <row r="15261" spans="66:69" x14ac:dyDescent="0.2">
      <c r="BN15261" s="192"/>
      <c r="BO15261" s="197"/>
      <c r="BP15261" s="197"/>
      <c r="BQ15261" s="197"/>
    </row>
    <row r="15262" spans="66:69" x14ac:dyDescent="0.2">
      <c r="BN15262" s="192"/>
      <c r="BO15262" s="197"/>
      <c r="BP15262" s="197"/>
      <c r="BQ15262" s="197"/>
    </row>
    <row r="15263" spans="66:69" x14ac:dyDescent="0.2">
      <c r="BN15263" s="192"/>
      <c r="BO15263" s="197"/>
      <c r="BP15263" s="197"/>
      <c r="BQ15263" s="197"/>
    </row>
    <row r="15264" spans="66:69" x14ac:dyDescent="0.2">
      <c r="BN15264" s="192"/>
      <c r="BO15264" s="197"/>
      <c r="BP15264" s="197"/>
      <c r="BQ15264" s="197"/>
    </row>
    <row r="15265" spans="66:69" x14ac:dyDescent="0.2">
      <c r="BN15265" s="192"/>
      <c r="BO15265" s="197"/>
      <c r="BP15265" s="197"/>
      <c r="BQ15265" s="197"/>
    </row>
    <row r="15266" spans="66:69" x14ac:dyDescent="0.2">
      <c r="BN15266" s="192"/>
      <c r="BO15266" s="197"/>
      <c r="BP15266" s="197"/>
      <c r="BQ15266" s="197"/>
    </row>
    <row r="15267" spans="66:69" x14ac:dyDescent="0.2">
      <c r="BN15267" s="192"/>
      <c r="BO15267" s="197"/>
      <c r="BP15267" s="197"/>
      <c r="BQ15267" s="197"/>
    </row>
    <row r="15268" spans="66:69" x14ac:dyDescent="0.2">
      <c r="BN15268" s="192"/>
      <c r="BO15268" s="197"/>
      <c r="BP15268" s="197"/>
      <c r="BQ15268" s="197"/>
    </row>
    <row r="15269" spans="66:69" x14ac:dyDescent="0.2">
      <c r="BN15269" s="192"/>
      <c r="BO15269" s="197"/>
      <c r="BP15269" s="197"/>
      <c r="BQ15269" s="197"/>
    </row>
    <row r="15270" spans="66:69" x14ac:dyDescent="0.2">
      <c r="BN15270" s="192"/>
      <c r="BO15270" s="197"/>
      <c r="BP15270" s="197"/>
      <c r="BQ15270" s="197"/>
    </row>
    <row r="15271" spans="66:69" x14ac:dyDescent="0.2">
      <c r="BN15271" s="192"/>
      <c r="BO15271" s="197"/>
      <c r="BP15271" s="197"/>
      <c r="BQ15271" s="197"/>
    </row>
    <row r="15272" spans="66:69" x14ac:dyDescent="0.2">
      <c r="BN15272" s="192"/>
      <c r="BO15272" s="197"/>
      <c r="BP15272" s="197"/>
      <c r="BQ15272" s="197"/>
    </row>
    <row r="15273" spans="66:69" x14ac:dyDescent="0.2">
      <c r="BN15273" s="192"/>
      <c r="BO15273" s="197"/>
      <c r="BP15273" s="197"/>
      <c r="BQ15273" s="197"/>
    </row>
    <row r="15274" spans="66:69" x14ac:dyDescent="0.2">
      <c r="BN15274" s="192"/>
      <c r="BO15274" s="197"/>
      <c r="BP15274" s="197"/>
      <c r="BQ15274" s="197"/>
    </row>
    <row r="15275" spans="66:69" x14ac:dyDescent="0.2">
      <c r="BN15275" s="192"/>
      <c r="BO15275" s="197"/>
      <c r="BP15275" s="197"/>
      <c r="BQ15275" s="197"/>
    </row>
    <row r="15276" spans="66:69" x14ac:dyDescent="0.2">
      <c r="BN15276" s="192"/>
      <c r="BO15276" s="197"/>
      <c r="BP15276" s="197"/>
      <c r="BQ15276" s="197"/>
    </row>
    <row r="15277" spans="66:69" x14ac:dyDescent="0.2">
      <c r="BN15277" s="192"/>
      <c r="BO15277" s="197"/>
      <c r="BP15277" s="197"/>
      <c r="BQ15277" s="197"/>
    </row>
    <row r="15278" spans="66:69" x14ac:dyDescent="0.2">
      <c r="BN15278" s="192"/>
      <c r="BO15278" s="197"/>
      <c r="BP15278" s="197"/>
      <c r="BQ15278" s="197"/>
    </row>
    <row r="15279" spans="66:69" x14ac:dyDescent="0.2">
      <c r="BN15279" s="192"/>
      <c r="BO15279" s="197"/>
      <c r="BP15279" s="197"/>
      <c r="BQ15279" s="197"/>
    </row>
    <row r="15280" spans="66:69" x14ac:dyDescent="0.2">
      <c r="BN15280" s="192"/>
      <c r="BO15280" s="197"/>
      <c r="BP15280" s="197"/>
      <c r="BQ15280" s="197"/>
    </row>
    <row r="15281" spans="66:69" x14ac:dyDescent="0.2">
      <c r="BN15281" s="192"/>
      <c r="BO15281" s="197"/>
      <c r="BP15281" s="197"/>
      <c r="BQ15281" s="197"/>
    </row>
    <row r="15282" spans="66:69" x14ac:dyDescent="0.2">
      <c r="BN15282" s="192"/>
      <c r="BO15282" s="197"/>
      <c r="BP15282" s="197"/>
      <c r="BQ15282" s="197"/>
    </row>
    <row r="15283" spans="66:69" x14ac:dyDescent="0.2">
      <c r="BN15283" s="192"/>
      <c r="BO15283" s="197"/>
      <c r="BP15283" s="197"/>
      <c r="BQ15283" s="197"/>
    </row>
    <row r="15284" spans="66:69" x14ac:dyDescent="0.2">
      <c r="BN15284" s="192"/>
      <c r="BO15284" s="197"/>
      <c r="BP15284" s="197"/>
      <c r="BQ15284" s="197"/>
    </row>
    <row r="15285" spans="66:69" x14ac:dyDescent="0.2">
      <c r="BN15285" s="192"/>
      <c r="BO15285" s="197"/>
      <c r="BP15285" s="197"/>
      <c r="BQ15285" s="197"/>
    </row>
    <row r="15286" spans="66:69" x14ac:dyDescent="0.2">
      <c r="BN15286" s="192"/>
      <c r="BO15286" s="197"/>
      <c r="BP15286" s="197"/>
      <c r="BQ15286" s="197"/>
    </row>
    <row r="15287" spans="66:69" x14ac:dyDescent="0.2">
      <c r="BN15287" s="192"/>
      <c r="BO15287" s="197"/>
      <c r="BP15287" s="197"/>
      <c r="BQ15287" s="197"/>
    </row>
    <row r="15288" spans="66:69" x14ac:dyDescent="0.2">
      <c r="BN15288" s="192"/>
      <c r="BO15288" s="197"/>
      <c r="BP15288" s="197"/>
      <c r="BQ15288" s="197"/>
    </row>
    <row r="15289" spans="66:69" x14ac:dyDescent="0.2">
      <c r="BN15289" s="192"/>
      <c r="BO15289" s="197"/>
      <c r="BP15289" s="197"/>
      <c r="BQ15289" s="197"/>
    </row>
    <row r="15290" spans="66:69" x14ac:dyDescent="0.2">
      <c r="BN15290" s="192"/>
      <c r="BO15290" s="197"/>
      <c r="BP15290" s="197"/>
      <c r="BQ15290" s="197"/>
    </row>
    <row r="15291" spans="66:69" x14ac:dyDescent="0.2">
      <c r="BN15291" s="192"/>
      <c r="BO15291" s="197"/>
      <c r="BP15291" s="197"/>
      <c r="BQ15291" s="197"/>
    </row>
    <row r="15292" spans="66:69" x14ac:dyDescent="0.2">
      <c r="BN15292" s="192"/>
      <c r="BO15292" s="197"/>
      <c r="BP15292" s="197"/>
      <c r="BQ15292" s="197"/>
    </row>
    <row r="15293" spans="66:69" x14ac:dyDescent="0.2">
      <c r="BN15293" s="192"/>
      <c r="BO15293" s="197"/>
      <c r="BP15293" s="197"/>
      <c r="BQ15293" s="197"/>
    </row>
    <row r="15294" spans="66:69" x14ac:dyDescent="0.2">
      <c r="BN15294" s="192"/>
      <c r="BO15294" s="197"/>
      <c r="BP15294" s="197"/>
      <c r="BQ15294" s="197"/>
    </row>
    <row r="15295" spans="66:69" x14ac:dyDescent="0.2">
      <c r="BN15295" s="192"/>
      <c r="BO15295" s="197"/>
      <c r="BP15295" s="197"/>
      <c r="BQ15295" s="197"/>
    </row>
    <row r="15296" spans="66:69" x14ac:dyDescent="0.2">
      <c r="BN15296" s="192"/>
      <c r="BO15296" s="197"/>
      <c r="BP15296" s="197"/>
      <c r="BQ15296" s="197"/>
    </row>
    <row r="15297" spans="66:69" x14ac:dyDescent="0.2">
      <c r="BN15297" s="192"/>
      <c r="BO15297" s="197"/>
      <c r="BP15297" s="197"/>
      <c r="BQ15297" s="197"/>
    </row>
    <row r="15298" spans="66:69" x14ac:dyDescent="0.2">
      <c r="BN15298" s="192"/>
      <c r="BO15298" s="197"/>
      <c r="BP15298" s="197"/>
      <c r="BQ15298" s="197"/>
    </row>
    <row r="15299" spans="66:69" x14ac:dyDescent="0.2">
      <c r="BN15299" s="192"/>
      <c r="BO15299" s="197"/>
      <c r="BP15299" s="197"/>
      <c r="BQ15299" s="197"/>
    </row>
    <row r="15300" spans="66:69" x14ac:dyDescent="0.2">
      <c r="BN15300" s="192"/>
      <c r="BO15300" s="197"/>
      <c r="BP15300" s="197"/>
      <c r="BQ15300" s="197"/>
    </row>
    <row r="15301" spans="66:69" x14ac:dyDescent="0.2">
      <c r="BN15301" s="192"/>
      <c r="BO15301" s="197"/>
      <c r="BP15301" s="197"/>
      <c r="BQ15301" s="197"/>
    </row>
    <row r="15302" spans="66:69" x14ac:dyDescent="0.2">
      <c r="BN15302" s="192"/>
      <c r="BO15302" s="197"/>
      <c r="BP15302" s="197"/>
      <c r="BQ15302" s="197"/>
    </row>
    <row r="15303" spans="66:69" x14ac:dyDescent="0.2">
      <c r="BN15303" s="192"/>
      <c r="BO15303" s="197"/>
      <c r="BP15303" s="197"/>
      <c r="BQ15303" s="197"/>
    </row>
    <row r="15304" spans="66:69" x14ac:dyDescent="0.2">
      <c r="BN15304" s="192"/>
      <c r="BO15304" s="197"/>
      <c r="BP15304" s="197"/>
      <c r="BQ15304" s="197"/>
    </row>
    <row r="15305" spans="66:69" x14ac:dyDescent="0.2">
      <c r="BN15305" s="192"/>
      <c r="BO15305" s="197"/>
      <c r="BP15305" s="197"/>
      <c r="BQ15305" s="197"/>
    </row>
    <row r="15306" spans="66:69" x14ac:dyDescent="0.2">
      <c r="BN15306" s="192"/>
      <c r="BO15306" s="197"/>
      <c r="BP15306" s="197"/>
      <c r="BQ15306" s="197"/>
    </row>
    <row r="15307" spans="66:69" x14ac:dyDescent="0.2">
      <c r="BN15307" s="192"/>
      <c r="BO15307" s="197"/>
      <c r="BP15307" s="197"/>
      <c r="BQ15307" s="197"/>
    </row>
    <row r="15308" spans="66:69" x14ac:dyDescent="0.2">
      <c r="BN15308" s="192"/>
      <c r="BO15308" s="197"/>
      <c r="BP15308" s="197"/>
      <c r="BQ15308" s="197"/>
    </row>
    <row r="15309" spans="66:69" x14ac:dyDescent="0.2">
      <c r="BN15309" s="192"/>
      <c r="BO15309" s="197"/>
      <c r="BP15309" s="197"/>
      <c r="BQ15309" s="197"/>
    </row>
    <row r="15310" spans="66:69" x14ac:dyDescent="0.2">
      <c r="BN15310" s="192"/>
      <c r="BO15310" s="197"/>
      <c r="BP15310" s="197"/>
      <c r="BQ15310" s="197"/>
    </row>
    <row r="15311" spans="66:69" x14ac:dyDescent="0.2">
      <c r="BN15311" s="192"/>
      <c r="BO15311" s="197"/>
      <c r="BP15311" s="197"/>
      <c r="BQ15311" s="197"/>
    </row>
    <row r="15312" spans="66:69" x14ac:dyDescent="0.2">
      <c r="BN15312" s="192"/>
      <c r="BO15312" s="197"/>
      <c r="BP15312" s="197"/>
      <c r="BQ15312" s="197"/>
    </row>
    <row r="15313" spans="66:69" x14ac:dyDescent="0.2">
      <c r="BN15313" s="192"/>
      <c r="BO15313" s="197"/>
      <c r="BP15313" s="197"/>
      <c r="BQ15313" s="197"/>
    </row>
    <row r="15314" spans="66:69" x14ac:dyDescent="0.2">
      <c r="BN15314" s="192"/>
      <c r="BO15314" s="197"/>
      <c r="BP15314" s="197"/>
      <c r="BQ15314" s="197"/>
    </row>
    <row r="15315" spans="66:69" x14ac:dyDescent="0.2">
      <c r="BN15315" s="192"/>
      <c r="BO15315" s="197"/>
      <c r="BP15315" s="197"/>
      <c r="BQ15315" s="197"/>
    </row>
    <row r="15316" spans="66:69" x14ac:dyDescent="0.2">
      <c r="BN15316" s="192"/>
      <c r="BO15316" s="197"/>
      <c r="BP15316" s="197"/>
      <c r="BQ15316" s="197"/>
    </row>
    <row r="15317" spans="66:69" x14ac:dyDescent="0.2">
      <c r="BN15317" s="192"/>
      <c r="BO15317" s="197"/>
      <c r="BP15317" s="197"/>
      <c r="BQ15317" s="197"/>
    </row>
    <row r="15318" spans="66:69" x14ac:dyDescent="0.2">
      <c r="BN15318" s="192"/>
      <c r="BO15318" s="197"/>
      <c r="BP15318" s="197"/>
      <c r="BQ15318" s="197"/>
    </row>
    <row r="15319" spans="66:69" x14ac:dyDescent="0.2">
      <c r="BN15319" s="192"/>
      <c r="BO15319" s="197"/>
      <c r="BP15319" s="197"/>
      <c r="BQ15319" s="197"/>
    </row>
    <row r="15320" spans="66:69" x14ac:dyDescent="0.2">
      <c r="BN15320" s="192"/>
      <c r="BO15320" s="197"/>
      <c r="BP15320" s="197"/>
      <c r="BQ15320" s="197"/>
    </row>
    <row r="15321" spans="66:69" x14ac:dyDescent="0.2">
      <c r="BN15321" s="192"/>
      <c r="BO15321" s="197"/>
      <c r="BP15321" s="197"/>
      <c r="BQ15321" s="197"/>
    </row>
    <row r="15322" spans="66:69" x14ac:dyDescent="0.2">
      <c r="BN15322" s="192"/>
      <c r="BO15322" s="197"/>
      <c r="BP15322" s="197"/>
      <c r="BQ15322" s="197"/>
    </row>
    <row r="15323" spans="66:69" x14ac:dyDescent="0.2">
      <c r="BN15323" s="192"/>
      <c r="BO15323" s="197"/>
      <c r="BP15323" s="197"/>
      <c r="BQ15323" s="197"/>
    </row>
    <row r="15324" spans="66:69" x14ac:dyDescent="0.2">
      <c r="BN15324" s="192"/>
      <c r="BO15324" s="197"/>
      <c r="BP15324" s="197"/>
      <c r="BQ15324" s="197"/>
    </row>
    <row r="15325" spans="66:69" x14ac:dyDescent="0.2">
      <c r="BN15325" s="192"/>
      <c r="BO15325" s="197"/>
      <c r="BP15325" s="197"/>
      <c r="BQ15325" s="197"/>
    </row>
    <row r="15326" spans="66:69" x14ac:dyDescent="0.2">
      <c r="BN15326" s="192"/>
      <c r="BO15326" s="197"/>
      <c r="BP15326" s="197"/>
      <c r="BQ15326" s="197"/>
    </row>
    <row r="15327" spans="66:69" x14ac:dyDescent="0.2">
      <c r="BN15327" s="192"/>
      <c r="BO15327" s="197"/>
      <c r="BP15327" s="197"/>
      <c r="BQ15327" s="197"/>
    </row>
    <row r="15328" spans="66:69" x14ac:dyDescent="0.2">
      <c r="BN15328" s="192"/>
      <c r="BO15328" s="197"/>
      <c r="BP15328" s="197"/>
      <c r="BQ15328" s="197"/>
    </row>
    <row r="15329" spans="66:69" x14ac:dyDescent="0.2">
      <c r="BN15329" s="192"/>
      <c r="BO15329" s="197"/>
      <c r="BP15329" s="197"/>
      <c r="BQ15329" s="197"/>
    </row>
    <row r="15330" spans="66:69" x14ac:dyDescent="0.2">
      <c r="BN15330" s="192"/>
      <c r="BO15330" s="197"/>
      <c r="BP15330" s="197"/>
      <c r="BQ15330" s="197"/>
    </row>
    <row r="15331" spans="66:69" x14ac:dyDescent="0.2">
      <c r="BN15331" s="192"/>
      <c r="BO15331" s="197"/>
      <c r="BP15331" s="197"/>
      <c r="BQ15331" s="197"/>
    </row>
    <row r="15332" spans="66:69" x14ac:dyDescent="0.2">
      <c r="BN15332" s="192"/>
      <c r="BO15332" s="197"/>
      <c r="BP15332" s="197"/>
      <c r="BQ15332" s="197"/>
    </row>
    <row r="15333" spans="66:69" x14ac:dyDescent="0.2">
      <c r="BN15333" s="192"/>
      <c r="BO15333" s="197"/>
      <c r="BP15333" s="197"/>
      <c r="BQ15333" s="197"/>
    </row>
    <row r="15334" spans="66:69" x14ac:dyDescent="0.2">
      <c r="BN15334" s="192"/>
      <c r="BO15334" s="197"/>
      <c r="BP15334" s="197"/>
      <c r="BQ15334" s="197"/>
    </row>
    <row r="15335" spans="66:69" x14ac:dyDescent="0.2">
      <c r="BN15335" s="192"/>
      <c r="BO15335" s="197"/>
      <c r="BP15335" s="197"/>
      <c r="BQ15335" s="197"/>
    </row>
    <row r="15336" spans="66:69" x14ac:dyDescent="0.2">
      <c r="BN15336" s="192"/>
      <c r="BO15336" s="197"/>
      <c r="BP15336" s="197"/>
      <c r="BQ15336" s="197"/>
    </row>
    <row r="15337" spans="66:69" x14ac:dyDescent="0.2">
      <c r="BN15337" s="192"/>
      <c r="BO15337" s="197"/>
      <c r="BP15337" s="197"/>
      <c r="BQ15337" s="197"/>
    </row>
    <row r="15338" spans="66:69" x14ac:dyDescent="0.2">
      <c r="BN15338" s="192"/>
      <c r="BO15338" s="197"/>
      <c r="BP15338" s="197"/>
      <c r="BQ15338" s="197"/>
    </row>
    <row r="15339" spans="66:69" x14ac:dyDescent="0.2">
      <c r="BN15339" s="192"/>
      <c r="BO15339" s="197"/>
      <c r="BP15339" s="197"/>
      <c r="BQ15339" s="197"/>
    </row>
    <row r="15340" spans="66:69" x14ac:dyDescent="0.2">
      <c r="BN15340" s="192"/>
      <c r="BO15340" s="197"/>
      <c r="BP15340" s="197"/>
      <c r="BQ15340" s="197"/>
    </row>
    <row r="15341" spans="66:69" x14ac:dyDescent="0.2">
      <c r="BN15341" s="192"/>
      <c r="BO15341" s="197"/>
      <c r="BP15341" s="197"/>
      <c r="BQ15341" s="197"/>
    </row>
    <row r="15342" spans="66:69" x14ac:dyDescent="0.2">
      <c r="BN15342" s="192"/>
      <c r="BO15342" s="197"/>
      <c r="BP15342" s="197"/>
      <c r="BQ15342" s="197"/>
    </row>
    <row r="15343" spans="66:69" x14ac:dyDescent="0.2">
      <c r="BN15343" s="192"/>
      <c r="BO15343" s="197"/>
      <c r="BP15343" s="197"/>
      <c r="BQ15343" s="197"/>
    </row>
    <row r="15344" spans="66:69" x14ac:dyDescent="0.2">
      <c r="BN15344" s="192"/>
      <c r="BO15344" s="197"/>
      <c r="BP15344" s="197"/>
      <c r="BQ15344" s="197"/>
    </row>
    <row r="15345" spans="66:69" x14ac:dyDescent="0.2">
      <c r="BN15345" s="192"/>
      <c r="BO15345" s="197"/>
      <c r="BP15345" s="197"/>
      <c r="BQ15345" s="197"/>
    </row>
    <row r="15346" spans="66:69" x14ac:dyDescent="0.2">
      <c r="BN15346" s="192"/>
      <c r="BO15346" s="197"/>
      <c r="BP15346" s="197"/>
      <c r="BQ15346" s="197"/>
    </row>
    <row r="15347" spans="66:69" x14ac:dyDescent="0.2">
      <c r="BN15347" s="192"/>
      <c r="BO15347" s="197"/>
      <c r="BP15347" s="197"/>
      <c r="BQ15347" s="197"/>
    </row>
    <row r="15348" spans="66:69" x14ac:dyDescent="0.2">
      <c r="BN15348" s="192"/>
      <c r="BO15348" s="197"/>
      <c r="BP15348" s="197"/>
      <c r="BQ15348" s="197"/>
    </row>
    <row r="15349" spans="66:69" x14ac:dyDescent="0.2">
      <c r="BN15349" s="192"/>
      <c r="BO15349" s="197"/>
      <c r="BP15349" s="197"/>
      <c r="BQ15349" s="197"/>
    </row>
    <row r="15350" spans="66:69" x14ac:dyDescent="0.2">
      <c r="BN15350" s="192"/>
      <c r="BO15350" s="197"/>
      <c r="BP15350" s="197"/>
      <c r="BQ15350" s="197"/>
    </row>
    <row r="15351" spans="66:69" x14ac:dyDescent="0.2">
      <c r="BN15351" s="192"/>
      <c r="BO15351" s="197"/>
      <c r="BP15351" s="197"/>
      <c r="BQ15351" s="197"/>
    </row>
    <row r="15352" spans="66:69" x14ac:dyDescent="0.2">
      <c r="BN15352" s="192"/>
      <c r="BO15352" s="197"/>
      <c r="BP15352" s="197"/>
      <c r="BQ15352" s="197"/>
    </row>
    <row r="15353" spans="66:69" x14ac:dyDescent="0.2">
      <c r="BN15353" s="192"/>
      <c r="BO15353" s="197"/>
      <c r="BP15353" s="197"/>
      <c r="BQ15353" s="197"/>
    </row>
    <row r="15354" spans="66:69" x14ac:dyDescent="0.2">
      <c r="BN15354" s="192"/>
      <c r="BO15354" s="197"/>
      <c r="BP15354" s="197"/>
      <c r="BQ15354" s="197"/>
    </row>
    <row r="15355" spans="66:69" x14ac:dyDescent="0.2">
      <c r="BN15355" s="192"/>
      <c r="BO15355" s="197"/>
      <c r="BP15355" s="197"/>
      <c r="BQ15355" s="197"/>
    </row>
    <row r="15356" spans="66:69" x14ac:dyDescent="0.2">
      <c r="BN15356" s="192"/>
      <c r="BO15356" s="197"/>
      <c r="BP15356" s="197"/>
      <c r="BQ15356" s="197"/>
    </row>
    <row r="15357" spans="66:69" x14ac:dyDescent="0.2">
      <c r="BN15357" s="192"/>
      <c r="BO15357" s="197"/>
      <c r="BP15357" s="197"/>
      <c r="BQ15357" s="197"/>
    </row>
    <row r="15358" spans="66:69" x14ac:dyDescent="0.2">
      <c r="BN15358" s="192"/>
      <c r="BO15358" s="197"/>
      <c r="BP15358" s="197"/>
      <c r="BQ15358" s="197"/>
    </row>
    <row r="15359" spans="66:69" x14ac:dyDescent="0.2">
      <c r="BN15359" s="192"/>
      <c r="BO15359" s="197"/>
      <c r="BP15359" s="197"/>
      <c r="BQ15359" s="197"/>
    </row>
    <row r="15360" spans="66:69" x14ac:dyDescent="0.2">
      <c r="BN15360" s="192"/>
      <c r="BO15360" s="197"/>
      <c r="BP15360" s="197"/>
      <c r="BQ15360" s="197"/>
    </row>
    <row r="15361" spans="66:69" x14ac:dyDescent="0.2">
      <c r="BN15361" s="192"/>
      <c r="BO15361" s="197"/>
      <c r="BP15361" s="197"/>
      <c r="BQ15361" s="197"/>
    </row>
    <row r="15362" spans="66:69" x14ac:dyDescent="0.2">
      <c r="BN15362" s="192"/>
      <c r="BO15362" s="197"/>
      <c r="BP15362" s="197"/>
      <c r="BQ15362" s="197"/>
    </row>
    <row r="15363" spans="66:69" x14ac:dyDescent="0.2">
      <c r="BN15363" s="192"/>
      <c r="BO15363" s="197"/>
      <c r="BP15363" s="197"/>
      <c r="BQ15363" s="197"/>
    </row>
    <row r="15364" spans="66:69" x14ac:dyDescent="0.2">
      <c r="BN15364" s="192"/>
      <c r="BO15364" s="197"/>
      <c r="BP15364" s="197"/>
      <c r="BQ15364" s="197"/>
    </row>
    <row r="15365" spans="66:69" x14ac:dyDescent="0.2">
      <c r="BN15365" s="192"/>
      <c r="BO15365" s="197"/>
      <c r="BP15365" s="197"/>
      <c r="BQ15365" s="197"/>
    </row>
    <row r="15366" spans="66:69" x14ac:dyDescent="0.2">
      <c r="BN15366" s="192"/>
      <c r="BO15366" s="197"/>
      <c r="BP15366" s="197"/>
      <c r="BQ15366" s="197"/>
    </row>
    <row r="15367" spans="66:69" x14ac:dyDescent="0.2">
      <c r="BN15367" s="192"/>
      <c r="BO15367" s="197"/>
      <c r="BP15367" s="197"/>
      <c r="BQ15367" s="197"/>
    </row>
    <row r="15368" spans="66:69" x14ac:dyDescent="0.2">
      <c r="BN15368" s="192"/>
      <c r="BO15368" s="197"/>
      <c r="BP15368" s="197"/>
      <c r="BQ15368" s="197"/>
    </row>
    <row r="15369" spans="66:69" x14ac:dyDescent="0.2">
      <c r="BN15369" s="192"/>
      <c r="BO15369" s="197"/>
      <c r="BP15369" s="197"/>
      <c r="BQ15369" s="197"/>
    </row>
    <row r="15370" spans="66:69" x14ac:dyDescent="0.2">
      <c r="BN15370" s="192"/>
      <c r="BO15370" s="197"/>
      <c r="BP15370" s="197"/>
      <c r="BQ15370" s="197"/>
    </row>
    <row r="15371" spans="66:69" x14ac:dyDescent="0.2">
      <c r="BN15371" s="192"/>
      <c r="BO15371" s="197"/>
      <c r="BP15371" s="197"/>
      <c r="BQ15371" s="197"/>
    </row>
    <row r="15372" spans="66:69" x14ac:dyDescent="0.2">
      <c r="BN15372" s="192"/>
      <c r="BO15372" s="197"/>
      <c r="BP15372" s="197"/>
      <c r="BQ15372" s="197"/>
    </row>
    <row r="15373" spans="66:69" x14ac:dyDescent="0.2">
      <c r="BN15373" s="192"/>
      <c r="BO15373" s="197"/>
      <c r="BP15373" s="197"/>
      <c r="BQ15373" s="197"/>
    </row>
    <row r="15374" spans="66:69" x14ac:dyDescent="0.2">
      <c r="BN15374" s="192"/>
      <c r="BO15374" s="197"/>
      <c r="BP15374" s="197"/>
      <c r="BQ15374" s="197"/>
    </row>
    <row r="15375" spans="66:69" x14ac:dyDescent="0.2">
      <c r="BN15375" s="192"/>
      <c r="BO15375" s="197"/>
      <c r="BP15375" s="197"/>
      <c r="BQ15375" s="197"/>
    </row>
    <row r="15376" spans="66:69" x14ac:dyDescent="0.2">
      <c r="BN15376" s="192"/>
      <c r="BO15376" s="197"/>
      <c r="BP15376" s="197"/>
      <c r="BQ15376" s="197"/>
    </row>
    <row r="15377" spans="66:69" x14ac:dyDescent="0.2">
      <c r="BN15377" s="192"/>
      <c r="BO15377" s="197"/>
      <c r="BP15377" s="197"/>
      <c r="BQ15377" s="197"/>
    </row>
    <row r="15378" spans="66:69" x14ac:dyDescent="0.2">
      <c r="BN15378" s="192"/>
      <c r="BO15378" s="197"/>
      <c r="BP15378" s="197"/>
      <c r="BQ15378" s="197"/>
    </row>
    <row r="15379" spans="66:69" x14ac:dyDescent="0.2">
      <c r="BN15379" s="192"/>
      <c r="BO15379" s="197"/>
      <c r="BP15379" s="197"/>
      <c r="BQ15379" s="197"/>
    </row>
    <row r="15380" spans="66:69" x14ac:dyDescent="0.2">
      <c r="BN15380" s="192"/>
      <c r="BO15380" s="197"/>
      <c r="BP15380" s="197"/>
      <c r="BQ15380" s="197"/>
    </row>
    <row r="15381" spans="66:69" x14ac:dyDescent="0.2">
      <c r="BN15381" s="192"/>
      <c r="BO15381" s="197"/>
      <c r="BP15381" s="197"/>
      <c r="BQ15381" s="197"/>
    </row>
    <row r="15382" spans="66:69" x14ac:dyDescent="0.2">
      <c r="BN15382" s="192"/>
      <c r="BO15382" s="197"/>
      <c r="BP15382" s="197"/>
      <c r="BQ15382" s="197"/>
    </row>
    <row r="15383" spans="66:69" x14ac:dyDescent="0.2">
      <c r="BN15383" s="192"/>
      <c r="BO15383" s="197"/>
      <c r="BP15383" s="197"/>
      <c r="BQ15383" s="197"/>
    </row>
    <row r="15384" spans="66:69" x14ac:dyDescent="0.2">
      <c r="BN15384" s="192"/>
      <c r="BO15384" s="197"/>
      <c r="BP15384" s="197"/>
      <c r="BQ15384" s="197"/>
    </row>
    <row r="15385" spans="66:69" x14ac:dyDescent="0.2">
      <c r="BN15385" s="192"/>
      <c r="BO15385" s="197"/>
      <c r="BP15385" s="197"/>
      <c r="BQ15385" s="197"/>
    </row>
    <row r="15386" spans="66:69" x14ac:dyDescent="0.2">
      <c r="BN15386" s="192"/>
      <c r="BO15386" s="197"/>
      <c r="BP15386" s="197"/>
      <c r="BQ15386" s="197"/>
    </row>
    <row r="15387" spans="66:69" x14ac:dyDescent="0.2">
      <c r="BN15387" s="192"/>
      <c r="BO15387" s="197"/>
      <c r="BP15387" s="197"/>
      <c r="BQ15387" s="197"/>
    </row>
    <row r="15388" spans="66:69" x14ac:dyDescent="0.2">
      <c r="BN15388" s="192"/>
      <c r="BO15388" s="197"/>
      <c r="BP15388" s="197"/>
      <c r="BQ15388" s="197"/>
    </row>
    <row r="15389" spans="66:69" x14ac:dyDescent="0.2">
      <c r="BN15389" s="192"/>
      <c r="BO15389" s="197"/>
      <c r="BP15389" s="197"/>
      <c r="BQ15389" s="197"/>
    </row>
    <row r="15390" spans="66:69" x14ac:dyDescent="0.2">
      <c r="BN15390" s="192"/>
      <c r="BO15390" s="197"/>
      <c r="BP15390" s="197"/>
      <c r="BQ15390" s="197"/>
    </row>
    <row r="15391" spans="66:69" x14ac:dyDescent="0.2">
      <c r="BN15391" s="192"/>
      <c r="BO15391" s="197"/>
      <c r="BP15391" s="197"/>
      <c r="BQ15391" s="197"/>
    </row>
    <row r="15392" spans="66:69" x14ac:dyDescent="0.2">
      <c r="BN15392" s="192"/>
      <c r="BO15392" s="197"/>
      <c r="BP15392" s="197"/>
      <c r="BQ15392" s="197"/>
    </row>
    <row r="15393" spans="66:69" x14ac:dyDescent="0.2">
      <c r="BN15393" s="192"/>
      <c r="BO15393" s="197"/>
      <c r="BP15393" s="197"/>
      <c r="BQ15393" s="197"/>
    </row>
    <row r="15394" spans="66:69" x14ac:dyDescent="0.2">
      <c r="BN15394" s="192"/>
      <c r="BO15394" s="197"/>
      <c r="BP15394" s="197"/>
      <c r="BQ15394" s="197"/>
    </row>
    <row r="15395" spans="66:69" x14ac:dyDescent="0.2">
      <c r="BN15395" s="192"/>
      <c r="BO15395" s="197"/>
      <c r="BP15395" s="197"/>
      <c r="BQ15395" s="197"/>
    </row>
    <row r="15396" spans="66:69" x14ac:dyDescent="0.2">
      <c r="BN15396" s="192"/>
      <c r="BO15396" s="197"/>
      <c r="BP15396" s="197"/>
      <c r="BQ15396" s="197"/>
    </row>
    <row r="15397" spans="66:69" x14ac:dyDescent="0.2">
      <c r="BN15397" s="192"/>
      <c r="BO15397" s="197"/>
      <c r="BP15397" s="197"/>
      <c r="BQ15397" s="197"/>
    </row>
    <row r="15398" spans="66:69" x14ac:dyDescent="0.2">
      <c r="BN15398" s="192"/>
      <c r="BO15398" s="197"/>
      <c r="BP15398" s="197"/>
      <c r="BQ15398" s="197"/>
    </row>
    <row r="15399" spans="66:69" x14ac:dyDescent="0.2">
      <c r="BN15399" s="192"/>
      <c r="BO15399" s="197"/>
      <c r="BP15399" s="197"/>
      <c r="BQ15399" s="197"/>
    </row>
    <row r="15400" spans="66:69" x14ac:dyDescent="0.2">
      <c r="BN15400" s="192"/>
      <c r="BO15400" s="197"/>
      <c r="BP15400" s="197"/>
      <c r="BQ15400" s="197"/>
    </row>
    <row r="15401" spans="66:69" x14ac:dyDescent="0.2">
      <c r="BN15401" s="192"/>
      <c r="BO15401" s="197"/>
      <c r="BP15401" s="197"/>
      <c r="BQ15401" s="197"/>
    </row>
    <row r="15402" spans="66:69" x14ac:dyDescent="0.2">
      <c r="BN15402" s="192"/>
      <c r="BO15402" s="197"/>
      <c r="BP15402" s="197"/>
      <c r="BQ15402" s="197"/>
    </row>
    <row r="15403" spans="66:69" x14ac:dyDescent="0.2">
      <c r="BN15403" s="192"/>
      <c r="BO15403" s="197"/>
      <c r="BP15403" s="197"/>
      <c r="BQ15403" s="197"/>
    </row>
    <row r="15404" spans="66:69" x14ac:dyDescent="0.2">
      <c r="BN15404" s="192"/>
      <c r="BO15404" s="197"/>
      <c r="BP15404" s="197"/>
      <c r="BQ15404" s="197"/>
    </row>
    <row r="15405" spans="66:69" x14ac:dyDescent="0.2">
      <c r="BN15405" s="192"/>
      <c r="BO15405" s="197"/>
      <c r="BP15405" s="197"/>
      <c r="BQ15405" s="197"/>
    </row>
    <row r="15406" spans="66:69" x14ac:dyDescent="0.2">
      <c r="BN15406" s="192"/>
      <c r="BO15406" s="197"/>
      <c r="BP15406" s="197"/>
      <c r="BQ15406" s="197"/>
    </row>
    <row r="15407" spans="66:69" x14ac:dyDescent="0.2">
      <c r="BN15407" s="192"/>
      <c r="BO15407" s="197"/>
      <c r="BP15407" s="197"/>
      <c r="BQ15407" s="197"/>
    </row>
    <row r="15408" spans="66:69" x14ac:dyDescent="0.2">
      <c r="BN15408" s="192"/>
      <c r="BO15408" s="197"/>
      <c r="BP15408" s="197"/>
      <c r="BQ15408" s="197"/>
    </row>
    <row r="15409" spans="66:69" x14ac:dyDescent="0.2">
      <c r="BN15409" s="192"/>
      <c r="BO15409" s="197"/>
      <c r="BP15409" s="197"/>
      <c r="BQ15409" s="197"/>
    </row>
    <row r="15410" spans="66:69" x14ac:dyDescent="0.2">
      <c r="BN15410" s="192"/>
      <c r="BO15410" s="197"/>
      <c r="BP15410" s="197"/>
      <c r="BQ15410" s="197"/>
    </row>
    <row r="15411" spans="66:69" x14ac:dyDescent="0.2">
      <c r="BN15411" s="192"/>
      <c r="BO15411" s="197"/>
      <c r="BP15411" s="197"/>
      <c r="BQ15411" s="197"/>
    </row>
    <row r="15412" spans="66:69" x14ac:dyDescent="0.2">
      <c r="BN15412" s="192"/>
      <c r="BO15412" s="197"/>
      <c r="BP15412" s="197"/>
      <c r="BQ15412" s="197"/>
    </row>
    <row r="15413" spans="66:69" x14ac:dyDescent="0.2">
      <c r="BN15413" s="192"/>
      <c r="BO15413" s="197"/>
      <c r="BP15413" s="197"/>
      <c r="BQ15413" s="197"/>
    </row>
    <row r="15414" spans="66:69" x14ac:dyDescent="0.2">
      <c r="BN15414" s="192"/>
      <c r="BO15414" s="197"/>
      <c r="BP15414" s="197"/>
      <c r="BQ15414" s="197"/>
    </row>
    <row r="15415" spans="66:69" x14ac:dyDescent="0.2">
      <c r="BN15415" s="192"/>
      <c r="BO15415" s="197"/>
      <c r="BP15415" s="197"/>
      <c r="BQ15415" s="197"/>
    </row>
    <row r="15416" spans="66:69" x14ac:dyDescent="0.2">
      <c r="BN15416" s="192"/>
      <c r="BO15416" s="197"/>
      <c r="BP15416" s="197"/>
      <c r="BQ15416" s="197"/>
    </row>
    <row r="15417" spans="66:69" x14ac:dyDescent="0.2">
      <c r="BN15417" s="192"/>
      <c r="BO15417" s="197"/>
      <c r="BP15417" s="197"/>
      <c r="BQ15417" s="197"/>
    </row>
    <row r="15418" spans="66:69" x14ac:dyDescent="0.2">
      <c r="BN15418" s="192"/>
      <c r="BO15418" s="197"/>
      <c r="BP15418" s="197"/>
      <c r="BQ15418" s="197"/>
    </row>
    <row r="15419" spans="66:69" x14ac:dyDescent="0.2">
      <c r="BN15419" s="192"/>
      <c r="BO15419" s="197"/>
      <c r="BP15419" s="197"/>
      <c r="BQ15419" s="197"/>
    </row>
    <row r="15420" spans="66:69" x14ac:dyDescent="0.2">
      <c r="BN15420" s="192"/>
      <c r="BO15420" s="197"/>
      <c r="BP15420" s="197"/>
      <c r="BQ15420" s="197"/>
    </row>
    <row r="15421" spans="66:69" x14ac:dyDescent="0.2">
      <c r="BN15421" s="192"/>
      <c r="BO15421" s="197"/>
      <c r="BP15421" s="197"/>
      <c r="BQ15421" s="197"/>
    </row>
    <row r="15422" spans="66:69" x14ac:dyDescent="0.2">
      <c r="BN15422" s="192"/>
      <c r="BO15422" s="197"/>
      <c r="BP15422" s="197"/>
      <c r="BQ15422" s="197"/>
    </row>
    <row r="15423" spans="66:69" x14ac:dyDescent="0.2">
      <c r="BN15423" s="192"/>
      <c r="BO15423" s="197"/>
      <c r="BP15423" s="197"/>
      <c r="BQ15423" s="197"/>
    </row>
    <row r="15424" spans="66:69" x14ac:dyDescent="0.2">
      <c r="BN15424" s="192"/>
      <c r="BO15424" s="197"/>
      <c r="BP15424" s="197"/>
      <c r="BQ15424" s="197"/>
    </row>
    <row r="15425" spans="66:69" x14ac:dyDescent="0.2">
      <c r="BN15425" s="192"/>
      <c r="BO15425" s="197"/>
      <c r="BP15425" s="197"/>
      <c r="BQ15425" s="197"/>
    </row>
    <row r="15426" spans="66:69" x14ac:dyDescent="0.2">
      <c r="BN15426" s="192"/>
      <c r="BO15426" s="197"/>
      <c r="BP15426" s="197"/>
      <c r="BQ15426" s="197"/>
    </row>
    <row r="15427" spans="66:69" x14ac:dyDescent="0.2">
      <c r="BN15427" s="192"/>
      <c r="BO15427" s="197"/>
      <c r="BP15427" s="197"/>
      <c r="BQ15427" s="197"/>
    </row>
    <row r="15428" spans="66:69" x14ac:dyDescent="0.2">
      <c r="BN15428" s="192"/>
      <c r="BO15428" s="197"/>
      <c r="BP15428" s="197"/>
      <c r="BQ15428" s="197"/>
    </row>
    <row r="15429" spans="66:69" x14ac:dyDescent="0.2">
      <c r="BN15429" s="192"/>
      <c r="BO15429" s="197"/>
      <c r="BP15429" s="197"/>
      <c r="BQ15429" s="197"/>
    </row>
    <row r="15430" spans="66:69" x14ac:dyDescent="0.2">
      <c r="BN15430" s="192"/>
      <c r="BO15430" s="197"/>
      <c r="BP15430" s="197"/>
      <c r="BQ15430" s="197"/>
    </row>
    <row r="15431" spans="66:69" x14ac:dyDescent="0.2">
      <c r="BN15431" s="192"/>
      <c r="BO15431" s="197"/>
      <c r="BP15431" s="197"/>
      <c r="BQ15431" s="197"/>
    </row>
    <row r="15432" spans="66:69" x14ac:dyDescent="0.2">
      <c r="BN15432" s="192"/>
      <c r="BO15432" s="197"/>
      <c r="BP15432" s="197"/>
      <c r="BQ15432" s="197"/>
    </row>
    <row r="15433" spans="66:69" x14ac:dyDescent="0.2">
      <c r="BN15433" s="192"/>
      <c r="BO15433" s="197"/>
      <c r="BP15433" s="197"/>
      <c r="BQ15433" s="197"/>
    </row>
    <row r="15434" spans="66:69" x14ac:dyDescent="0.2">
      <c r="BN15434" s="192"/>
      <c r="BO15434" s="197"/>
      <c r="BP15434" s="197"/>
      <c r="BQ15434" s="197"/>
    </row>
    <row r="15435" spans="66:69" x14ac:dyDescent="0.2">
      <c r="BN15435" s="192"/>
      <c r="BO15435" s="197"/>
      <c r="BP15435" s="197"/>
      <c r="BQ15435" s="197"/>
    </row>
    <row r="15436" spans="66:69" x14ac:dyDescent="0.2">
      <c r="BN15436" s="192"/>
      <c r="BO15436" s="197"/>
      <c r="BP15436" s="197"/>
      <c r="BQ15436" s="197"/>
    </row>
    <row r="15437" spans="66:69" x14ac:dyDescent="0.2">
      <c r="BN15437" s="192"/>
      <c r="BO15437" s="197"/>
      <c r="BP15437" s="197"/>
      <c r="BQ15437" s="197"/>
    </row>
    <row r="15438" spans="66:69" x14ac:dyDescent="0.2">
      <c r="BN15438" s="192"/>
      <c r="BO15438" s="197"/>
      <c r="BP15438" s="197"/>
      <c r="BQ15438" s="197"/>
    </row>
    <row r="15439" spans="66:69" x14ac:dyDescent="0.2">
      <c r="BN15439" s="192"/>
      <c r="BO15439" s="197"/>
      <c r="BP15439" s="197"/>
      <c r="BQ15439" s="197"/>
    </row>
    <row r="15440" spans="66:69" x14ac:dyDescent="0.2">
      <c r="BN15440" s="192"/>
      <c r="BO15440" s="197"/>
      <c r="BP15440" s="197"/>
      <c r="BQ15440" s="197"/>
    </row>
    <row r="15441" spans="66:69" x14ac:dyDescent="0.2">
      <c r="BN15441" s="192"/>
      <c r="BO15441" s="197"/>
      <c r="BP15441" s="197"/>
      <c r="BQ15441" s="197"/>
    </row>
    <row r="15442" spans="66:69" x14ac:dyDescent="0.2">
      <c r="BN15442" s="192"/>
      <c r="BO15442" s="197"/>
      <c r="BP15442" s="197"/>
      <c r="BQ15442" s="197"/>
    </row>
    <row r="15443" spans="66:69" x14ac:dyDescent="0.2">
      <c r="BN15443" s="192"/>
      <c r="BO15443" s="197"/>
      <c r="BP15443" s="197"/>
      <c r="BQ15443" s="197"/>
    </row>
    <row r="15444" spans="66:69" x14ac:dyDescent="0.2">
      <c r="BN15444" s="192"/>
      <c r="BO15444" s="197"/>
      <c r="BP15444" s="197"/>
      <c r="BQ15444" s="197"/>
    </row>
    <row r="15445" spans="66:69" x14ac:dyDescent="0.2">
      <c r="BN15445" s="192"/>
      <c r="BO15445" s="197"/>
      <c r="BP15445" s="197"/>
      <c r="BQ15445" s="197"/>
    </row>
    <row r="15446" spans="66:69" x14ac:dyDescent="0.2">
      <c r="BN15446" s="192"/>
      <c r="BO15446" s="197"/>
      <c r="BP15446" s="197"/>
      <c r="BQ15446" s="197"/>
    </row>
    <row r="15447" spans="66:69" x14ac:dyDescent="0.2">
      <c r="BN15447" s="192"/>
      <c r="BO15447" s="197"/>
      <c r="BP15447" s="197"/>
      <c r="BQ15447" s="197"/>
    </row>
    <row r="15448" spans="66:69" x14ac:dyDescent="0.2">
      <c r="BN15448" s="192"/>
      <c r="BO15448" s="197"/>
      <c r="BP15448" s="197"/>
      <c r="BQ15448" s="197"/>
    </row>
    <row r="15449" spans="66:69" x14ac:dyDescent="0.2">
      <c r="BN15449" s="192"/>
      <c r="BO15449" s="197"/>
      <c r="BP15449" s="197"/>
      <c r="BQ15449" s="197"/>
    </row>
    <row r="15450" spans="66:69" x14ac:dyDescent="0.2">
      <c r="BN15450" s="192"/>
      <c r="BO15450" s="197"/>
      <c r="BP15450" s="197"/>
      <c r="BQ15450" s="197"/>
    </row>
    <row r="15451" spans="66:69" x14ac:dyDescent="0.2">
      <c r="BN15451" s="192"/>
      <c r="BO15451" s="197"/>
      <c r="BP15451" s="197"/>
      <c r="BQ15451" s="197"/>
    </row>
    <row r="15452" spans="66:69" x14ac:dyDescent="0.2">
      <c r="BN15452" s="192"/>
      <c r="BO15452" s="197"/>
      <c r="BP15452" s="197"/>
      <c r="BQ15452" s="197"/>
    </row>
    <row r="15453" spans="66:69" x14ac:dyDescent="0.2">
      <c r="BN15453" s="192"/>
      <c r="BO15453" s="197"/>
      <c r="BP15453" s="197"/>
      <c r="BQ15453" s="197"/>
    </row>
    <row r="15454" spans="66:69" x14ac:dyDescent="0.2">
      <c r="BN15454" s="192"/>
      <c r="BO15454" s="197"/>
      <c r="BP15454" s="197"/>
      <c r="BQ15454" s="197"/>
    </row>
    <row r="15455" spans="66:69" x14ac:dyDescent="0.2">
      <c r="BN15455" s="192"/>
      <c r="BO15455" s="197"/>
      <c r="BP15455" s="197"/>
      <c r="BQ15455" s="197"/>
    </row>
    <row r="15456" spans="66:69" x14ac:dyDescent="0.2">
      <c r="BN15456" s="192"/>
      <c r="BO15456" s="197"/>
      <c r="BP15456" s="197"/>
      <c r="BQ15456" s="197"/>
    </row>
    <row r="15457" spans="66:69" x14ac:dyDescent="0.2">
      <c r="BN15457" s="192"/>
      <c r="BO15457" s="197"/>
      <c r="BP15457" s="197"/>
      <c r="BQ15457" s="197"/>
    </row>
    <row r="15458" spans="66:69" x14ac:dyDescent="0.2">
      <c r="BN15458" s="192"/>
      <c r="BO15458" s="197"/>
      <c r="BP15458" s="197"/>
      <c r="BQ15458" s="197"/>
    </row>
    <row r="15459" spans="66:69" x14ac:dyDescent="0.2">
      <c r="BN15459" s="192"/>
      <c r="BO15459" s="197"/>
      <c r="BP15459" s="197"/>
      <c r="BQ15459" s="197"/>
    </row>
    <row r="15460" spans="66:69" x14ac:dyDescent="0.2">
      <c r="BN15460" s="192"/>
      <c r="BO15460" s="197"/>
      <c r="BP15460" s="197"/>
      <c r="BQ15460" s="197"/>
    </row>
    <row r="15461" spans="66:69" x14ac:dyDescent="0.2">
      <c r="BN15461" s="192"/>
      <c r="BO15461" s="197"/>
      <c r="BP15461" s="197"/>
      <c r="BQ15461" s="197"/>
    </row>
    <row r="15462" spans="66:69" x14ac:dyDescent="0.2">
      <c r="BN15462" s="192"/>
      <c r="BO15462" s="197"/>
      <c r="BP15462" s="197"/>
      <c r="BQ15462" s="197"/>
    </row>
    <row r="15463" spans="66:69" x14ac:dyDescent="0.2">
      <c r="BN15463" s="192"/>
      <c r="BO15463" s="197"/>
      <c r="BP15463" s="197"/>
      <c r="BQ15463" s="197"/>
    </row>
    <row r="15464" spans="66:69" x14ac:dyDescent="0.2">
      <c r="BN15464" s="192"/>
      <c r="BO15464" s="197"/>
      <c r="BP15464" s="197"/>
      <c r="BQ15464" s="197"/>
    </row>
    <row r="15465" spans="66:69" x14ac:dyDescent="0.2">
      <c r="BN15465" s="192"/>
      <c r="BO15465" s="197"/>
      <c r="BP15465" s="197"/>
      <c r="BQ15465" s="197"/>
    </row>
    <row r="15466" spans="66:69" x14ac:dyDescent="0.2">
      <c r="BN15466" s="192"/>
      <c r="BO15466" s="197"/>
      <c r="BP15466" s="197"/>
      <c r="BQ15466" s="197"/>
    </row>
    <row r="15467" spans="66:69" x14ac:dyDescent="0.2">
      <c r="BN15467" s="192"/>
      <c r="BO15467" s="197"/>
      <c r="BP15467" s="197"/>
      <c r="BQ15467" s="197"/>
    </row>
    <row r="15468" spans="66:69" x14ac:dyDescent="0.2">
      <c r="BN15468" s="192"/>
      <c r="BO15468" s="197"/>
      <c r="BP15468" s="197"/>
      <c r="BQ15468" s="197"/>
    </row>
    <row r="15469" spans="66:69" x14ac:dyDescent="0.2">
      <c r="BN15469" s="192"/>
      <c r="BO15469" s="197"/>
      <c r="BP15469" s="197"/>
      <c r="BQ15469" s="197"/>
    </row>
    <row r="15470" spans="66:69" x14ac:dyDescent="0.2">
      <c r="BN15470" s="192"/>
      <c r="BO15470" s="197"/>
      <c r="BP15470" s="197"/>
      <c r="BQ15470" s="197"/>
    </row>
    <row r="15471" spans="66:69" x14ac:dyDescent="0.2">
      <c r="BN15471" s="192"/>
      <c r="BO15471" s="197"/>
      <c r="BP15471" s="197"/>
      <c r="BQ15471" s="197"/>
    </row>
    <row r="15472" spans="66:69" x14ac:dyDescent="0.2">
      <c r="BN15472" s="192"/>
      <c r="BO15472" s="197"/>
      <c r="BP15472" s="197"/>
      <c r="BQ15472" s="197"/>
    </row>
    <row r="15473" spans="66:69" x14ac:dyDescent="0.2">
      <c r="BN15473" s="192"/>
      <c r="BO15473" s="197"/>
      <c r="BP15473" s="197"/>
      <c r="BQ15473" s="197"/>
    </row>
    <row r="15474" spans="66:69" x14ac:dyDescent="0.2">
      <c r="BN15474" s="192"/>
      <c r="BO15474" s="197"/>
      <c r="BP15474" s="197"/>
      <c r="BQ15474" s="197"/>
    </row>
    <row r="15475" spans="66:69" x14ac:dyDescent="0.2">
      <c r="BN15475" s="192"/>
      <c r="BO15475" s="197"/>
      <c r="BP15475" s="197"/>
      <c r="BQ15475" s="197"/>
    </row>
    <row r="15476" spans="66:69" x14ac:dyDescent="0.2">
      <c r="BN15476" s="192"/>
      <c r="BO15476" s="197"/>
      <c r="BP15476" s="197"/>
      <c r="BQ15476" s="197"/>
    </row>
    <row r="15477" spans="66:69" x14ac:dyDescent="0.2">
      <c r="BN15477" s="192"/>
      <c r="BO15477" s="197"/>
      <c r="BP15477" s="197"/>
      <c r="BQ15477" s="197"/>
    </row>
    <row r="15478" spans="66:69" x14ac:dyDescent="0.2">
      <c r="BN15478" s="192"/>
      <c r="BO15478" s="197"/>
      <c r="BP15478" s="197"/>
      <c r="BQ15478" s="197"/>
    </row>
    <row r="15479" spans="66:69" x14ac:dyDescent="0.2">
      <c r="BN15479" s="192"/>
      <c r="BO15479" s="197"/>
      <c r="BP15479" s="197"/>
      <c r="BQ15479" s="197"/>
    </row>
    <row r="15480" spans="66:69" x14ac:dyDescent="0.2">
      <c r="BN15480" s="192"/>
      <c r="BO15480" s="197"/>
      <c r="BP15480" s="197"/>
      <c r="BQ15480" s="197"/>
    </row>
    <row r="15481" spans="66:69" x14ac:dyDescent="0.2">
      <c r="BN15481" s="192"/>
      <c r="BO15481" s="197"/>
      <c r="BP15481" s="197"/>
      <c r="BQ15481" s="197"/>
    </row>
    <row r="15482" spans="66:69" x14ac:dyDescent="0.2">
      <c r="BN15482" s="192"/>
      <c r="BO15482" s="197"/>
      <c r="BP15482" s="197"/>
      <c r="BQ15482" s="197"/>
    </row>
    <row r="15483" spans="66:69" x14ac:dyDescent="0.2">
      <c r="BN15483" s="192"/>
      <c r="BO15483" s="197"/>
      <c r="BP15483" s="197"/>
      <c r="BQ15483" s="197"/>
    </row>
    <row r="15484" spans="66:69" x14ac:dyDescent="0.2">
      <c r="BN15484" s="192"/>
      <c r="BO15484" s="197"/>
      <c r="BP15484" s="197"/>
      <c r="BQ15484" s="197"/>
    </row>
    <row r="15485" spans="66:69" x14ac:dyDescent="0.2">
      <c r="BN15485" s="192"/>
      <c r="BO15485" s="197"/>
      <c r="BP15485" s="197"/>
      <c r="BQ15485" s="197"/>
    </row>
    <row r="15486" spans="66:69" x14ac:dyDescent="0.2">
      <c r="BN15486" s="192"/>
      <c r="BO15486" s="197"/>
      <c r="BP15486" s="197"/>
      <c r="BQ15486" s="197"/>
    </row>
    <row r="15487" spans="66:69" x14ac:dyDescent="0.2">
      <c r="BN15487" s="192"/>
      <c r="BO15487" s="197"/>
      <c r="BP15487" s="197"/>
      <c r="BQ15487" s="197"/>
    </row>
    <row r="15488" spans="66:69" x14ac:dyDescent="0.2">
      <c r="BN15488" s="192"/>
      <c r="BO15488" s="197"/>
      <c r="BP15488" s="197"/>
      <c r="BQ15488" s="197"/>
    </row>
    <row r="15489" spans="66:69" x14ac:dyDescent="0.2">
      <c r="BN15489" s="192"/>
      <c r="BO15489" s="197"/>
      <c r="BP15489" s="197"/>
      <c r="BQ15489" s="197"/>
    </row>
    <row r="15490" spans="66:69" x14ac:dyDescent="0.2">
      <c r="BN15490" s="192"/>
      <c r="BO15490" s="197"/>
      <c r="BP15490" s="197"/>
      <c r="BQ15490" s="197"/>
    </row>
    <row r="15491" spans="66:69" x14ac:dyDescent="0.2">
      <c r="BN15491" s="192"/>
      <c r="BO15491" s="197"/>
      <c r="BP15491" s="197"/>
      <c r="BQ15491" s="197"/>
    </row>
    <row r="15492" spans="66:69" x14ac:dyDescent="0.2">
      <c r="BN15492" s="192"/>
      <c r="BO15492" s="197"/>
      <c r="BP15492" s="197"/>
      <c r="BQ15492" s="197"/>
    </row>
    <row r="15493" spans="66:69" x14ac:dyDescent="0.2">
      <c r="BN15493" s="192"/>
      <c r="BO15493" s="197"/>
      <c r="BP15493" s="197"/>
      <c r="BQ15493" s="197"/>
    </row>
    <row r="15494" spans="66:69" x14ac:dyDescent="0.2">
      <c r="BN15494" s="192"/>
      <c r="BO15494" s="197"/>
      <c r="BP15494" s="197"/>
      <c r="BQ15494" s="197"/>
    </row>
    <row r="15495" spans="66:69" x14ac:dyDescent="0.2">
      <c r="BN15495" s="192"/>
      <c r="BO15495" s="197"/>
      <c r="BP15495" s="197"/>
      <c r="BQ15495" s="197"/>
    </row>
    <row r="15496" spans="66:69" x14ac:dyDescent="0.2">
      <c r="BN15496" s="192"/>
      <c r="BO15496" s="197"/>
      <c r="BP15496" s="197"/>
      <c r="BQ15496" s="197"/>
    </row>
    <row r="15497" spans="66:69" x14ac:dyDescent="0.2">
      <c r="BN15497" s="192"/>
      <c r="BO15497" s="197"/>
      <c r="BP15497" s="197"/>
      <c r="BQ15497" s="197"/>
    </row>
    <row r="15498" spans="66:69" x14ac:dyDescent="0.2">
      <c r="BN15498" s="192"/>
      <c r="BO15498" s="197"/>
      <c r="BP15498" s="197"/>
      <c r="BQ15498" s="197"/>
    </row>
    <row r="15499" spans="66:69" x14ac:dyDescent="0.2">
      <c r="BN15499" s="192"/>
      <c r="BO15499" s="197"/>
      <c r="BP15499" s="197"/>
      <c r="BQ15499" s="197"/>
    </row>
    <row r="15500" spans="66:69" x14ac:dyDescent="0.2">
      <c r="BN15500" s="192"/>
      <c r="BO15500" s="197"/>
      <c r="BP15500" s="197"/>
      <c r="BQ15500" s="197"/>
    </row>
    <row r="15501" spans="66:69" x14ac:dyDescent="0.2">
      <c r="BN15501" s="192"/>
      <c r="BO15501" s="197"/>
      <c r="BP15501" s="197"/>
      <c r="BQ15501" s="197"/>
    </row>
    <row r="15502" spans="66:69" x14ac:dyDescent="0.2">
      <c r="BN15502" s="192"/>
      <c r="BO15502" s="197"/>
      <c r="BP15502" s="197"/>
      <c r="BQ15502" s="197"/>
    </row>
    <row r="15503" spans="66:69" x14ac:dyDescent="0.2">
      <c r="BN15503" s="192"/>
      <c r="BO15503" s="197"/>
      <c r="BP15503" s="197"/>
      <c r="BQ15503" s="197"/>
    </row>
    <row r="15504" spans="66:69" x14ac:dyDescent="0.2">
      <c r="BN15504" s="192"/>
      <c r="BO15504" s="197"/>
      <c r="BP15504" s="197"/>
      <c r="BQ15504" s="197"/>
    </row>
    <row r="15505" spans="66:69" x14ac:dyDescent="0.2">
      <c r="BN15505" s="192"/>
      <c r="BO15505" s="197"/>
      <c r="BP15505" s="197"/>
      <c r="BQ15505" s="197"/>
    </row>
    <row r="15506" spans="66:69" x14ac:dyDescent="0.2">
      <c r="BN15506" s="192"/>
      <c r="BO15506" s="197"/>
      <c r="BP15506" s="197"/>
      <c r="BQ15506" s="197"/>
    </row>
    <row r="15507" spans="66:69" x14ac:dyDescent="0.2">
      <c r="BN15507" s="192"/>
      <c r="BO15507" s="197"/>
      <c r="BP15507" s="197"/>
      <c r="BQ15507" s="197"/>
    </row>
    <row r="15508" spans="66:69" x14ac:dyDescent="0.2">
      <c r="BN15508" s="192"/>
      <c r="BO15508" s="197"/>
      <c r="BP15508" s="197"/>
      <c r="BQ15508" s="197"/>
    </row>
    <row r="15509" spans="66:69" x14ac:dyDescent="0.2">
      <c r="BN15509" s="192"/>
      <c r="BO15509" s="197"/>
      <c r="BP15509" s="197"/>
      <c r="BQ15509" s="197"/>
    </row>
    <row r="15510" spans="66:69" x14ac:dyDescent="0.2">
      <c r="BN15510" s="192"/>
      <c r="BO15510" s="197"/>
      <c r="BP15510" s="197"/>
      <c r="BQ15510" s="197"/>
    </row>
    <row r="15511" spans="66:69" x14ac:dyDescent="0.2">
      <c r="BN15511" s="192"/>
      <c r="BO15511" s="197"/>
      <c r="BP15511" s="197"/>
      <c r="BQ15511" s="197"/>
    </row>
    <row r="15512" spans="66:69" x14ac:dyDescent="0.2">
      <c r="BN15512" s="192"/>
      <c r="BO15512" s="197"/>
      <c r="BP15512" s="197"/>
      <c r="BQ15512" s="197"/>
    </row>
    <row r="15513" spans="66:69" x14ac:dyDescent="0.2">
      <c r="BN15513" s="192"/>
      <c r="BO15513" s="197"/>
      <c r="BP15513" s="197"/>
      <c r="BQ15513" s="197"/>
    </row>
    <row r="15514" spans="66:69" x14ac:dyDescent="0.2">
      <c r="BN15514" s="192"/>
      <c r="BO15514" s="197"/>
      <c r="BP15514" s="197"/>
      <c r="BQ15514" s="197"/>
    </row>
    <row r="15515" spans="66:69" x14ac:dyDescent="0.2">
      <c r="BN15515" s="192"/>
      <c r="BO15515" s="197"/>
      <c r="BP15515" s="197"/>
      <c r="BQ15515" s="197"/>
    </row>
    <row r="15516" spans="66:69" x14ac:dyDescent="0.2">
      <c r="BN15516" s="192"/>
      <c r="BO15516" s="197"/>
      <c r="BP15516" s="197"/>
      <c r="BQ15516" s="197"/>
    </row>
    <row r="15517" spans="66:69" x14ac:dyDescent="0.2">
      <c r="BN15517" s="192"/>
      <c r="BO15517" s="197"/>
      <c r="BP15517" s="197"/>
      <c r="BQ15517" s="197"/>
    </row>
    <row r="15518" spans="66:69" x14ac:dyDescent="0.2">
      <c r="BN15518" s="192"/>
      <c r="BO15518" s="197"/>
      <c r="BP15518" s="197"/>
      <c r="BQ15518" s="197"/>
    </row>
    <row r="15519" spans="66:69" x14ac:dyDescent="0.2">
      <c r="BN15519" s="192"/>
      <c r="BO15519" s="197"/>
      <c r="BP15519" s="197"/>
      <c r="BQ15519" s="197"/>
    </row>
    <row r="15520" spans="66:69" x14ac:dyDescent="0.2">
      <c r="BN15520" s="192"/>
      <c r="BO15520" s="197"/>
      <c r="BP15520" s="197"/>
      <c r="BQ15520" s="197"/>
    </row>
    <row r="15521" spans="66:69" x14ac:dyDescent="0.2">
      <c r="BN15521" s="192"/>
      <c r="BO15521" s="197"/>
      <c r="BP15521" s="197"/>
      <c r="BQ15521" s="197"/>
    </row>
    <row r="15522" spans="66:69" x14ac:dyDescent="0.2">
      <c r="BN15522" s="192"/>
      <c r="BO15522" s="197"/>
      <c r="BP15522" s="197"/>
      <c r="BQ15522" s="197"/>
    </row>
    <row r="15523" spans="66:69" x14ac:dyDescent="0.2">
      <c r="BN15523" s="192"/>
      <c r="BO15523" s="197"/>
      <c r="BP15523" s="197"/>
      <c r="BQ15523" s="197"/>
    </row>
    <row r="15524" spans="66:69" x14ac:dyDescent="0.2">
      <c r="BN15524" s="192"/>
      <c r="BO15524" s="197"/>
      <c r="BP15524" s="197"/>
      <c r="BQ15524" s="197"/>
    </row>
    <row r="15525" spans="66:69" x14ac:dyDescent="0.2">
      <c r="BN15525" s="192"/>
      <c r="BO15525" s="197"/>
      <c r="BP15525" s="197"/>
      <c r="BQ15525" s="197"/>
    </row>
    <row r="15526" spans="66:69" x14ac:dyDescent="0.2">
      <c r="BN15526" s="192"/>
      <c r="BO15526" s="197"/>
      <c r="BP15526" s="197"/>
      <c r="BQ15526" s="197"/>
    </row>
    <row r="15527" spans="66:69" x14ac:dyDescent="0.2">
      <c r="BN15527" s="192"/>
      <c r="BO15527" s="197"/>
      <c r="BP15527" s="197"/>
      <c r="BQ15527" s="197"/>
    </row>
    <row r="15528" spans="66:69" x14ac:dyDescent="0.2">
      <c r="BN15528" s="192"/>
      <c r="BO15528" s="197"/>
      <c r="BP15528" s="197"/>
      <c r="BQ15528" s="197"/>
    </row>
    <row r="15529" spans="66:69" x14ac:dyDescent="0.2">
      <c r="BN15529" s="192"/>
      <c r="BO15529" s="197"/>
      <c r="BP15529" s="197"/>
      <c r="BQ15529" s="197"/>
    </row>
    <row r="15530" spans="66:69" x14ac:dyDescent="0.2">
      <c r="BN15530" s="192"/>
      <c r="BO15530" s="197"/>
      <c r="BP15530" s="197"/>
      <c r="BQ15530" s="197"/>
    </row>
    <row r="15531" spans="66:69" x14ac:dyDescent="0.2">
      <c r="BN15531" s="192"/>
      <c r="BO15531" s="197"/>
      <c r="BP15531" s="197"/>
      <c r="BQ15531" s="197"/>
    </row>
    <row r="15532" spans="66:69" x14ac:dyDescent="0.2">
      <c r="BN15532" s="192"/>
      <c r="BO15532" s="197"/>
      <c r="BP15532" s="197"/>
      <c r="BQ15532" s="197"/>
    </row>
    <row r="15533" spans="66:69" x14ac:dyDescent="0.2">
      <c r="BN15533" s="192"/>
      <c r="BO15533" s="197"/>
      <c r="BP15533" s="197"/>
      <c r="BQ15533" s="197"/>
    </row>
    <row r="15534" spans="66:69" x14ac:dyDescent="0.2">
      <c r="BN15534" s="192"/>
      <c r="BO15534" s="197"/>
      <c r="BP15534" s="197"/>
      <c r="BQ15534" s="197"/>
    </row>
    <row r="15535" spans="66:69" x14ac:dyDescent="0.2">
      <c r="BN15535" s="192"/>
      <c r="BO15535" s="197"/>
      <c r="BP15535" s="197"/>
      <c r="BQ15535" s="197"/>
    </row>
    <row r="15536" spans="66:69" x14ac:dyDescent="0.2">
      <c r="BN15536" s="192"/>
      <c r="BO15536" s="197"/>
      <c r="BP15536" s="197"/>
      <c r="BQ15536" s="197"/>
    </row>
    <row r="15537" spans="66:69" x14ac:dyDescent="0.2">
      <c r="BN15537" s="192"/>
      <c r="BO15537" s="197"/>
      <c r="BP15537" s="197"/>
      <c r="BQ15537" s="197"/>
    </row>
    <row r="15538" spans="66:69" x14ac:dyDescent="0.2">
      <c r="BN15538" s="192"/>
      <c r="BO15538" s="197"/>
      <c r="BP15538" s="197"/>
      <c r="BQ15538" s="197"/>
    </row>
    <row r="15539" spans="66:69" x14ac:dyDescent="0.2">
      <c r="BN15539" s="192"/>
      <c r="BO15539" s="197"/>
      <c r="BP15539" s="197"/>
      <c r="BQ15539" s="197"/>
    </row>
    <row r="15540" spans="66:69" x14ac:dyDescent="0.2">
      <c r="BN15540" s="192"/>
      <c r="BO15540" s="197"/>
      <c r="BP15540" s="197"/>
      <c r="BQ15540" s="197"/>
    </row>
    <row r="15541" spans="66:69" x14ac:dyDescent="0.2">
      <c r="BN15541" s="192"/>
      <c r="BO15541" s="197"/>
      <c r="BP15541" s="197"/>
      <c r="BQ15541" s="197"/>
    </row>
    <row r="15542" spans="66:69" x14ac:dyDescent="0.2">
      <c r="BN15542" s="192"/>
      <c r="BO15542" s="197"/>
      <c r="BP15542" s="197"/>
      <c r="BQ15542" s="197"/>
    </row>
    <row r="15543" spans="66:69" x14ac:dyDescent="0.2">
      <c r="BN15543" s="192"/>
      <c r="BO15543" s="197"/>
      <c r="BP15543" s="197"/>
      <c r="BQ15543" s="197"/>
    </row>
    <row r="15544" spans="66:69" x14ac:dyDescent="0.2">
      <c r="BN15544" s="192"/>
      <c r="BO15544" s="197"/>
      <c r="BP15544" s="197"/>
      <c r="BQ15544" s="197"/>
    </row>
    <row r="15545" spans="66:69" x14ac:dyDescent="0.2">
      <c r="BN15545" s="192"/>
      <c r="BO15545" s="197"/>
      <c r="BP15545" s="197"/>
      <c r="BQ15545" s="197"/>
    </row>
    <row r="15546" spans="66:69" x14ac:dyDescent="0.2">
      <c r="BN15546" s="192"/>
      <c r="BO15546" s="197"/>
      <c r="BP15546" s="197"/>
      <c r="BQ15546" s="197"/>
    </row>
    <row r="15547" spans="66:69" x14ac:dyDescent="0.2">
      <c r="BN15547" s="192"/>
      <c r="BO15547" s="197"/>
      <c r="BP15547" s="197"/>
      <c r="BQ15547" s="197"/>
    </row>
    <row r="15548" spans="66:69" x14ac:dyDescent="0.2">
      <c r="BN15548" s="192"/>
      <c r="BO15548" s="197"/>
      <c r="BP15548" s="197"/>
      <c r="BQ15548" s="197"/>
    </row>
    <row r="15549" spans="66:69" x14ac:dyDescent="0.2">
      <c r="BN15549" s="192"/>
      <c r="BO15549" s="197"/>
      <c r="BP15549" s="197"/>
      <c r="BQ15549" s="197"/>
    </row>
    <row r="15550" spans="66:69" x14ac:dyDescent="0.2">
      <c r="BN15550" s="192"/>
      <c r="BO15550" s="197"/>
      <c r="BP15550" s="197"/>
      <c r="BQ15550" s="197"/>
    </row>
    <row r="15551" spans="66:69" x14ac:dyDescent="0.2">
      <c r="BN15551" s="192"/>
      <c r="BO15551" s="197"/>
      <c r="BP15551" s="197"/>
      <c r="BQ15551" s="197"/>
    </row>
    <row r="15552" spans="66:69" x14ac:dyDescent="0.2">
      <c r="BN15552" s="192"/>
      <c r="BO15552" s="197"/>
      <c r="BP15552" s="197"/>
      <c r="BQ15552" s="197"/>
    </row>
    <row r="15553" spans="66:69" x14ac:dyDescent="0.2">
      <c r="BN15553" s="192"/>
      <c r="BO15553" s="197"/>
      <c r="BP15553" s="197"/>
      <c r="BQ15553" s="197"/>
    </row>
    <row r="15554" spans="66:69" x14ac:dyDescent="0.2">
      <c r="BN15554" s="192"/>
      <c r="BO15554" s="197"/>
      <c r="BP15554" s="197"/>
      <c r="BQ15554" s="197"/>
    </row>
    <row r="15555" spans="66:69" x14ac:dyDescent="0.2">
      <c r="BN15555" s="192"/>
      <c r="BO15555" s="197"/>
      <c r="BP15555" s="197"/>
      <c r="BQ15555" s="197"/>
    </row>
    <row r="15556" spans="66:69" x14ac:dyDescent="0.2">
      <c r="BN15556" s="192"/>
      <c r="BO15556" s="197"/>
      <c r="BP15556" s="197"/>
      <c r="BQ15556" s="197"/>
    </row>
    <row r="15557" spans="66:69" x14ac:dyDescent="0.2">
      <c r="BN15557" s="192"/>
      <c r="BO15557" s="197"/>
      <c r="BP15557" s="197"/>
      <c r="BQ15557" s="197"/>
    </row>
    <row r="15558" spans="66:69" x14ac:dyDescent="0.2">
      <c r="BN15558" s="192"/>
      <c r="BO15558" s="197"/>
      <c r="BP15558" s="197"/>
      <c r="BQ15558" s="197"/>
    </row>
    <row r="15559" spans="66:69" x14ac:dyDescent="0.2">
      <c r="BN15559" s="192"/>
      <c r="BO15559" s="197"/>
      <c r="BP15559" s="197"/>
      <c r="BQ15559" s="197"/>
    </row>
    <row r="15560" spans="66:69" x14ac:dyDescent="0.2">
      <c r="BN15560" s="192"/>
      <c r="BO15560" s="197"/>
      <c r="BP15560" s="197"/>
      <c r="BQ15560" s="197"/>
    </row>
    <row r="15561" spans="66:69" x14ac:dyDescent="0.2">
      <c r="BN15561" s="192"/>
      <c r="BO15561" s="197"/>
      <c r="BP15561" s="197"/>
      <c r="BQ15561" s="197"/>
    </row>
    <row r="15562" spans="66:69" x14ac:dyDescent="0.2">
      <c r="BN15562" s="192"/>
      <c r="BO15562" s="197"/>
      <c r="BP15562" s="197"/>
      <c r="BQ15562" s="197"/>
    </row>
    <row r="15563" spans="66:69" x14ac:dyDescent="0.2">
      <c r="BN15563" s="192"/>
      <c r="BO15563" s="197"/>
      <c r="BP15563" s="197"/>
      <c r="BQ15563" s="197"/>
    </row>
    <row r="15564" spans="66:69" x14ac:dyDescent="0.2">
      <c r="BN15564" s="192"/>
      <c r="BO15564" s="197"/>
      <c r="BP15564" s="197"/>
      <c r="BQ15564" s="197"/>
    </row>
    <row r="15565" spans="66:69" x14ac:dyDescent="0.2">
      <c r="BN15565" s="192"/>
      <c r="BO15565" s="197"/>
      <c r="BP15565" s="197"/>
      <c r="BQ15565" s="197"/>
    </row>
    <row r="15566" spans="66:69" x14ac:dyDescent="0.2">
      <c r="BN15566" s="192"/>
      <c r="BO15566" s="197"/>
      <c r="BP15566" s="197"/>
      <c r="BQ15566" s="197"/>
    </row>
    <row r="15567" spans="66:69" x14ac:dyDescent="0.2">
      <c r="BN15567" s="192"/>
      <c r="BO15567" s="197"/>
      <c r="BP15567" s="197"/>
      <c r="BQ15567" s="197"/>
    </row>
    <row r="15568" spans="66:69" x14ac:dyDescent="0.2">
      <c r="BN15568" s="192"/>
      <c r="BO15568" s="197"/>
      <c r="BP15568" s="197"/>
      <c r="BQ15568" s="197"/>
    </row>
    <row r="15569" spans="66:69" x14ac:dyDescent="0.2">
      <c r="BN15569" s="192"/>
      <c r="BO15569" s="197"/>
      <c r="BP15569" s="197"/>
      <c r="BQ15569" s="197"/>
    </row>
    <row r="15570" spans="66:69" x14ac:dyDescent="0.2">
      <c r="BN15570" s="192"/>
      <c r="BO15570" s="197"/>
      <c r="BP15570" s="197"/>
      <c r="BQ15570" s="197"/>
    </row>
    <row r="15571" spans="66:69" x14ac:dyDescent="0.2">
      <c r="BN15571" s="192"/>
      <c r="BO15571" s="197"/>
      <c r="BP15571" s="197"/>
      <c r="BQ15571" s="197"/>
    </row>
    <row r="15572" spans="66:69" x14ac:dyDescent="0.2">
      <c r="BN15572" s="192"/>
      <c r="BO15572" s="197"/>
      <c r="BP15572" s="197"/>
      <c r="BQ15572" s="197"/>
    </row>
    <row r="15573" spans="66:69" x14ac:dyDescent="0.2">
      <c r="BN15573" s="192"/>
      <c r="BO15573" s="197"/>
      <c r="BP15573" s="197"/>
      <c r="BQ15573" s="197"/>
    </row>
    <row r="15574" spans="66:69" x14ac:dyDescent="0.2">
      <c r="BN15574" s="192"/>
      <c r="BO15574" s="197"/>
      <c r="BP15574" s="197"/>
      <c r="BQ15574" s="197"/>
    </row>
    <row r="15575" spans="66:69" x14ac:dyDescent="0.2">
      <c r="BN15575" s="192"/>
      <c r="BO15575" s="197"/>
      <c r="BP15575" s="197"/>
      <c r="BQ15575" s="197"/>
    </row>
    <row r="15576" spans="66:69" x14ac:dyDescent="0.2">
      <c r="BN15576" s="192"/>
      <c r="BO15576" s="197"/>
      <c r="BP15576" s="197"/>
      <c r="BQ15576" s="197"/>
    </row>
    <row r="15577" spans="66:69" x14ac:dyDescent="0.2">
      <c r="BN15577" s="192"/>
      <c r="BO15577" s="197"/>
      <c r="BP15577" s="197"/>
      <c r="BQ15577" s="197"/>
    </row>
    <row r="15578" spans="66:69" x14ac:dyDescent="0.2">
      <c r="BN15578" s="192"/>
      <c r="BO15578" s="197"/>
      <c r="BP15578" s="197"/>
      <c r="BQ15578" s="197"/>
    </row>
    <row r="15579" spans="66:69" x14ac:dyDescent="0.2">
      <c r="BN15579" s="192"/>
      <c r="BO15579" s="197"/>
      <c r="BP15579" s="197"/>
      <c r="BQ15579" s="197"/>
    </row>
    <row r="15580" spans="66:69" x14ac:dyDescent="0.2">
      <c r="BN15580" s="192"/>
      <c r="BO15580" s="197"/>
      <c r="BP15580" s="197"/>
      <c r="BQ15580" s="197"/>
    </row>
    <row r="15581" spans="66:69" x14ac:dyDescent="0.2">
      <c r="BN15581" s="192"/>
      <c r="BO15581" s="197"/>
      <c r="BP15581" s="197"/>
      <c r="BQ15581" s="197"/>
    </row>
    <row r="15582" spans="66:69" x14ac:dyDescent="0.2">
      <c r="BN15582" s="192"/>
      <c r="BO15582" s="197"/>
      <c r="BP15582" s="197"/>
      <c r="BQ15582" s="197"/>
    </row>
    <row r="15583" spans="66:69" x14ac:dyDescent="0.2">
      <c r="BN15583" s="192"/>
      <c r="BO15583" s="197"/>
      <c r="BP15583" s="197"/>
      <c r="BQ15583" s="197"/>
    </row>
    <row r="15584" spans="66:69" x14ac:dyDescent="0.2">
      <c r="BN15584" s="192"/>
      <c r="BO15584" s="197"/>
      <c r="BP15584" s="197"/>
      <c r="BQ15584" s="197"/>
    </row>
    <row r="15585" spans="66:69" x14ac:dyDescent="0.2">
      <c r="BN15585" s="192"/>
      <c r="BO15585" s="197"/>
      <c r="BP15585" s="197"/>
      <c r="BQ15585" s="197"/>
    </row>
    <row r="15586" spans="66:69" x14ac:dyDescent="0.2">
      <c r="BN15586" s="192"/>
      <c r="BO15586" s="197"/>
      <c r="BP15586" s="197"/>
      <c r="BQ15586" s="197"/>
    </row>
    <row r="15587" spans="66:69" x14ac:dyDescent="0.2">
      <c r="BN15587" s="192"/>
      <c r="BO15587" s="197"/>
      <c r="BP15587" s="197"/>
      <c r="BQ15587" s="197"/>
    </row>
    <row r="15588" spans="66:69" x14ac:dyDescent="0.2">
      <c r="BN15588" s="192"/>
      <c r="BO15588" s="197"/>
      <c r="BP15588" s="197"/>
      <c r="BQ15588" s="197"/>
    </row>
    <row r="15589" spans="66:69" x14ac:dyDescent="0.2">
      <c r="BN15589" s="192"/>
      <c r="BO15589" s="197"/>
      <c r="BP15589" s="197"/>
      <c r="BQ15589" s="197"/>
    </row>
    <row r="15590" spans="66:69" x14ac:dyDescent="0.2">
      <c r="BN15590" s="192"/>
      <c r="BO15590" s="197"/>
      <c r="BP15590" s="197"/>
      <c r="BQ15590" s="197"/>
    </row>
    <row r="15591" spans="66:69" x14ac:dyDescent="0.2">
      <c r="BN15591" s="192"/>
      <c r="BO15591" s="197"/>
      <c r="BP15591" s="197"/>
      <c r="BQ15591" s="197"/>
    </row>
    <row r="15592" spans="66:69" x14ac:dyDescent="0.2">
      <c r="BN15592" s="192"/>
      <c r="BO15592" s="197"/>
      <c r="BP15592" s="197"/>
      <c r="BQ15592" s="197"/>
    </row>
    <row r="15593" spans="66:69" x14ac:dyDescent="0.2">
      <c r="BN15593" s="192"/>
      <c r="BO15593" s="197"/>
      <c r="BP15593" s="197"/>
      <c r="BQ15593" s="197"/>
    </row>
    <row r="15594" spans="66:69" x14ac:dyDescent="0.2">
      <c r="BN15594" s="192"/>
      <c r="BO15594" s="197"/>
      <c r="BP15594" s="197"/>
      <c r="BQ15594" s="197"/>
    </row>
    <row r="15595" spans="66:69" x14ac:dyDescent="0.2">
      <c r="BN15595" s="192"/>
      <c r="BO15595" s="197"/>
      <c r="BP15595" s="197"/>
      <c r="BQ15595" s="197"/>
    </row>
    <row r="15596" spans="66:69" x14ac:dyDescent="0.2">
      <c r="BN15596" s="192"/>
      <c r="BO15596" s="197"/>
      <c r="BP15596" s="197"/>
      <c r="BQ15596" s="197"/>
    </row>
    <row r="15597" spans="66:69" x14ac:dyDescent="0.2">
      <c r="BN15597" s="192"/>
      <c r="BO15597" s="197"/>
      <c r="BP15597" s="197"/>
      <c r="BQ15597" s="197"/>
    </row>
    <row r="15598" spans="66:69" x14ac:dyDescent="0.2">
      <c r="BN15598" s="192"/>
      <c r="BO15598" s="197"/>
      <c r="BP15598" s="197"/>
      <c r="BQ15598" s="197"/>
    </row>
    <row r="15599" spans="66:69" x14ac:dyDescent="0.2">
      <c r="BN15599" s="192"/>
      <c r="BO15599" s="197"/>
      <c r="BP15599" s="197"/>
      <c r="BQ15599" s="197"/>
    </row>
    <row r="15600" spans="66:69" x14ac:dyDescent="0.2">
      <c r="BN15600" s="192"/>
      <c r="BO15600" s="197"/>
      <c r="BP15600" s="197"/>
      <c r="BQ15600" s="197"/>
    </row>
    <row r="15601" spans="66:69" x14ac:dyDescent="0.2">
      <c r="BN15601" s="192"/>
      <c r="BO15601" s="197"/>
      <c r="BP15601" s="197"/>
      <c r="BQ15601" s="197"/>
    </row>
    <row r="15602" spans="66:69" x14ac:dyDescent="0.2">
      <c r="BN15602" s="192"/>
      <c r="BO15602" s="197"/>
      <c r="BP15602" s="197"/>
      <c r="BQ15602" s="197"/>
    </row>
    <row r="15603" spans="66:69" x14ac:dyDescent="0.2">
      <c r="BN15603" s="192"/>
      <c r="BO15603" s="197"/>
      <c r="BP15603" s="197"/>
      <c r="BQ15603" s="197"/>
    </row>
    <row r="15604" spans="66:69" x14ac:dyDescent="0.2">
      <c r="BN15604" s="192"/>
      <c r="BO15604" s="197"/>
      <c r="BP15604" s="197"/>
      <c r="BQ15604" s="197"/>
    </row>
    <row r="15605" spans="66:69" x14ac:dyDescent="0.2">
      <c r="BN15605" s="192"/>
      <c r="BO15605" s="197"/>
      <c r="BP15605" s="197"/>
      <c r="BQ15605" s="197"/>
    </row>
    <row r="15606" spans="66:69" x14ac:dyDescent="0.2">
      <c r="BN15606" s="192"/>
      <c r="BO15606" s="197"/>
      <c r="BP15606" s="197"/>
      <c r="BQ15606" s="197"/>
    </row>
    <row r="15607" spans="66:69" x14ac:dyDescent="0.2">
      <c r="BN15607" s="192"/>
      <c r="BO15607" s="197"/>
      <c r="BP15607" s="197"/>
      <c r="BQ15607" s="197"/>
    </row>
    <row r="15608" spans="66:69" x14ac:dyDescent="0.2">
      <c r="BN15608" s="192"/>
      <c r="BO15608" s="197"/>
      <c r="BP15608" s="197"/>
      <c r="BQ15608" s="197"/>
    </row>
    <row r="15609" spans="66:69" x14ac:dyDescent="0.2">
      <c r="BN15609" s="192"/>
      <c r="BO15609" s="197"/>
      <c r="BP15609" s="197"/>
      <c r="BQ15609" s="197"/>
    </row>
    <row r="15610" spans="66:69" x14ac:dyDescent="0.2">
      <c r="BN15610" s="192"/>
      <c r="BO15610" s="197"/>
      <c r="BP15610" s="197"/>
      <c r="BQ15610" s="197"/>
    </row>
    <row r="15611" spans="66:69" x14ac:dyDescent="0.2">
      <c r="BN15611" s="192"/>
      <c r="BO15611" s="197"/>
      <c r="BP15611" s="197"/>
      <c r="BQ15611" s="197"/>
    </row>
    <row r="15612" spans="66:69" x14ac:dyDescent="0.2">
      <c r="BN15612" s="192"/>
      <c r="BO15612" s="197"/>
      <c r="BP15612" s="197"/>
      <c r="BQ15612" s="197"/>
    </row>
    <row r="15613" spans="66:69" x14ac:dyDescent="0.2">
      <c r="BN15613" s="192"/>
      <c r="BO15613" s="197"/>
      <c r="BP15613" s="197"/>
      <c r="BQ15613" s="197"/>
    </row>
    <row r="15614" spans="66:69" x14ac:dyDescent="0.2">
      <c r="BN15614" s="192"/>
      <c r="BO15614" s="197"/>
      <c r="BP15614" s="197"/>
      <c r="BQ15614" s="197"/>
    </row>
    <row r="15615" spans="66:69" x14ac:dyDescent="0.2">
      <c r="BN15615" s="192"/>
      <c r="BO15615" s="197"/>
      <c r="BP15615" s="197"/>
      <c r="BQ15615" s="197"/>
    </row>
    <row r="15616" spans="66:69" x14ac:dyDescent="0.2">
      <c r="BN15616" s="192"/>
      <c r="BO15616" s="197"/>
      <c r="BP15616" s="197"/>
      <c r="BQ15616" s="197"/>
    </row>
    <row r="15617" spans="66:69" x14ac:dyDescent="0.2">
      <c r="BN15617" s="192"/>
      <c r="BO15617" s="197"/>
      <c r="BP15617" s="197"/>
      <c r="BQ15617" s="197"/>
    </row>
    <row r="15618" spans="66:69" x14ac:dyDescent="0.2">
      <c r="BN15618" s="192"/>
      <c r="BO15618" s="197"/>
      <c r="BP15618" s="197"/>
      <c r="BQ15618" s="197"/>
    </row>
    <row r="15619" spans="66:69" x14ac:dyDescent="0.2">
      <c r="BN15619" s="192"/>
      <c r="BO15619" s="197"/>
      <c r="BP15619" s="197"/>
      <c r="BQ15619" s="197"/>
    </row>
    <row r="15620" spans="66:69" x14ac:dyDescent="0.2">
      <c r="BN15620" s="192"/>
      <c r="BO15620" s="197"/>
      <c r="BP15620" s="197"/>
      <c r="BQ15620" s="197"/>
    </row>
    <row r="15621" spans="66:69" x14ac:dyDescent="0.2">
      <c r="BN15621" s="192"/>
      <c r="BO15621" s="197"/>
      <c r="BP15621" s="197"/>
      <c r="BQ15621" s="197"/>
    </row>
    <row r="15622" spans="66:69" x14ac:dyDescent="0.2">
      <c r="BN15622" s="192"/>
      <c r="BO15622" s="197"/>
      <c r="BP15622" s="197"/>
      <c r="BQ15622" s="197"/>
    </row>
    <row r="15623" spans="66:69" x14ac:dyDescent="0.2">
      <c r="BN15623" s="192"/>
      <c r="BO15623" s="197"/>
      <c r="BP15623" s="197"/>
      <c r="BQ15623" s="197"/>
    </row>
    <row r="15624" spans="66:69" x14ac:dyDescent="0.2">
      <c r="BN15624" s="192"/>
      <c r="BO15624" s="197"/>
      <c r="BP15624" s="197"/>
      <c r="BQ15624" s="197"/>
    </row>
    <row r="15625" spans="66:69" x14ac:dyDescent="0.2">
      <c r="BN15625" s="192"/>
      <c r="BO15625" s="197"/>
      <c r="BP15625" s="197"/>
      <c r="BQ15625" s="197"/>
    </row>
    <row r="15626" spans="66:69" x14ac:dyDescent="0.2">
      <c r="BN15626" s="192"/>
      <c r="BO15626" s="197"/>
      <c r="BP15626" s="197"/>
      <c r="BQ15626" s="197"/>
    </row>
    <row r="15627" spans="66:69" x14ac:dyDescent="0.2">
      <c r="BN15627" s="192"/>
      <c r="BO15627" s="197"/>
      <c r="BP15627" s="197"/>
      <c r="BQ15627" s="197"/>
    </row>
    <row r="15628" spans="66:69" x14ac:dyDescent="0.2">
      <c r="BN15628" s="192"/>
      <c r="BO15628" s="197"/>
      <c r="BP15628" s="197"/>
      <c r="BQ15628" s="197"/>
    </row>
    <row r="15629" spans="66:69" x14ac:dyDescent="0.2">
      <c r="BN15629" s="192"/>
      <c r="BO15629" s="197"/>
      <c r="BP15629" s="197"/>
      <c r="BQ15629" s="197"/>
    </row>
    <row r="15630" spans="66:69" x14ac:dyDescent="0.2">
      <c r="BN15630" s="192"/>
      <c r="BO15630" s="197"/>
      <c r="BP15630" s="197"/>
      <c r="BQ15630" s="197"/>
    </row>
    <row r="15631" spans="66:69" x14ac:dyDescent="0.2">
      <c r="BN15631" s="192"/>
      <c r="BO15631" s="197"/>
      <c r="BP15631" s="197"/>
      <c r="BQ15631" s="197"/>
    </row>
    <row r="15632" spans="66:69" x14ac:dyDescent="0.2">
      <c r="BN15632" s="192"/>
      <c r="BO15632" s="197"/>
      <c r="BP15632" s="197"/>
      <c r="BQ15632" s="197"/>
    </row>
    <row r="15633" spans="66:69" x14ac:dyDescent="0.2">
      <c r="BN15633" s="192"/>
      <c r="BO15633" s="197"/>
      <c r="BP15633" s="197"/>
      <c r="BQ15633" s="197"/>
    </row>
    <row r="15634" spans="66:69" x14ac:dyDescent="0.2">
      <c r="BN15634" s="192"/>
      <c r="BO15634" s="197"/>
      <c r="BP15634" s="197"/>
      <c r="BQ15634" s="197"/>
    </row>
    <row r="15635" spans="66:69" x14ac:dyDescent="0.2">
      <c r="BN15635" s="192"/>
      <c r="BO15635" s="197"/>
      <c r="BP15635" s="197"/>
      <c r="BQ15635" s="197"/>
    </row>
    <row r="15636" spans="66:69" x14ac:dyDescent="0.2">
      <c r="BN15636" s="192"/>
      <c r="BO15636" s="197"/>
      <c r="BP15636" s="197"/>
      <c r="BQ15636" s="197"/>
    </row>
    <row r="15637" spans="66:69" x14ac:dyDescent="0.2">
      <c r="BN15637" s="192"/>
      <c r="BO15637" s="197"/>
      <c r="BP15637" s="197"/>
      <c r="BQ15637" s="197"/>
    </row>
    <row r="15638" spans="66:69" x14ac:dyDescent="0.2">
      <c r="BN15638" s="192"/>
      <c r="BO15638" s="197"/>
      <c r="BP15638" s="197"/>
      <c r="BQ15638" s="197"/>
    </row>
    <row r="15639" spans="66:69" x14ac:dyDescent="0.2">
      <c r="BN15639" s="192"/>
      <c r="BO15639" s="197"/>
      <c r="BP15639" s="197"/>
      <c r="BQ15639" s="197"/>
    </row>
    <row r="15640" spans="66:69" x14ac:dyDescent="0.2">
      <c r="BN15640" s="192"/>
      <c r="BO15640" s="197"/>
      <c r="BP15640" s="197"/>
      <c r="BQ15640" s="197"/>
    </row>
    <row r="15641" spans="66:69" x14ac:dyDescent="0.2">
      <c r="BN15641" s="192"/>
      <c r="BO15641" s="197"/>
      <c r="BP15641" s="197"/>
      <c r="BQ15641" s="197"/>
    </row>
    <row r="15642" spans="66:69" x14ac:dyDescent="0.2">
      <c r="BN15642" s="192"/>
      <c r="BO15642" s="197"/>
      <c r="BP15642" s="197"/>
      <c r="BQ15642" s="197"/>
    </row>
    <row r="15643" spans="66:69" x14ac:dyDescent="0.2">
      <c r="BN15643" s="192"/>
      <c r="BO15643" s="197"/>
      <c r="BP15643" s="197"/>
      <c r="BQ15643" s="197"/>
    </row>
    <row r="15644" spans="66:69" x14ac:dyDescent="0.2">
      <c r="BN15644" s="192"/>
      <c r="BO15644" s="197"/>
      <c r="BP15644" s="197"/>
      <c r="BQ15644" s="197"/>
    </row>
    <row r="15645" spans="66:69" x14ac:dyDescent="0.2">
      <c r="BN15645" s="192"/>
      <c r="BO15645" s="197"/>
      <c r="BP15645" s="197"/>
      <c r="BQ15645" s="197"/>
    </row>
    <row r="15646" spans="66:69" x14ac:dyDescent="0.2">
      <c r="BN15646" s="192"/>
      <c r="BO15646" s="197"/>
      <c r="BP15646" s="197"/>
      <c r="BQ15646" s="197"/>
    </row>
    <row r="15647" spans="66:69" x14ac:dyDescent="0.2">
      <c r="BN15647" s="192"/>
      <c r="BO15647" s="197"/>
      <c r="BP15647" s="197"/>
      <c r="BQ15647" s="197"/>
    </row>
    <row r="15648" spans="66:69" x14ac:dyDescent="0.2">
      <c r="BN15648" s="192"/>
      <c r="BO15648" s="197"/>
      <c r="BP15648" s="197"/>
      <c r="BQ15648" s="197"/>
    </row>
    <row r="15649" spans="66:69" x14ac:dyDescent="0.2">
      <c r="BN15649" s="192"/>
      <c r="BO15649" s="197"/>
      <c r="BP15649" s="197"/>
      <c r="BQ15649" s="197"/>
    </row>
    <row r="15650" spans="66:69" x14ac:dyDescent="0.2">
      <c r="BN15650" s="192"/>
      <c r="BO15650" s="197"/>
      <c r="BP15650" s="197"/>
      <c r="BQ15650" s="197"/>
    </row>
    <row r="15651" spans="66:69" x14ac:dyDescent="0.2">
      <c r="BN15651" s="192"/>
      <c r="BO15651" s="197"/>
      <c r="BP15651" s="197"/>
      <c r="BQ15651" s="197"/>
    </row>
    <row r="15652" spans="66:69" x14ac:dyDescent="0.2">
      <c r="BN15652" s="192"/>
      <c r="BO15652" s="197"/>
      <c r="BP15652" s="197"/>
      <c r="BQ15652" s="197"/>
    </row>
    <row r="15653" spans="66:69" x14ac:dyDescent="0.2">
      <c r="BN15653" s="192"/>
      <c r="BO15653" s="197"/>
      <c r="BP15653" s="197"/>
      <c r="BQ15653" s="197"/>
    </row>
    <row r="15654" spans="66:69" x14ac:dyDescent="0.2">
      <c r="BN15654" s="192"/>
      <c r="BO15654" s="197"/>
      <c r="BP15654" s="197"/>
      <c r="BQ15654" s="197"/>
    </row>
    <row r="15655" spans="66:69" x14ac:dyDescent="0.2">
      <c r="BN15655" s="192"/>
      <c r="BO15655" s="197"/>
      <c r="BP15655" s="197"/>
      <c r="BQ15655" s="197"/>
    </row>
    <row r="15656" spans="66:69" x14ac:dyDescent="0.2">
      <c r="BN15656" s="192"/>
      <c r="BO15656" s="197"/>
      <c r="BP15656" s="197"/>
      <c r="BQ15656" s="197"/>
    </row>
    <row r="15657" spans="66:69" x14ac:dyDescent="0.2">
      <c r="BN15657" s="192"/>
      <c r="BO15657" s="197"/>
      <c r="BP15657" s="197"/>
      <c r="BQ15657" s="197"/>
    </row>
    <row r="15658" spans="66:69" x14ac:dyDescent="0.2">
      <c r="BN15658" s="192"/>
      <c r="BO15658" s="197"/>
      <c r="BP15658" s="197"/>
      <c r="BQ15658" s="197"/>
    </row>
    <row r="15659" spans="66:69" x14ac:dyDescent="0.2">
      <c r="BN15659" s="192"/>
      <c r="BO15659" s="197"/>
      <c r="BP15659" s="197"/>
      <c r="BQ15659" s="197"/>
    </row>
    <row r="15660" spans="66:69" x14ac:dyDescent="0.2">
      <c r="BN15660" s="192"/>
      <c r="BO15660" s="197"/>
      <c r="BP15660" s="197"/>
      <c r="BQ15660" s="197"/>
    </row>
    <row r="15661" spans="66:69" x14ac:dyDescent="0.2">
      <c r="BN15661" s="192"/>
      <c r="BO15661" s="197"/>
      <c r="BP15661" s="197"/>
      <c r="BQ15661" s="197"/>
    </row>
    <row r="15662" spans="66:69" x14ac:dyDescent="0.2">
      <c r="BN15662" s="192"/>
      <c r="BO15662" s="197"/>
      <c r="BP15662" s="197"/>
      <c r="BQ15662" s="197"/>
    </row>
    <row r="15663" spans="66:69" x14ac:dyDescent="0.2">
      <c r="BN15663" s="192"/>
      <c r="BO15663" s="197"/>
      <c r="BP15663" s="197"/>
      <c r="BQ15663" s="197"/>
    </row>
    <row r="15664" spans="66:69" x14ac:dyDescent="0.2">
      <c r="BN15664" s="192"/>
      <c r="BO15664" s="197"/>
      <c r="BP15664" s="197"/>
      <c r="BQ15664" s="197"/>
    </row>
    <row r="15665" spans="66:69" x14ac:dyDescent="0.2">
      <c r="BN15665" s="192"/>
      <c r="BO15665" s="197"/>
      <c r="BP15665" s="197"/>
      <c r="BQ15665" s="197"/>
    </row>
    <row r="15666" spans="66:69" x14ac:dyDescent="0.2">
      <c r="BN15666" s="192"/>
      <c r="BO15666" s="197"/>
      <c r="BP15666" s="197"/>
      <c r="BQ15666" s="197"/>
    </row>
    <row r="15667" spans="66:69" x14ac:dyDescent="0.2">
      <c r="BN15667" s="192"/>
      <c r="BO15667" s="197"/>
      <c r="BP15667" s="197"/>
      <c r="BQ15667" s="197"/>
    </row>
    <row r="15668" spans="66:69" x14ac:dyDescent="0.2">
      <c r="BN15668" s="192"/>
      <c r="BO15668" s="197"/>
      <c r="BP15668" s="197"/>
      <c r="BQ15668" s="197"/>
    </row>
    <row r="15669" spans="66:69" x14ac:dyDescent="0.2">
      <c r="BN15669" s="192"/>
      <c r="BO15669" s="197"/>
      <c r="BP15669" s="197"/>
      <c r="BQ15669" s="197"/>
    </row>
    <row r="15670" spans="66:69" x14ac:dyDescent="0.2">
      <c r="BN15670" s="192"/>
      <c r="BO15670" s="197"/>
      <c r="BP15670" s="197"/>
      <c r="BQ15670" s="197"/>
    </row>
    <row r="15671" spans="66:69" x14ac:dyDescent="0.2">
      <c r="BN15671" s="192"/>
      <c r="BO15671" s="197"/>
      <c r="BP15671" s="197"/>
      <c r="BQ15671" s="197"/>
    </row>
    <row r="15672" spans="66:69" x14ac:dyDescent="0.2">
      <c r="BN15672" s="192"/>
      <c r="BO15672" s="197"/>
      <c r="BP15672" s="197"/>
      <c r="BQ15672" s="197"/>
    </row>
    <row r="15673" spans="66:69" x14ac:dyDescent="0.2">
      <c r="BN15673" s="192"/>
      <c r="BO15673" s="197"/>
      <c r="BP15673" s="197"/>
      <c r="BQ15673" s="197"/>
    </row>
    <row r="15674" spans="66:69" x14ac:dyDescent="0.2">
      <c r="BN15674" s="192"/>
      <c r="BO15674" s="197"/>
      <c r="BP15674" s="197"/>
      <c r="BQ15674" s="197"/>
    </row>
    <row r="15675" spans="66:69" x14ac:dyDescent="0.2">
      <c r="BN15675" s="192"/>
      <c r="BO15675" s="197"/>
      <c r="BP15675" s="197"/>
      <c r="BQ15675" s="197"/>
    </row>
    <row r="15676" spans="66:69" x14ac:dyDescent="0.2">
      <c r="BN15676" s="192"/>
      <c r="BO15676" s="197"/>
      <c r="BP15676" s="197"/>
      <c r="BQ15676" s="197"/>
    </row>
    <row r="15677" spans="66:69" x14ac:dyDescent="0.2">
      <c r="BN15677" s="192"/>
      <c r="BO15677" s="197"/>
      <c r="BP15677" s="197"/>
      <c r="BQ15677" s="197"/>
    </row>
    <row r="15678" spans="66:69" x14ac:dyDescent="0.2">
      <c r="BN15678" s="192"/>
      <c r="BO15678" s="197"/>
      <c r="BP15678" s="197"/>
      <c r="BQ15678" s="197"/>
    </row>
    <row r="15679" spans="66:69" x14ac:dyDescent="0.2">
      <c r="BN15679" s="192"/>
      <c r="BO15679" s="197"/>
      <c r="BP15679" s="197"/>
      <c r="BQ15679" s="197"/>
    </row>
    <row r="15680" spans="66:69" x14ac:dyDescent="0.2">
      <c r="BN15680" s="192"/>
      <c r="BO15680" s="197"/>
      <c r="BP15680" s="197"/>
      <c r="BQ15680" s="197"/>
    </row>
    <row r="15681" spans="66:69" x14ac:dyDescent="0.2">
      <c r="BN15681" s="192"/>
      <c r="BO15681" s="197"/>
      <c r="BP15681" s="197"/>
      <c r="BQ15681" s="197"/>
    </row>
    <row r="15682" spans="66:69" x14ac:dyDescent="0.2">
      <c r="BN15682" s="192"/>
      <c r="BO15682" s="197"/>
      <c r="BP15682" s="197"/>
      <c r="BQ15682" s="197"/>
    </row>
    <row r="15683" spans="66:69" x14ac:dyDescent="0.2">
      <c r="BN15683" s="192"/>
      <c r="BO15683" s="197"/>
      <c r="BP15683" s="197"/>
      <c r="BQ15683" s="197"/>
    </row>
    <row r="15684" spans="66:69" x14ac:dyDescent="0.2">
      <c r="BN15684" s="192"/>
      <c r="BO15684" s="197"/>
      <c r="BP15684" s="197"/>
      <c r="BQ15684" s="197"/>
    </row>
    <row r="15685" spans="66:69" x14ac:dyDescent="0.2">
      <c r="BN15685" s="192"/>
      <c r="BO15685" s="197"/>
      <c r="BP15685" s="197"/>
      <c r="BQ15685" s="197"/>
    </row>
    <row r="15686" spans="66:69" x14ac:dyDescent="0.2">
      <c r="BN15686" s="192"/>
      <c r="BO15686" s="197"/>
      <c r="BP15686" s="197"/>
      <c r="BQ15686" s="197"/>
    </row>
    <row r="15687" spans="66:69" x14ac:dyDescent="0.2">
      <c r="BN15687" s="192"/>
      <c r="BO15687" s="197"/>
      <c r="BP15687" s="197"/>
      <c r="BQ15687" s="197"/>
    </row>
    <row r="15688" spans="66:69" x14ac:dyDescent="0.2">
      <c r="BN15688" s="192"/>
      <c r="BO15688" s="197"/>
      <c r="BP15688" s="197"/>
      <c r="BQ15688" s="197"/>
    </row>
    <row r="15689" spans="66:69" x14ac:dyDescent="0.2">
      <c r="BN15689" s="192"/>
      <c r="BO15689" s="197"/>
      <c r="BP15689" s="197"/>
      <c r="BQ15689" s="197"/>
    </row>
    <row r="15690" spans="66:69" x14ac:dyDescent="0.2">
      <c r="BN15690" s="192"/>
      <c r="BO15690" s="197"/>
      <c r="BP15690" s="197"/>
      <c r="BQ15690" s="197"/>
    </row>
    <row r="15691" spans="66:69" x14ac:dyDescent="0.2">
      <c r="BN15691" s="192"/>
      <c r="BO15691" s="197"/>
      <c r="BP15691" s="197"/>
      <c r="BQ15691" s="197"/>
    </row>
    <row r="15692" spans="66:69" x14ac:dyDescent="0.2">
      <c r="BN15692" s="192"/>
      <c r="BO15692" s="197"/>
      <c r="BP15692" s="197"/>
      <c r="BQ15692" s="197"/>
    </row>
    <row r="15693" spans="66:69" x14ac:dyDescent="0.2">
      <c r="BN15693" s="192"/>
      <c r="BO15693" s="197"/>
      <c r="BP15693" s="197"/>
      <c r="BQ15693" s="197"/>
    </row>
    <row r="15694" spans="66:69" x14ac:dyDescent="0.2">
      <c r="BN15694" s="192"/>
      <c r="BO15694" s="197"/>
      <c r="BP15694" s="197"/>
      <c r="BQ15694" s="197"/>
    </row>
    <row r="15695" spans="66:69" x14ac:dyDescent="0.2">
      <c r="BN15695" s="192"/>
      <c r="BO15695" s="197"/>
      <c r="BP15695" s="197"/>
      <c r="BQ15695" s="197"/>
    </row>
    <row r="15696" spans="66:69" x14ac:dyDescent="0.2">
      <c r="BN15696" s="192"/>
      <c r="BO15696" s="197"/>
      <c r="BP15696" s="197"/>
      <c r="BQ15696" s="197"/>
    </row>
    <row r="15697" spans="66:69" x14ac:dyDescent="0.2">
      <c r="BN15697" s="192"/>
      <c r="BO15697" s="197"/>
      <c r="BP15697" s="197"/>
      <c r="BQ15697" s="197"/>
    </row>
    <row r="15698" spans="66:69" x14ac:dyDescent="0.2">
      <c r="BN15698" s="192"/>
      <c r="BO15698" s="197"/>
      <c r="BP15698" s="197"/>
      <c r="BQ15698" s="197"/>
    </row>
    <row r="15699" spans="66:69" x14ac:dyDescent="0.2">
      <c r="BN15699" s="192"/>
      <c r="BO15699" s="197"/>
      <c r="BP15699" s="197"/>
      <c r="BQ15699" s="197"/>
    </row>
    <row r="15700" spans="66:69" x14ac:dyDescent="0.2">
      <c r="BN15700" s="192"/>
      <c r="BO15700" s="197"/>
      <c r="BP15700" s="197"/>
      <c r="BQ15700" s="197"/>
    </row>
    <row r="15701" spans="66:69" x14ac:dyDescent="0.2">
      <c r="BN15701" s="192"/>
      <c r="BO15701" s="197"/>
      <c r="BP15701" s="197"/>
      <c r="BQ15701" s="197"/>
    </row>
    <row r="15702" spans="66:69" x14ac:dyDescent="0.2">
      <c r="BN15702" s="192"/>
      <c r="BO15702" s="197"/>
      <c r="BP15702" s="197"/>
      <c r="BQ15702" s="197"/>
    </row>
    <row r="15703" spans="66:69" x14ac:dyDescent="0.2">
      <c r="BN15703" s="192"/>
      <c r="BO15703" s="197"/>
      <c r="BP15703" s="197"/>
      <c r="BQ15703" s="197"/>
    </row>
    <row r="15704" spans="66:69" x14ac:dyDescent="0.2">
      <c r="BN15704" s="192"/>
      <c r="BO15704" s="197"/>
      <c r="BP15704" s="197"/>
      <c r="BQ15704" s="197"/>
    </row>
    <row r="15705" spans="66:69" x14ac:dyDescent="0.2">
      <c r="BN15705" s="192"/>
      <c r="BO15705" s="197"/>
      <c r="BP15705" s="197"/>
      <c r="BQ15705" s="197"/>
    </row>
    <row r="15706" spans="66:69" x14ac:dyDescent="0.2">
      <c r="BN15706" s="192"/>
      <c r="BO15706" s="197"/>
      <c r="BP15706" s="197"/>
      <c r="BQ15706" s="197"/>
    </row>
    <row r="15707" spans="66:69" x14ac:dyDescent="0.2">
      <c r="BN15707" s="192"/>
      <c r="BO15707" s="197"/>
      <c r="BP15707" s="197"/>
      <c r="BQ15707" s="197"/>
    </row>
    <row r="15708" spans="66:69" x14ac:dyDescent="0.2">
      <c r="BN15708" s="192"/>
      <c r="BO15708" s="197"/>
      <c r="BP15708" s="197"/>
      <c r="BQ15708" s="197"/>
    </row>
    <row r="15709" spans="66:69" x14ac:dyDescent="0.2">
      <c r="BN15709" s="192"/>
      <c r="BO15709" s="197"/>
      <c r="BP15709" s="197"/>
      <c r="BQ15709" s="197"/>
    </row>
    <row r="15710" spans="66:69" x14ac:dyDescent="0.2">
      <c r="BN15710" s="192"/>
      <c r="BO15710" s="197"/>
      <c r="BP15710" s="197"/>
      <c r="BQ15710" s="197"/>
    </row>
    <row r="15711" spans="66:69" x14ac:dyDescent="0.2">
      <c r="BN15711" s="192"/>
      <c r="BO15711" s="197"/>
      <c r="BP15711" s="197"/>
      <c r="BQ15711" s="197"/>
    </row>
    <row r="15712" spans="66:69" x14ac:dyDescent="0.2">
      <c r="BN15712" s="192"/>
      <c r="BO15712" s="197"/>
      <c r="BP15712" s="197"/>
      <c r="BQ15712" s="197"/>
    </row>
    <row r="15713" spans="66:69" x14ac:dyDescent="0.2">
      <c r="BN15713" s="192"/>
      <c r="BO15713" s="197"/>
      <c r="BP15713" s="197"/>
      <c r="BQ15713" s="197"/>
    </row>
    <row r="15714" spans="66:69" x14ac:dyDescent="0.2">
      <c r="BN15714" s="192"/>
      <c r="BO15714" s="197"/>
      <c r="BP15714" s="197"/>
      <c r="BQ15714" s="197"/>
    </row>
    <row r="15715" spans="66:69" x14ac:dyDescent="0.2">
      <c r="BN15715" s="192"/>
      <c r="BO15715" s="197"/>
      <c r="BP15715" s="197"/>
      <c r="BQ15715" s="197"/>
    </row>
    <row r="15716" spans="66:69" x14ac:dyDescent="0.2">
      <c r="BN15716" s="192"/>
      <c r="BO15716" s="197"/>
      <c r="BP15716" s="197"/>
      <c r="BQ15716" s="197"/>
    </row>
    <row r="15717" spans="66:69" x14ac:dyDescent="0.2">
      <c r="BN15717" s="192"/>
      <c r="BO15717" s="197"/>
      <c r="BP15717" s="197"/>
      <c r="BQ15717" s="197"/>
    </row>
    <row r="15718" spans="66:69" x14ac:dyDescent="0.2">
      <c r="BN15718" s="192"/>
      <c r="BO15718" s="197"/>
      <c r="BP15718" s="197"/>
      <c r="BQ15718" s="197"/>
    </row>
    <row r="15719" spans="66:69" x14ac:dyDescent="0.2">
      <c r="BN15719" s="192"/>
      <c r="BO15719" s="197"/>
      <c r="BP15719" s="197"/>
      <c r="BQ15719" s="197"/>
    </row>
    <row r="15720" spans="66:69" x14ac:dyDescent="0.2">
      <c r="BN15720" s="192"/>
      <c r="BO15720" s="197"/>
      <c r="BP15720" s="197"/>
      <c r="BQ15720" s="197"/>
    </row>
    <row r="15721" spans="66:69" x14ac:dyDescent="0.2">
      <c r="BN15721" s="192"/>
      <c r="BO15721" s="197"/>
      <c r="BP15721" s="197"/>
      <c r="BQ15721" s="197"/>
    </row>
    <row r="15722" spans="66:69" x14ac:dyDescent="0.2">
      <c r="BN15722" s="192"/>
      <c r="BO15722" s="197"/>
      <c r="BP15722" s="197"/>
      <c r="BQ15722" s="197"/>
    </row>
    <row r="15723" spans="66:69" x14ac:dyDescent="0.2">
      <c r="BN15723" s="192"/>
      <c r="BO15723" s="197"/>
      <c r="BP15723" s="197"/>
      <c r="BQ15723" s="197"/>
    </row>
    <row r="15724" spans="66:69" x14ac:dyDescent="0.2">
      <c r="BN15724" s="192"/>
      <c r="BO15724" s="197"/>
      <c r="BP15724" s="197"/>
      <c r="BQ15724" s="197"/>
    </row>
    <row r="15725" spans="66:69" x14ac:dyDescent="0.2">
      <c r="BN15725" s="192"/>
      <c r="BO15725" s="197"/>
      <c r="BP15725" s="197"/>
      <c r="BQ15725" s="197"/>
    </row>
    <row r="15726" spans="66:69" x14ac:dyDescent="0.2">
      <c r="BN15726" s="192"/>
      <c r="BO15726" s="197"/>
      <c r="BP15726" s="197"/>
      <c r="BQ15726" s="197"/>
    </row>
    <row r="15727" spans="66:69" x14ac:dyDescent="0.2">
      <c r="BN15727" s="192"/>
      <c r="BO15727" s="197"/>
      <c r="BP15727" s="197"/>
      <c r="BQ15727" s="197"/>
    </row>
    <row r="15728" spans="66:69" x14ac:dyDescent="0.2">
      <c r="BN15728" s="192"/>
      <c r="BO15728" s="197"/>
      <c r="BP15728" s="197"/>
      <c r="BQ15728" s="197"/>
    </row>
    <row r="15729" spans="66:69" x14ac:dyDescent="0.2">
      <c r="BN15729" s="192"/>
      <c r="BO15729" s="197"/>
      <c r="BP15729" s="197"/>
      <c r="BQ15729" s="197"/>
    </row>
    <row r="15730" spans="66:69" x14ac:dyDescent="0.2">
      <c r="BN15730" s="192"/>
      <c r="BO15730" s="197"/>
      <c r="BP15730" s="197"/>
      <c r="BQ15730" s="197"/>
    </row>
    <row r="15731" spans="66:69" x14ac:dyDescent="0.2">
      <c r="BN15731" s="192"/>
      <c r="BO15731" s="197"/>
      <c r="BP15731" s="197"/>
      <c r="BQ15731" s="197"/>
    </row>
    <row r="15732" spans="66:69" x14ac:dyDescent="0.2">
      <c r="BN15732" s="192"/>
      <c r="BO15732" s="197"/>
      <c r="BP15732" s="197"/>
      <c r="BQ15732" s="197"/>
    </row>
    <row r="15733" spans="66:69" x14ac:dyDescent="0.2">
      <c r="BN15733" s="192"/>
      <c r="BO15733" s="197"/>
      <c r="BP15733" s="197"/>
      <c r="BQ15733" s="197"/>
    </row>
    <row r="15734" spans="66:69" x14ac:dyDescent="0.2">
      <c r="BN15734" s="192"/>
      <c r="BO15734" s="197"/>
      <c r="BP15734" s="197"/>
      <c r="BQ15734" s="197"/>
    </row>
    <row r="15735" spans="66:69" x14ac:dyDescent="0.2">
      <c r="BN15735" s="192"/>
      <c r="BO15735" s="197"/>
      <c r="BP15735" s="197"/>
      <c r="BQ15735" s="197"/>
    </row>
    <row r="15736" spans="66:69" x14ac:dyDescent="0.2">
      <c r="BN15736" s="192"/>
      <c r="BO15736" s="197"/>
      <c r="BP15736" s="197"/>
      <c r="BQ15736" s="197"/>
    </row>
    <row r="15737" spans="66:69" x14ac:dyDescent="0.2">
      <c r="BN15737" s="192"/>
      <c r="BO15737" s="197"/>
      <c r="BP15737" s="197"/>
      <c r="BQ15737" s="197"/>
    </row>
    <row r="15738" spans="66:69" x14ac:dyDescent="0.2">
      <c r="BN15738" s="192"/>
      <c r="BO15738" s="197"/>
      <c r="BP15738" s="197"/>
      <c r="BQ15738" s="197"/>
    </row>
    <row r="15739" spans="66:69" x14ac:dyDescent="0.2">
      <c r="BN15739" s="192"/>
      <c r="BO15739" s="197"/>
      <c r="BP15739" s="197"/>
      <c r="BQ15739" s="197"/>
    </row>
    <row r="15740" spans="66:69" x14ac:dyDescent="0.2">
      <c r="BN15740" s="192"/>
      <c r="BO15740" s="197"/>
      <c r="BP15740" s="197"/>
      <c r="BQ15740" s="197"/>
    </row>
    <row r="15741" spans="66:69" x14ac:dyDescent="0.2">
      <c r="BN15741" s="192"/>
      <c r="BO15741" s="197"/>
      <c r="BP15741" s="197"/>
      <c r="BQ15741" s="197"/>
    </row>
    <row r="15742" spans="66:69" x14ac:dyDescent="0.2">
      <c r="BN15742" s="192"/>
      <c r="BO15742" s="197"/>
      <c r="BP15742" s="197"/>
      <c r="BQ15742" s="197"/>
    </row>
    <row r="15743" spans="66:69" x14ac:dyDescent="0.2">
      <c r="BN15743" s="192"/>
      <c r="BO15743" s="197"/>
      <c r="BP15743" s="197"/>
      <c r="BQ15743" s="197"/>
    </row>
    <row r="15744" spans="66:69" x14ac:dyDescent="0.2">
      <c r="BN15744" s="192"/>
      <c r="BO15744" s="197"/>
      <c r="BP15744" s="197"/>
      <c r="BQ15744" s="197"/>
    </row>
    <row r="15745" spans="66:69" x14ac:dyDescent="0.2">
      <c r="BN15745" s="192"/>
      <c r="BO15745" s="197"/>
      <c r="BP15745" s="197"/>
      <c r="BQ15745" s="197"/>
    </row>
    <row r="15746" spans="66:69" x14ac:dyDescent="0.2">
      <c r="BN15746" s="192"/>
      <c r="BO15746" s="197"/>
      <c r="BP15746" s="197"/>
      <c r="BQ15746" s="197"/>
    </row>
    <row r="15747" spans="66:69" x14ac:dyDescent="0.2">
      <c r="BN15747" s="192"/>
      <c r="BO15747" s="197"/>
      <c r="BP15747" s="197"/>
      <c r="BQ15747" s="197"/>
    </row>
    <row r="15748" spans="66:69" x14ac:dyDescent="0.2">
      <c r="BN15748" s="192"/>
      <c r="BO15748" s="197"/>
      <c r="BP15748" s="197"/>
      <c r="BQ15748" s="197"/>
    </row>
    <row r="15749" spans="66:69" x14ac:dyDescent="0.2">
      <c r="BN15749" s="192"/>
      <c r="BO15749" s="197"/>
      <c r="BP15749" s="197"/>
      <c r="BQ15749" s="197"/>
    </row>
    <row r="15750" spans="66:69" x14ac:dyDescent="0.2">
      <c r="BN15750" s="192"/>
      <c r="BO15750" s="197"/>
      <c r="BP15750" s="197"/>
      <c r="BQ15750" s="197"/>
    </row>
    <row r="15751" spans="66:69" x14ac:dyDescent="0.2">
      <c r="BN15751" s="192"/>
      <c r="BO15751" s="197"/>
      <c r="BP15751" s="197"/>
      <c r="BQ15751" s="197"/>
    </row>
    <row r="15752" spans="66:69" x14ac:dyDescent="0.2">
      <c r="BN15752" s="192"/>
      <c r="BO15752" s="197"/>
      <c r="BP15752" s="197"/>
      <c r="BQ15752" s="197"/>
    </row>
    <row r="15753" spans="66:69" x14ac:dyDescent="0.2">
      <c r="BN15753" s="192"/>
      <c r="BO15753" s="197"/>
      <c r="BP15753" s="197"/>
      <c r="BQ15753" s="197"/>
    </row>
    <row r="15754" spans="66:69" x14ac:dyDescent="0.2">
      <c r="BN15754" s="192"/>
      <c r="BO15754" s="197"/>
      <c r="BP15754" s="197"/>
      <c r="BQ15754" s="197"/>
    </row>
    <row r="15755" spans="66:69" x14ac:dyDescent="0.2">
      <c r="BN15755" s="192"/>
      <c r="BO15755" s="197"/>
      <c r="BP15755" s="197"/>
      <c r="BQ15755" s="197"/>
    </row>
    <row r="15756" spans="66:69" x14ac:dyDescent="0.2">
      <c r="BN15756" s="192"/>
      <c r="BO15756" s="197"/>
      <c r="BP15756" s="197"/>
      <c r="BQ15756" s="197"/>
    </row>
    <row r="15757" spans="66:69" x14ac:dyDescent="0.2">
      <c r="BN15757" s="192"/>
      <c r="BO15757" s="197"/>
      <c r="BP15757" s="197"/>
      <c r="BQ15757" s="197"/>
    </row>
    <row r="15758" spans="66:69" x14ac:dyDescent="0.2">
      <c r="BN15758" s="192"/>
      <c r="BO15758" s="197"/>
      <c r="BP15758" s="197"/>
      <c r="BQ15758" s="197"/>
    </row>
    <row r="15759" spans="66:69" x14ac:dyDescent="0.2">
      <c r="BN15759" s="192"/>
      <c r="BO15759" s="197"/>
      <c r="BP15759" s="197"/>
      <c r="BQ15759" s="197"/>
    </row>
    <row r="15760" spans="66:69" x14ac:dyDescent="0.2">
      <c r="BN15760" s="192"/>
      <c r="BO15760" s="197"/>
      <c r="BP15760" s="197"/>
      <c r="BQ15760" s="197"/>
    </row>
    <row r="15761" spans="66:69" x14ac:dyDescent="0.2">
      <c r="BN15761" s="192"/>
      <c r="BO15761" s="197"/>
      <c r="BP15761" s="197"/>
      <c r="BQ15761" s="197"/>
    </row>
    <row r="15762" spans="66:69" x14ac:dyDescent="0.2">
      <c r="BN15762" s="192"/>
      <c r="BO15762" s="197"/>
      <c r="BP15762" s="197"/>
      <c r="BQ15762" s="197"/>
    </row>
    <row r="15763" spans="66:69" x14ac:dyDescent="0.2">
      <c r="BN15763" s="192"/>
      <c r="BO15763" s="197"/>
      <c r="BP15763" s="197"/>
      <c r="BQ15763" s="197"/>
    </row>
    <row r="15764" spans="66:69" x14ac:dyDescent="0.2">
      <c r="BN15764" s="192"/>
      <c r="BO15764" s="197"/>
      <c r="BP15764" s="197"/>
      <c r="BQ15764" s="197"/>
    </row>
    <row r="15765" spans="66:69" x14ac:dyDescent="0.2">
      <c r="BN15765" s="192"/>
      <c r="BO15765" s="197"/>
      <c r="BP15765" s="197"/>
      <c r="BQ15765" s="197"/>
    </row>
    <row r="15766" spans="66:69" x14ac:dyDescent="0.2">
      <c r="BN15766" s="192"/>
      <c r="BO15766" s="197"/>
      <c r="BP15766" s="197"/>
      <c r="BQ15766" s="197"/>
    </row>
    <row r="15767" spans="66:69" x14ac:dyDescent="0.2">
      <c r="BN15767" s="192"/>
      <c r="BO15767" s="197"/>
      <c r="BP15767" s="197"/>
      <c r="BQ15767" s="197"/>
    </row>
    <row r="15768" spans="66:69" x14ac:dyDescent="0.2">
      <c r="BN15768" s="192"/>
      <c r="BO15768" s="197"/>
      <c r="BP15768" s="197"/>
      <c r="BQ15768" s="197"/>
    </row>
    <row r="15769" spans="66:69" x14ac:dyDescent="0.2">
      <c r="BN15769" s="192"/>
      <c r="BO15769" s="197"/>
      <c r="BP15769" s="197"/>
      <c r="BQ15769" s="197"/>
    </row>
    <row r="15770" spans="66:69" x14ac:dyDescent="0.2">
      <c r="BN15770" s="192"/>
      <c r="BO15770" s="197"/>
      <c r="BP15770" s="197"/>
      <c r="BQ15770" s="197"/>
    </row>
    <row r="15771" spans="66:69" x14ac:dyDescent="0.2">
      <c r="BN15771" s="192"/>
      <c r="BO15771" s="197"/>
      <c r="BP15771" s="197"/>
      <c r="BQ15771" s="197"/>
    </row>
    <row r="15772" spans="66:69" x14ac:dyDescent="0.2">
      <c r="BN15772" s="192"/>
      <c r="BO15772" s="197"/>
      <c r="BP15772" s="197"/>
      <c r="BQ15772" s="197"/>
    </row>
    <row r="15773" spans="66:69" x14ac:dyDescent="0.2">
      <c r="BN15773" s="192"/>
      <c r="BO15773" s="197"/>
      <c r="BP15773" s="197"/>
      <c r="BQ15773" s="197"/>
    </row>
    <row r="15774" spans="66:69" x14ac:dyDescent="0.2">
      <c r="BN15774" s="192"/>
      <c r="BO15774" s="197"/>
      <c r="BP15774" s="197"/>
      <c r="BQ15774" s="197"/>
    </row>
    <row r="15775" spans="66:69" x14ac:dyDescent="0.2">
      <c r="BN15775" s="192"/>
      <c r="BO15775" s="197"/>
      <c r="BP15775" s="197"/>
      <c r="BQ15775" s="197"/>
    </row>
    <row r="15776" spans="66:69" x14ac:dyDescent="0.2">
      <c r="BN15776" s="192"/>
      <c r="BO15776" s="197"/>
      <c r="BP15776" s="197"/>
      <c r="BQ15776" s="197"/>
    </row>
    <row r="15777" spans="66:69" x14ac:dyDescent="0.2">
      <c r="BN15777" s="192"/>
      <c r="BO15777" s="197"/>
      <c r="BP15777" s="197"/>
      <c r="BQ15777" s="197"/>
    </row>
    <row r="15778" spans="66:69" x14ac:dyDescent="0.2">
      <c r="BN15778" s="192"/>
      <c r="BO15778" s="197"/>
      <c r="BP15778" s="197"/>
      <c r="BQ15778" s="197"/>
    </row>
    <row r="15779" spans="66:69" x14ac:dyDescent="0.2">
      <c r="BN15779" s="192"/>
      <c r="BO15779" s="197"/>
      <c r="BP15779" s="197"/>
      <c r="BQ15779" s="197"/>
    </row>
    <row r="15780" spans="66:69" x14ac:dyDescent="0.2">
      <c r="BN15780" s="192"/>
      <c r="BO15780" s="197"/>
      <c r="BP15780" s="197"/>
      <c r="BQ15780" s="197"/>
    </row>
    <row r="15781" spans="66:69" x14ac:dyDescent="0.2">
      <c r="BN15781" s="192"/>
      <c r="BO15781" s="197"/>
      <c r="BP15781" s="197"/>
      <c r="BQ15781" s="197"/>
    </row>
    <row r="15782" spans="66:69" x14ac:dyDescent="0.2">
      <c r="BN15782" s="192"/>
      <c r="BO15782" s="197"/>
      <c r="BP15782" s="197"/>
      <c r="BQ15782" s="197"/>
    </row>
    <row r="15783" spans="66:69" x14ac:dyDescent="0.2">
      <c r="BN15783" s="192"/>
      <c r="BO15783" s="197"/>
      <c r="BP15783" s="197"/>
      <c r="BQ15783" s="197"/>
    </row>
    <row r="15784" spans="66:69" x14ac:dyDescent="0.2">
      <c r="BN15784" s="192"/>
      <c r="BO15784" s="197"/>
      <c r="BP15784" s="197"/>
      <c r="BQ15784" s="197"/>
    </row>
    <row r="15785" spans="66:69" x14ac:dyDescent="0.2">
      <c r="BN15785" s="192"/>
      <c r="BO15785" s="197"/>
      <c r="BP15785" s="197"/>
      <c r="BQ15785" s="197"/>
    </row>
    <row r="15786" spans="66:69" x14ac:dyDescent="0.2">
      <c r="BN15786" s="192"/>
      <c r="BO15786" s="197"/>
      <c r="BP15786" s="197"/>
      <c r="BQ15786" s="197"/>
    </row>
    <row r="15787" spans="66:69" x14ac:dyDescent="0.2">
      <c r="BN15787" s="192"/>
      <c r="BO15787" s="197"/>
      <c r="BP15787" s="197"/>
      <c r="BQ15787" s="197"/>
    </row>
    <row r="15788" spans="66:69" x14ac:dyDescent="0.2">
      <c r="BN15788" s="192"/>
      <c r="BO15788" s="197"/>
      <c r="BP15788" s="197"/>
      <c r="BQ15788" s="197"/>
    </row>
    <row r="15789" spans="66:69" x14ac:dyDescent="0.2">
      <c r="BN15789" s="192"/>
      <c r="BO15789" s="197"/>
      <c r="BP15789" s="197"/>
      <c r="BQ15789" s="197"/>
    </row>
    <row r="15790" spans="66:69" x14ac:dyDescent="0.2">
      <c r="BN15790" s="192"/>
      <c r="BO15790" s="197"/>
      <c r="BP15790" s="197"/>
      <c r="BQ15790" s="197"/>
    </row>
    <row r="15791" spans="66:69" x14ac:dyDescent="0.2">
      <c r="BN15791" s="192"/>
      <c r="BO15791" s="197"/>
      <c r="BP15791" s="197"/>
      <c r="BQ15791" s="197"/>
    </row>
    <row r="15792" spans="66:69" x14ac:dyDescent="0.2">
      <c r="BN15792" s="192"/>
      <c r="BO15792" s="197"/>
      <c r="BP15792" s="197"/>
      <c r="BQ15792" s="197"/>
    </row>
    <row r="15793" spans="66:69" x14ac:dyDescent="0.2">
      <c r="BN15793" s="192"/>
      <c r="BO15793" s="197"/>
      <c r="BP15793" s="197"/>
      <c r="BQ15793" s="197"/>
    </row>
    <row r="15794" spans="66:69" x14ac:dyDescent="0.2">
      <c r="BN15794" s="192"/>
      <c r="BO15794" s="197"/>
      <c r="BP15794" s="197"/>
      <c r="BQ15794" s="197"/>
    </row>
    <row r="15795" spans="66:69" x14ac:dyDescent="0.2">
      <c r="BN15795" s="192"/>
      <c r="BO15795" s="197"/>
      <c r="BP15795" s="197"/>
      <c r="BQ15795" s="197"/>
    </row>
    <row r="15796" spans="66:69" x14ac:dyDescent="0.2">
      <c r="BN15796" s="192"/>
      <c r="BO15796" s="197"/>
      <c r="BP15796" s="197"/>
      <c r="BQ15796" s="197"/>
    </row>
    <row r="15797" spans="66:69" x14ac:dyDescent="0.2">
      <c r="BN15797" s="192"/>
      <c r="BO15797" s="197"/>
      <c r="BP15797" s="197"/>
      <c r="BQ15797" s="197"/>
    </row>
    <row r="15798" spans="66:69" x14ac:dyDescent="0.2">
      <c r="BN15798" s="192"/>
      <c r="BO15798" s="197"/>
      <c r="BP15798" s="197"/>
      <c r="BQ15798" s="197"/>
    </row>
    <row r="15799" spans="66:69" x14ac:dyDescent="0.2">
      <c r="BN15799" s="192"/>
      <c r="BO15799" s="197"/>
      <c r="BP15799" s="197"/>
      <c r="BQ15799" s="197"/>
    </row>
    <row r="15800" spans="66:69" x14ac:dyDescent="0.2">
      <c r="BN15800" s="192"/>
      <c r="BO15800" s="197"/>
      <c r="BP15800" s="197"/>
      <c r="BQ15800" s="197"/>
    </row>
    <row r="15801" spans="66:69" x14ac:dyDescent="0.2">
      <c r="BN15801" s="192"/>
      <c r="BO15801" s="197"/>
      <c r="BP15801" s="197"/>
      <c r="BQ15801" s="197"/>
    </row>
    <row r="15802" spans="66:69" x14ac:dyDescent="0.2">
      <c r="BN15802" s="192"/>
      <c r="BO15802" s="197"/>
      <c r="BP15802" s="197"/>
      <c r="BQ15802" s="197"/>
    </row>
    <row r="15803" spans="66:69" x14ac:dyDescent="0.2">
      <c r="BN15803" s="192"/>
      <c r="BO15803" s="197"/>
      <c r="BP15803" s="197"/>
      <c r="BQ15803" s="197"/>
    </row>
    <row r="15804" spans="66:69" x14ac:dyDescent="0.2">
      <c r="BN15804" s="192"/>
      <c r="BO15804" s="197"/>
      <c r="BP15804" s="197"/>
      <c r="BQ15804" s="197"/>
    </row>
    <row r="15805" spans="66:69" x14ac:dyDescent="0.2">
      <c r="BN15805" s="192"/>
      <c r="BO15805" s="197"/>
      <c r="BP15805" s="197"/>
      <c r="BQ15805" s="197"/>
    </row>
    <row r="15806" spans="66:69" x14ac:dyDescent="0.2">
      <c r="BN15806" s="192"/>
      <c r="BO15806" s="197"/>
      <c r="BP15806" s="197"/>
      <c r="BQ15806" s="197"/>
    </row>
    <row r="15807" spans="66:69" x14ac:dyDescent="0.2">
      <c r="BN15807" s="192"/>
      <c r="BO15807" s="197"/>
      <c r="BP15807" s="197"/>
      <c r="BQ15807" s="197"/>
    </row>
    <row r="15808" spans="66:69" x14ac:dyDescent="0.2">
      <c r="BN15808" s="192"/>
      <c r="BO15808" s="197"/>
      <c r="BP15808" s="197"/>
      <c r="BQ15808" s="197"/>
    </row>
    <row r="15809" spans="66:69" x14ac:dyDescent="0.2">
      <c r="BN15809" s="192"/>
      <c r="BO15809" s="197"/>
      <c r="BP15809" s="197"/>
      <c r="BQ15809" s="197"/>
    </row>
    <row r="15810" spans="66:69" x14ac:dyDescent="0.2">
      <c r="BN15810" s="192"/>
      <c r="BO15810" s="197"/>
      <c r="BP15810" s="197"/>
      <c r="BQ15810" s="197"/>
    </row>
    <row r="15811" spans="66:69" x14ac:dyDescent="0.2">
      <c r="BN15811" s="192"/>
      <c r="BO15811" s="197"/>
      <c r="BP15811" s="197"/>
      <c r="BQ15811" s="197"/>
    </row>
    <row r="15812" spans="66:69" x14ac:dyDescent="0.2">
      <c r="BN15812" s="192"/>
      <c r="BO15812" s="197"/>
      <c r="BP15812" s="197"/>
      <c r="BQ15812" s="197"/>
    </row>
    <row r="15813" spans="66:69" x14ac:dyDescent="0.2">
      <c r="BN15813" s="192"/>
      <c r="BO15813" s="197"/>
      <c r="BP15813" s="197"/>
      <c r="BQ15813" s="197"/>
    </row>
    <row r="15814" spans="66:69" x14ac:dyDescent="0.2">
      <c r="BN15814" s="192"/>
      <c r="BO15814" s="197"/>
      <c r="BP15814" s="197"/>
      <c r="BQ15814" s="197"/>
    </row>
    <row r="15815" spans="66:69" x14ac:dyDescent="0.2">
      <c r="BN15815" s="192"/>
      <c r="BO15815" s="197"/>
      <c r="BP15815" s="197"/>
      <c r="BQ15815" s="197"/>
    </row>
    <row r="15816" spans="66:69" x14ac:dyDescent="0.2">
      <c r="BN15816" s="192"/>
      <c r="BO15816" s="197"/>
      <c r="BP15816" s="197"/>
      <c r="BQ15816" s="197"/>
    </row>
    <row r="15817" spans="66:69" x14ac:dyDescent="0.2">
      <c r="BN15817" s="192"/>
      <c r="BO15817" s="197"/>
      <c r="BP15817" s="197"/>
      <c r="BQ15817" s="197"/>
    </row>
    <row r="15818" spans="66:69" x14ac:dyDescent="0.2">
      <c r="BN15818" s="192"/>
      <c r="BO15818" s="197"/>
      <c r="BP15818" s="197"/>
      <c r="BQ15818" s="197"/>
    </row>
    <row r="15819" spans="66:69" x14ac:dyDescent="0.2">
      <c r="BN15819" s="192"/>
      <c r="BO15819" s="197"/>
      <c r="BP15819" s="197"/>
      <c r="BQ15819" s="197"/>
    </row>
    <row r="15820" spans="66:69" x14ac:dyDescent="0.2">
      <c r="BN15820" s="192"/>
      <c r="BO15820" s="197"/>
      <c r="BP15820" s="197"/>
      <c r="BQ15820" s="197"/>
    </row>
    <row r="15821" spans="66:69" x14ac:dyDescent="0.2">
      <c r="BN15821" s="192"/>
      <c r="BO15821" s="197"/>
      <c r="BP15821" s="197"/>
      <c r="BQ15821" s="197"/>
    </row>
    <row r="15822" spans="66:69" x14ac:dyDescent="0.2">
      <c r="BN15822" s="192"/>
      <c r="BO15822" s="197"/>
      <c r="BP15822" s="197"/>
      <c r="BQ15822" s="197"/>
    </row>
    <row r="15823" spans="66:69" x14ac:dyDescent="0.2">
      <c r="BN15823" s="192"/>
      <c r="BO15823" s="197"/>
      <c r="BP15823" s="197"/>
      <c r="BQ15823" s="197"/>
    </row>
    <row r="15824" spans="66:69" x14ac:dyDescent="0.2">
      <c r="BN15824" s="192"/>
      <c r="BO15824" s="197"/>
      <c r="BP15824" s="197"/>
      <c r="BQ15824" s="197"/>
    </row>
    <row r="15825" spans="66:69" x14ac:dyDescent="0.2">
      <c r="BN15825" s="192"/>
      <c r="BO15825" s="197"/>
      <c r="BP15825" s="197"/>
      <c r="BQ15825" s="197"/>
    </row>
    <row r="15826" spans="66:69" x14ac:dyDescent="0.2">
      <c r="BN15826" s="192"/>
      <c r="BO15826" s="197"/>
      <c r="BP15826" s="197"/>
      <c r="BQ15826" s="197"/>
    </row>
    <row r="15827" spans="66:69" x14ac:dyDescent="0.2">
      <c r="BN15827" s="192"/>
      <c r="BO15827" s="197"/>
      <c r="BP15827" s="197"/>
      <c r="BQ15827" s="197"/>
    </row>
    <row r="15828" spans="66:69" x14ac:dyDescent="0.2">
      <c r="BN15828" s="192"/>
      <c r="BO15828" s="197"/>
      <c r="BP15828" s="197"/>
      <c r="BQ15828" s="197"/>
    </row>
    <row r="15829" spans="66:69" x14ac:dyDescent="0.2">
      <c r="BN15829" s="192"/>
      <c r="BO15829" s="197"/>
      <c r="BP15829" s="197"/>
      <c r="BQ15829" s="197"/>
    </row>
    <row r="15830" spans="66:69" x14ac:dyDescent="0.2">
      <c r="BN15830" s="192"/>
      <c r="BO15830" s="197"/>
      <c r="BP15830" s="197"/>
      <c r="BQ15830" s="197"/>
    </row>
    <row r="15831" spans="66:69" x14ac:dyDescent="0.2">
      <c r="BN15831" s="192"/>
      <c r="BO15831" s="197"/>
      <c r="BP15831" s="197"/>
      <c r="BQ15831" s="197"/>
    </row>
    <row r="15832" spans="66:69" x14ac:dyDescent="0.2">
      <c r="BN15832" s="192"/>
      <c r="BO15832" s="197"/>
      <c r="BP15832" s="197"/>
      <c r="BQ15832" s="197"/>
    </row>
    <row r="15833" spans="66:69" x14ac:dyDescent="0.2">
      <c r="BN15833" s="192"/>
      <c r="BO15833" s="197"/>
      <c r="BP15833" s="197"/>
      <c r="BQ15833" s="197"/>
    </row>
    <row r="15834" spans="66:69" x14ac:dyDescent="0.2">
      <c r="BN15834" s="192"/>
      <c r="BO15834" s="197"/>
      <c r="BP15834" s="197"/>
      <c r="BQ15834" s="197"/>
    </row>
    <row r="15835" spans="66:69" x14ac:dyDescent="0.2">
      <c r="BN15835" s="192"/>
      <c r="BO15835" s="197"/>
      <c r="BP15835" s="197"/>
      <c r="BQ15835" s="197"/>
    </row>
    <row r="15836" spans="66:69" x14ac:dyDescent="0.2">
      <c r="BN15836" s="192"/>
      <c r="BO15836" s="197"/>
      <c r="BP15836" s="197"/>
      <c r="BQ15836" s="197"/>
    </row>
    <row r="15837" spans="66:69" x14ac:dyDescent="0.2">
      <c r="BN15837" s="192"/>
      <c r="BO15837" s="197"/>
      <c r="BP15837" s="197"/>
      <c r="BQ15837" s="197"/>
    </row>
    <row r="15838" spans="66:69" x14ac:dyDescent="0.2">
      <c r="BN15838" s="192"/>
      <c r="BO15838" s="197"/>
      <c r="BP15838" s="197"/>
      <c r="BQ15838" s="197"/>
    </row>
    <row r="15839" spans="66:69" x14ac:dyDescent="0.2">
      <c r="BN15839" s="192"/>
      <c r="BO15839" s="197"/>
      <c r="BP15839" s="197"/>
      <c r="BQ15839" s="197"/>
    </row>
    <row r="15840" spans="66:69" x14ac:dyDescent="0.2">
      <c r="BN15840" s="192"/>
      <c r="BO15840" s="197"/>
      <c r="BP15840" s="197"/>
      <c r="BQ15840" s="197"/>
    </row>
    <row r="15841" spans="66:69" x14ac:dyDescent="0.2">
      <c r="BN15841" s="192"/>
      <c r="BO15841" s="197"/>
      <c r="BP15841" s="197"/>
      <c r="BQ15841" s="197"/>
    </row>
    <row r="15842" spans="66:69" x14ac:dyDescent="0.2">
      <c r="BN15842" s="192"/>
      <c r="BO15842" s="197"/>
      <c r="BP15842" s="197"/>
      <c r="BQ15842" s="197"/>
    </row>
    <row r="15843" spans="66:69" x14ac:dyDescent="0.2">
      <c r="BN15843" s="192"/>
      <c r="BO15843" s="197"/>
      <c r="BP15843" s="197"/>
      <c r="BQ15843" s="197"/>
    </row>
    <row r="15844" spans="66:69" x14ac:dyDescent="0.2">
      <c r="BN15844" s="192"/>
      <c r="BO15844" s="197"/>
      <c r="BP15844" s="197"/>
      <c r="BQ15844" s="197"/>
    </row>
    <row r="15845" spans="66:69" x14ac:dyDescent="0.2">
      <c r="BN15845" s="192"/>
      <c r="BO15845" s="197"/>
      <c r="BP15845" s="197"/>
      <c r="BQ15845" s="197"/>
    </row>
    <row r="15846" spans="66:69" x14ac:dyDescent="0.2">
      <c r="BN15846" s="192"/>
      <c r="BO15846" s="197"/>
      <c r="BP15846" s="197"/>
      <c r="BQ15846" s="197"/>
    </row>
    <row r="15847" spans="66:69" x14ac:dyDescent="0.2">
      <c r="BN15847" s="192"/>
      <c r="BO15847" s="197"/>
      <c r="BP15847" s="197"/>
      <c r="BQ15847" s="197"/>
    </row>
    <row r="15848" spans="66:69" x14ac:dyDescent="0.2">
      <c r="BN15848" s="192"/>
      <c r="BO15848" s="197"/>
      <c r="BP15848" s="197"/>
      <c r="BQ15848" s="197"/>
    </row>
    <row r="15849" spans="66:69" x14ac:dyDescent="0.2">
      <c r="BN15849" s="192"/>
      <c r="BO15849" s="197"/>
      <c r="BP15849" s="197"/>
      <c r="BQ15849" s="197"/>
    </row>
    <row r="15850" spans="66:69" x14ac:dyDescent="0.2">
      <c r="BN15850" s="192"/>
      <c r="BO15850" s="197"/>
      <c r="BP15850" s="197"/>
      <c r="BQ15850" s="197"/>
    </row>
    <row r="15851" spans="66:69" x14ac:dyDescent="0.2">
      <c r="BN15851" s="192"/>
      <c r="BO15851" s="197"/>
      <c r="BP15851" s="197"/>
      <c r="BQ15851" s="197"/>
    </row>
    <row r="15852" spans="66:69" x14ac:dyDescent="0.2">
      <c r="BN15852" s="192"/>
      <c r="BO15852" s="197"/>
      <c r="BP15852" s="197"/>
      <c r="BQ15852" s="197"/>
    </row>
    <row r="15853" spans="66:69" x14ac:dyDescent="0.2">
      <c r="BN15853" s="192"/>
      <c r="BO15853" s="197"/>
      <c r="BP15853" s="197"/>
      <c r="BQ15853" s="197"/>
    </row>
    <row r="15854" spans="66:69" x14ac:dyDescent="0.2">
      <c r="BN15854" s="192"/>
      <c r="BO15854" s="197"/>
      <c r="BP15854" s="197"/>
      <c r="BQ15854" s="197"/>
    </row>
    <row r="15855" spans="66:69" x14ac:dyDescent="0.2">
      <c r="BN15855" s="192"/>
      <c r="BO15855" s="197"/>
      <c r="BP15855" s="197"/>
      <c r="BQ15855" s="197"/>
    </row>
    <row r="15856" spans="66:69" x14ac:dyDescent="0.2">
      <c r="BN15856" s="192"/>
      <c r="BO15856" s="197"/>
      <c r="BP15856" s="197"/>
      <c r="BQ15856" s="197"/>
    </row>
    <row r="15857" spans="66:69" x14ac:dyDescent="0.2">
      <c r="BN15857" s="192"/>
      <c r="BO15857" s="197"/>
      <c r="BP15857" s="197"/>
      <c r="BQ15857" s="197"/>
    </row>
    <row r="15858" spans="66:69" x14ac:dyDescent="0.2">
      <c r="BN15858" s="192"/>
      <c r="BO15858" s="197"/>
      <c r="BP15858" s="197"/>
      <c r="BQ15858" s="197"/>
    </row>
    <row r="15859" spans="66:69" x14ac:dyDescent="0.2">
      <c r="BN15859" s="192"/>
      <c r="BO15859" s="197"/>
      <c r="BP15859" s="197"/>
      <c r="BQ15859" s="197"/>
    </row>
    <row r="15860" spans="66:69" x14ac:dyDescent="0.2">
      <c r="BN15860" s="192"/>
      <c r="BO15860" s="197"/>
      <c r="BP15860" s="197"/>
      <c r="BQ15860" s="197"/>
    </row>
    <row r="15861" spans="66:69" x14ac:dyDescent="0.2">
      <c r="BN15861" s="192"/>
      <c r="BO15861" s="197"/>
      <c r="BP15861" s="197"/>
      <c r="BQ15861" s="197"/>
    </row>
    <row r="15862" spans="66:69" x14ac:dyDescent="0.2">
      <c r="BN15862" s="192"/>
      <c r="BO15862" s="197"/>
      <c r="BP15862" s="197"/>
      <c r="BQ15862" s="197"/>
    </row>
    <row r="15863" spans="66:69" x14ac:dyDescent="0.2">
      <c r="BN15863" s="192"/>
      <c r="BO15863" s="197"/>
      <c r="BP15863" s="197"/>
      <c r="BQ15863" s="197"/>
    </row>
    <row r="15864" spans="66:69" x14ac:dyDescent="0.2">
      <c r="BN15864" s="192"/>
      <c r="BO15864" s="197"/>
      <c r="BP15864" s="197"/>
      <c r="BQ15864" s="197"/>
    </row>
    <row r="15865" spans="66:69" x14ac:dyDescent="0.2">
      <c r="BN15865" s="192"/>
      <c r="BO15865" s="197"/>
      <c r="BP15865" s="197"/>
      <c r="BQ15865" s="197"/>
    </row>
    <row r="15866" spans="66:69" x14ac:dyDescent="0.2">
      <c r="BN15866" s="192"/>
      <c r="BO15866" s="197"/>
      <c r="BP15866" s="197"/>
      <c r="BQ15866" s="197"/>
    </row>
    <row r="15867" spans="66:69" x14ac:dyDescent="0.2">
      <c r="BN15867" s="192"/>
      <c r="BO15867" s="197"/>
      <c r="BP15867" s="197"/>
      <c r="BQ15867" s="197"/>
    </row>
    <row r="15868" spans="66:69" x14ac:dyDescent="0.2">
      <c r="BN15868" s="192"/>
      <c r="BO15868" s="197"/>
      <c r="BP15868" s="197"/>
      <c r="BQ15868" s="197"/>
    </row>
    <row r="15869" spans="66:69" x14ac:dyDescent="0.2">
      <c r="BN15869" s="192"/>
      <c r="BO15869" s="197"/>
      <c r="BP15869" s="197"/>
      <c r="BQ15869" s="197"/>
    </row>
    <row r="15870" spans="66:69" x14ac:dyDescent="0.2">
      <c r="BN15870" s="192"/>
      <c r="BO15870" s="197"/>
      <c r="BP15870" s="197"/>
      <c r="BQ15870" s="197"/>
    </row>
    <row r="15871" spans="66:69" x14ac:dyDescent="0.2">
      <c r="BN15871" s="192"/>
      <c r="BO15871" s="197"/>
      <c r="BP15871" s="197"/>
      <c r="BQ15871" s="197"/>
    </row>
    <row r="15872" spans="66:69" x14ac:dyDescent="0.2">
      <c r="BN15872" s="192"/>
      <c r="BO15872" s="197"/>
      <c r="BP15872" s="197"/>
      <c r="BQ15872" s="197"/>
    </row>
    <row r="15873" spans="66:69" x14ac:dyDescent="0.2">
      <c r="BN15873" s="192"/>
      <c r="BO15873" s="197"/>
      <c r="BP15873" s="197"/>
      <c r="BQ15873" s="197"/>
    </row>
    <row r="15874" spans="66:69" x14ac:dyDescent="0.2">
      <c r="BN15874" s="192"/>
      <c r="BO15874" s="197"/>
      <c r="BP15874" s="197"/>
      <c r="BQ15874" s="197"/>
    </row>
    <row r="15875" spans="66:69" x14ac:dyDescent="0.2">
      <c r="BN15875" s="192"/>
      <c r="BO15875" s="197"/>
      <c r="BP15875" s="197"/>
      <c r="BQ15875" s="197"/>
    </row>
    <row r="15876" spans="66:69" x14ac:dyDescent="0.2">
      <c r="BN15876" s="192"/>
      <c r="BO15876" s="197"/>
      <c r="BP15876" s="197"/>
      <c r="BQ15876" s="197"/>
    </row>
    <row r="15877" spans="66:69" x14ac:dyDescent="0.2">
      <c r="BN15877" s="192"/>
      <c r="BO15877" s="197"/>
      <c r="BP15877" s="197"/>
      <c r="BQ15877" s="197"/>
    </row>
    <row r="15878" spans="66:69" x14ac:dyDescent="0.2">
      <c r="BN15878" s="192"/>
      <c r="BO15878" s="197"/>
      <c r="BP15878" s="197"/>
      <c r="BQ15878" s="197"/>
    </row>
    <row r="15879" spans="66:69" x14ac:dyDescent="0.2">
      <c r="BN15879" s="192"/>
      <c r="BO15879" s="197"/>
      <c r="BP15879" s="197"/>
      <c r="BQ15879" s="197"/>
    </row>
    <row r="15880" spans="66:69" x14ac:dyDescent="0.2">
      <c r="BN15880" s="192"/>
      <c r="BO15880" s="197"/>
      <c r="BP15880" s="197"/>
      <c r="BQ15880" s="197"/>
    </row>
    <row r="15881" spans="66:69" x14ac:dyDescent="0.2">
      <c r="BN15881" s="192"/>
      <c r="BO15881" s="197"/>
      <c r="BP15881" s="197"/>
      <c r="BQ15881" s="197"/>
    </row>
    <row r="15882" spans="66:69" x14ac:dyDescent="0.2">
      <c r="BN15882" s="192"/>
      <c r="BO15882" s="197"/>
      <c r="BP15882" s="197"/>
      <c r="BQ15882" s="197"/>
    </row>
    <row r="15883" spans="66:69" x14ac:dyDescent="0.2">
      <c r="BN15883" s="192"/>
      <c r="BO15883" s="197"/>
      <c r="BP15883" s="197"/>
      <c r="BQ15883" s="197"/>
    </row>
    <row r="15884" spans="66:69" x14ac:dyDescent="0.2">
      <c r="BN15884" s="192"/>
      <c r="BO15884" s="197"/>
      <c r="BP15884" s="197"/>
      <c r="BQ15884" s="197"/>
    </row>
    <row r="15885" spans="66:69" x14ac:dyDescent="0.2">
      <c r="BN15885" s="192"/>
      <c r="BO15885" s="197"/>
      <c r="BP15885" s="197"/>
      <c r="BQ15885" s="197"/>
    </row>
    <row r="15886" spans="66:69" x14ac:dyDescent="0.2">
      <c r="BN15886" s="192"/>
      <c r="BO15886" s="197"/>
      <c r="BP15886" s="197"/>
      <c r="BQ15886" s="197"/>
    </row>
    <row r="15887" spans="66:69" x14ac:dyDescent="0.2">
      <c r="BN15887" s="192"/>
      <c r="BO15887" s="197"/>
      <c r="BP15887" s="197"/>
      <c r="BQ15887" s="197"/>
    </row>
    <row r="15888" spans="66:69" x14ac:dyDescent="0.2">
      <c r="BN15888" s="192"/>
      <c r="BO15888" s="197"/>
      <c r="BP15888" s="197"/>
      <c r="BQ15888" s="197"/>
    </row>
    <row r="15889" spans="66:69" x14ac:dyDescent="0.2">
      <c r="BN15889" s="192"/>
      <c r="BO15889" s="197"/>
      <c r="BP15889" s="197"/>
      <c r="BQ15889" s="197"/>
    </row>
    <row r="15890" spans="66:69" x14ac:dyDescent="0.2">
      <c r="BN15890" s="192"/>
      <c r="BO15890" s="197"/>
      <c r="BP15890" s="197"/>
      <c r="BQ15890" s="197"/>
    </row>
    <row r="15891" spans="66:69" x14ac:dyDescent="0.2">
      <c r="BN15891" s="192"/>
      <c r="BO15891" s="197"/>
      <c r="BP15891" s="197"/>
      <c r="BQ15891" s="197"/>
    </row>
    <row r="15892" spans="66:69" x14ac:dyDescent="0.2">
      <c r="BN15892" s="192"/>
      <c r="BO15892" s="197"/>
      <c r="BP15892" s="197"/>
      <c r="BQ15892" s="197"/>
    </row>
    <row r="15893" spans="66:69" x14ac:dyDescent="0.2">
      <c r="BN15893" s="192"/>
      <c r="BO15893" s="197"/>
      <c r="BP15893" s="197"/>
      <c r="BQ15893" s="197"/>
    </row>
    <row r="15894" spans="66:69" x14ac:dyDescent="0.2">
      <c r="BN15894" s="192"/>
      <c r="BO15894" s="197"/>
      <c r="BP15894" s="197"/>
      <c r="BQ15894" s="197"/>
    </row>
    <row r="15895" spans="66:69" x14ac:dyDescent="0.2">
      <c r="BN15895" s="192"/>
      <c r="BO15895" s="197"/>
      <c r="BP15895" s="197"/>
      <c r="BQ15895" s="197"/>
    </row>
    <row r="15896" spans="66:69" x14ac:dyDescent="0.2">
      <c r="BN15896" s="192"/>
      <c r="BO15896" s="197"/>
      <c r="BP15896" s="197"/>
      <c r="BQ15896" s="197"/>
    </row>
    <row r="15897" spans="66:69" x14ac:dyDescent="0.2">
      <c r="BN15897" s="192"/>
      <c r="BO15897" s="197"/>
      <c r="BP15897" s="197"/>
      <c r="BQ15897" s="197"/>
    </row>
    <row r="15898" spans="66:69" x14ac:dyDescent="0.2">
      <c r="BN15898" s="192"/>
      <c r="BO15898" s="197"/>
      <c r="BP15898" s="197"/>
      <c r="BQ15898" s="197"/>
    </row>
    <row r="15899" spans="66:69" x14ac:dyDescent="0.2">
      <c r="BN15899" s="192"/>
      <c r="BO15899" s="197"/>
      <c r="BP15899" s="197"/>
      <c r="BQ15899" s="197"/>
    </row>
    <row r="15900" spans="66:69" x14ac:dyDescent="0.2">
      <c r="BN15900" s="192"/>
      <c r="BO15900" s="197"/>
      <c r="BP15900" s="197"/>
      <c r="BQ15900" s="197"/>
    </row>
    <row r="15901" spans="66:69" x14ac:dyDescent="0.2">
      <c r="BN15901" s="192"/>
      <c r="BO15901" s="197"/>
      <c r="BP15901" s="197"/>
      <c r="BQ15901" s="197"/>
    </row>
    <row r="15902" spans="66:69" x14ac:dyDescent="0.2">
      <c r="BN15902" s="192"/>
      <c r="BO15902" s="197"/>
      <c r="BP15902" s="197"/>
      <c r="BQ15902" s="197"/>
    </row>
    <row r="15903" spans="66:69" x14ac:dyDescent="0.2">
      <c r="BN15903" s="192"/>
      <c r="BO15903" s="197"/>
      <c r="BP15903" s="197"/>
      <c r="BQ15903" s="197"/>
    </row>
    <row r="15904" spans="66:69" x14ac:dyDescent="0.2">
      <c r="BN15904" s="192"/>
      <c r="BO15904" s="197"/>
      <c r="BP15904" s="197"/>
      <c r="BQ15904" s="197"/>
    </row>
    <row r="15905" spans="66:69" x14ac:dyDescent="0.2">
      <c r="BN15905" s="192"/>
      <c r="BO15905" s="197"/>
      <c r="BP15905" s="197"/>
      <c r="BQ15905" s="197"/>
    </row>
    <row r="15906" spans="66:69" x14ac:dyDescent="0.2">
      <c r="BN15906" s="192"/>
      <c r="BO15906" s="197"/>
      <c r="BP15906" s="197"/>
      <c r="BQ15906" s="197"/>
    </row>
    <row r="15907" spans="66:69" x14ac:dyDescent="0.2">
      <c r="BN15907" s="192"/>
      <c r="BO15907" s="197"/>
      <c r="BP15907" s="197"/>
      <c r="BQ15907" s="197"/>
    </row>
    <row r="15908" spans="66:69" x14ac:dyDescent="0.2">
      <c r="BN15908" s="192"/>
      <c r="BO15908" s="197"/>
      <c r="BP15908" s="197"/>
      <c r="BQ15908" s="197"/>
    </row>
    <row r="15909" spans="66:69" x14ac:dyDescent="0.2">
      <c r="BN15909" s="192"/>
      <c r="BO15909" s="197"/>
      <c r="BP15909" s="197"/>
      <c r="BQ15909" s="197"/>
    </row>
    <row r="15910" spans="66:69" x14ac:dyDescent="0.2">
      <c r="BN15910" s="192"/>
      <c r="BO15910" s="197"/>
      <c r="BP15910" s="197"/>
      <c r="BQ15910" s="197"/>
    </row>
    <row r="15911" spans="66:69" x14ac:dyDescent="0.2">
      <c r="BN15911" s="192"/>
      <c r="BO15911" s="197"/>
      <c r="BP15911" s="197"/>
      <c r="BQ15911" s="197"/>
    </row>
    <row r="15912" spans="66:69" x14ac:dyDescent="0.2">
      <c r="BN15912" s="192"/>
      <c r="BO15912" s="197"/>
      <c r="BP15912" s="197"/>
      <c r="BQ15912" s="197"/>
    </row>
    <row r="15913" spans="66:69" x14ac:dyDescent="0.2">
      <c r="BN15913" s="192"/>
      <c r="BO15913" s="197"/>
      <c r="BP15913" s="197"/>
      <c r="BQ15913" s="197"/>
    </row>
    <row r="15914" spans="66:69" x14ac:dyDescent="0.2">
      <c r="BN15914" s="192"/>
      <c r="BO15914" s="197"/>
      <c r="BP15914" s="197"/>
      <c r="BQ15914" s="197"/>
    </row>
    <row r="15915" spans="66:69" x14ac:dyDescent="0.2">
      <c r="BN15915" s="192"/>
      <c r="BO15915" s="197"/>
      <c r="BP15915" s="197"/>
      <c r="BQ15915" s="197"/>
    </row>
    <row r="15916" spans="66:69" x14ac:dyDescent="0.2">
      <c r="BN15916" s="192"/>
      <c r="BO15916" s="197"/>
      <c r="BP15916" s="197"/>
      <c r="BQ15916" s="197"/>
    </row>
    <row r="15917" spans="66:69" x14ac:dyDescent="0.2">
      <c r="BN15917" s="192"/>
      <c r="BO15917" s="197"/>
      <c r="BP15917" s="197"/>
      <c r="BQ15917" s="197"/>
    </row>
    <row r="15918" spans="66:69" x14ac:dyDescent="0.2">
      <c r="BN15918" s="192"/>
      <c r="BO15918" s="197"/>
      <c r="BP15918" s="197"/>
      <c r="BQ15918" s="197"/>
    </row>
    <row r="15919" spans="66:69" x14ac:dyDescent="0.2">
      <c r="BN15919" s="192"/>
      <c r="BO15919" s="197"/>
      <c r="BP15919" s="197"/>
      <c r="BQ15919" s="197"/>
    </row>
    <row r="15920" spans="66:69" x14ac:dyDescent="0.2">
      <c r="BN15920" s="192"/>
      <c r="BO15920" s="197"/>
      <c r="BP15920" s="197"/>
      <c r="BQ15920" s="197"/>
    </row>
    <row r="15921" spans="66:69" x14ac:dyDescent="0.2">
      <c r="BN15921" s="192"/>
      <c r="BO15921" s="197"/>
      <c r="BP15921" s="197"/>
      <c r="BQ15921" s="197"/>
    </row>
    <row r="15922" spans="66:69" x14ac:dyDescent="0.2">
      <c r="BN15922" s="192"/>
      <c r="BO15922" s="197"/>
      <c r="BP15922" s="197"/>
      <c r="BQ15922" s="197"/>
    </row>
    <row r="15923" spans="66:69" x14ac:dyDescent="0.2">
      <c r="BN15923" s="192"/>
      <c r="BO15923" s="197"/>
      <c r="BP15923" s="197"/>
      <c r="BQ15923" s="197"/>
    </row>
    <row r="15924" spans="66:69" x14ac:dyDescent="0.2">
      <c r="BN15924" s="192"/>
      <c r="BO15924" s="197"/>
      <c r="BP15924" s="197"/>
      <c r="BQ15924" s="197"/>
    </row>
    <row r="15925" spans="66:69" x14ac:dyDescent="0.2">
      <c r="BN15925" s="192"/>
      <c r="BO15925" s="197"/>
      <c r="BP15925" s="197"/>
      <c r="BQ15925" s="197"/>
    </row>
    <row r="15926" spans="66:69" x14ac:dyDescent="0.2">
      <c r="BN15926" s="192"/>
      <c r="BO15926" s="197"/>
      <c r="BP15926" s="197"/>
      <c r="BQ15926" s="197"/>
    </row>
    <row r="15927" spans="66:69" x14ac:dyDescent="0.2">
      <c r="BN15927" s="192"/>
      <c r="BO15927" s="197"/>
      <c r="BP15927" s="197"/>
      <c r="BQ15927" s="197"/>
    </row>
    <row r="15928" spans="66:69" x14ac:dyDescent="0.2">
      <c r="BN15928" s="192"/>
      <c r="BO15928" s="197"/>
      <c r="BP15928" s="197"/>
      <c r="BQ15928" s="197"/>
    </row>
    <row r="15929" spans="66:69" x14ac:dyDescent="0.2">
      <c r="BN15929" s="192"/>
      <c r="BO15929" s="197"/>
      <c r="BP15929" s="197"/>
      <c r="BQ15929" s="197"/>
    </row>
    <row r="15930" spans="66:69" x14ac:dyDescent="0.2">
      <c r="BN15930" s="192"/>
      <c r="BO15930" s="197"/>
      <c r="BP15930" s="197"/>
      <c r="BQ15930" s="197"/>
    </row>
    <row r="15931" spans="66:69" x14ac:dyDescent="0.2">
      <c r="BN15931" s="192"/>
      <c r="BO15931" s="197"/>
      <c r="BP15931" s="197"/>
      <c r="BQ15931" s="197"/>
    </row>
    <row r="15932" spans="66:69" x14ac:dyDescent="0.2">
      <c r="BN15932" s="192"/>
      <c r="BO15932" s="197"/>
      <c r="BP15932" s="197"/>
      <c r="BQ15932" s="197"/>
    </row>
    <row r="15933" spans="66:69" x14ac:dyDescent="0.2">
      <c r="BN15933" s="192"/>
      <c r="BO15933" s="197"/>
      <c r="BP15933" s="197"/>
      <c r="BQ15933" s="197"/>
    </row>
    <row r="15934" spans="66:69" x14ac:dyDescent="0.2">
      <c r="BN15934" s="192"/>
      <c r="BO15934" s="197"/>
      <c r="BP15934" s="197"/>
      <c r="BQ15934" s="197"/>
    </row>
    <row r="15935" spans="66:69" x14ac:dyDescent="0.2">
      <c r="BN15935" s="192"/>
      <c r="BO15935" s="197"/>
      <c r="BP15935" s="197"/>
      <c r="BQ15935" s="197"/>
    </row>
    <row r="15936" spans="66:69" x14ac:dyDescent="0.2">
      <c r="BN15936" s="192"/>
      <c r="BO15936" s="197"/>
      <c r="BP15936" s="197"/>
      <c r="BQ15936" s="197"/>
    </row>
    <row r="15937" spans="66:69" x14ac:dyDescent="0.2">
      <c r="BN15937" s="192"/>
      <c r="BO15937" s="197"/>
      <c r="BP15937" s="197"/>
      <c r="BQ15937" s="197"/>
    </row>
    <row r="15938" spans="66:69" x14ac:dyDescent="0.2">
      <c r="BN15938" s="192"/>
      <c r="BO15938" s="197"/>
      <c r="BP15938" s="197"/>
      <c r="BQ15938" s="197"/>
    </row>
    <row r="15939" spans="66:69" x14ac:dyDescent="0.2">
      <c r="BN15939" s="192"/>
      <c r="BO15939" s="197"/>
      <c r="BP15939" s="197"/>
      <c r="BQ15939" s="197"/>
    </row>
    <row r="15940" spans="66:69" x14ac:dyDescent="0.2">
      <c r="BN15940" s="192"/>
      <c r="BO15940" s="197"/>
      <c r="BP15940" s="197"/>
      <c r="BQ15940" s="197"/>
    </row>
    <row r="15941" spans="66:69" x14ac:dyDescent="0.2">
      <c r="BN15941" s="192"/>
      <c r="BO15941" s="197"/>
      <c r="BP15941" s="197"/>
      <c r="BQ15941" s="197"/>
    </row>
    <row r="15942" spans="66:69" x14ac:dyDescent="0.2">
      <c r="BN15942" s="192"/>
      <c r="BO15942" s="197"/>
      <c r="BP15942" s="197"/>
      <c r="BQ15942" s="197"/>
    </row>
    <row r="15943" spans="66:69" x14ac:dyDescent="0.2">
      <c r="BN15943" s="192"/>
      <c r="BO15943" s="197"/>
      <c r="BP15943" s="197"/>
      <c r="BQ15943" s="197"/>
    </row>
    <row r="15944" spans="66:69" x14ac:dyDescent="0.2">
      <c r="BN15944" s="192"/>
      <c r="BO15944" s="197"/>
      <c r="BP15944" s="197"/>
      <c r="BQ15944" s="197"/>
    </row>
    <row r="15945" spans="66:69" x14ac:dyDescent="0.2">
      <c r="BN15945" s="192"/>
      <c r="BO15945" s="197"/>
      <c r="BP15945" s="197"/>
      <c r="BQ15945" s="197"/>
    </row>
    <row r="15946" spans="66:69" x14ac:dyDescent="0.2">
      <c r="BN15946" s="192"/>
      <c r="BO15946" s="197"/>
      <c r="BP15946" s="197"/>
      <c r="BQ15946" s="197"/>
    </row>
    <row r="15947" spans="66:69" x14ac:dyDescent="0.2">
      <c r="BN15947" s="192"/>
      <c r="BO15947" s="197"/>
      <c r="BP15947" s="197"/>
      <c r="BQ15947" s="197"/>
    </row>
    <row r="15948" spans="66:69" x14ac:dyDescent="0.2">
      <c r="BN15948" s="192"/>
      <c r="BO15948" s="197"/>
      <c r="BP15948" s="197"/>
      <c r="BQ15948" s="197"/>
    </row>
    <row r="15949" spans="66:69" x14ac:dyDescent="0.2">
      <c r="BN15949" s="192"/>
      <c r="BO15949" s="197"/>
      <c r="BP15949" s="197"/>
      <c r="BQ15949" s="197"/>
    </row>
    <row r="15950" spans="66:69" x14ac:dyDescent="0.2">
      <c r="BN15950" s="192"/>
      <c r="BO15950" s="197"/>
      <c r="BP15950" s="197"/>
      <c r="BQ15950" s="197"/>
    </row>
    <row r="15951" spans="66:69" x14ac:dyDescent="0.2">
      <c r="BN15951" s="192"/>
      <c r="BO15951" s="197"/>
      <c r="BP15951" s="197"/>
      <c r="BQ15951" s="197"/>
    </row>
    <row r="15952" spans="66:69" x14ac:dyDescent="0.2">
      <c r="BN15952" s="192"/>
      <c r="BO15952" s="197"/>
      <c r="BP15952" s="197"/>
      <c r="BQ15952" s="197"/>
    </row>
    <row r="15953" spans="66:69" x14ac:dyDescent="0.2">
      <c r="BN15953" s="192"/>
      <c r="BO15953" s="197"/>
      <c r="BP15953" s="197"/>
      <c r="BQ15953" s="197"/>
    </row>
    <row r="15954" spans="66:69" x14ac:dyDescent="0.2">
      <c r="BN15954" s="192"/>
      <c r="BO15954" s="197"/>
      <c r="BP15954" s="197"/>
      <c r="BQ15954" s="197"/>
    </row>
    <row r="15955" spans="66:69" x14ac:dyDescent="0.2">
      <c r="BN15955" s="192"/>
      <c r="BO15955" s="197"/>
      <c r="BP15955" s="197"/>
      <c r="BQ15955" s="197"/>
    </row>
    <row r="15956" spans="66:69" x14ac:dyDescent="0.2">
      <c r="BN15956" s="192"/>
      <c r="BO15956" s="197"/>
      <c r="BP15956" s="197"/>
      <c r="BQ15956" s="197"/>
    </row>
    <row r="15957" spans="66:69" x14ac:dyDescent="0.2">
      <c r="BN15957" s="192"/>
      <c r="BO15957" s="197"/>
      <c r="BP15957" s="197"/>
      <c r="BQ15957" s="197"/>
    </row>
    <row r="15958" spans="66:69" x14ac:dyDescent="0.2">
      <c r="BN15958" s="192"/>
      <c r="BO15958" s="197"/>
      <c r="BP15958" s="197"/>
      <c r="BQ15958" s="197"/>
    </row>
    <row r="15959" spans="66:69" x14ac:dyDescent="0.2">
      <c r="BN15959" s="192"/>
      <c r="BO15959" s="197"/>
      <c r="BP15959" s="197"/>
      <c r="BQ15959" s="197"/>
    </row>
    <row r="15960" spans="66:69" x14ac:dyDescent="0.2">
      <c r="BN15960" s="192"/>
      <c r="BO15960" s="197"/>
      <c r="BP15960" s="197"/>
      <c r="BQ15960" s="197"/>
    </row>
    <row r="15961" spans="66:69" x14ac:dyDescent="0.2">
      <c r="BN15961" s="192"/>
      <c r="BO15961" s="197"/>
      <c r="BP15961" s="197"/>
      <c r="BQ15961" s="197"/>
    </row>
    <row r="15962" spans="66:69" x14ac:dyDescent="0.2">
      <c r="BN15962" s="192"/>
      <c r="BO15962" s="197"/>
      <c r="BP15962" s="197"/>
      <c r="BQ15962" s="197"/>
    </row>
    <row r="15963" spans="66:69" x14ac:dyDescent="0.2">
      <c r="BN15963" s="192"/>
      <c r="BO15963" s="197"/>
      <c r="BP15963" s="197"/>
      <c r="BQ15963" s="197"/>
    </row>
    <row r="15964" spans="66:69" x14ac:dyDescent="0.2">
      <c r="BN15964" s="192"/>
      <c r="BO15964" s="197"/>
      <c r="BP15964" s="197"/>
      <c r="BQ15964" s="197"/>
    </row>
    <row r="15965" spans="66:69" x14ac:dyDescent="0.2">
      <c r="BN15965" s="192"/>
      <c r="BO15965" s="197"/>
      <c r="BP15965" s="197"/>
      <c r="BQ15965" s="197"/>
    </row>
    <row r="15966" spans="66:69" x14ac:dyDescent="0.2">
      <c r="BN15966" s="192"/>
      <c r="BO15966" s="197"/>
      <c r="BP15966" s="197"/>
      <c r="BQ15966" s="197"/>
    </row>
    <row r="15967" spans="66:69" x14ac:dyDescent="0.2">
      <c r="BN15967" s="192"/>
      <c r="BO15967" s="197"/>
      <c r="BP15967" s="197"/>
      <c r="BQ15967" s="197"/>
    </row>
    <row r="15968" spans="66:69" x14ac:dyDescent="0.2">
      <c r="BN15968" s="192"/>
      <c r="BO15968" s="197"/>
      <c r="BP15968" s="197"/>
      <c r="BQ15968" s="197"/>
    </row>
    <row r="15969" spans="66:69" x14ac:dyDescent="0.2">
      <c r="BN15969" s="192"/>
      <c r="BO15969" s="197"/>
      <c r="BP15969" s="197"/>
      <c r="BQ15969" s="197"/>
    </row>
    <row r="15970" spans="66:69" x14ac:dyDescent="0.2">
      <c r="BN15970" s="192"/>
      <c r="BO15970" s="197"/>
      <c r="BP15970" s="197"/>
      <c r="BQ15970" s="197"/>
    </row>
    <row r="15971" spans="66:69" x14ac:dyDescent="0.2">
      <c r="BN15971" s="192"/>
      <c r="BO15971" s="197"/>
      <c r="BP15971" s="197"/>
      <c r="BQ15971" s="197"/>
    </row>
    <row r="15972" spans="66:69" x14ac:dyDescent="0.2">
      <c r="BN15972" s="192"/>
      <c r="BO15972" s="197"/>
      <c r="BP15972" s="197"/>
      <c r="BQ15972" s="197"/>
    </row>
    <row r="15973" spans="66:69" x14ac:dyDescent="0.2">
      <c r="BN15973" s="192"/>
      <c r="BO15973" s="197"/>
      <c r="BP15973" s="197"/>
      <c r="BQ15973" s="197"/>
    </row>
    <row r="15974" spans="66:69" x14ac:dyDescent="0.2">
      <c r="BN15974" s="192"/>
      <c r="BO15974" s="197"/>
      <c r="BP15974" s="197"/>
      <c r="BQ15974" s="197"/>
    </row>
    <row r="15975" spans="66:69" x14ac:dyDescent="0.2">
      <c r="BN15975" s="192"/>
      <c r="BO15975" s="197"/>
      <c r="BP15975" s="197"/>
      <c r="BQ15975" s="197"/>
    </row>
    <row r="15976" spans="66:69" x14ac:dyDescent="0.2">
      <c r="BN15976" s="192"/>
      <c r="BO15976" s="197"/>
      <c r="BP15976" s="197"/>
      <c r="BQ15976" s="197"/>
    </row>
    <row r="15977" spans="66:69" x14ac:dyDescent="0.2">
      <c r="BN15977" s="192"/>
      <c r="BO15977" s="197"/>
      <c r="BP15977" s="197"/>
      <c r="BQ15977" s="197"/>
    </row>
    <row r="15978" spans="66:69" x14ac:dyDescent="0.2">
      <c r="BN15978" s="192"/>
      <c r="BO15978" s="197"/>
      <c r="BP15978" s="197"/>
      <c r="BQ15978" s="197"/>
    </row>
    <row r="15979" spans="66:69" x14ac:dyDescent="0.2">
      <c r="BN15979" s="192"/>
      <c r="BO15979" s="197"/>
      <c r="BP15979" s="197"/>
      <c r="BQ15979" s="197"/>
    </row>
    <row r="15980" spans="66:69" x14ac:dyDescent="0.2">
      <c r="BN15980" s="192"/>
      <c r="BO15980" s="197"/>
      <c r="BP15980" s="197"/>
      <c r="BQ15980" s="197"/>
    </row>
    <row r="15981" spans="66:69" x14ac:dyDescent="0.2">
      <c r="BN15981" s="192"/>
      <c r="BO15981" s="197"/>
      <c r="BP15981" s="197"/>
      <c r="BQ15981" s="197"/>
    </row>
    <row r="15982" spans="66:69" x14ac:dyDescent="0.2">
      <c r="BN15982" s="192"/>
      <c r="BO15982" s="197"/>
      <c r="BP15982" s="197"/>
      <c r="BQ15982" s="197"/>
    </row>
    <row r="15983" spans="66:69" x14ac:dyDescent="0.2">
      <c r="BN15983" s="192"/>
      <c r="BO15983" s="197"/>
      <c r="BP15983" s="197"/>
      <c r="BQ15983" s="197"/>
    </row>
    <row r="15984" spans="66:69" x14ac:dyDescent="0.2">
      <c r="BN15984" s="192"/>
      <c r="BO15984" s="197"/>
      <c r="BP15984" s="197"/>
      <c r="BQ15984" s="197"/>
    </row>
    <row r="15985" spans="66:69" x14ac:dyDescent="0.2">
      <c r="BN15985" s="192"/>
      <c r="BO15985" s="197"/>
      <c r="BP15985" s="197"/>
      <c r="BQ15985" s="197"/>
    </row>
    <row r="15986" spans="66:69" x14ac:dyDescent="0.2">
      <c r="BN15986" s="192"/>
      <c r="BO15986" s="197"/>
      <c r="BP15986" s="197"/>
      <c r="BQ15986" s="197"/>
    </row>
    <row r="15987" spans="66:69" x14ac:dyDescent="0.2">
      <c r="BN15987" s="192"/>
      <c r="BO15987" s="197"/>
      <c r="BP15987" s="197"/>
      <c r="BQ15987" s="197"/>
    </row>
    <row r="15988" spans="66:69" x14ac:dyDescent="0.2">
      <c r="BN15988" s="192"/>
      <c r="BO15988" s="197"/>
      <c r="BP15988" s="197"/>
      <c r="BQ15988" s="197"/>
    </row>
    <row r="15989" spans="66:69" x14ac:dyDescent="0.2">
      <c r="BN15989" s="192"/>
      <c r="BO15989" s="197"/>
      <c r="BP15989" s="197"/>
      <c r="BQ15989" s="197"/>
    </row>
    <row r="15990" spans="66:69" x14ac:dyDescent="0.2">
      <c r="BN15990" s="192"/>
      <c r="BO15990" s="197"/>
      <c r="BP15990" s="197"/>
      <c r="BQ15990" s="197"/>
    </row>
    <row r="15991" spans="66:69" x14ac:dyDescent="0.2">
      <c r="BN15991" s="192"/>
      <c r="BO15991" s="197"/>
      <c r="BP15991" s="197"/>
      <c r="BQ15991" s="197"/>
    </row>
    <row r="15992" spans="66:69" x14ac:dyDescent="0.2">
      <c r="BN15992" s="192"/>
      <c r="BO15992" s="197"/>
      <c r="BP15992" s="197"/>
      <c r="BQ15992" s="197"/>
    </row>
    <row r="15993" spans="66:69" x14ac:dyDescent="0.2">
      <c r="BN15993" s="192"/>
      <c r="BO15993" s="197"/>
      <c r="BP15993" s="197"/>
      <c r="BQ15993" s="197"/>
    </row>
    <row r="15994" spans="66:69" x14ac:dyDescent="0.2">
      <c r="BN15994" s="192"/>
      <c r="BO15994" s="197"/>
      <c r="BP15994" s="197"/>
      <c r="BQ15994" s="197"/>
    </row>
    <row r="15995" spans="66:69" x14ac:dyDescent="0.2">
      <c r="BN15995" s="192"/>
      <c r="BO15995" s="197"/>
      <c r="BP15995" s="197"/>
      <c r="BQ15995" s="197"/>
    </row>
    <row r="15996" spans="66:69" x14ac:dyDescent="0.2">
      <c r="BN15996" s="192"/>
      <c r="BO15996" s="197"/>
      <c r="BP15996" s="197"/>
      <c r="BQ15996" s="197"/>
    </row>
    <row r="15997" spans="66:69" x14ac:dyDescent="0.2">
      <c r="BN15997" s="192"/>
      <c r="BO15997" s="197"/>
      <c r="BP15997" s="197"/>
      <c r="BQ15997" s="197"/>
    </row>
    <row r="15998" spans="66:69" x14ac:dyDescent="0.2">
      <c r="BN15998" s="192"/>
      <c r="BO15998" s="197"/>
      <c r="BP15998" s="197"/>
      <c r="BQ15998" s="197"/>
    </row>
    <row r="15999" spans="66:69" x14ac:dyDescent="0.2">
      <c r="BN15999" s="192"/>
      <c r="BO15999" s="197"/>
      <c r="BP15999" s="197"/>
      <c r="BQ15999" s="197"/>
    </row>
    <row r="16000" spans="66:69" x14ac:dyDescent="0.2">
      <c r="BN16000" s="192"/>
      <c r="BO16000" s="197"/>
      <c r="BP16000" s="197"/>
      <c r="BQ16000" s="197"/>
    </row>
    <row r="16001" spans="66:69" x14ac:dyDescent="0.2">
      <c r="BN16001" s="192"/>
      <c r="BO16001" s="197"/>
      <c r="BP16001" s="197"/>
      <c r="BQ16001" s="197"/>
    </row>
    <row r="16002" spans="66:69" x14ac:dyDescent="0.2">
      <c r="BN16002" s="192"/>
      <c r="BO16002" s="197"/>
      <c r="BP16002" s="197"/>
      <c r="BQ16002" s="197"/>
    </row>
    <row r="16003" spans="66:69" x14ac:dyDescent="0.2">
      <c r="BN16003" s="192"/>
      <c r="BO16003" s="197"/>
      <c r="BP16003" s="197"/>
      <c r="BQ16003" s="197"/>
    </row>
    <row r="16004" spans="66:69" x14ac:dyDescent="0.2">
      <c r="BN16004" s="192"/>
      <c r="BO16004" s="197"/>
      <c r="BP16004" s="197"/>
      <c r="BQ16004" s="197"/>
    </row>
    <row r="16005" spans="66:69" x14ac:dyDescent="0.2">
      <c r="BN16005" s="192"/>
      <c r="BO16005" s="197"/>
      <c r="BP16005" s="197"/>
      <c r="BQ16005" s="197"/>
    </row>
    <row r="16006" spans="66:69" x14ac:dyDescent="0.2">
      <c r="BN16006" s="192"/>
      <c r="BO16006" s="197"/>
      <c r="BP16006" s="197"/>
      <c r="BQ16006" s="197"/>
    </row>
    <row r="16007" spans="66:69" x14ac:dyDescent="0.2">
      <c r="BN16007" s="192"/>
      <c r="BO16007" s="197"/>
      <c r="BP16007" s="197"/>
      <c r="BQ16007" s="197"/>
    </row>
    <row r="16008" spans="66:69" x14ac:dyDescent="0.2">
      <c r="BN16008" s="192"/>
      <c r="BO16008" s="197"/>
      <c r="BP16008" s="197"/>
      <c r="BQ16008" s="197"/>
    </row>
    <row r="16009" spans="66:69" x14ac:dyDescent="0.2">
      <c r="BN16009" s="192"/>
      <c r="BO16009" s="197"/>
      <c r="BP16009" s="197"/>
      <c r="BQ16009" s="197"/>
    </row>
    <row r="16010" spans="66:69" x14ac:dyDescent="0.2">
      <c r="BN16010" s="192"/>
      <c r="BO16010" s="197"/>
      <c r="BP16010" s="197"/>
      <c r="BQ16010" s="197"/>
    </row>
    <row r="16011" spans="66:69" x14ac:dyDescent="0.2">
      <c r="BN16011" s="192"/>
      <c r="BO16011" s="197"/>
      <c r="BP16011" s="197"/>
      <c r="BQ16011" s="197"/>
    </row>
    <row r="16012" spans="66:69" x14ac:dyDescent="0.2">
      <c r="BN16012" s="192"/>
      <c r="BO16012" s="197"/>
      <c r="BP16012" s="197"/>
      <c r="BQ16012" s="197"/>
    </row>
    <row r="16013" spans="66:69" x14ac:dyDescent="0.2">
      <c r="BN16013" s="192"/>
      <c r="BO16013" s="197"/>
      <c r="BP16013" s="197"/>
      <c r="BQ16013" s="197"/>
    </row>
    <row r="16014" spans="66:69" x14ac:dyDescent="0.2">
      <c r="BN16014" s="192"/>
      <c r="BO16014" s="197"/>
      <c r="BP16014" s="197"/>
      <c r="BQ16014" s="197"/>
    </row>
    <row r="16015" spans="66:69" x14ac:dyDescent="0.2">
      <c r="BN16015" s="192"/>
      <c r="BO16015" s="197"/>
      <c r="BP16015" s="197"/>
      <c r="BQ16015" s="197"/>
    </row>
    <row r="16016" spans="66:69" x14ac:dyDescent="0.2">
      <c r="BN16016" s="192"/>
      <c r="BO16016" s="197"/>
      <c r="BP16016" s="197"/>
      <c r="BQ16016" s="197"/>
    </row>
    <row r="16017" spans="66:69" x14ac:dyDescent="0.2">
      <c r="BN16017" s="192"/>
      <c r="BO16017" s="197"/>
      <c r="BP16017" s="197"/>
      <c r="BQ16017" s="197"/>
    </row>
    <row r="16018" spans="66:69" x14ac:dyDescent="0.2">
      <c r="BN16018" s="192"/>
      <c r="BO16018" s="197"/>
      <c r="BP16018" s="197"/>
      <c r="BQ16018" s="197"/>
    </row>
    <row r="16019" spans="66:69" x14ac:dyDescent="0.2">
      <c r="BN16019" s="192"/>
      <c r="BO16019" s="197"/>
      <c r="BP16019" s="197"/>
      <c r="BQ16019" s="197"/>
    </row>
    <row r="16020" spans="66:69" x14ac:dyDescent="0.2">
      <c r="BN16020" s="192"/>
      <c r="BO16020" s="197"/>
      <c r="BP16020" s="197"/>
      <c r="BQ16020" s="197"/>
    </row>
    <row r="16021" spans="66:69" x14ac:dyDescent="0.2">
      <c r="BN16021" s="192"/>
      <c r="BO16021" s="197"/>
      <c r="BP16021" s="197"/>
      <c r="BQ16021" s="197"/>
    </row>
    <row r="16022" spans="66:69" x14ac:dyDescent="0.2">
      <c r="BN16022" s="192"/>
      <c r="BO16022" s="197"/>
      <c r="BP16022" s="197"/>
      <c r="BQ16022" s="197"/>
    </row>
    <row r="16023" spans="66:69" x14ac:dyDescent="0.2">
      <c r="BN16023" s="192"/>
      <c r="BO16023" s="197"/>
      <c r="BP16023" s="197"/>
      <c r="BQ16023" s="197"/>
    </row>
    <row r="16024" spans="66:69" x14ac:dyDescent="0.2">
      <c r="BN16024" s="192"/>
      <c r="BO16024" s="197"/>
      <c r="BP16024" s="197"/>
      <c r="BQ16024" s="197"/>
    </row>
    <row r="16025" spans="66:69" x14ac:dyDescent="0.2">
      <c r="BN16025" s="192"/>
      <c r="BO16025" s="197"/>
      <c r="BP16025" s="197"/>
      <c r="BQ16025" s="197"/>
    </row>
    <row r="16026" spans="66:69" x14ac:dyDescent="0.2">
      <c r="BN16026" s="192"/>
      <c r="BO16026" s="197"/>
      <c r="BP16026" s="197"/>
      <c r="BQ16026" s="197"/>
    </row>
    <row r="16027" spans="66:69" x14ac:dyDescent="0.2">
      <c r="BN16027" s="192"/>
      <c r="BO16027" s="197"/>
      <c r="BP16027" s="197"/>
      <c r="BQ16027" s="197"/>
    </row>
    <row r="16028" spans="66:69" x14ac:dyDescent="0.2">
      <c r="BN16028" s="192"/>
      <c r="BO16028" s="197"/>
      <c r="BP16028" s="197"/>
      <c r="BQ16028" s="197"/>
    </row>
    <row r="16029" spans="66:69" x14ac:dyDescent="0.2">
      <c r="BN16029" s="192"/>
      <c r="BO16029" s="197"/>
      <c r="BP16029" s="197"/>
      <c r="BQ16029" s="197"/>
    </row>
    <row r="16030" spans="66:69" x14ac:dyDescent="0.2">
      <c r="BN16030" s="192"/>
      <c r="BO16030" s="197"/>
      <c r="BP16030" s="197"/>
      <c r="BQ16030" s="197"/>
    </row>
    <row r="16031" spans="66:69" x14ac:dyDescent="0.2">
      <c r="BN16031" s="192"/>
      <c r="BO16031" s="197"/>
      <c r="BP16031" s="197"/>
      <c r="BQ16031" s="197"/>
    </row>
    <row r="16032" spans="66:69" x14ac:dyDescent="0.2">
      <c r="BN16032" s="192"/>
      <c r="BO16032" s="197"/>
      <c r="BP16032" s="197"/>
      <c r="BQ16032" s="197"/>
    </row>
    <row r="16033" spans="66:69" x14ac:dyDescent="0.2">
      <c r="BN16033" s="192"/>
      <c r="BO16033" s="197"/>
      <c r="BP16033" s="197"/>
      <c r="BQ16033" s="197"/>
    </row>
    <row r="16034" spans="66:69" x14ac:dyDescent="0.2">
      <c r="BN16034" s="192"/>
      <c r="BO16034" s="197"/>
      <c r="BP16034" s="197"/>
      <c r="BQ16034" s="197"/>
    </row>
    <row r="16035" spans="66:69" x14ac:dyDescent="0.2">
      <c r="BN16035" s="192"/>
      <c r="BO16035" s="197"/>
      <c r="BP16035" s="197"/>
      <c r="BQ16035" s="197"/>
    </row>
    <row r="16036" spans="66:69" x14ac:dyDescent="0.2">
      <c r="BN16036" s="192"/>
      <c r="BO16036" s="197"/>
      <c r="BP16036" s="197"/>
      <c r="BQ16036" s="197"/>
    </row>
    <row r="16037" spans="66:69" x14ac:dyDescent="0.2">
      <c r="BN16037" s="192"/>
      <c r="BO16037" s="197"/>
      <c r="BP16037" s="197"/>
      <c r="BQ16037" s="197"/>
    </row>
    <row r="16038" spans="66:69" x14ac:dyDescent="0.2">
      <c r="BN16038" s="192"/>
      <c r="BO16038" s="197"/>
      <c r="BP16038" s="197"/>
      <c r="BQ16038" s="197"/>
    </row>
    <row r="16039" spans="66:69" x14ac:dyDescent="0.2">
      <c r="BN16039" s="192"/>
      <c r="BO16039" s="197"/>
      <c r="BP16039" s="197"/>
      <c r="BQ16039" s="197"/>
    </row>
    <row r="16040" spans="66:69" x14ac:dyDescent="0.2">
      <c r="BN16040" s="192"/>
      <c r="BO16040" s="197"/>
      <c r="BP16040" s="197"/>
      <c r="BQ16040" s="197"/>
    </row>
    <row r="16041" spans="66:69" x14ac:dyDescent="0.2">
      <c r="BN16041" s="192"/>
      <c r="BO16041" s="197"/>
      <c r="BP16041" s="197"/>
      <c r="BQ16041" s="197"/>
    </row>
    <row r="16042" spans="66:69" x14ac:dyDescent="0.2">
      <c r="BN16042" s="192"/>
      <c r="BO16042" s="197"/>
      <c r="BP16042" s="197"/>
      <c r="BQ16042" s="197"/>
    </row>
    <row r="16043" spans="66:69" x14ac:dyDescent="0.2">
      <c r="BN16043" s="192"/>
      <c r="BO16043" s="197"/>
      <c r="BP16043" s="197"/>
      <c r="BQ16043" s="197"/>
    </row>
    <row r="16044" spans="66:69" x14ac:dyDescent="0.2">
      <c r="BN16044" s="192"/>
      <c r="BO16044" s="197"/>
      <c r="BP16044" s="197"/>
      <c r="BQ16044" s="197"/>
    </row>
    <row r="16045" spans="66:69" x14ac:dyDescent="0.2">
      <c r="BN16045" s="192"/>
      <c r="BO16045" s="197"/>
      <c r="BP16045" s="197"/>
      <c r="BQ16045" s="197"/>
    </row>
    <row r="16046" spans="66:69" x14ac:dyDescent="0.2">
      <c r="BN16046" s="192"/>
      <c r="BO16046" s="197"/>
      <c r="BP16046" s="197"/>
      <c r="BQ16046" s="197"/>
    </row>
    <row r="16047" spans="66:69" x14ac:dyDescent="0.2">
      <c r="BN16047" s="192"/>
      <c r="BO16047" s="197"/>
      <c r="BP16047" s="197"/>
      <c r="BQ16047" s="197"/>
    </row>
    <row r="16048" spans="66:69" x14ac:dyDescent="0.2">
      <c r="BN16048" s="192"/>
      <c r="BO16048" s="197"/>
      <c r="BP16048" s="197"/>
      <c r="BQ16048" s="197"/>
    </row>
    <row r="16049" spans="66:69" x14ac:dyDescent="0.2">
      <c r="BN16049" s="192"/>
      <c r="BO16049" s="197"/>
      <c r="BP16049" s="197"/>
      <c r="BQ16049" s="197"/>
    </row>
    <row r="16050" spans="66:69" x14ac:dyDescent="0.2">
      <c r="BN16050" s="192"/>
      <c r="BO16050" s="197"/>
      <c r="BP16050" s="197"/>
      <c r="BQ16050" s="197"/>
    </row>
    <row r="16051" spans="66:69" x14ac:dyDescent="0.2">
      <c r="BN16051" s="192"/>
      <c r="BO16051" s="197"/>
      <c r="BP16051" s="197"/>
      <c r="BQ16051" s="197"/>
    </row>
    <row r="16052" spans="66:69" x14ac:dyDescent="0.2">
      <c r="BN16052" s="192"/>
      <c r="BO16052" s="197"/>
      <c r="BP16052" s="197"/>
      <c r="BQ16052" s="197"/>
    </row>
    <row r="16053" spans="66:69" x14ac:dyDescent="0.2">
      <c r="BN16053" s="192"/>
      <c r="BO16053" s="197"/>
      <c r="BP16053" s="197"/>
      <c r="BQ16053" s="197"/>
    </row>
    <row r="16054" spans="66:69" x14ac:dyDescent="0.2">
      <c r="BN16054" s="192"/>
      <c r="BO16054" s="197"/>
      <c r="BP16054" s="197"/>
      <c r="BQ16054" s="197"/>
    </row>
    <row r="16055" spans="66:69" x14ac:dyDescent="0.2">
      <c r="BN16055" s="192"/>
      <c r="BO16055" s="197"/>
      <c r="BP16055" s="197"/>
      <c r="BQ16055" s="197"/>
    </row>
    <row r="16056" spans="66:69" x14ac:dyDescent="0.2">
      <c r="BN16056" s="192"/>
      <c r="BO16056" s="197"/>
      <c r="BP16056" s="197"/>
      <c r="BQ16056" s="197"/>
    </row>
    <row r="16057" spans="66:69" x14ac:dyDescent="0.2">
      <c r="BN16057" s="192"/>
      <c r="BO16057" s="197"/>
      <c r="BP16057" s="197"/>
      <c r="BQ16057" s="197"/>
    </row>
    <row r="16058" spans="66:69" x14ac:dyDescent="0.2">
      <c r="BN16058" s="192"/>
      <c r="BO16058" s="197"/>
      <c r="BP16058" s="197"/>
      <c r="BQ16058" s="197"/>
    </row>
    <row r="16059" spans="66:69" x14ac:dyDescent="0.2">
      <c r="BN16059" s="192"/>
      <c r="BO16059" s="197"/>
      <c r="BP16059" s="197"/>
      <c r="BQ16059" s="197"/>
    </row>
    <row r="16060" spans="66:69" x14ac:dyDescent="0.2">
      <c r="BN16060" s="192"/>
      <c r="BO16060" s="197"/>
      <c r="BP16060" s="197"/>
      <c r="BQ16060" s="197"/>
    </row>
    <row r="16061" spans="66:69" x14ac:dyDescent="0.2">
      <c r="BN16061" s="192"/>
      <c r="BO16061" s="197"/>
      <c r="BP16061" s="197"/>
      <c r="BQ16061" s="197"/>
    </row>
    <row r="16062" spans="66:69" x14ac:dyDescent="0.2">
      <c r="BN16062" s="192"/>
      <c r="BO16062" s="197"/>
      <c r="BP16062" s="197"/>
      <c r="BQ16062" s="197"/>
    </row>
    <row r="16063" spans="66:69" x14ac:dyDescent="0.2">
      <c r="BN16063" s="192"/>
      <c r="BO16063" s="197"/>
      <c r="BP16063" s="197"/>
      <c r="BQ16063" s="197"/>
    </row>
    <row r="16064" spans="66:69" x14ac:dyDescent="0.2">
      <c r="BN16064" s="192"/>
      <c r="BO16064" s="197"/>
      <c r="BP16064" s="197"/>
      <c r="BQ16064" s="197"/>
    </row>
    <row r="16065" spans="66:69" x14ac:dyDescent="0.2">
      <c r="BN16065" s="192"/>
      <c r="BO16065" s="197"/>
      <c r="BP16065" s="197"/>
      <c r="BQ16065" s="197"/>
    </row>
    <row r="16066" spans="66:69" x14ac:dyDescent="0.2">
      <c r="BN16066" s="192"/>
      <c r="BO16066" s="197"/>
      <c r="BP16066" s="197"/>
      <c r="BQ16066" s="197"/>
    </row>
    <row r="16067" spans="66:69" x14ac:dyDescent="0.2">
      <c r="BN16067" s="192"/>
      <c r="BO16067" s="197"/>
      <c r="BP16067" s="197"/>
      <c r="BQ16067" s="197"/>
    </row>
    <row r="16068" spans="66:69" x14ac:dyDescent="0.2">
      <c r="BN16068" s="192"/>
      <c r="BO16068" s="197"/>
      <c r="BP16068" s="197"/>
      <c r="BQ16068" s="197"/>
    </row>
    <row r="16069" spans="66:69" x14ac:dyDescent="0.2">
      <c r="BN16069" s="192"/>
      <c r="BO16069" s="197"/>
      <c r="BP16069" s="197"/>
      <c r="BQ16069" s="197"/>
    </row>
    <row r="16070" spans="66:69" x14ac:dyDescent="0.2">
      <c r="BN16070" s="192"/>
      <c r="BO16070" s="197"/>
      <c r="BP16070" s="197"/>
      <c r="BQ16070" s="197"/>
    </row>
    <row r="16071" spans="66:69" x14ac:dyDescent="0.2">
      <c r="BN16071" s="192"/>
      <c r="BO16071" s="197"/>
      <c r="BP16071" s="197"/>
      <c r="BQ16071" s="197"/>
    </row>
    <row r="16072" spans="66:69" x14ac:dyDescent="0.2">
      <c r="BN16072" s="192"/>
      <c r="BO16072" s="197"/>
      <c r="BP16072" s="197"/>
      <c r="BQ16072" s="197"/>
    </row>
    <row r="16073" spans="66:69" x14ac:dyDescent="0.2">
      <c r="BN16073" s="192"/>
      <c r="BO16073" s="197"/>
      <c r="BP16073" s="197"/>
      <c r="BQ16073" s="197"/>
    </row>
    <row r="16074" spans="66:69" x14ac:dyDescent="0.2">
      <c r="BN16074" s="192"/>
      <c r="BO16074" s="197"/>
      <c r="BP16074" s="197"/>
      <c r="BQ16074" s="197"/>
    </row>
    <row r="16075" spans="66:69" x14ac:dyDescent="0.2">
      <c r="BN16075" s="192"/>
      <c r="BO16075" s="197"/>
      <c r="BP16075" s="197"/>
      <c r="BQ16075" s="197"/>
    </row>
    <row r="16076" spans="66:69" x14ac:dyDescent="0.2">
      <c r="BN16076" s="192"/>
      <c r="BO16076" s="197"/>
      <c r="BP16076" s="197"/>
      <c r="BQ16076" s="197"/>
    </row>
    <row r="16077" spans="66:69" x14ac:dyDescent="0.2">
      <c r="BN16077" s="192"/>
      <c r="BO16077" s="197"/>
      <c r="BP16077" s="197"/>
      <c r="BQ16077" s="197"/>
    </row>
    <row r="16078" spans="66:69" x14ac:dyDescent="0.2">
      <c r="BN16078" s="192"/>
      <c r="BO16078" s="197"/>
      <c r="BP16078" s="197"/>
      <c r="BQ16078" s="197"/>
    </row>
    <row r="16079" spans="66:69" x14ac:dyDescent="0.2">
      <c r="BN16079" s="192"/>
      <c r="BO16079" s="197"/>
      <c r="BP16079" s="197"/>
      <c r="BQ16079" s="197"/>
    </row>
    <row r="16080" spans="66:69" x14ac:dyDescent="0.2">
      <c r="BN16080" s="192"/>
      <c r="BO16080" s="197"/>
      <c r="BP16080" s="197"/>
      <c r="BQ16080" s="197"/>
    </row>
    <row r="16081" spans="66:69" x14ac:dyDescent="0.2">
      <c r="BN16081" s="192"/>
      <c r="BO16081" s="197"/>
      <c r="BP16081" s="197"/>
      <c r="BQ16081" s="197"/>
    </row>
    <row r="16082" spans="66:69" x14ac:dyDescent="0.2">
      <c r="BN16082" s="192"/>
      <c r="BO16082" s="197"/>
      <c r="BP16082" s="197"/>
      <c r="BQ16082" s="197"/>
    </row>
    <row r="16083" spans="66:69" x14ac:dyDescent="0.2">
      <c r="BN16083" s="192"/>
      <c r="BO16083" s="197"/>
      <c r="BP16083" s="197"/>
      <c r="BQ16083" s="197"/>
    </row>
    <row r="16084" spans="66:69" x14ac:dyDescent="0.2">
      <c r="BN16084" s="192"/>
      <c r="BO16084" s="197"/>
      <c r="BP16084" s="197"/>
      <c r="BQ16084" s="197"/>
    </row>
    <row r="16085" spans="66:69" x14ac:dyDescent="0.2">
      <c r="BN16085" s="192"/>
      <c r="BO16085" s="197"/>
      <c r="BP16085" s="197"/>
      <c r="BQ16085" s="197"/>
    </row>
    <row r="16086" spans="66:69" x14ac:dyDescent="0.2">
      <c r="BN16086" s="192"/>
      <c r="BO16086" s="197"/>
      <c r="BP16086" s="197"/>
      <c r="BQ16086" s="197"/>
    </row>
    <row r="16087" spans="66:69" x14ac:dyDescent="0.2">
      <c r="BN16087" s="192"/>
      <c r="BO16087" s="197"/>
      <c r="BP16087" s="197"/>
      <c r="BQ16087" s="197"/>
    </row>
    <row r="16088" spans="66:69" x14ac:dyDescent="0.2">
      <c r="BN16088" s="192"/>
      <c r="BO16088" s="197"/>
      <c r="BP16088" s="197"/>
      <c r="BQ16088" s="197"/>
    </row>
    <row r="16089" spans="66:69" x14ac:dyDescent="0.2">
      <c r="BN16089" s="192"/>
      <c r="BO16089" s="197"/>
      <c r="BP16089" s="197"/>
      <c r="BQ16089" s="197"/>
    </row>
    <row r="16090" spans="66:69" x14ac:dyDescent="0.2">
      <c r="BN16090" s="192"/>
      <c r="BO16090" s="197"/>
      <c r="BP16090" s="197"/>
      <c r="BQ16090" s="197"/>
    </row>
    <row r="16091" spans="66:69" x14ac:dyDescent="0.2">
      <c r="BN16091" s="192"/>
      <c r="BO16091" s="197"/>
      <c r="BP16091" s="197"/>
      <c r="BQ16091" s="197"/>
    </row>
    <row r="16092" spans="66:69" x14ac:dyDescent="0.2">
      <c r="BN16092" s="192"/>
      <c r="BO16092" s="197"/>
      <c r="BP16092" s="197"/>
      <c r="BQ16092" s="197"/>
    </row>
    <row r="16093" spans="66:69" x14ac:dyDescent="0.2">
      <c r="BN16093" s="192"/>
      <c r="BO16093" s="197"/>
      <c r="BP16093" s="197"/>
      <c r="BQ16093" s="197"/>
    </row>
    <row r="16094" spans="66:69" x14ac:dyDescent="0.2">
      <c r="BN16094" s="192"/>
      <c r="BO16094" s="197"/>
      <c r="BP16094" s="197"/>
      <c r="BQ16094" s="197"/>
    </row>
    <row r="16095" spans="66:69" x14ac:dyDescent="0.2">
      <c r="BN16095" s="192"/>
      <c r="BO16095" s="197"/>
      <c r="BP16095" s="197"/>
      <c r="BQ16095" s="197"/>
    </row>
    <row r="16096" spans="66:69" x14ac:dyDescent="0.2">
      <c r="BN16096" s="192"/>
      <c r="BO16096" s="197"/>
      <c r="BP16096" s="197"/>
      <c r="BQ16096" s="197"/>
    </row>
    <row r="16097" spans="66:69" x14ac:dyDescent="0.2">
      <c r="BN16097" s="192"/>
      <c r="BO16097" s="197"/>
      <c r="BP16097" s="197"/>
      <c r="BQ16097" s="197"/>
    </row>
    <row r="16098" spans="66:69" x14ac:dyDescent="0.2">
      <c r="BN16098" s="192"/>
      <c r="BO16098" s="197"/>
      <c r="BP16098" s="197"/>
      <c r="BQ16098" s="197"/>
    </row>
    <row r="16099" spans="66:69" x14ac:dyDescent="0.2">
      <c r="BN16099" s="192"/>
      <c r="BO16099" s="197"/>
      <c r="BP16099" s="197"/>
      <c r="BQ16099" s="197"/>
    </row>
    <row r="16100" spans="66:69" x14ac:dyDescent="0.2">
      <c r="BN16100" s="192"/>
      <c r="BO16100" s="197"/>
      <c r="BP16100" s="197"/>
      <c r="BQ16100" s="197"/>
    </row>
    <row r="16101" spans="66:69" x14ac:dyDescent="0.2">
      <c r="BN16101" s="192"/>
      <c r="BO16101" s="197"/>
      <c r="BP16101" s="197"/>
      <c r="BQ16101" s="197"/>
    </row>
    <row r="16102" spans="66:69" x14ac:dyDescent="0.2">
      <c r="BN16102" s="192"/>
      <c r="BO16102" s="197"/>
      <c r="BP16102" s="197"/>
      <c r="BQ16102" s="197"/>
    </row>
    <row r="16103" spans="66:69" x14ac:dyDescent="0.2">
      <c r="BN16103" s="192"/>
      <c r="BO16103" s="197"/>
      <c r="BP16103" s="197"/>
      <c r="BQ16103" s="197"/>
    </row>
    <row r="16104" spans="66:69" x14ac:dyDescent="0.2">
      <c r="BN16104" s="192"/>
      <c r="BO16104" s="197"/>
      <c r="BP16104" s="197"/>
      <c r="BQ16104" s="197"/>
    </row>
    <row r="16105" spans="66:69" x14ac:dyDescent="0.2">
      <c r="BN16105" s="192"/>
      <c r="BO16105" s="197"/>
      <c r="BP16105" s="197"/>
      <c r="BQ16105" s="197"/>
    </row>
    <row r="16106" spans="66:69" x14ac:dyDescent="0.2">
      <c r="BN16106" s="192"/>
      <c r="BO16106" s="197"/>
      <c r="BP16106" s="197"/>
      <c r="BQ16106" s="197"/>
    </row>
    <row r="16107" spans="66:69" x14ac:dyDescent="0.2">
      <c r="BN16107" s="192"/>
      <c r="BO16107" s="197"/>
      <c r="BP16107" s="197"/>
      <c r="BQ16107" s="197"/>
    </row>
    <row r="16108" spans="66:69" x14ac:dyDescent="0.2">
      <c r="BN16108" s="192"/>
      <c r="BO16108" s="197"/>
      <c r="BP16108" s="197"/>
      <c r="BQ16108" s="197"/>
    </row>
    <row r="16109" spans="66:69" x14ac:dyDescent="0.2">
      <c r="BN16109" s="192"/>
      <c r="BO16109" s="197"/>
      <c r="BP16109" s="197"/>
      <c r="BQ16109" s="197"/>
    </row>
    <row r="16110" spans="66:69" x14ac:dyDescent="0.2">
      <c r="BN16110" s="192"/>
      <c r="BO16110" s="197"/>
      <c r="BP16110" s="197"/>
      <c r="BQ16110" s="197"/>
    </row>
    <row r="16111" spans="66:69" x14ac:dyDescent="0.2">
      <c r="BN16111" s="192"/>
      <c r="BO16111" s="197"/>
      <c r="BP16111" s="197"/>
      <c r="BQ16111" s="197"/>
    </row>
    <row r="16112" spans="66:69" x14ac:dyDescent="0.2">
      <c r="BN16112" s="192"/>
      <c r="BO16112" s="197"/>
      <c r="BP16112" s="197"/>
      <c r="BQ16112" s="197"/>
    </row>
    <row r="16113" spans="66:69" x14ac:dyDescent="0.2">
      <c r="BN16113" s="192"/>
      <c r="BO16113" s="197"/>
      <c r="BP16113" s="197"/>
      <c r="BQ16113" s="197"/>
    </row>
    <row r="16114" spans="66:69" x14ac:dyDescent="0.2">
      <c r="BN16114" s="192"/>
      <c r="BO16114" s="197"/>
      <c r="BP16114" s="197"/>
      <c r="BQ16114" s="197"/>
    </row>
    <row r="16115" spans="66:69" x14ac:dyDescent="0.2">
      <c r="BN16115" s="192"/>
      <c r="BO16115" s="197"/>
      <c r="BP16115" s="197"/>
      <c r="BQ16115" s="197"/>
    </row>
    <row r="16116" spans="66:69" x14ac:dyDescent="0.2">
      <c r="BN16116" s="192"/>
      <c r="BO16116" s="197"/>
      <c r="BP16116" s="197"/>
      <c r="BQ16116" s="197"/>
    </row>
    <row r="16117" spans="66:69" x14ac:dyDescent="0.2">
      <c r="BN16117" s="192"/>
      <c r="BO16117" s="197"/>
      <c r="BP16117" s="197"/>
      <c r="BQ16117" s="197"/>
    </row>
    <row r="16118" spans="66:69" x14ac:dyDescent="0.2">
      <c r="BN16118" s="192"/>
      <c r="BO16118" s="197"/>
      <c r="BP16118" s="197"/>
      <c r="BQ16118" s="197"/>
    </row>
    <row r="16119" spans="66:69" x14ac:dyDescent="0.2">
      <c r="BN16119" s="192"/>
      <c r="BO16119" s="197"/>
      <c r="BP16119" s="197"/>
      <c r="BQ16119" s="197"/>
    </row>
    <row r="16120" spans="66:69" x14ac:dyDescent="0.2">
      <c r="BN16120" s="192"/>
      <c r="BO16120" s="197"/>
      <c r="BP16120" s="197"/>
      <c r="BQ16120" s="197"/>
    </row>
    <row r="16121" spans="66:69" x14ac:dyDescent="0.2">
      <c r="BN16121" s="192"/>
      <c r="BO16121" s="197"/>
      <c r="BP16121" s="197"/>
      <c r="BQ16121" s="197"/>
    </row>
    <row r="16122" spans="66:69" x14ac:dyDescent="0.2">
      <c r="BN16122" s="192"/>
      <c r="BO16122" s="197"/>
      <c r="BP16122" s="197"/>
      <c r="BQ16122" s="197"/>
    </row>
    <row r="16123" spans="66:69" x14ac:dyDescent="0.2">
      <c r="BN16123" s="192"/>
      <c r="BO16123" s="197"/>
      <c r="BP16123" s="197"/>
      <c r="BQ16123" s="197"/>
    </row>
    <row r="16124" spans="66:69" x14ac:dyDescent="0.2">
      <c r="BN16124" s="192"/>
      <c r="BO16124" s="197"/>
      <c r="BP16124" s="197"/>
      <c r="BQ16124" s="197"/>
    </row>
    <row r="16125" spans="66:69" x14ac:dyDescent="0.2">
      <c r="BN16125" s="192"/>
      <c r="BO16125" s="197"/>
      <c r="BP16125" s="197"/>
      <c r="BQ16125" s="197"/>
    </row>
    <row r="16126" spans="66:69" x14ac:dyDescent="0.2">
      <c r="BN16126" s="192"/>
      <c r="BO16126" s="197"/>
      <c r="BP16126" s="197"/>
      <c r="BQ16126" s="197"/>
    </row>
    <row r="16127" spans="66:69" x14ac:dyDescent="0.2">
      <c r="BN16127" s="192"/>
      <c r="BO16127" s="197"/>
      <c r="BP16127" s="197"/>
      <c r="BQ16127" s="197"/>
    </row>
    <row r="16128" spans="66:69" x14ac:dyDescent="0.2">
      <c r="BN16128" s="192"/>
      <c r="BO16128" s="197"/>
      <c r="BP16128" s="197"/>
      <c r="BQ16128" s="197"/>
    </row>
    <row r="16129" spans="66:69" x14ac:dyDescent="0.2">
      <c r="BN16129" s="192"/>
      <c r="BO16129" s="197"/>
      <c r="BP16129" s="197"/>
      <c r="BQ16129" s="197"/>
    </row>
    <row r="16130" spans="66:69" x14ac:dyDescent="0.2">
      <c r="BN16130" s="192"/>
      <c r="BO16130" s="197"/>
      <c r="BP16130" s="197"/>
      <c r="BQ16130" s="197"/>
    </row>
    <row r="16131" spans="66:69" x14ac:dyDescent="0.2">
      <c r="BN16131" s="192"/>
      <c r="BO16131" s="197"/>
      <c r="BP16131" s="197"/>
      <c r="BQ16131" s="197"/>
    </row>
    <row r="16132" spans="66:69" x14ac:dyDescent="0.2">
      <c r="BN16132" s="192"/>
      <c r="BO16132" s="197"/>
      <c r="BP16132" s="197"/>
      <c r="BQ16132" s="197"/>
    </row>
    <row r="16133" spans="66:69" x14ac:dyDescent="0.2">
      <c r="BN16133" s="192"/>
      <c r="BO16133" s="197"/>
      <c r="BP16133" s="197"/>
      <c r="BQ16133" s="197"/>
    </row>
    <row r="16134" spans="66:69" x14ac:dyDescent="0.2">
      <c r="BN16134" s="192"/>
      <c r="BO16134" s="197"/>
      <c r="BP16134" s="197"/>
      <c r="BQ16134" s="197"/>
    </row>
    <row r="16135" spans="66:69" x14ac:dyDescent="0.2">
      <c r="BN16135" s="192"/>
      <c r="BO16135" s="197"/>
      <c r="BP16135" s="197"/>
      <c r="BQ16135" s="197"/>
    </row>
    <row r="16136" spans="66:69" x14ac:dyDescent="0.2">
      <c r="BN16136" s="192"/>
      <c r="BO16136" s="197"/>
      <c r="BP16136" s="197"/>
      <c r="BQ16136" s="197"/>
    </row>
    <row r="16137" spans="66:69" x14ac:dyDescent="0.2">
      <c r="BN16137" s="192"/>
      <c r="BO16137" s="197"/>
      <c r="BP16137" s="197"/>
      <c r="BQ16137" s="197"/>
    </row>
    <row r="16138" spans="66:69" x14ac:dyDescent="0.2">
      <c r="BN16138" s="192"/>
      <c r="BO16138" s="197"/>
      <c r="BP16138" s="197"/>
      <c r="BQ16138" s="197"/>
    </row>
    <row r="16139" spans="66:69" x14ac:dyDescent="0.2">
      <c r="BN16139" s="192"/>
      <c r="BO16139" s="197"/>
      <c r="BP16139" s="197"/>
      <c r="BQ16139" s="197"/>
    </row>
    <row r="16140" spans="66:69" x14ac:dyDescent="0.2">
      <c r="BN16140" s="192"/>
      <c r="BO16140" s="197"/>
      <c r="BP16140" s="197"/>
      <c r="BQ16140" s="197"/>
    </row>
    <row r="16141" spans="66:69" x14ac:dyDescent="0.2">
      <c r="BN16141" s="192"/>
      <c r="BO16141" s="197"/>
      <c r="BP16141" s="197"/>
      <c r="BQ16141" s="197"/>
    </row>
    <row r="16142" spans="66:69" x14ac:dyDescent="0.2">
      <c r="BN16142" s="192"/>
      <c r="BO16142" s="197"/>
      <c r="BP16142" s="197"/>
      <c r="BQ16142" s="197"/>
    </row>
    <row r="16143" spans="66:69" x14ac:dyDescent="0.2">
      <c r="BN16143" s="192"/>
      <c r="BO16143" s="197"/>
      <c r="BP16143" s="197"/>
      <c r="BQ16143" s="197"/>
    </row>
    <row r="16144" spans="66:69" x14ac:dyDescent="0.2">
      <c r="BN16144" s="192"/>
      <c r="BO16144" s="197"/>
      <c r="BP16144" s="197"/>
      <c r="BQ16144" s="197"/>
    </row>
    <row r="16145" spans="66:69" x14ac:dyDescent="0.2">
      <c r="BN16145" s="192"/>
      <c r="BO16145" s="197"/>
      <c r="BP16145" s="197"/>
      <c r="BQ16145" s="197"/>
    </row>
    <row r="16146" spans="66:69" x14ac:dyDescent="0.2">
      <c r="BN16146" s="192"/>
      <c r="BO16146" s="197"/>
      <c r="BP16146" s="197"/>
      <c r="BQ16146" s="197"/>
    </row>
    <row r="16147" spans="66:69" x14ac:dyDescent="0.2">
      <c r="BN16147" s="192"/>
      <c r="BO16147" s="197"/>
      <c r="BP16147" s="197"/>
      <c r="BQ16147" s="197"/>
    </row>
    <row r="16148" spans="66:69" x14ac:dyDescent="0.2">
      <c r="BN16148" s="192"/>
      <c r="BO16148" s="197"/>
      <c r="BP16148" s="197"/>
      <c r="BQ16148" s="197"/>
    </row>
    <row r="16149" spans="66:69" x14ac:dyDescent="0.2">
      <c r="BN16149" s="192"/>
      <c r="BO16149" s="197"/>
      <c r="BP16149" s="197"/>
      <c r="BQ16149" s="197"/>
    </row>
    <row r="16150" spans="66:69" x14ac:dyDescent="0.2">
      <c r="BN16150" s="192"/>
      <c r="BO16150" s="197"/>
      <c r="BP16150" s="197"/>
      <c r="BQ16150" s="197"/>
    </row>
    <row r="16151" spans="66:69" x14ac:dyDescent="0.2">
      <c r="BN16151" s="192"/>
      <c r="BO16151" s="197"/>
      <c r="BP16151" s="197"/>
      <c r="BQ16151" s="197"/>
    </row>
    <row r="16152" spans="66:69" x14ac:dyDescent="0.2">
      <c r="BN16152" s="192"/>
      <c r="BO16152" s="197"/>
      <c r="BP16152" s="197"/>
      <c r="BQ16152" s="197"/>
    </row>
    <row r="16153" spans="66:69" x14ac:dyDescent="0.2">
      <c r="BN16153" s="192"/>
      <c r="BO16153" s="197"/>
      <c r="BP16153" s="197"/>
      <c r="BQ16153" s="197"/>
    </row>
    <row r="16154" spans="66:69" x14ac:dyDescent="0.2">
      <c r="BN16154" s="192"/>
      <c r="BO16154" s="197"/>
      <c r="BP16154" s="197"/>
      <c r="BQ16154" s="197"/>
    </row>
    <row r="16155" spans="66:69" x14ac:dyDescent="0.2">
      <c r="BN16155" s="192"/>
      <c r="BO16155" s="197"/>
      <c r="BP16155" s="197"/>
      <c r="BQ16155" s="197"/>
    </row>
    <row r="16156" spans="66:69" x14ac:dyDescent="0.2">
      <c r="BN16156" s="192"/>
      <c r="BO16156" s="197"/>
      <c r="BP16156" s="197"/>
      <c r="BQ16156" s="197"/>
    </row>
    <row r="16157" spans="66:69" x14ac:dyDescent="0.2">
      <c r="BN16157" s="192"/>
      <c r="BO16157" s="197"/>
      <c r="BP16157" s="197"/>
      <c r="BQ16157" s="197"/>
    </row>
    <row r="16158" spans="66:69" x14ac:dyDescent="0.2">
      <c r="BN16158" s="192"/>
      <c r="BO16158" s="197"/>
      <c r="BP16158" s="197"/>
      <c r="BQ16158" s="197"/>
    </row>
    <row r="16159" spans="66:69" x14ac:dyDescent="0.2">
      <c r="BN16159" s="192"/>
      <c r="BO16159" s="197"/>
      <c r="BP16159" s="197"/>
      <c r="BQ16159" s="197"/>
    </row>
    <row r="16160" spans="66:69" x14ac:dyDescent="0.2">
      <c r="BN16160" s="192"/>
      <c r="BO16160" s="197"/>
      <c r="BP16160" s="197"/>
      <c r="BQ16160" s="197"/>
    </row>
    <row r="16161" spans="66:69" x14ac:dyDescent="0.2">
      <c r="BN16161" s="192"/>
      <c r="BO16161" s="197"/>
      <c r="BP16161" s="197"/>
      <c r="BQ16161" s="197"/>
    </row>
    <row r="16162" spans="66:69" x14ac:dyDescent="0.2">
      <c r="BN16162" s="192"/>
      <c r="BO16162" s="197"/>
      <c r="BP16162" s="197"/>
      <c r="BQ16162" s="197"/>
    </row>
    <row r="16163" spans="66:69" x14ac:dyDescent="0.2">
      <c r="BN16163" s="192"/>
      <c r="BO16163" s="197"/>
      <c r="BP16163" s="197"/>
      <c r="BQ16163" s="197"/>
    </row>
    <row r="16164" spans="66:69" x14ac:dyDescent="0.2">
      <c r="BN16164" s="192"/>
      <c r="BO16164" s="197"/>
      <c r="BP16164" s="197"/>
      <c r="BQ16164" s="197"/>
    </row>
    <row r="16165" spans="66:69" x14ac:dyDescent="0.2">
      <c r="BN16165" s="192"/>
      <c r="BO16165" s="197"/>
      <c r="BP16165" s="197"/>
      <c r="BQ16165" s="197"/>
    </row>
    <row r="16166" spans="66:69" x14ac:dyDescent="0.2">
      <c r="BN16166" s="192"/>
      <c r="BO16166" s="197"/>
      <c r="BP16166" s="197"/>
      <c r="BQ16166" s="197"/>
    </row>
    <row r="16167" spans="66:69" x14ac:dyDescent="0.2">
      <c r="BN16167" s="192"/>
      <c r="BO16167" s="197"/>
      <c r="BP16167" s="197"/>
      <c r="BQ16167" s="197"/>
    </row>
    <row r="16168" spans="66:69" x14ac:dyDescent="0.2">
      <c r="BN16168" s="192"/>
      <c r="BO16168" s="197"/>
      <c r="BP16168" s="197"/>
      <c r="BQ16168" s="197"/>
    </row>
    <row r="16169" spans="66:69" x14ac:dyDescent="0.2">
      <c r="BN16169" s="192"/>
      <c r="BO16169" s="197"/>
      <c r="BP16169" s="197"/>
      <c r="BQ16169" s="197"/>
    </row>
    <row r="16170" spans="66:69" x14ac:dyDescent="0.2">
      <c r="BN16170" s="192"/>
      <c r="BO16170" s="197"/>
      <c r="BP16170" s="197"/>
      <c r="BQ16170" s="197"/>
    </row>
    <row r="16171" spans="66:69" x14ac:dyDescent="0.2">
      <c r="BN16171" s="192"/>
      <c r="BO16171" s="197"/>
      <c r="BP16171" s="197"/>
      <c r="BQ16171" s="197"/>
    </row>
    <row r="16172" spans="66:69" x14ac:dyDescent="0.2">
      <c r="BN16172" s="192"/>
      <c r="BO16172" s="197"/>
      <c r="BP16172" s="197"/>
      <c r="BQ16172" s="197"/>
    </row>
    <row r="16173" spans="66:69" x14ac:dyDescent="0.2">
      <c r="BN16173" s="192"/>
      <c r="BO16173" s="197"/>
      <c r="BP16173" s="197"/>
      <c r="BQ16173" s="197"/>
    </row>
    <row r="16174" spans="66:69" x14ac:dyDescent="0.2">
      <c r="BN16174" s="192"/>
      <c r="BO16174" s="197"/>
      <c r="BP16174" s="197"/>
      <c r="BQ16174" s="197"/>
    </row>
    <row r="16175" spans="66:69" x14ac:dyDescent="0.2">
      <c r="BN16175" s="192"/>
      <c r="BO16175" s="197"/>
      <c r="BP16175" s="197"/>
      <c r="BQ16175" s="197"/>
    </row>
    <row r="16176" spans="66:69" x14ac:dyDescent="0.2">
      <c r="BN16176" s="192"/>
      <c r="BO16176" s="197"/>
      <c r="BP16176" s="197"/>
      <c r="BQ16176" s="197"/>
    </row>
    <row r="16177" spans="66:69" x14ac:dyDescent="0.2">
      <c r="BN16177" s="192"/>
      <c r="BO16177" s="197"/>
      <c r="BP16177" s="197"/>
      <c r="BQ16177" s="197"/>
    </row>
    <row r="16178" spans="66:69" x14ac:dyDescent="0.2">
      <c r="BN16178" s="192"/>
      <c r="BO16178" s="197"/>
      <c r="BP16178" s="197"/>
      <c r="BQ16178" s="197"/>
    </row>
    <row r="16179" spans="66:69" x14ac:dyDescent="0.2">
      <c r="BN16179" s="192"/>
      <c r="BO16179" s="197"/>
      <c r="BP16179" s="197"/>
      <c r="BQ16179" s="197"/>
    </row>
    <row r="16180" spans="66:69" x14ac:dyDescent="0.2">
      <c r="BN16180" s="192"/>
      <c r="BO16180" s="197"/>
      <c r="BP16180" s="197"/>
      <c r="BQ16180" s="197"/>
    </row>
    <row r="16181" spans="66:69" x14ac:dyDescent="0.2">
      <c r="BN16181" s="192"/>
      <c r="BO16181" s="197"/>
      <c r="BP16181" s="197"/>
      <c r="BQ16181" s="197"/>
    </row>
    <row r="16182" spans="66:69" x14ac:dyDescent="0.2">
      <c r="BN16182" s="192"/>
      <c r="BO16182" s="197"/>
      <c r="BP16182" s="197"/>
      <c r="BQ16182" s="197"/>
    </row>
    <row r="16183" spans="66:69" x14ac:dyDescent="0.2">
      <c r="BN16183" s="192"/>
      <c r="BO16183" s="197"/>
      <c r="BP16183" s="197"/>
      <c r="BQ16183" s="197"/>
    </row>
    <row r="16184" spans="66:69" x14ac:dyDescent="0.2">
      <c r="BN16184" s="192"/>
      <c r="BO16184" s="197"/>
      <c r="BP16184" s="197"/>
      <c r="BQ16184" s="197"/>
    </row>
    <row r="16185" spans="66:69" x14ac:dyDescent="0.2">
      <c r="BN16185" s="192"/>
      <c r="BO16185" s="197"/>
      <c r="BP16185" s="197"/>
      <c r="BQ16185" s="197"/>
    </row>
    <row r="16186" spans="66:69" x14ac:dyDescent="0.2">
      <c r="BN16186" s="192"/>
      <c r="BO16186" s="197"/>
      <c r="BP16186" s="197"/>
      <c r="BQ16186" s="197"/>
    </row>
    <row r="16187" spans="66:69" x14ac:dyDescent="0.2">
      <c r="BN16187" s="192"/>
      <c r="BO16187" s="197"/>
      <c r="BP16187" s="197"/>
      <c r="BQ16187" s="197"/>
    </row>
    <row r="16188" spans="66:69" x14ac:dyDescent="0.2">
      <c r="BN16188" s="192"/>
      <c r="BO16188" s="197"/>
      <c r="BP16188" s="197"/>
      <c r="BQ16188" s="197"/>
    </row>
    <row r="16189" spans="66:69" x14ac:dyDescent="0.2">
      <c r="BN16189" s="192"/>
      <c r="BO16189" s="197"/>
      <c r="BP16189" s="197"/>
      <c r="BQ16189" s="197"/>
    </row>
    <row r="16190" spans="66:69" x14ac:dyDescent="0.2">
      <c r="BN16190" s="192"/>
      <c r="BO16190" s="197"/>
      <c r="BP16190" s="197"/>
      <c r="BQ16190" s="197"/>
    </row>
    <row r="16191" spans="66:69" x14ac:dyDescent="0.2">
      <c r="BN16191" s="192"/>
      <c r="BO16191" s="197"/>
      <c r="BP16191" s="197"/>
      <c r="BQ16191" s="197"/>
    </row>
    <row r="16192" spans="66:69" x14ac:dyDescent="0.2">
      <c r="BN16192" s="192"/>
      <c r="BO16192" s="197"/>
      <c r="BP16192" s="197"/>
      <c r="BQ16192" s="197"/>
    </row>
    <row r="16193" spans="66:69" x14ac:dyDescent="0.2">
      <c r="BN16193" s="192"/>
      <c r="BO16193" s="197"/>
      <c r="BP16193" s="197"/>
      <c r="BQ16193" s="197"/>
    </row>
    <row r="16194" spans="66:69" x14ac:dyDescent="0.2">
      <c r="BN16194" s="192"/>
      <c r="BO16194" s="197"/>
      <c r="BP16194" s="197"/>
      <c r="BQ16194" s="197"/>
    </row>
    <row r="16195" spans="66:69" x14ac:dyDescent="0.2">
      <c r="BN16195" s="192"/>
      <c r="BO16195" s="197"/>
      <c r="BP16195" s="197"/>
      <c r="BQ16195" s="197"/>
    </row>
    <row r="16196" spans="66:69" x14ac:dyDescent="0.2">
      <c r="BN16196" s="192"/>
      <c r="BO16196" s="197"/>
      <c r="BP16196" s="197"/>
      <c r="BQ16196" s="197"/>
    </row>
    <row r="16197" spans="66:69" x14ac:dyDescent="0.2">
      <c r="BN16197" s="192"/>
      <c r="BO16197" s="197"/>
      <c r="BP16197" s="197"/>
      <c r="BQ16197" s="197"/>
    </row>
    <row r="16198" spans="66:69" x14ac:dyDescent="0.2">
      <c r="BN16198" s="192"/>
      <c r="BO16198" s="197"/>
      <c r="BP16198" s="197"/>
      <c r="BQ16198" s="197"/>
    </row>
    <row r="16199" spans="66:69" x14ac:dyDescent="0.2">
      <c r="BN16199" s="192"/>
      <c r="BO16199" s="197"/>
      <c r="BP16199" s="197"/>
      <c r="BQ16199" s="197"/>
    </row>
    <row r="16200" spans="66:69" x14ac:dyDescent="0.2">
      <c r="BN16200" s="192"/>
      <c r="BO16200" s="197"/>
      <c r="BP16200" s="197"/>
      <c r="BQ16200" s="197"/>
    </row>
    <row r="16201" spans="66:69" x14ac:dyDescent="0.2">
      <c r="BN16201" s="192"/>
      <c r="BO16201" s="197"/>
      <c r="BP16201" s="197"/>
      <c r="BQ16201" s="197"/>
    </row>
    <row r="16202" spans="66:69" x14ac:dyDescent="0.2">
      <c r="BN16202" s="192"/>
      <c r="BO16202" s="197"/>
      <c r="BP16202" s="197"/>
      <c r="BQ16202" s="197"/>
    </row>
    <row r="16203" spans="66:69" x14ac:dyDescent="0.2">
      <c r="BN16203" s="192"/>
      <c r="BO16203" s="197"/>
      <c r="BP16203" s="197"/>
      <c r="BQ16203" s="197"/>
    </row>
    <row r="16204" spans="66:69" x14ac:dyDescent="0.2">
      <c r="BN16204" s="192"/>
      <c r="BO16204" s="197"/>
      <c r="BP16204" s="197"/>
      <c r="BQ16204" s="197"/>
    </row>
    <row r="16205" spans="66:69" x14ac:dyDescent="0.2">
      <c r="BN16205" s="192"/>
      <c r="BO16205" s="197"/>
      <c r="BP16205" s="197"/>
      <c r="BQ16205" s="197"/>
    </row>
    <row r="16206" spans="66:69" x14ac:dyDescent="0.2">
      <c r="BN16206" s="192"/>
      <c r="BO16206" s="197"/>
      <c r="BP16206" s="197"/>
      <c r="BQ16206" s="197"/>
    </row>
    <row r="16207" spans="66:69" x14ac:dyDescent="0.2">
      <c r="BN16207" s="192"/>
      <c r="BO16207" s="197"/>
      <c r="BP16207" s="197"/>
      <c r="BQ16207" s="197"/>
    </row>
    <row r="16208" spans="66:69" x14ac:dyDescent="0.2">
      <c r="BN16208" s="192"/>
      <c r="BO16208" s="197"/>
      <c r="BP16208" s="197"/>
      <c r="BQ16208" s="197"/>
    </row>
    <row r="16209" spans="66:69" x14ac:dyDescent="0.2">
      <c r="BN16209" s="192"/>
      <c r="BO16209" s="197"/>
      <c r="BP16209" s="197"/>
      <c r="BQ16209" s="197"/>
    </row>
    <row r="16210" spans="66:69" x14ac:dyDescent="0.2">
      <c r="BN16210" s="192"/>
      <c r="BO16210" s="197"/>
      <c r="BP16210" s="197"/>
      <c r="BQ16210" s="197"/>
    </row>
    <row r="16211" spans="66:69" x14ac:dyDescent="0.2">
      <c r="BN16211" s="192"/>
      <c r="BO16211" s="197"/>
      <c r="BP16211" s="197"/>
      <c r="BQ16211" s="197"/>
    </row>
    <row r="16212" spans="66:69" x14ac:dyDescent="0.2">
      <c r="BN16212" s="192"/>
      <c r="BO16212" s="197"/>
      <c r="BP16212" s="197"/>
      <c r="BQ16212" s="197"/>
    </row>
    <row r="16213" spans="66:69" x14ac:dyDescent="0.2">
      <c r="BN16213" s="192"/>
      <c r="BO16213" s="197"/>
      <c r="BP16213" s="197"/>
      <c r="BQ16213" s="197"/>
    </row>
    <row r="16214" spans="66:69" x14ac:dyDescent="0.2">
      <c r="BN16214" s="192"/>
      <c r="BO16214" s="197"/>
      <c r="BP16214" s="197"/>
      <c r="BQ16214" s="197"/>
    </row>
    <row r="16215" spans="66:69" x14ac:dyDescent="0.2">
      <c r="BN16215" s="192"/>
      <c r="BO16215" s="197"/>
      <c r="BP16215" s="197"/>
      <c r="BQ16215" s="197"/>
    </row>
    <row r="16216" spans="66:69" x14ac:dyDescent="0.2">
      <c r="BN16216" s="192"/>
      <c r="BO16216" s="197"/>
      <c r="BP16216" s="197"/>
      <c r="BQ16216" s="197"/>
    </row>
    <row r="16217" spans="66:69" x14ac:dyDescent="0.2">
      <c r="BN16217" s="192"/>
      <c r="BO16217" s="197"/>
      <c r="BP16217" s="197"/>
      <c r="BQ16217" s="197"/>
    </row>
    <row r="16218" spans="66:69" x14ac:dyDescent="0.2">
      <c r="BN16218" s="192"/>
      <c r="BO16218" s="197"/>
      <c r="BP16218" s="197"/>
      <c r="BQ16218" s="197"/>
    </row>
    <row r="16219" spans="66:69" x14ac:dyDescent="0.2">
      <c r="BN16219" s="192"/>
      <c r="BO16219" s="197"/>
      <c r="BP16219" s="197"/>
      <c r="BQ16219" s="197"/>
    </row>
    <row r="16220" spans="66:69" x14ac:dyDescent="0.2">
      <c r="BN16220" s="192"/>
      <c r="BO16220" s="197"/>
      <c r="BP16220" s="197"/>
      <c r="BQ16220" s="197"/>
    </row>
    <row r="16221" spans="66:69" x14ac:dyDescent="0.2">
      <c r="BN16221" s="192"/>
      <c r="BO16221" s="197"/>
      <c r="BP16221" s="197"/>
      <c r="BQ16221" s="197"/>
    </row>
    <row r="16222" spans="66:69" x14ac:dyDescent="0.2">
      <c r="BN16222" s="192"/>
      <c r="BO16222" s="197"/>
      <c r="BP16222" s="197"/>
      <c r="BQ16222" s="197"/>
    </row>
    <row r="16223" spans="66:69" x14ac:dyDescent="0.2">
      <c r="BN16223" s="192"/>
      <c r="BO16223" s="197"/>
      <c r="BP16223" s="197"/>
      <c r="BQ16223" s="197"/>
    </row>
    <row r="16224" spans="66:69" x14ac:dyDescent="0.2">
      <c r="BN16224" s="192"/>
      <c r="BO16224" s="197"/>
      <c r="BP16224" s="197"/>
      <c r="BQ16224" s="197"/>
    </row>
    <row r="16225" spans="66:69" x14ac:dyDescent="0.2">
      <c r="BN16225" s="192"/>
      <c r="BO16225" s="197"/>
      <c r="BP16225" s="197"/>
      <c r="BQ16225" s="197"/>
    </row>
    <row r="16226" spans="66:69" x14ac:dyDescent="0.2">
      <c r="BN16226" s="192"/>
      <c r="BO16226" s="197"/>
      <c r="BP16226" s="197"/>
      <c r="BQ16226" s="197"/>
    </row>
    <row r="16227" spans="66:69" x14ac:dyDescent="0.2">
      <c r="BN16227" s="192"/>
      <c r="BO16227" s="197"/>
      <c r="BP16227" s="197"/>
      <c r="BQ16227" s="197"/>
    </row>
    <row r="16228" spans="66:69" x14ac:dyDescent="0.2">
      <c r="BN16228" s="192"/>
      <c r="BO16228" s="197"/>
      <c r="BP16228" s="197"/>
      <c r="BQ16228" s="197"/>
    </row>
    <row r="16229" spans="66:69" x14ac:dyDescent="0.2">
      <c r="BN16229" s="192"/>
      <c r="BO16229" s="197"/>
      <c r="BP16229" s="197"/>
      <c r="BQ16229" s="197"/>
    </row>
    <row r="16230" spans="66:69" x14ac:dyDescent="0.2">
      <c r="BN16230" s="192"/>
      <c r="BO16230" s="197"/>
      <c r="BP16230" s="197"/>
      <c r="BQ16230" s="197"/>
    </row>
    <row r="16231" spans="66:69" x14ac:dyDescent="0.2">
      <c r="BN16231" s="192"/>
      <c r="BO16231" s="197"/>
      <c r="BP16231" s="197"/>
      <c r="BQ16231" s="197"/>
    </row>
    <row r="16232" spans="66:69" x14ac:dyDescent="0.2">
      <c r="BN16232" s="192"/>
      <c r="BO16232" s="197"/>
      <c r="BP16232" s="197"/>
      <c r="BQ16232" s="197"/>
    </row>
    <row r="16233" spans="66:69" x14ac:dyDescent="0.2">
      <c r="BN16233" s="192"/>
      <c r="BO16233" s="197"/>
      <c r="BP16233" s="197"/>
      <c r="BQ16233" s="197"/>
    </row>
    <row r="16234" spans="66:69" x14ac:dyDescent="0.2">
      <c r="BN16234" s="192"/>
      <c r="BO16234" s="197"/>
      <c r="BP16234" s="197"/>
      <c r="BQ16234" s="197"/>
    </row>
    <row r="16235" spans="66:69" x14ac:dyDescent="0.2">
      <c r="BN16235" s="192"/>
      <c r="BO16235" s="197"/>
      <c r="BP16235" s="197"/>
      <c r="BQ16235" s="197"/>
    </row>
    <row r="16236" spans="66:69" x14ac:dyDescent="0.2">
      <c r="BN16236" s="192"/>
      <c r="BO16236" s="197"/>
      <c r="BP16236" s="197"/>
      <c r="BQ16236" s="197"/>
    </row>
    <row r="16237" spans="66:69" x14ac:dyDescent="0.2">
      <c r="BN16237" s="192"/>
      <c r="BO16237" s="197"/>
      <c r="BP16237" s="197"/>
      <c r="BQ16237" s="197"/>
    </row>
    <row r="16238" spans="66:69" x14ac:dyDescent="0.2">
      <c r="BN16238" s="192"/>
      <c r="BO16238" s="197"/>
      <c r="BP16238" s="197"/>
      <c r="BQ16238" s="197"/>
    </row>
    <row r="16239" spans="66:69" x14ac:dyDescent="0.2">
      <c r="BN16239" s="192"/>
      <c r="BO16239" s="197"/>
      <c r="BP16239" s="197"/>
      <c r="BQ16239" s="197"/>
    </row>
    <row r="16240" spans="66:69" x14ac:dyDescent="0.2">
      <c r="BN16240" s="192"/>
      <c r="BO16240" s="197"/>
      <c r="BP16240" s="197"/>
      <c r="BQ16240" s="197"/>
    </row>
    <row r="16241" spans="66:69" x14ac:dyDescent="0.2">
      <c r="BN16241" s="192"/>
      <c r="BO16241" s="197"/>
      <c r="BP16241" s="197"/>
      <c r="BQ16241" s="197"/>
    </row>
    <row r="16242" spans="66:69" x14ac:dyDescent="0.2">
      <c r="BN16242" s="192"/>
      <c r="BO16242" s="197"/>
      <c r="BP16242" s="197"/>
      <c r="BQ16242" s="197"/>
    </row>
    <row r="16243" spans="66:69" x14ac:dyDescent="0.2">
      <c r="BN16243" s="192"/>
      <c r="BO16243" s="197"/>
      <c r="BP16243" s="197"/>
      <c r="BQ16243" s="197"/>
    </row>
    <row r="16244" spans="66:69" x14ac:dyDescent="0.2">
      <c r="BN16244" s="192"/>
      <c r="BO16244" s="197"/>
      <c r="BP16244" s="197"/>
      <c r="BQ16244" s="197"/>
    </row>
    <row r="16245" spans="66:69" x14ac:dyDescent="0.2">
      <c r="BN16245" s="192"/>
      <c r="BO16245" s="197"/>
      <c r="BP16245" s="197"/>
      <c r="BQ16245" s="197"/>
    </row>
    <row r="16246" spans="66:69" x14ac:dyDescent="0.2">
      <c r="BN16246" s="192"/>
      <c r="BO16246" s="197"/>
      <c r="BP16246" s="197"/>
      <c r="BQ16246" s="197"/>
    </row>
    <row r="16247" spans="66:69" x14ac:dyDescent="0.2">
      <c r="BN16247" s="192"/>
      <c r="BO16247" s="197"/>
      <c r="BP16247" s="197"/>
      <c r="BQ16247" s="197"/>
    </row>
    <row r="16248" spans="66:69" x14ac:dyDescent="0.2">
      <c r="BN16248" s="192"/>
      <c r="BO16248" s="197"/>
      <c r="BP16248" s="197"/>
      <c r="BQ16248" s="197"/>
    </row>
    <row r="16249" spans="66:69" x14ac:dyDescent="0.2">
      <c r="BN16249" s="192"/>
      <c r="BO16249" s="197"/>
      <c r="BP16249" s="197"/>
      <c r="BQ16249" s="197"/>
    </row>
    <row r="16250" spans="66:69" x14ac:dyDescent="0.2">
      <c r="BN16250" s="192"/>
      <c r="BO16250" s="197"/>
      <c r="BP16250" s="197"/>
      <c r="BQ16250" s="197"/>
    </row>
    <row r="16251" spans="66:69" x14ac:dyDescent="0.2">
      <c r="BN16251" s="192"/>
      <c r="BO16251" s="197"/>
      <c r="BP16251" s="197"/>
      <c r="BQ16251" s="197"/>
    </row>
    <row r="16252" spans="66:69" x14ac:dyDescent="0.2">
      <c r="BN16252" s="192"/>
      <c r="BO16252" s="197"/>
      <c r="BP16252" s="197"/>
      <c r="BQ16252" s="197"/>
    </row>
    <row r="16253" spans="66:69" x14ac:dyDescent="0.2">
      <c r="BN16253" s="192"/>
      <c r="BO16253" s="197"/>
      <c r="BP16253" s="197"/>
      <c r="BQ16253" s="197"/>
    </row>
    <row r="16254" spans="66:69" x14ac:dyDescent="0.2">
      <c r="BN16254" s="192"/>
      <c r="BO16254" s="197"/>
      <c r="BP16254" s="197"/>
      <c r="BQ16254" s="197"/>
    </row>
    <row r="16255" spans="66:69" x14ac:dyDescent="0.2">
      <c r="BN16255" s="192"/>
      <c r="BO16255" s="197"/>
      <c r="BP16255" s="197"/>
      <c r="BQ16255" s="197"/>
    </row>
    <row r="16256" spans="66:69" x14ac:dyDescent="0.2">
      <c r="BN16256" s="192"/>
      <c r="BO16256" s="197"/>
      <c r="BP16256" s="197"/>
      <c r="BQ16256" s="197"/>
    </row>
    <row r="16257" spans="66:69" x14ac:dyDescent="0.2">
      <c r="BN16257" s="192"/>
      <c r="BO16257" s="197"/>
      <c r="BP16257" s="197"/>
      <c r="BQ16257" s="197"/>
    </row>
    <row r="16258" spans="66:69" x14ac:dyDescent="0.2">
      <c r="BN16258" s="192"/>
      <c r="BO16258" s="197"/>
      <c r="BP16258" s="197"/>
      <c r="BQ16258" s="197"/>
    </row>
    <row r="16259" spans="66:69" x14ac:dyDescent="0.2">
      <c r="BN16259" s="192"/>
      <c r="BO16259" s="197"/>
      <c r="BP16259" s="197"/>
      <c r="BQ16259" s="197"/>
    </row>
    <row r="16260" spans="66:69" x14ac:dyDescent="0.2">
      <c r="BN16260" s="192"/>
      <c r="BO16260" s="197"/>
      <c r="BP16260" s="197"/>
      <c r="BQ16260" s="197"/>
    </row>
    <row r="16261" spans="66:69" x14ac:dyDescent="0.2">
      <c r="BN16261" s="192"/>
      <c r="BO16261" s="197"/>
      <c r="BP16261" s="197"/>
      <c r="BQ16261" s="197"/>
    </row>
    <row r="16262" spans="66:69" x14ac:dyDescent="0.2">
      <c r="BN16262" s="192"/>
      <c r="BO16262" s="197"/>
      <c r="BP16262" s="197"/>
      <c r="BQ16262" s="197"/>
    </row>
    <row r="16263" spans="66:69" x14ac:dyDescent="0.2">
      <c r="BN16263" s="192"/>
      <c r="BO16263" s="197"/>
      <c r="BP16263" s="197"/>
      <c r="BQ16263" s="197"/>
    </row>
    <row r="16264" spans="66:69" x14ac:dyDescent="0.2">
      <c r="BN16264" s="192"/>
      <c r="BO16264" s="197"/>
      <c r="BP16264" s="197"/>
      <c r="BQ16264" s="197"/>
    </row>
    <row r="16265" spans="66:69" x14ac:dyDescent="0.2">
      <c r="BN16265" s="192"/>
      <c r="BO16265" s="197"/>
      <c r="BP16265" s="197"/>
      <c r="BQ16265" s="197"/>
    </row>
    <row r="16266" spans="66:69" x14ac:dyDescent="0.2">
      <c r="BN16266" s="192"/>
      <c r="BO16266" s="197"/>
      <c r="BP16266" s="197"/>
      <c r="BQ16266" s="197"/>
    </row>
    <row r="16267" spans="66:69" x14ac:dyDescent="0.2">
      <c r="BN16267" s="192"/>
      <c r="BO16267" s="197"/>
      <c r="BP16267" s="197"/>
      <c r="BQ16267" s="197"/>
    </row>
    <row r="16268" spans="66:69" x14ac:dyDescent="0.2">
      <c r="BN16268" s="192"/>
      <c r="BO16268" s="197"/>
      <c r="BP16268" s="197"/>
      <c r="BQ16268" s="197"/>
    </row>
    <row r="16269" spans="66:69" x14ac:dyDescent="0.2">
      <c r="BN16269" s="192"/>
      <c r="BO16269" s="197"/>
      <c r="BP16269" s="197"/>
      <c r="BQ16269" s="197"/>
    </row>
    <row r="16270" spans="66:69" x14ac:dyDescent="0.2">
      <c r="BN16270" s="192"/>
      <c r="BO16270" s="197"/>
      <c r="BP16270" s="197"/>
      <c r="BQ16270" s="197"/>
    </row>
    <row r="16271" spans="66:69" x14ac:dyDescent="0.2">
      <c r="BN16271" s="192"/>
      <c r="BO16271" s="197"/>
      <c r="BP16271" s="197"/>
      <c r="BQ16271" s="197"/>
    </row>
    <row r="16272" spans="66:69" x14ac:dyDescent="0.2">
      <c r="BN16272" s="192"/>
      <c r="BO16272" s="197"/>
      <c r="BP16272" s="197"/>
      <c r="BQ16272" s="197"/>
    </row>
    <row r="16273" spans="66:69" x14ac:dyDescent="0.2">
      <c r="BN16273" s="192"/>
      <c r="BO16273" s="197"/>
      <c r="BP16273" s="197"/>
      <c r="BQ16273" s="197"/>
    </row>
    <row r="16274" spans="66:69" x14ac:dyDescent="0.2">
      <c r="BN16274" s="192"/>
      <c r="BO16274" s="197"/>
      <c r="BP16274" s="197"/>
      <c r="BQ16274" s="197"/>
    </row>
    <row r="16275" spans="66:69" x14ac:dyDescent="0.2">
      <c r="BN16275" s="192"/>
      <c r="BO16275" s="197"/>
      <c r="BP16275" s="197"/>
      <c r="BQ16275" s="197"/>
    </row>
    <row r="16276" spans="66:69" x14ac:dyDescent="0.2">
      <c r="BN16276" s="192"/>
      <c r="BO16276" s="197"/>
      <c r="BP16276" s="197"/>
      <c r="BQ16276" s="197"/>
    </row>
    <row r="16277" spans="66:69" x14ac:dyDescent="0.2">
      <c r="BN16277" s="192"/>
      <c r="BO16277" s="197"/>
      <c r="BP16277" s="197"/>
      <c r="BQ16277" s="197"/>
    </row>
    <row r="16278" spans="66:69" x14ac:dyDescent="0.2">
      <c r="BN16278" s="192"/>
      <c r="BO16278" s="197"/>
      <c r="BP16278" s="197"/>
      <c r="BQ16278" s="197"/>
    </row>
    <row r="16279" spans="66:69" x14ac:dyDescent="0.2">
      <c r="BN16279" s="192"/>
      <c r="BO16279" s="197"/>
      <c r="BP16279" s="197"/>
      <c r="BQ16279" s="197"/>
    </row>
    <row r="16280" spans="66:69" x14ac:dyDescent="0.2">
      <c r="BN16280" s="192"/>
      <c r="BO16280" s="197"/>
      <c r="BP16280" s="197"/>
      <c r="BQ16280" s="197"/>
    </row>
    <row r="16281" spans="66:69" x14ac:dyDescent="0.2">
      <c r="BN16281" s="192"/>
      <c r="BO16281" s="197"/>
      <c r="BP16281" s="197"/>
      <c r="BQ16281" s="197"/>
    </row>
    <row r="16282" spans="66:69" x14ac:dyDescent="0.2">
      <c r="BN16282" s="192"/>
      <c r="BO16282" s="197"/>
      <c r="BP16282" s="197"/>
      <c r="BQ16282" s="197"/>
    </row>
    <row r="16283" spans="66:69" x14ac:dyDescent="0.2">
      <c r="BN16283" s="192"/>
      <c r="BO16283" s="197"/>
      <c r="BP16283" s="197"/>
      <c r="BQ16283" s="197"/>
    </row>
    <row r="16284" spans="66:69" x14ac:dyDescent="0.2">
      <c r="BN16284" s="192"/>
      <c r="BO16284" s="197"/>
      <c r="BP16284" s="197"/>
      <c r="BQ16284" s="197"/>
    </row>
    <row r="16285" spans="66:69" x14ac:dyDescent="0.2">
      <c r="BN16285" s="192"/>
      <c r="BO16285" s="197"/>
      <c r="BP16285" s="197"/>
      <c r="BQ16285" s="197"/>
    </row>
    <row r="16286" spans="66:69" x14ac:dyDescent="0.2">
      <c r="BN16286" s="192"/>
      <c r="BO16286" s="197"/>
      <c r="BP16286" s="197"/>
      <c r="BQ16286" s="197"/>
    </row>
    <row r="16287" spans="66:69" x14ac:dyDescent="0.2">
      <c r="BN16287" s="192"/>
      <c r="BO16287" s="197"/>
      <c r="BP16287" s="197"/>
      <c r="BQ16287" s="197"/>
    </row>
    <row r="16288" spans="66:69" x14ac:dyDescent="0.2">
      <c r="BN16288" s="192"/>
      <c r="BO16288" s="197"/>
      <c r="BP16288" s="197"/>
      <c r="BQ16288" s="197"/>
    </row>
    <row r="16289" spans="66:69" x14ac:dyDescent="0.2">
      <c r="BN16289" s="192"/>
      <c r="BO16289" s="197"/>
      <c r="BP16289" s="197"/>
      <c r="BQ16289" s="197"/>
    </row>
    <row r="16290" spans="66:69" x14ac:dyDescent="0.2">
      <c r="BN16290" s="192"/>
      <c r="BO16290" s="197"/>
      <c r="BP16290" s="197"/>
      <c r="BQ16290" s="197"/>
    </row>
    <row r="16291" spans="66:69" x14ac:dyDescent="0.2">
      <c r="BN16291" s="192"/>
      <c r="BO16291" s="197"/>
      <c r="BP16291" s="197"/>
      <c r="BQ16291" s="197"/>
    </row>
    <row r="16292" spans="66:69" x14ac:dyDescent="0.2">
      <c r="BN16292" s="192"/>
      <c r="BO16292" s="197"/>
      <c r="BP16292" s="197"/>
      <c r="BQ16292" s="197"/>
    </row>
    <row r="16293" spans="66:69" x14ac:dyDescent="0.2">
      <c r="BN16293" s="192"/>
      <c r="BO16293" s="197"/>
      <c r="BP16293" s="197"/>
      <c r="BQ16293" s="197"/>
    </row>
    <row r="16294" spans="66:69" x14ac:dyDescent="0.2">
      <c r="BN16294" s="192"/>
      <c r="BO16294" s="197"/>
      <c r="BP16294" s="197"/>
      <c r="BQ16294" s="197"/>
    </row>
    <row r="16295" spans="66:69" x14ac:dyDescent="0.2">
      <c r="BN16295" s="192"/>
      <c r="BO16295" s="197"/>
      <c r="BP16295" s="197"/>
      <c r="BQ16295" s="197"/>
    </row>
    <row r="16296" spans="66:69" x14ac:dyDescent="0.2">
      <c r="BN16296" s="192"/>
      <c r="BO16296" s="197"/>
      <c r="BP16296" s="197"/>
      <c r="BQ16296" s="197"/>
    </row>
    <row r="16297" spans="66:69" x14ac:dyDescent="0.2">
      <c r="BN16297" s="192"/>
      <c r="BO16297" s="197"/>
      <c r="BP16297" s="197"/>
      <c r="BQ16297" s="197"/>
    </row>
    <row r="16298" spans="66:69" x14ac:dyDescent="0.2">
      <c r="BN16298" s="192"/>
      <c r="BO16298" s="197"/>
      <c r="BP16298" s="197"/>
      <c r="BQ16298" s="197"/>
    </row>
    <row r="16299" spans="66:69" x14ac:dyDescent="0.2">
      <c r="BN16299" s="192"/>
      <c r="BO16299" s="197"/>
      <c r="BP16299" s="197"/>
      <c r="BQ16299" s="197"/>
    </row>
    <row r="16300" spans="66:69" x14ac:dyDescent="0.2">
      <c r="BN16300" s="192"/>
      <c r="BO16300" s="197"/>
      <c r="BP16300" s="197"/>
      <c r="BQ16300" s="197"/>
    </row>
    <row r="16301" spans="66:69" x14ac:dyDescent="0.2">
      <c r="BN16301" s="192"/>
      <c r="BO16301" s="197"/>
      <c r="BP16301" s="197"/>
      <c r="BQ16301" s="197"/>
    </row>
    <row r="16302" spans="66:69" x14ac:dyDescent="0.2">
      <c r="BN16302" s="192"/>
      <c r="BO16302" s="197"/>
      <c r="BP16302" s="197"/>
      <c r="BQ16302" s="197"/>
    </row>
    <row r="16303" spans="66:69" x14ac:dyDescent="0.2">
      <c r="BN16303" s="192"/>
      <c r="BO16303" s="197"/>
      <c r="BP16303" s="197"/>
      <c r="BQ16303" s="197"/>
    </row>
    <row r="16304" spans="66:69" x14ac:dyDescent="0.2">
      <c r="BN16304" s="192"/>
      <c r="BO16304" s="197"/>
      <c r="BP16304" s="197"/>
      <c r="BQ16304" s="197"/>
    </row>
    <row r="16305" spans="66:69" x14ac:dyDescent="0.2">
      <c r="BN16305" s="192"/>
      <c r="BO16305" s="197"/>
      <c r="BP16305" s="197"/>
      <c r="BQ16305" s="197"/>
    </row>
    <row r="16306" spans="66:69" x14ac:dyDescent="0.2">
      <c r="BN16306" s="192"/>
      <c r="BO16306" s="197"/>
      <c r="BP16306" s="197"/>
      <c r="BQ16306" s="197"/>
    </row>
    <row r="16307" spans="66:69" x14ac:dyDescent="0.2">
      <c r="BN16307" s="192"/>
      <c r="BO16307" s="197"/>
      <c r="BP16307" s="197"/>
      <c r="BQ16307" s="197"/>
    </row>
    <row r="16308" spans="66:69" x14ac:dyDescent="0.2">
      <c r="BN16308" s="192"/>
      <c r="BO16308" s="197"/>
      <c r="BP16308" s="197"/>
      <c r="BQ16308" s="197"/>
    </row>
    <row r="16309" spans="66:69" x14ac:dyDescent="0.2">
      <c r="BN16309" s="192"/>
      <c r="BO16309" s="197"/>
      <c r="BP16309" s="197"/>
      <c r="BQ16309" s="197"/>
    </row>
    <row r="16310" spans="66:69" x14ac:dyDescent="0.2">
      <c r="BN16310" s="192"/>
      <c r="BO16310" s="197"/>
      <c r="BP16310" s="197"/>
      <c r="BQ16310" s="197"/>
    </row>
    <row r="16311" spans="66:69" x14ac:dyDescent="0.2">
      <c r="BN16311" s="192"/>
      <c r="BO16311" s="197"/>
      <c r="BP16311" s="197"/>
      <c r="BQ16311" s="197"/>
    </row>
    <row r="16312" spans="66:69" x14ac:dyDescent="0.2">
      <c r="BN16312" s="192"/>
      <c r="BO16312" s="197"/>
      <c r="BP16312" s="197"/>
      <c r="BQ16312" s="197"/>
    </row>
    <row r="16313" spans="66:69" x14ac:dyDescent="0.2">
      <c r="BN16313" s="192"/>
      <c r="BO16313" s="197"/>
      <c r="BP16313" s="197"/>
      <c r="BQ16313" s="197"/>
    </row>
    <row r="16314" spans="66:69" x14ac:dyDescent="0.2">
      <c r="BN16314" s="192"/>
      <c r="BO16314" s="197"/>
      <c r="BP16314" s="197"/>
      <c r="BQ16314" s="197"/>
    </row>
    <row r="16315" spans="66:69" x14ac:dyDescent="0.2">
      <c r="BN16315" s="192"/>
      <c r="BO16315" s="197"/>
      <c r="BP16315" s="197"/>
      <c r="BQ16315" s="197"/>
    </row>
    <row r="16316" spans="66:69" x14ac:dyDescent="0.2">
      <c r="BN16316" s="192"/>
      <c r="BO16316" s="197"/>
      <c r="BP16316" s="197"/>
      <c r="BQ16316" s="197"/>
    </row>
    <row r="16317" spans="66:69" x14ac:dyDescent="0.2">
      <c r="BN16317" s="192"/>
      <c r="BO16317" s="197"/>
      <c r="BP16317" s="197"/>
      <c r="BQ16317" s="197"/>
    </row>
    <row r="16318" spans="66:69" x14ac:dyDescent="0.2">
      <c r="BN16318" s="192"/>
      <c r="BO16318" s="197"/>
      <c r="BP16318" s="197"/>
      <c r="BQ16318" s="197"/>
    </row>
    <row r="16319" spans="66:69" x14ac:dyDescent="0.2">
      <c r="BN16319" s="192"/>
      <c r="BO16319" s="197"/>
      <c r="BP16319" s="197"/>
      <c r="BQ16319" s="197"/>
    </row>
    <row r="16320" spans="66:69" x14ac:dyDescent="0.2">
      <c r="BN16320" s="192"/>
      <c r="BO16320" s="197"/>
      <c r="BP16320" s="197"/>
      <c r="BQ16320" s="197"/>
    </row>
    <row r="16321" spans="66:69" x14ac:dyDescent="0.2">
      <c r="BN16321" s="192"/>
      <c r="BO16321" s="197"/>
      <c r="BP16321" s="197"/>
      <c r="BQ16321" s="197"/>
    </row>
    <row r="16322" spans="66:69" x14ac:dyDescent="0.2">
      <c r="BN16322" s="192"/>
      <c r="BO16322" s="197"/>
      <c r="BP16322" s="197"/>
      <c r="BQ16322" s="197"/>
    </row>
    <row r="16323" spans="66:69" x14ac:dyDescent="0.2">
      <c r="BN16323" s="192"/>
      <c r="BO16323" s="197"/>
      <c r="BP16323" s="197"/>
      <c r="BQ16323" s="197"/>
    </row>
    <row r="16324" spans="66:69" x14ac:dyDescent="0.2">
      <c r="BN16324" s="192"/>
      <c r="BO16324" s="197"/>
      <c r="BP16324" s="197"/>
      <c r="BQ16324" s="197"/>
    </row>
    <row r="16325" spans="66:69" x14ac:dyDescent="0.2">
      <c r="BN16325" s="192"/>
      <c r="BO16325" s="197"/>
      <c r="BP16325" s="197"/>
      <c r="BQ16325" s="197"/>
    </row>
    <row r="16326" spans="66:69" x14ac:dyDescent="0.2">
      <c r="BN16326" s="192"/>
      <c r="BO16326" s="197"/>
      <c r="BP16326" s="197"/>
      <c r="BQ16326" s="197"/>
    </row>
    <row r="16327" spans="66:69" x14ac:dyDescent="0.2">
      <c r="BN16327" s="192"/>
      <c r="BO16327" s="197"/>
      <c r="BP16327" s="197"/>
      <c r="BQ16327" s="197"/>
    </row>
    <row r="16328" spans="66:69" x14ac:dyDescent="0.2">
      <c r="BN16328" s="192"/>
      <c r="BO16328" s="197"/>
      <c r="BP16328" s="197"/>
      <c r="BQ16328" s="197"/>
    </row>
    <row r="16329" spans="66:69" x14ac:dyDescent="0.2">
      <c r="BN16329" s="192"/>
      <c r="BO16329" s="197"/>
      <c r="BP16329" s="197"/>
      <c r="BQ16329" s="197"/>
    </row>
    <row r="16330" spans="66:69" x14ac:dyDescent="0.2">
      <c r="BN16330" s="192"/>
      <c r="BO16330" s="197"/>
      <c r="BP16330" s="197"/>
      <c r="BQ16330" s="197"/>
    </row>
    <row r="16331" spans="66:69" x14ac:dyDescent="0.2">
      <c r="BN16331" s="192"/>
      <c r="BO16331" s="197"/>
      <c r="BP16331" s="197"/>
      <c r="BQ16331" s="197"/>
    </row>
    <row r="16332" spans="66:69" x14ac:dyDescent="0.2">
      <c r="BN16332" s="192"/>
      <c r="BO16332" s="197"/>
      <c r="BP16332" s="197"/>
      <c r="BQ16332" s="197"/>
    </row>
    <row r="16333" spans="66:69" x14ac:dyDescent="0.2">
      <c r="BN16333" s="192"/>
      <c r="BO16333" s="197"/>
      <c r="BP16333" s="197"/>
      <c r="BQ16333" s="197"/>
    </row>
    <row r="16334" spans="66:69" x14ac:dyDescent="0.2">
      <c r="BN16334" s="192"/>
      <c r="BO16334" s="197"/>
      <c r="BP16334" s="197"/>
      <c r="BQ16334" s="197"/>
    </row>
    <row r="16335" spans="66:69" x14ac:dyDescent="0.2">
      <c r="BN16335" s="192"/>
      <c r="BO16335" s="197"/>
      <c r="BP16335" s="197"/>
      <c r="BQ16335" s="197"/>
    </row>
    <row r="16336" spans="66:69" x14ac:dyDescent="0.2">
      <c r="BN16336" s="192"/>
      <c r="BO16336" s="197"/>
      <c r="BP16336" s="197"/>
      <c r="BQ16336" s="197"/>
    </row>
    <row r="16337" spans="66:69" x14ac:dyDescent="0.2">
      <c r="BN16337" s="192"/>
      <c r="BO16337" s="197"/>
      <c r="BP16337" s="197"/>
      <c r="BQ16337" s="197"/>
    </row>
    <row r="16338" spans="66:69" x14ac:dyDescent="0.2">
      <c r="BN16338" s="192"/>
      <c r="BO16338" s="197"/>
      <c r="BP16338" s="197"/>
      <c r="BQ16338" s="197"/>
    </row>
    <row r="16339" spans="66:69" x14ac:dyDescent="0.2">
      <c r="BN16339" s="192"/>
      <c r="BO16339" s="197"/>
      <c r="BP16339" s="197"/>
      <c r="BQ16339" s="197"/>
    </row>
    <row r="16340" spans="66:69" x14ac:dyDescent="0.2">
      <c r="BN16340" s="192"/>
      <c r="BO16340" s="197"/>
      <c r="BP16340" s="197"/>
      <c r="BQ16340" s="197"/>
    </row>
    <row r="16341" spans="66:69" x14ac:dyDescent="0.2">
      <c r="BN16341" s="192"/>
      <c r="BO16341" s="197"/>
      <c r="BP16341" s="197"/>
      <c r="BQ16341" s="197"/>
    </row>
    <row r="16342" spans="66:69" x14ac:dyDescent="0.2">
      <c r="BN16342" s="192"/>
      <c r="BO16342" s="197"/>
      <c r="BP16342" s="197"/>
      <c r="BQ16342" s="197"/>
    </row>
    <row r="16343" spans="66:69" x14ac:dyDescent="0.2">
      <c r="BN16343" s="192"/>
      <c r="BO16343" s="197"/>
      <c r="BP16343" s="197"/>
      <c r="BQ16343" s="197"/>
    </row>
    <row r="16344" spans="66:69" x14ac:dyDescent="0.2">
      <c r="BN16344" s="192"/>
      <c r="BO16344" s="197"/>
      <c r="BP16344" s="197"/>
      <c r="BQ16344" s="197"/>
    </row>
    <row r="16345" spans="66:69" x14ac:dyDescent="0.2">
      <c r="BN16345" s="192"/>
      <c r="BO16345" s="197"/>
      <c r="BP16345" s="197"/>
      <c r="BQ16345" s="197"/>
    </row>
    <row r="16346" spans="66:69" x14ac:dyDescent="0.2">
      <c r="BN16346" s="192"/>
      <c r="BO16346" s="197"/>
      <c r="BP16346" s="197"/>
      <c r="BQ16346" s="197"/>
    </row>
    <row r="16347" spans="66:69" x14ac:dyDescent="0.2">
      <c r="BN16347" s="192"/>
      <c r="BO16347" s="197"/>
      <c r="BP16347" s="197"/>
      <c r="BQ16347" s="197"/>
    </row>
    <row r="16348" spans="66:69" x14ac:dyDescent="0.2">
      <c r="BN16348" s="192"/>
      <c r="BO16348" s="197"/>
      <c r="BP16348" s="197"/>
      <c r="BQ16348" s="197"/>
    </row>
    <row r="16349" spans="66:69" x14ac:dyDescent="0.2">
      <c r="BN16349" s="192"/>
      <c r="BO16349" s="197"/>
      <c r="BP16349" s="197"/>
      <c r="BQ16349" s="197"/>
    </row>
    <row r="16350" spans="66:69" x14ac:dyDescent="0.2">
      <c r="BN16350" s="192"/>
      <c r="BO16350" s="197"/>
      <c r="BP16350" s="197"/>
      <c r="BQ16350" s="197"/>
    </row>
    <row r="16351" spans="66:69" x14ac:dyDescent="0.2">
      <c r="BN16351" s="192"/>
      <c r="BO16351" s="197"/>
      <c r="BP16351" s="197"/>
      <c r="BQ16351" s="197"/>
    </row>
    <row r="16352" spans="66:69" x14ac:dyDescent="0.2">
      <c r="BN16352" s="192"/>
      <c r="BO16352" s="197"/>
      <c r="BP16352" s="197"/>
      <c r="BQ16352" s="197"/>
    </row>
    <row r="16353" spans="66:69" x14ac:dyDescent="0.2">
      <c r="BN16353" s="192"/>
      <c r="BO16353" s="197"/>
      <c r="BP16353" s="197"/>
      <c r="BQ16353" s="197"/>
    </row>
    <row r="16354" spans="66:69" x14ac:dyDescent="0.2">
      <c r="BN16354" s="192"/>
      <c r="BO16354" s="197"/>
      <c r="BP16354" s="197"/>
      <c r="BQ16354" s="197"/>
    </row>
    <row r="16355" spans="66:69" x14ac:dyDescent="0.2">
      <c r="BN16355" s="192"/>
      <c r="BO16355" s="197"/>
      <c r="BP16355" s="197"/>
      <c r="BQ16355" s="197"/>
    </row>
    <row r="16356" spans="66:69" x14ac:dyDescent="0.2">
      <c r="BN16356" s="192"/>
      <c r="BO16356" s="197"/>
      <c r="BP16356" s="197"/>
      <c r="BQ16356" s="197"/>
    </row>
    <row r="16357" spans="66:69" x14ac:dyDescent="0.2">
      <c r="BN16357" s="192"/>
      <c r="BO16357" s="197"/>
      <c r="BP16357" s="197"/>
      <c r="BQ16357" s="197"/>
    </row>
    <row r="16358" spans="66:69" x14ac:dyDescent="0.2">
      <c r="BN16358" s="192"/>
      <c r="BO16358" s="197"/>
      <c r="BP16358" s="197"/>
      <c r="BQ16358" s="197"/>
    </row>
    <row r="16359" spans="66:69" x14ac:dyDescent="0.2">
      <c r="BN16359" s="192"/>
      <c r="BO16359" s="197"/>
      <c r="BP16359" s="197"/>
      <c r="BQ16359" s="197"/>
    </row>
    <row r="16360" spans="66:69" x14ac:dyDescent="0.2">
      <c r="BN16360" s="192"/>
      <c r="BO16360" s="197"/>
      <c r="BP16360" s="197"/>
      <c r="BQ16360" s="197"/>
    </row>
    <row r="16361" spans="66:69" x14ac:dyDescent="0.2">
      <c r="BN16361" s="192"/>
      <c r="BO16361" s="197"/>
      <c r="BP16361" s="197"/>
      <c r="BQ16361" s="197"/>
    </row>
    <row r="16362" spans="66:69" x14ac:dyDescent="0.2">
      <c r="BN16362" s="192"/>
      <c r="BO16362" s="197"/>
      <c r="BP16362" s="197"/>
      <c r="BQ16362" s="197"/>
    </row>
    <row r="16363" spans="66:69" x14ac:dyDescent="0.2">
      <c r="BN16363" s="192"/>
      <c r="BO16363" s="197"/>
      <c r="BP16363" s="197"/>
      <c r="BQ16363" s="197"/>
    </row>
    <row r="16364" spans="66:69" x14ac:dyDescent="0.2">
      <c r="BN16364" s="192"/>
      <c r="BO16364" s="197"/>
      <c r="BP16364" s="197"/>
      <c r="BQ16364" s="197"/>
    </row>
    <row r="16365" spans="66:69" x14ac:dyDescent="0.2">
      <c r="BN16365" s="192"/>
      <c r="BO16365" s="197"/>
      <c r="BP16365" s="197"/>
      <c r="BQ16365" s="197"/>
    </row>
    <row r="16366" spans="66:69" x14ac:dyDescent="0.2">
      <c r="BN16366" s="192"/>
      <c r="BO16366" s="197"/>
      <c r="BP16366" s="197"/>
      <c r="BQ16366" s="197"/>
    </row>
    <row r="16367" spans="66:69" x14ac:dyDescent="0.2">
      <c r="BN16367" s="192"/>
      <c r="BO16367" s="197"/>
      <c r="BP16367" s="197"/>
      <c r="BQ16367" s="197"/>
    </row>
    <row r="16368" spans="66:69" x14ac:dyDescent="0.2">
      <c r="BN16368" s="192"/>
      <c r="BO16368" s="197"/>
      <c r="BP16368" s="197"/>
      <c r="BQ16368" s="197"/>
    </row>
    <row r="16369" spans="66:69" x14ac:dyDescent="0.2">
      <c r="BN16369" s="192"/>
      <c r="BO16369" s="197"/>
      <c r="BP16369" s="197"/>
      <c r="BQ16369" s="197"/>
    </row>
    <row r="16370" spans="66:69" x14ac:dyDescent="0.2">
      <c r="BN16370" s="192"/>
      <c r="BO16370" s="197"/>
      <c r="BP16370" s="197"/>
      <c r="BQ16370" s="197"/>
    </row>
    <row r="16371" spans="66:69" x14ac:dyDescent="0.2">
      <c r="BN16371" s="192"/>
      <c r="BO16371" s="197"/>
      <c r="BP16371" s="197"/>
      <c r="BQ16371" s="197"/>
    </row>
    <row r="16372" spans="66:69" x14ac:dyDescent="0.2">
      <c r="BN16372" s="192"/>
      <c r="BO16372" s="197"/>
      <c r="BP16372" s="197"/>
      <c r="BQ16372" s="197"/>
    </row>
    <row r="16373" spans="66:69" x14ac:dyDescent="0.2">
      <c r="BN16373" s="192"/>
      <c r="BO16373" s="197"/>
      <c r="BP16373" s="197"/>
      <c r="BQ16373" s="197"/>
    </row>
    <row r="16374" spans="66:69" x14ac:dyDescent="0.2">
      <c r="BN16374" s="192"/>
      <c r="BO16374" s="197"/>
      <c r="BP16374" s="197"/>
      <c r="BQ16374" s="197"/>
    </row>
    <row r="16375" spans="66:69" x14ac:dyDescent="0.2">
      <c r="BN16375" s="192"/>
      <c r="BO16375" s="197"/>
      <c r="BP16375" s="197"/>
      <c r="BQ16375" s="197"/>
    </row>
    <row r="16376" spans="66:69" x14ac:dyDescent="0.2">
      <c r="BN16376" s="192"/>
      <c r="BO16376" s="197"/>
      <c r="BP16376" s="197"/>
      <c r="BQ16376" s="197"/>
    </row>
    <row r="16377" spans="66:69" x14ac:dyDescent="0.2">
      <c r="BN16377" s="192"/>
      <c r="BO16377" s="197"/>
      <c r="BP16377" s="197"/>
      <c r="BQ16377" s="197"/>
    </row>
    <row r="16378" spans="66:69" x14ac:dyDescent="0.2">
      <c r="BN16378" s="192"/>
      <c r="BO16378" s="197"/>
      <c r="BP16378" s="197"/>
      <c r="BQ16378" s="197"/>
    </row>
    <row r="16379" spans="66:69" x14ac:dyDescent="0.2">
      <c r="BN16379" s="192"/>
      <c r="BO16379" s="197"/>
      <c r="BP16379" s="197"/>
      <c r="BQ16379" s="197"/>
    </row>
    <row r="16380" spans="66:69" x14ac:dyDescent="0.2">
      <c r="BN16380" s="192"/>
      <c r="BO16380" s="197"/>
      <c r="BP16380" s="197"/>
      <c r="BQ16380" s="197"/>
    </row>
    <row r="16381" spans="66:69" x14ac:dyDescent="0.2">
      <c r="BN16381" s="192"/>
      <c r="BO16381" s="197"/>
      <c r="BP16381" s="197"/>
      <c r="BQ16381" s="197"/>
    </row>
    <row r="16382" spans="66:69" x14ac:dyDescent="0.2">
      <c r="BN16382" s="192"/>
      <c r="BO16382" s="197"/>
      <c r="BP16382" s="197"/>
      <c r="BQ16382" s="197"/>
    </row>
    <row r="16383" spans="66:69" x14ac:dyDescent="0.2">
      <c r="BN16383" s="192"/>
      <c r="BO16383" s="197"/>
      <c r="BP16383" s="197"/>
      <c r="BQ16383" s="197"/>
    </row>
    <row r="16384" spans="66:69" x14ac:dyDescent="0.2">
      <c r="BN16384" s="192"/>
      <c r="BO16384" s="197"/>
      <c r="BP16384" s="197"/>
      <c r="BQ16384" s="197"/>
    </row>
    <row r="16385" spans="66:69" x14ac:dyDescent="0.2">
      <c r="BN16385" s="192"/>
      <c r="BO16385" s="197"/>
      <c r="BP16385" s="197"/>
      <c r="BQ16385" s="197"/>
    </row>
    <row r="16386" spans="66:69" x14ac:dyDescent="0.2">
      <c r="BN16386" s="192"/>
      <c r="BO16386" s="197"/>
      <c r="BP16386" s="197"/>
      <c r="BQ16386" s="197"/>
    </row>
    <row r="16387" spans="66:69" x14ac:dyDescent="0.2">
      <c r="BN16387" s="192"/>
      <c r="BO16387" s="197"/>
      <c r="BP16387" s="197"/>
      <c r="BQ16387" s="197"/>
    </row>
    <row r="16388" spans="66:69" x14ac:dyDescent="0.2">
      <c r="BN16388" s="192"/>
      <c r="BO16388" s="197"/>
      <c r="BP16388" s="197"/>
      <c r="BQ16388" s="197"/>
    </row>
    <row r="16389" spans="66:69" x14ac:dyDescent="0.2">
      <c r="BN16389" s="192"/>
      <c r="BO16389" s="197"/>
      <c r="BP16389" s="197"/>
      <c r="BQ16389" s="197"/>
    </row>
    <row r="16390" spans="66:69" x14ac:dyDescent="0.2">
      <c r="BN16390" s="192"/>
      <c r="BO16390" s="197"/>
      <c r="BP16390" s="197"/>
      <c r="BQ16390" s="197"/>
    </row>
    <row r="16391" spans="66:69" x14ac:dyDescent="0.2">
      <c r="BN16391" s="192"/>
      <c r="BO16391" s="197"/>
      <c r="BP16391" s="197"/>
      <c r="BQ16391" s="197"/>
    </row>
    <row r="16392" spans="66:69" x14ac:dyDescent="0.2">
      <c r="BN16392" s="192"/>
      <c r="BO16392" s="197"/>
      <c r="BP16392" s="197"/>
      <c r="BQ16392" s="197"/>
    </row>
    <row r="16393" spans="66:69" x14ac:dyDescent="0.2">
      <c r="BN16393" s="192"/>
      <c r="BO16393" s="197"/>
      <c r="BP16393" s="197"/>
      <c r="BQ16393" s="197"/>
    </row>
    <row r="16394" spans="66:69" x14ac:dyDescent="0.2">
      <c r="BN16394" s="192"/>
      <c r="BO16394" s="197"/>
      <c r="BP16394" s="197"/>
      <c r="BQ16394" s="197"/>
    </row>
    <row r="16395" spans="66:69" x14ac:dyDescent="0.2">
      <c r="BN16395" s="192"/>
      <c r="BO16395" s="197"/>
      <c r="BP16395" s="197"/>
      <c r="BQ16395" s="197"/>
    </row>
    <row r="16396" spans="66:69" x14ac:dyDescent="0.2">
      <c r="BN16396" s="192"/>
      <c r="BO16396" s="197"/>
      <c r="BP16396" s="197"/>
      <c r="BQ16396" s="197"/>
    </row>
    <row r="16397" spans="66:69" x14ac:dyDescent="0.2">
      <c r="BN16397" s="192"/>
      <c r="BO16397" s="197"/>
      <c r="BP16397" s="197"/>
      <c r="BQ16397" s="197"/>
    </row>
    <row r="16398" spans="66:69" x14ac:dyDescent="0.2">
      <c r="BN16398" s="192"/>
      <c r="BO16398" s="197"/>
      <c r="BP16398" s="197"/>
      <c r="BQ16398" s="197"/>
    </row>
    <row r="16399" spans="66:69" x14ac:dyDescent="0.2">
      <c r="BN16399" s="192"/>
      <c r="BO16399" s="197"/>
      <c r="BP16399" s="197"/>
      <c r="BQ16399" s="197"/>
    </row>
    <row r="16400" spans="66:69" x14ac:dyDescent="0.2">
      <c r="BN16400" s="192"/>
      <c r="BO16400" s="197"/>
      <c r="BP16400" s="197"/>
      <c r="BQ16400" s="197"/>
    </row>
    <row r="16401" spans="66:69" x14ac:dyDescent="0.2">
      <c r="BN16401" s="192"/>
      <c r="BO16401" s="197"/>
      <c r="BP16401" s="197"/>
      <c r="BQ16401" s="197"/>
    </row>
    <row r="16402" spans="66:69" x14ac:dyDescent="0.2">
      <c r="BN16402" s="192"/>
      <c r="BO16402" s="197"/>
      <c r="BP16402" s="197"/>
      <c r="BQ16402" s="197"/>
    </row>
    <row r="16403" spans="66:69" x14ac:dyDescent="0.2">
      <c r="BN16403" s="192"/>
      <c r="BO16403" s="197"/>
      <c r="BP16403" s="197"/>
      <c r="BQ16403" s="197"/>
    </row>
    <row r="16404" spans="66:69" x14ac:dyDescent="0.2">
      <c r="BN16404" s="192"/>
      <c r="BO16404" s="197"/>
      <c r="BP16404" s="197"/>
      <c r="BQ16404" s="197"/>
    </row>
    <row r="16405" spans="66:69" x14ac:dyDescent="0.2">
      <c r="BN16405" s="192"/>
      <c r="BO16405" s="197"/>
      <c r="BP16405" s="197"/>
      <c r="BQ16405" s="197"/>
    </row>
    <row r="16406" spans="66:69" x14ac:dyDescent="0.2">
      <c r="BN16406" s="192"/>
      <c r="BO16406" s="197"/>
      <c r="BP16406" s="197"/>
      <c r="BQ16406" s="197"/>
    </row>
    <row r="16407" spans="66:69" x14ac:dyDescent="0.2">
      <c r="BN16407" s="192"/>
      <c r="BO16407" s="197"/>
      <c r="BP16407" s="197"/>
      <c r="BQ16407" s="197"/>
    </row>
    <row r="16408" spans="66:69" x14ac:dyDescent="0.2">
      <c r="BN16408" s="192"/>
      <c r="BO16408" s="197"/>
      <c r="BP16408" s="197"/>
      <c r="BQ16408" s="197"/>
    </row>
    <row r="16409" spans="66:69" x14ac:dyDescent="0.2">
      <c r="BN16409" s="192"/>
      <c r="BO16409" s="197"/>
      <c r="BP16409" s="197"/>
      <c r="BQ16409" s="197"/>
    </row>
    <row r="16410" spans="66:69" x14ac:dyDescent="0.2">
      <c r="BN16410" s="192"/>
      <c r="BO16410" s="197"/>
      <c r="BP16410" s="197"/>
      <c r="BQ16410" s="197"/>
    </row>
    <row r="16411" spans="66:69" x14ac:dyDescent="0.2">
      <c r="BN16411" s="192"/>
      <c r="BO16411" s="197"/>
      <c r="BP16411" s="197"/>
      <c r="BQ16411" s="197"/>
    </row>
    <row r="16412" spans="66:69" x14ac:dyDescent="0.2">
      <c r="BN16412" s="192"/>
      <c r="BO16412" s="197"/>
      <c r="BP16412" s="197"/>
      <c r="BQ16412" s="197"/>
    </row>
    <row r="16413" spans="66:69" x14ac:dyDescent="0.2">
      <c r="BN16413" s="192"/>
      <c r="BO16413" s="197"/>
      <c r="BP16413" s="197"/>
      <c r="BQ16413" s="197"/>
    </row>
    <row r="16414" spans="66:69" x14ac:dyDescent="0.2">
      <c r="BN16414" s="192"/>
      <c r="BO16414" s="197"/>
      <c r="BP16414" s="197"/>
      <c r="BQ16414" s="197"/>
    </row>
    <row r="16415" spans="66:69" x14ac:dyDescent="0.2">
      <c r="BN16415" s="192"/>
      <c r="BO16415" s="197"/>
      <c r="BP16415" s="197"/>
      <c r="BQ16415" s="197"/>
    </row>
    <row r="16416" spans="66:69" x14ac:dyDescent="0.2">
      <c r="BN16416" s="192"/>
      <c r="BO16416" s="197"/>
      <c r="BP16416" s="197"/>
      <c r="BQ16416" s="197"/>
    </row>
    <row r="16417" spans="66:69" x14ac:dyDescent="0.2">
      <c r="BN16417" s="192"/>
      <c r="BO16417" s="197"/>
      <c r="BP16417" s="197"/>
      <c r="BQ16417" s="197"/>
    </row>
    <row r="16418" spans="66:69" x14ac:dyDescent="0.2">
      <c r="BN16418" s="192"/>
      <c r="BO16418" s="197"/>
      <c r="BP16418" s="197"/>
      <c r="BQ16418" s="197"/>
    </row>
    <row r="16419" spans="66:69" x14ac:dyDescent="0.2">
      <c r="BN16419" s="192"/>
      <c r="BO16419" s="197"/>
      <c r="BP16419" s="197"/>
      <c r="BQ16419" s="197"/>
    </row>
    <row r="16420" spans="66:69" x14ac:dyDescent="0.2">
      <c r="BN16420" s="192"/>
      <c r="BO16420" s="197"/>
      <c r="BP16420" s="197"/>
      <c r="BQ16420" s="197"/>
    </row>
    <row r="16421" spans="66:69" x14ac:dyDescent="0.2">
      <c r="BN16421" s="192"/>
      <c r="BO16421" s="197"/>
      <c r="BP16421" s="197"/>
      <c r="BQ16421" s="197"/>
    </row>
    <row r="16422" spans="66:69" x14ac:dyDescent="0.2">
      <c r="BN16422" s="192"/>
      <c r="BO16422" s="197"/>
      <c r="BP16422" s="197"/>
      <c r="BQ16422" s="197"/>
    </row>
    <row r="16423" spans="66:69" x14ac:dyDescent="0.2">
      <c r="BN16423" s="192"/>
      <c r="BO16423" s="197"/>
      <c r="BP16423" s="197"/>
      <c r="BQ16423" s="197"/>
    </row>
    <row r="16424" spans="66:69" x14ac:dyDescent="0.2">
      <c r="BN16424" s="192"/>
      <c r="BO16424" s="197"/>
      <c r="BP16424" s="197"/>
      <c r="BQ16424" s="197"/>
    </row>
    <row r="16425" spans="66:69" x14ac:dyDescent="0.2">
      <c r="BN16425" s="192"/>
      <c r="BO16425" s="197"/>
      <c r="BP16425" s="197"/>
      <c r="BQ16425" s="197"/>
    </row>
    <row r="16426" spans="66:69" x14ac:dyDescent="0.2">
      <c r="BN16426" s="192"/>
      <c r="BO16426" s="197"/>
      <c r="BP16426" s="197"/>
      <c r="BQ16426" s="197"/>
    </row>
    <row r="16427" spans="66:69" x14ac:dyDescent="0.2">
      <c r="BN16427" s="192"/>
      <c r="BO16427" s="197"/>
      <c r="BP16427" s="197"/>
      <c r="BQ16427" s="197"/>
    </row>
    <row r="16428" spans="66:69" x14ac:dyDescent="0.2">
      <c r="BN16428" s="192"/>
      <c r="BO16428" s="197"/>
      <c r="BP16428" s="197"/>
      <c r="BQ16428" s="197"/>
    </row>
    <row r="16429" spans="66:69" x14ac:dyDescent="0.2">
      <c r="BN16429" s="192"/>
      <c r="BO16429" s="197"/>
      <c r="BP16429" s="197"/>
      <c r="BQ16429" s="197"/>
    </row>
    <row r="16430" spans="66:69" x14ac:dyDescent="0.2">
      <c r="BN16430" s="192"/>
      <c r="BO16430" s="197"/>
      <c r="BP16430" s="197"/>
      <c r="BQ16430" s="197"/>
    </row>
    <row r="16431" spans="66:69" x14ac:dyDescent="0.2">
      <c r="BN16431" s="192"/>
      <c r="BO16431" s="197"/>
      <c r="BP16431" s="197"/>
      <c r="BQ16431" s="197"/>
    </row>
    <row r="16432" spans="66:69" x14ac:dyDescent="0.2">
      <c r="BN16432" s="192"/>
      <c r="BO16432" s="197"/>
      <c r="BP16432" s="197"/>
      <c r="BQ16432" s="197"/>
    </row>
    <row r="16433" spans="66:69" x14ac:dyDescent="0.2">
      <c r="BN16433" s="192"/>
      <c r="BO16433" s="197"/>
      <c r="BP16433" s="197"/>
      <c r="BQ16433" s="197"/>
    </row>
    <row r="16434" spans="66:69" x14ac:dyDescent="0.2">
      <c r="BN16434" s="192"/>
      <c r="BO16434" s="197"/>
      <c r="BP16434" s="197"/>
      <c r="BQ16434" s="197"/>
    </row>
    <row r="16435" spans="66:69" x14ac:dyDescent="0.2">
      <c r="BN16435" s="192"/>
      <c r="BO16435" s="197"/>
      <c r="BP16435" s="197"/>
      <c r="BQ16435" s="197"/>
    </row>
    <row r="16436" spans="66:69" x14ac:dyDescent="0.2">
      <c r="BN16436" s="192"/>
      <c r="BO16436" s="197"/>
      <c r="BP16436" s="197"/>
      <c r="BQ16436" s="197"/>
    </row>
    <row r="16437" spans="66:69" x14ac:dyDescent="0.2">
      <c r="BN16437" s="192"/>
      <c r="BO16437" s="197"/>
      <c r="BP16437" s="197"/>
      <c r="BQ16437" s="197"/>
    </row>
    <row r="16438" spans="66:69" x14ac:dyDescent="0.2">
      <c r="BN16438" s="192"/>
      <c r="BO16438" s="197"/>
      <c r="BP16438" s="197"/>
      <c r="BQ16438" s="197"/>
    </row>
    <row r="16439" spans="66:69" x14ac:dyDescent="0.2">
      <c r="BN16439" s="192"/>
      <c r="BO16439" s="197"/>
      <c r="BP16439" s="197"/>
      <c r="BQ16439" s="197"/>
    </row>
    <row r="16440" spans="66:69" x14ac:dyDescent="0.2">
      <c r="BN16440" s="192"/>
      <c r="BO16440" s="197"/>
      <c r="BP16440" s="197"/>
      <c r="BQ16440" s="197"/>
    </row>
    <row r="16441" spans="66:69" x14ac:dyDescent="0.2">
      <c r="BN16441" s="192"/>
      <c r="BO16441" s="197"/>
      <c r="BP16441" s="197"/>
      <c r="BQ16441" s="197"/>
    </row>
    <row r="16442" spans="66:69" x14ac:dyDescent="0.2">
      <c r="BN16442" s="192"/>
      <c r="BO16442" s="197"/>
      <c r="BP16442" s="197"/>
      <c r="BQ16442" s="197"/>
    </row>
    <row r="16443" spans="66:69" x14ac:dyDescent="0.2">
      <c r="BN16443" s="192"/>
      <c r="BO16443" s="197"/>
      <c r="BP16443" s="197"/>
      <c r="BQ16443" s="197"/>
    </row>
    <row r="16444" spans="66:69" x14ac:dyDescent="0.2">
      <c r="BN16444" s="192"/>
      <c r="BO16444" s="197"/>
      <c r="BP16444" s="197"/>
      <c r="BQ16444" s="197"/>
    </row>
    <row r="16445" spans="66:69" x14ac:dyDescent="0.2">
      <c r="BN16445" s="192"/>
      <c r="BO16445" s="197"/>
      <c r="BP16445" s="197"/>
      <c r="BQ16445" s="197"/>
    </row>
    <row r="16446" spans="66:69" x14ac:dyDescent="0.2">
      <c r="BN16446" s="192"/>
      <c r="BO16446" s="197"/>
      <c r="BP16446" s="197"/>
      <c r="BQ16446" s="197"/>
    </row>
    <row r="16447" spans="66:69" x14ac:dyDescent="0.2">
      <c r="BN16447" s="192"/>
      <c r="BO16447" s="197"/>
      <c r="BP16447" s="197"/>
      <c r="BQ16447" s="197"/>
    </row>
    <row r="16448" spans="66:69" x14ac:dyDescent="0.2">
      <c r="BN16448" s="192"/>
      <c r="BO16448" s="197"/>
      <c r="BP16448" s="197"/>
      <c r="BQ16448" s="197"/>
    </row>
    <row r="16449" spans="66:69" x14ac:dyDescent="0.2">
      <c r="BN16449" s="192"/>
      <c r="BO16449" s="197"/>
      <c r="BP16449" s="197"/>
      <c r="BQ16449" s="197"/>
    </row>
    <row r="16450" spans="66:69" x14ac:dyDescent="0.2">
      <c r="BN16450" s="192"/>
      <c r="BO16450" s="197"/>
      <c r="BP16450" s="197"/>
      <c r="BQ16450" s="197"/>
    </row>
    <row r="16451" spans="66:69" x14ac:dyDescent="0.2">
      <c r="BN16451" s="192"/>
      <c r="BO16451" s="197"/>
      <c r="BP16451" s="197"/>
      <c r="BQ16451" s="197"/>
    </row>
    <row r="16452" spans="66:69" x14ac:dyDescent="0.2">
      <c r="BN16452" s="192"/>
      <c r="BO16452" s="197"/>
      <c r="BP16452" s="197"/>
      <c r="BQ16452" s="197"/>
    </row>
    <row r="16453" spans="66:69" x14ac:dyDescent="0.2">
      <c r="BN16453" s="192"/>
      <c r="BO16453" s="197"/>
      <c r="BP16453" s="197"/>
      <c r="BQ16453" s="197"/>
    </row>
    <row r="16454" spans="66:69" x14ac:dyDescent="0.2">
      <c r="BN16454" s="192"/>
      <c r="BO16454" s="197"/>
      <c r="BP16454" s="197"/>
      <c r="BQ16454" s="197"/>
    </row>
    <row r="16455" spans="66:69" x14ac:dyDescent="0.2">
      <c r="BN16455" s="192"/>
      <c r="BO16455" s="197"/>
      <c r="BP16455" s="197"/>
      <c r="BQ16455" s="197"/>
    </row>
    <row r="16456" spans="66:69" x14ac:dyDescent="0.2">
      <c r="BN16456" s="192"/>
      <c r="BO16456" s="197"/>
      <c r="BP16456" s="197"/>
      <c r="BQ16456" s="197"/>
    </row>
    <row r="16457" spans="66:69" x14ac:dyDescent="0.2">
      <c r="BN16457" s="192"/>
      <c r="BO16457" s="197"/>
      <c r="BP16457" s="197"/>
      <c r="BQ16457" s="197"/>
    </row>
    <row r="16458" spans="66:69" x14ac:dyDescent="0.2">
      <c r="BN16458" s="192"/>
      <c r="BO16458" s="197"/>
      <c r="BP16458" s="197"/>
      <c r="BQ16458" s="197"/>
    </row>
    <row r="16459" spans="66:69" x14ac:dyDescent="0.2">
      <c r="BN16459" s="192"/>
      <c r="BO16459" s="197"/>
      <c r="BP16459" s="197"/>
      <c r="BQ16459" s="197"/>
    </row>
    <row r="16460" spans="66:69" x14ac:dyDescent="0.2">
      <c r="BN16460" s="192"/>
      <c r="BO16460" s="197"/>
      <c r="BP16460" s="197"/>
      <c r="BQ16460" s="197"/>
    </row>
    <row r="16461" spans="66:69" x14ac:dyDescent="0.2">
      <c r="BN16461" s="192"/>
      <c r="BO16461" s="197"/>
      <c r="BP16461" s="197"/>
      <c r="BQ16461" s="197"/>
    </row>
    <row r="16462" spans="66:69" x14ac:dyDescent="0.2">
      <c r="BN16462" s="192"/>
      <c r="BO16462" s="197"/>
      <c r="BP16462" s="197"/>
      <c r="BQ16462" s="197"/>
    </row>
    <row r="16463" spans="66:69" x14ac:dyDescent="0.2">
      <c r="BN16463" s="192"/>
      <c r="BO16463" s="197"/>
      <c r="BP16463" s="197"/>
      <c r="BQ16463" s="197"/>
    </row>
    <row r="16464" spans="66:69" x14ac:dyDescent="0.2">
      <c r="BN16464" s="192"/>
      <c r="BO16464" s="197"/>
      <c r="BP16464" s="197"/>
      <c r="BQ16464" s="197"/>
    </row>
    <row r="16465" spans="66:69" x14ac:dyDescent="0.2">
      <c r="BN16465" s="192"/>
      <c r="BO16465" s="197"/>
      <c r="BP16465" s="197"/>
      <c r="BQ16465" s="197"/>
    </row>
    <row r="16466" spans="66:69" x14ac:dyDescent="0.2">
      <c r="BN16466" s="192"/>
      <c r="BO16466" s="197"/>
      <c r="BP16466" s="197"/>
      <c r="BQ16466" s="197"/>
    </row>
    <row r="16467" spans="66:69" x14ac:dyDescent="0.2">
      <c r="BN16467" s="192"/>
      <c r="BO16467" s="197"/>
      <c r="BP16467" s="197"/>
      <c r="BQ16467" s="197"/>
    </row>
    <row r="16468" spans="66:69" x14ac:dyDescent="0.2">
      <c r="BN16468" s="192"/>
      <c r="BO16468" s="197"/>
      <c r="BP16468" s="197"/>
      <c r="BQ16468" s="197"/>
    </row>
    <row r="16469" spans="66:69" x14ac:dyDescent="0.2">
      <c r="BN16469" s="192"/>
      <c r="BO16469" s="197"/>
      <c r="BP16469" s="197"/>
      <c r="BQ16469" s="197"/>
    </row>
    <row r="16470" spans="66:69" x14ac:dyDescent="0.2">
      <c r="BN16470" s="192"/>
      <c r="BO16470" s="197"/>
      <c r="BP16470" s="197"/>
      <c r="BQ16470" s="197"/>
    </row>
    <row r="16471" spans="66:69" x14ac:dyDescent="0.2">
      <c r="BN16471" s="192"/>
      <c r="BO16471" s="197"/>
      <c r="BP16471" s="197"/>
      <c r="BQ16471" s="197"/>
    </row>
    <row r="16472" spans="66:69" x14ac:dyDescent="0.2">
      <c r="BN16472" s="192"/>
      <c r="BO16472" s="197"/>
      <c r="BP16472" s="197"/>
      <c r="BQ16472" s="197"/>
    </row>
    <row r="16473" spans="66:69" x14ac:dyDescent="0.2">
      <c r="BN16473" s="192"/>
      <c r="BO16473" s="197"/>
      <c r="BP16473" s="197"/>
      <c r="BQ16473" s="197"/>
    </row>
    <row r="16474" spans="66:69" x14ac:dyDescent="0.2">
      <c r="BN16474" s="192"/>
      <c r="BO16474" s="197"/>
      <c r="BP16474" s="197"/>
      <c r="BQ16474" s="197"/>
    </row>
    <row r="16475" spans="66:69" x14ac:dyDescent="0.2">
      <c r="BN16475" s="192"/>
      <c r="BO16475" s="197"/>
      <c r="BP16475" s="197"/>
      <c r="BQ16475" s="197"/>
    </row>
    <row r="16476" spans="66:69" x14ac:dyDescent="0.2">
      <c r="BN16476" s="192"/>
      <c r="BO16476" s="197"/>
      <c r="BP16476" s="197"/>
      <c r="BQ16476" s="197"/>
    </row>
    <row r="16477" spans="66:69" x14ac:dyDescent="0.2">
      <c r="BN16477" s="192"/>
      <c r="BO16477" s="197"/>
      <c r="BP16477" s="197"/>
      <c r="BQ16477" s="197"/>
    </row>
    <row r="16478" spans="66:69" x14ac:dyDescent="0.2">
      <c r="BN16478" s="192"/>
      <c r="BO16478" s="197"/>
      <c r="BP16478" s="197"/>
      <c r="BQ16478" s="197"/>
    </row>
    <row r="16479" spans="66:69" x14ac:dyDescent="0.2">
      <c r="BN16479" s="192"/>
      <c r="BO16479" s="197"/>
      <c r="BP16479" s="197"/>
      <c r="BQ16479" s="197"/>
    </row>
    <row r="16480" spans="66:69" x14ac:dyDescent="0.2">
      <c r="BN16480" s="192"/>
      <c r="BO16480" s="197"/>
      <c r="BP16480" s="197"/>
      <c r="BQ16480" s="197"/>
    </row>
    <row r="16481" spans="66:69" x14ac:dyDescent="0.2">
      <c r="BN16481" s="192"/>
      <c r="BO16481" s="197"/>
      <c r="BP16481" s="197"/>
      <c r="BQ16481" s="197"/>
    </row>
    <row r="16482" spans="66:69" x14ac:dyDescent="0.2">
      <c r="BN16482" s="192"/>
      <c r="BO16482" s="197"/>
      <c r="BP16482" s="197"/>
      <c r="BQ16482" s="197"/>
    </row>
    <row r="16483" spans="66:69" x14ac:dyDescent="0.2">
      <c r="BN16483" s="192"/>
      <c r="BO16483" s="197"/>
      <c r="BP16483" s="197"/>
      <c r="BQ16483" s="197"/>
    </row>
    <row r="16484" spans="66:69" x14ac:dyDescent="0.2">
      <c r="BN16484" s="192"/>
      <c r="BO16484" s="197"/>
      <c r="BP16484" s="197"/>
      <c r="BQ16484" s="197"/>
    </row>
    <row r="16485" spans="66:69" x14ac:dyDescent="0.2">
      <c r="BN16485" s="192"/>
      <c r="BO16485" s="197"/>
      <c r="BP16485" s="197"/>
      <c r="BQ16485" s="197"/>
    </row>
    <row r="16486" spans="66:69" x14ac:dyDescent="0.2">
      <c r="BN16486" s="192"/>
      <c r="BO16486" s="197"/>
      <c r="BP16486" s="197"/>
      <c r="BQ16486" s="197"/>
    </row>
    <row r="16487" spans="66:69" x14ac:dyDescent="0.2">
      <c r="BN16487" s="192"/>
      <c r="BO16487" s="197"/>
      <c r="BP16487" s="197"/>
      <c r="BQ16487" s="197"/>
    </row>
    <row r="16488" spans="66:69" x14ac:dyDescent="0.2">
      <c r="BN16488" s="192"/>
      <c r="BO16488" s="197"/>
      <c r="BP16488" s="197"/>
      <c r="BQ16488" s="197"/>
    </row>
    <row r="16489" spans="66:69" x14ac:dyDescent="0.2">
      <c r="BN16489" s="192"/>
      <c r="BO16489" s="197"/>
      <c r="BP16489" s="197"/>
      <c r="BQ16489" s="197"/>
    </row>
    <row r="16490" spans="66:69" x14ac:dyDescent="0.2">
      <c r="BN16490" s="192"/>
      <c r="BO16490" s="197"/>
      <c r="BP16490" s="197"/>
      <c r="BQ16490" s="197"/>
    </row>
    <row r="16491" spans="66:69" x14ac:dyDescent="0.2">
      <c r="BN16491" s="192"/>
      <c r="BO16491" s="197"/>
      <c r="BP16491" s="197"/>
      <c r="BQ16491" s="197"/>
    </row>
    <row r="16492" spans="66:69" x14ac:dyDescent="0.2">
      <c r="BN16492" s="192"/>
      <c r="BO16492" s="197"/>
      <c r="BP16492" s="197"/>
      <c r="BQ16492" s="197"/>
    </row>
    <row r="16493" spans="66:69" x14ac:dyDescent="0.2">
      <c r="BN16493" s="192"/>
      <c r="BO16493" s="197"/>
      <c r="BP16493" s="197"/>
      <c r="BQ16493" s="197"/>
    </row>
    <row r="16494" spans="66:69" x14ac:dyDescent="0.2">
      <c r="BN16494" s="192"/>
      <c r="BO16494" s="197"/>
      <c r="BP16494" s="197"/>
      <c r="BQ16494" s="197"/>
    </row>
    <row r="16495" spans="66:69" x14ac:dyDescent="0.2">
      <c r="BN16495" s="192"/>
      <c r="BO16495" s="197"/>
      <c r="BP16495" s="197"/>
      <c r="BQ16495" s="197"/>
    </row>
    <row r="16496" spans="66:69" x14ac:dyDescent="0.2">
      <c r="BN16496" s="192"/>
      <c r="BO16496" s="197"/>
      <c r="BP16496" s="197"/>
      <c r="BQ16496" s="197"/>
    </row>
    <row r="16497" spans="66:69" x14ac:dyDescent="0.2">
      <c r="BN16497" s="192"/>
      <c r="BO16497" s="197"/>
      <c r="BP16497" s="197"/>
      <c r="BQ16497" s="197"/>
    </row>
    <row r="16498" spans="66:69" x14ac:dyDescent="0.2">
      <c r="BN16498" s="192"/>
      <c r="BO16498" s="197"/>
      <c r="BP16498" s="197"/>
      <c r="BQ16498" s="197"/>
    </row>
    <row r="16499" spans="66:69" x14ac:dyDescent="0.2">
      <c r="BN16499" s="192"/>
      <c r="BO16499" s="197"/>
      <c r="BP16499" s="197"/>
      <c r="BQ16499" s="197"/>
    </row>
    <row r="16500" spans="66:69" x14ac:dyDescent="0.2">
      <c r="BN16500" s="192"/>
      <c r="BO16500" s="197"/>
      <c r="BP16500" s="197"/>
      <c r="BQ16500" s="197"/>
    </row>
    <row r="16501" spans="66:69" x14ac:dyDescent="0.2">
      <c r="BN16501" s="192"/>
      <c r="BO16501" s="197"/>
      <c r="BP16501" s="197"/>
      <c r="BQ16501" s="197"/>
    </row>
    <row r="16502" spans="66:69" x14ac:dyDescent="0.2">
      <c r="BN16502" s="192"/>
      <c r="BO16502" s="197"/>
      <c r="BP16502" s="197"/>
      <c r="BQ16502" s="197"/>
    </row>
    <row r="16503" spans="66:69" x14ac:dyDescent="0.2">
      <c r="BN16503" s="192"/>
      <c r="BO16503" s="197"/>
      <c r="BP16503" s="197"/>
      <c r="BQ16503" s="197"/>
    </row>
    <row r="16504" spans="66:69" x14ac:dyDescent="0.2">
      <c r="BN16504" s="192"/>
      <c r="BO16504" s="197"/>
      <c r="BP16504" s="197"/>
      <c r="BQ16504" s="197"/>
    </row>
    <row r="16505" spans="66:69" x14ac:dyDescent="0.2">
      <c r="BN16505" s="192"/>
      <c r="BO16505" s="197"/>
      <c r="BP16505" s="197"/>
      <c r="BQ16505" s="197"/>
    </row>
    <row r="16506" spans="66:69" x14ac:dyDescent="0.2">
      <c r="BN16506" s="192"/>
      <c r="BO16506" s="197"/>
      <c r="BP16506" s="197"/>
      <c r="BQ16506" s="197"/>
    </row>
    <row r="16507" spans="66:69" x14ac:dyDescent="0.2">
      <c r="BN16507" s="192"/>
      <c r="BO16507" s="197"/>
      <c r="BP16507" s="197"/>
      <c r="BQ16507" s="197"/>
    </row>
    <row r="16508" spans="66:69" x14ac:dyDescent="0.2">
      <c r="BN16508" s="192"/>
      <c r="BO16508" s="197"/>
      <c r="BP16508" s="197"/>
      <c r="BQ16508" s="197"/>
    </row>
    <row r="16509" spans="66:69" x14ac:dyDescent="0.2">
      <c r="BN16509" s="192"/>
      <c r="BO16509" s="197"/>
      <c r="BP16509" s="197"/>
      <c r="BQ16509" s="197"/>
    </row>
    <row r="16510" spans="66:69" x14ac:dyDescent="0.2">
      <c r="BN16510" s="192"/>
      <c r="BO16510" s="197"/>
      <c r="BP16510" s="197"/>
      <c r="BQ16510" s="197"/>
    </row>
    <row r="16511" spans="66:69" x14ac:dyDescent="0.2">
      <c r="BN16511" s="192"/>
      <c r="BO16511" s="197"/>
      <c r="BP16511" s="197"/>
      <c r="BQ16511" s="197"/>
    </row>
    <row r="16512" spans="66:69" x14ac:dyDescent="0.2">
      <c r="BN16512" s="192"/>
      <c r="BO16512" s="197"/>
      <c r="BP16512" s="197"/>
      <c r="BQ16512" s="197"/>
    </row>
    <row r="16513" spans="66:69" x14ac:dyDescent="0.2">
      <c r="BN16513" s="192"/>
      <c r="BO16513" s="197"/>
      <c r="BP16513" s="197"/>
      <c r="BQ16513" s="197"/>
    </row>
    <row r="16514" spans="66:69" x14ac:dyDescent="0.2">
      <c r="BN16514" s="192"/>
      <c r="BO16514" s="197"/>
      <c r="BP16514" s="197"/>
      <c r="BQ16514" s="197"/>
    </row>
    <row r="16515" spans="66:69" x14ac:dyDescent="0.2">
      <c r="BN16515" s="192"/>
      <c r="BO16515" s="197"/>
      <c r="BP16515" s="197"/>
      <c r="BQ16515" s="197"/>
    </row>
    <row r="16516" spans="66:69" x14ac:dyDescent="0.2">
      <c r="BN16516" s="192"/>
      <c r="BO16516" s="197"/>
      <c r="BP16516" s="197"/>
      <c r="BQ16516" s="197"/>
    </row>
    <row r="16517" spans="66:69" x14ac:dyDescent="0.2">
      <c r="BN16517" s="192"/>
      <c r="BO16517" s="197"/>
      <c r="BP16517" s="197"/>
      <c r="BQ16517" s="197"/>
    </row>
    <row r="16518" spans="66:69" x14ac:dyDescent="0.2">
      <c r="BN16518" s="192"/>
      <c r="BO16518" s="197"/>
      <c r="BP16518" s="197"/>
      <c r="BQ16518" s="197"/>
    </row>
    <row r="16519" spans="66:69" x14ac:dyDescent="0.2">
      <c r="BN16519" s="192"/>
      <c r="BO16519" s="197"/>
      <c r="BP16519" s="197"/>
      <c r="BQ16519" s="197"/>
    </row>
    <row r="16520" spans="66:69" x14ac:dyDescent="0.2">
      <c r="BN16520" s="192"/>
      <c r="BO16520" s="197"/>
      <c r="BP16520" s="197"/>
      <c r="BQ16520" s="197"/>
    </row>
    <row r="16521" spans="66:69" x14ac:dyDescent="0.2">
      <c r="BN16521" s="192"/>
      <c r="BO16521" s="197"/>
      <c r="BP16521" s="197"/>
      <c r="BQ16521" s="197"/>
    </row>
    <row r="16522" spans="66:69" x14ac:dyDescent="0.2">
      <c r="BN16522" s="192"/>
      <c r="BO16522" s="197"/>
      <c r="BP16522" s="197"/>
      <c r="BQ16522" s="197"/>
    </row>
    <row r="16523" spans="66:69" x14ac:dyDescent="0.2">
      <c r="BN16523" s="192"/>
      <c r="BO16523" s="197"/>
      <c r="BP16523" s="197"/>
      <c r="BQ16523" s="197"/>
    </row>
    <row r="16524" spans="66:69" x14ac:dyDescent="0.2">
      <c r="BN16524" s="192"/>
      <c r="BO16524" s="197"/>
      <c r="BP16524" s="197"/>
      <c r="BQ16524" s="197"/>
    </row>
    <row r="16525" spans="66:69" x14ac:dyDescent="0.2">
      <c r="BN16525" s="192"/>
      <c r="BO16525" s="197"/>
      <c r="BP16525" s="197"/>
      <c r="BQ16525" s="197"/>
    </row>
    <row r="16526" spans="66:69" x14ac:dyDescent="0.2">
      <c r="BN16526" s="192"/>
      <c r="BO16526" s="197"/>
      <c r="BP16526" s="197"/>
      <c r="BQ16526" s="197"/>
    </row>
    <row r="16527" spans="66:69" x14ac:dyDescent="0.2">
      <c r="BN16527" s="192"/>
      <c r="BO16527" s="197"/>
      <c r="BP16527" s="197"/>
      <c r="BQ16527" s="197"/>
    </row>
    <row r="16528" spans="66:69" x14ac:dyDescent="0.2">
      <c r="BN16528" s="192"/>
      <c r="BO16528" s="197"/>
      <c r="BP16528" s="197"/>
      <c r="BQ16528" s="197"/>
    </row>
    <row r="16529" spans="66:69" x14ac:dyDescent="0.2">
      <c r="BN16529" s="192"/>
      <c r="BO16529" s="197"/>
      <c r="BP16529" s="197"/>
      <c r="BQ16529" s="197"/>
    </row>
    <row r="16530" spans="66:69" x14ac:dyDescent="0.2">
      <c r="BN16530" s="192"/>
      <c r="BO16530" s="197"/>
      <c r="BP16530" s="197"/>
      <c r="BQ16530" s="197"/>
    </row>
    <row r="16531" spans="66:69" x14ac:dyDescent="0.2">
      <c r="BN16531" s="192"/>
      <c r="BO16531" s="197"/>
      <c r="BP16531" s="197"/>
      <c r="BQ16531" s="197"/>
    </row>
    <row r="16532" spans="66:69" x14ac:dyDescent="0.2">
      <c r="BN16532" s="192"/>
      <c r="BO16532" s="197"/>
      <c r="BP16532" s="197"/>
      <c r="BQ16532" s="197"/>
    </row>
    <row r="16533" spans="66:69" x14ac:dyDescent="0.2">
      <c r="BN16533" s="192"/>
      <c r="BO16533" s="197"/>
      <c r="BP16533" s="197"/>
      <c r="BQ16533" s="197"/>
    </row>
    <row r="16534" spans="66:69" x14ac:dyDescent="0.2">
      <c r="BN16534" s="192"/>
      <c r="BO16534" s="197"/>
      <c r="BP16534" s="197"/>
      <c r="BQ16534" s="197"/>
    </row>
    <row r="16535" spans="66:69" x14ac:dyDescent="0.2">
      <c r="BN16535" s="192"/>
      <c r="BO16535" s="197"/>
      <c r="BP16535" s="197"/>
      <c r="BQ16535" s="197"/>
    </row>
    <row r="16536" spans="66:69" x14ac:dyDescent="0.2">
      <c r="BN16536" s="192"/>
      <c r="BO16536" s="197"/>
      <c r="BP16536" s="197"/>
      <c r="BQ16536" s="197"/>
    </row>
    <row r="16537" spans="66:69" x14ac:dyDescent="0.2">
      <c r="BN16537" s="192"/>
      <c r="BO16537" s="197"/>
      <c r="BP16537" s="197"/>
      <c r="BQ16537" s="197"/>
    </row>
    <row r="16538" spans="66:69" x14ac:dyDescent="0.2">
      <c r="BN16538" s="192"/>
      <c r="BO16538" s="197"/>
      <c r="BP16538" s="197"/>
      <c r="BQ16538" s="197"/>
    </row>
    <row r="16539" spans="66:69" x14ac:dyDescent="0.2">
      <c r="BN16539" s="192"/>
      <c r="BO16539" s="197"/>
      <c r="BP16539" s="197"/>
      <c r="BQ16539" s="197"/>
    </row>
    <row r="16540" spans="66:69" x14ac:dyDescent="0.2">
      <c r="BN16540" s="192"/>
      <c r="BO16540" s="197"/>
      <c r="BP16540" s="197"/>
      <c r="BQ16540" s="197"/>
    </row>
    <row r="16541" spans="66:69" x14ac:dyDescent="0.2">
      <c r="BN16541" s="192"/>
      <c r="BO16541" s="197"/>
      <c r="BP16541" s="197"/>
      <c r="BQ16541" s="197"/>
    </row>
    <row r="16542" spans="66:69" x14ac:dyDescent="0.2">
      <c r="BN16542" s="192"/>
      <c r="BO16542" s="197"/>
      <c r="BP16542" s="197"/>
      <c r="BQ16542" s="197"/>
    </row>
    <row r="16543" spans="66:69" x14ac:dyDescent="0.2">
      <c r="BN16543" s="192"/>
      <c r="BO16543" s="197"/>
      <c r="BP16543" s="197"/>
      <c r="BQ16543" s="197"/>
    </row>
    <row r="16544" spans="66:69" x14ac:dyDescent="0.2">
      <c r="BN16544" s="192"/>
      <c r="BO16544" s="197"/>
      <c r="BP16544" s="197"/>
      <c r="BQ16544" s="197"/>
    </row>
    <row r="16545" spans="66:69" x14ac:dyDescent="0.2">
      <c r="BN16545" s="192"/>
      <c r="BO16545" s="197"/>
      <c r="BP16545" s="197"/>
      <c r="BQ16545" s="197"/>
    </row>
    <row r="16546" spans="66:69" x14ac:dyDescent="0.2">
      <c r="BN16546" s="192"/>
      <c r="BO16546" s="197"/>
      <c r="BP16546" s="197"/>
      <c r="BQ16546" s="197"/>
    </row>
    <row r="16547" spans="66:69" x14ac:dyDescent="0.2">
      <c r="BN16547" s="192"/>
      <c r="BO16547" s="197"/>
      <c r="BP16547" s="197"/>
      <c r="BQ16547" s="197"/>
    </row>
    <row r="16548" spans="66:69" x14ac:dyDescent="0.2">
      <c r="BN16548" s="192"/>
      <c r="BO16548" s="197"/>
      <c r="BP16548" s="197"/>
      <c r="BQ16548" s="197"/>
    </row>
    <row r="16549" spans="66:69" x14ac:dyDescent="0.2">
      <c r="BN16549" s="192"/>
      <c r="BO16549" s="197"/>
      <c r="BP16549" s="197"/>
      <c r="BQ16549" s="197"/>
    </row>
    <row r="16550" spans="66:69" x14ac:dyDescent="0.2">
      <c r="BN16550" s="192"/>
      <c r="BO16550" s="197"/>
      <c r="BP16550" s="197"/>
      <c r="BQ16550" s="197"/>
    </row>
    <row r="16551" spans="66:69" x14ac:dyDescent="0.2">
      <c r="BN16551" s="192"/>
      <c r="BO16551" s="197"/>
      <c r="BP16551" s="197"/>
      <c r="BQ16551" s="197"/>
    </row>
    <row r="16552" spans="66:69" x14ac:dyDescent="0.2">
      <c r="BN16552" s="192"/>
      <c r="BO16552" s="197"/>
      <c r="BP16552" s="197"/>
      <c r="BQ16552" s="197"/>
    </row>
    <row r="16553" spans="66:69" x14ac:dyDescent="0.2">
      <c r="BN16553" s="192"/>
      <c r="BO16553" s="197"/>
      <c r="BP16553" s="197"/>
      <c r="BQ16553" s="197"/>
    </row>
    <row r="16554" spans="66:69" x14ac:dyDescent="0.2">
      <c r="BN16554" s="192"/>
      <c r="BO16554" s="197"/>
      <c r="BP16554" s="197"/>
      <c r="BQ16554" s="197"/>
    </row>
    <row r="16555" spans="66:69" x14ac:dyDescent="0.2">
      <c r="BN16555" s="192"/>
      <c r="BO16555" s="197"/>
      <c r="BP16555" s="197"/>
      <c r="BQ16555" s="197"/>
    </row>
    <row r="16556" spans="66:69" x14ac:dyDescent="0.2">
      <c r="BN16556" s="192"/>
      <c r="BO16556" s="197"/>
      <c r="BP16556" s="197"/>
      <c r="BQ16556" s="197"/>
    </row>
    <row r="16557" spans="66:69" x14ac:dyDescent="0.2">
      <c r="BN16557" s="192"/>
      <c r="BO16557" s="197"/>
      <c r="BP16557" s="197"/>
      <c r="BQ16557" s="197"/>
    </row>
    <row r="16558" spans="66:69" x14ac:dyDescent="0.2">
      <c r="BN16558" s="192"/>
      <c r="BO16558" s="197"/>
      <c r="BP16558" s="197"/>
      <c r="BQ16558" s="197"/>
    </row>
    <row r="16559" spans="66:69" x14ac:dyDescent="0.2">
      <c r="BN16559" s="192"/>
      <c r="BO16559" s="197"/>
      <c r="BP16559" s="197"/>
      <c r="BQ16559" s="197"/>
    </row>
    <row r="16560" spans="66:69" x14ac:dyDescent="0.2">
      <c r="BN16560" s="192"/>
      <c r="BO16560" s="197"/>
      <c r="BP16560" s="197"/>
      <c r="BQ16560" s="197"/>
    </row>
    <row r="16561" spans="66:69" x14ac:dyDescent="0.2">
      <c r="BN16561" s="192"/>
      <c r="BO16561" s="197"/>
      <c r="BP16561" s="197"/>
      <c r="BQ16561" s="197"/>
    </row>
    <row r="16562" spans="66:69" x14ac:dyDescent="0.2">
      <c r="BN16562" s="192"/>
      <c r="BO16562" s="197"/>
      <c r="BP16562" s="197"/>
      <c r="BQ16562" s="197"/>
    </row>
    <row r="16563" spans="66:69" x14ac:dyDescent="0.2">
      <c r="BN16563" s="192"/>
      <c r="BO16563" s="197"/>
      <c r="BP16563" s="197"/>
      <c r="BQ16563" s="197"/>
    </row>
    <row r="16564" spans="66:69" x14ac:dyDescent="0.2">
      <c r="BN16564" s="192"/>
      <c r="BO16564" s="197"/>
      <c r="BP16564" s="197"/>
      <c r="BQ16564" s="197"/>
    </row>
    <row r="16565" spans="66:69" x14ac:dyDescent="0.2">
      <c r="BN16565" s="192"/>
      <c r="BO16565" s="197"/>
      <c r="BP16565" s="197"/>
      <c r="BQ16565" s="197"/>
    </row>
    <row r="16566" spans="66:69" x14ac:dyDescent="0.2">
      <c r="BN16566" s="192"/>
      <c r="BO16566" s="197"/>
      <c r="BP16566" s="197"/>
      <c r="BQ16566" s="197"/>
    </row>
    <row r="16567" spans="66:69" x14ac:dyDescent="0.2">
      <c r="BN16567" s="192"/>
      <c r="BO16567" s="197"/>
      <c r="BP16567" s="197"/>
      <c r="BQ16567" s="197"/>
    </row>
    <row r="16568" spans="66:69" x14ac:dyDescent="0.2">
      <c r="BN16568" s="192"/>
      <c r="BO16568" s="197"/>
      <c r="BP16568" s="197"/>
      <c r="BQ16568" s="197"/>
    </row>
    <row r="16569" spans="66:69" x14ac:dyDescent="0.2">
      <c r="BN16569" s="192"/>
      <c r="BO16569" s="197"/>
      <c r="BP16569" s="197"/>
      <c r="BQ16569" s="197"/>
    </row>
    <row r="16570" spans="66:69" x14ac:dyDescent="0.2">
      <c r="BN16570" s="192"/>
      <c r="BO16570" s="197"/>
      <c r="BP16570" s="197"/>
      <c r="BQ16570" s="197"/>
    </row>
    <row r="16571" spans="66:69" x14ac:dyDescent="0.2">
      <c r="BN16571" s="192"/>
      <c r="BO16571" s="197"/>
      <c r="BP16571" s="197"/>
      <c r="BQ16571" s="197"/>
    </row>
    <row r="16572" spans="66:69" x14ac:dyDescent="0.2">
      <c r="BN16572" s="192"/>
      <c r="BO16572" s="197"/>
      <c r="BP16572" s="197"/>
      <c r="BQ16572" s="197"/>
    </row>
    <row r="16573" spans="66:69" x14ac:dyDescent="0.2">
      <c r="BN16573" s="192"/>
      <c r="BO16573" s="197"/>
      <c r="BP16573" s="197"/>
      <c r="BQ16573" s="197"/>
    </row>
    <row r="16574" spans="66:69" x14ac:dyDescent="0.2">
      <c r="BN16574" s="192"/>
      <c r="BO16574" s="197"/>
      <c r="BP16574" s="197"/>
      <c r="BQ16574" s="197"/>
    </row>
    <row r="16575" spans="66:69" x14ac:dyDescent="0.2">
      <c r="BN16575" s="192"/>
      <c r="BO16575" s="197"/>
      <c r="BP16575" s="197"/>
      <c r="BQ16575" s="197"/>
    </row>
    <row r="16576" spans="66:69" x14ac:dyDescent="0.2">
      <c r="BN16576" s="192"/>
      <c r="BO16576" s="197"/>
      <c r="BP16576" s="197"/>
      <c r="BQ16576" s="197"/>
    </row>
    <row r="16577" spans="66:69" x14ac:dyDescent="0.2">
      <c r="BN16577" s="192"/>
      <c r="BO16577" s="197"/>
      <c r="BP16577" s="197"/>
      <c r="BQ16577" s="197"/>
    </row>
    <row r="16578" spans="66:69" x14ac:dyDescent="0.2">
      <c r="BN16578" s="192"/>
      <c r="BO16578" s="197"/>
      <c r="BP16578" s="197"/>
      <c r="BQ16578" s="197"/>
    </row>
    <row r="16579" spans="66:69" x14ac:dyDescent="0.2">
      <c r="BN16579" s="192"/>
      <c r="BO16579" s="197"/>
      <c r="BP16579" s="197"/>
      <c r="BQ16579" s="197"/>
    </row>
    <row r="16580" spans="66:69" x14ac:dyDescent="0.2">
      <c r="BN16580" s="192"/>
      <c r="BO16580" s="197"/>
      <c r="BP16580" s="197"/>
      <c r="BQ16580" s="197"/>
    </row>
    <row r="16581" spans="66:69" x14ac:dyDescent="0.2">
      <c r="BN16581" s="192"/>
      <c r="BO16581" s="197"/>
      <c r="BP16581" s="197"/>
      <c r="BQ16581" s="197"/>
    </row>
    <row r="16582" spans="66:69" x14ac:dyDescent="0.2">
      <c r="BN16582" s="192"/>
      <c r="BO16582" s="197"/>
      <c r="BP16582" s="197"/>
      <c r="BQ16582" s="197"/>
    </row>
    <row r="16583" spans="66:69" x14ac:dyDescent="0.2">
      <c r="BN16583" s="192"/>
      <c r="BO16583" s="197"/>
      <c r="BP16583" s="197"/>
      <c r="BQ16583" s="197"/>
    </row>
    <row r="16584" spans="66:69" x14ac:dyDescent="0.2">
      <c r="BN16584" s="192"/>
      <c r="BO16584" s="197"/>
      <c r="BP16584" s="197"/>
      <c r="BQ16584" s="197"/>
    </row>
    <row r="16585" spans="66:69" x14ac:dyDescent="0.2">
      <c r="BN16585" s="192"/>
      <c r="BO16585" s="197"/>
      <c r="BP16585" s="197"/>
      <c r="BQ16585" s="197"/>
    </row>
    <row r="16586" spans="66:69" x14ac:dyDescent="0.2">
      <c r="BN16586" s="192"/>
      <c r="BO16586" s="197"/>
      <c r="BP16586" s="197"/>
      <c r="BQ16586" s="197"/>
    </row>
    <row r="16587" spans="66:69" x14ac:dyDescent="0.2">
      <c r="BN16587" s="192"/>
      <c r="BO16587" s="197"/>
      <c r="BP16587" s="197"/>
      <c r="BQ16587" s="197"/>
    </row>
    <row r="16588" spans="66:69" x14ac:dyDescent="0.2">
      <c r="BN16588" s="192"/>
      <c r="BO16588" s="197"/>
      <c r="BP16588" s="197"/>
      <c r="BQ16588" s="197"/>
    </row>
    <row r="16589" spans="66:69" x14ac:dyDescent="0.2">
      <c r="BN16589" s="192"/>
      <c r="BO16589" s="197"/>
      <c r="BP16589" s="197"/>
      <c r="BQ16589" s="197"/>
    </row>
    <row r="16590" spans="66:69" x14ac:dyDescent="0.2">
      <c r="BN16590" s="192"/>
      <c r="BO16590" s="197"/>
      <c r="BP16590" s="197"/>
      <c r="BQ16590" s="197"/>
    </row>
    <row r="16591" spans="66:69" x14ac:dyDescent="0.2">
      <c r="BN16591" s="192"/>
      <c r="BO16591" s="197"/>
      <c r="BP16591" s="197"/>
      <c r="BQ16591" s="197"/>
    </row>
    <row r="16592" spans="66:69" x14ac:dyDescent="0.2">
      <c r="BN16592" s="192"/>
      <c r="BO16592" s="197"/>
      <c r="BP16592" s="197"/>
      <c r="BQ16592" s="197"/>
    </row>
    <row r="16593" spans="66:69" x14ac:dyDescent="0.2">
      <c r="BN16593" s="192"/>
      <c r="BO16593" s="197"/>
      <c r="BP16593" s="197"/>
      <c r="BQ16593" s="197"/>
    </row>
    <row r="16594" spans="66:69" x14ac:dyDescent="0.2">
      <c r="BN16594" s="192"/>
      <c r="BO16594" s="197"/>
      <c r="BP16594" s="197"/>
      <c r="BQ16594" s="197"/>
    </row>
    <row r="16595" spans="66:69" x14ac:dyDescent="0.2">
      <c r="BN16595" s="192"/>
      <c r="BO16595" s="197"/>
      <c r="BP16595" s="197"/>
      <c r="BQ16595" s="197"/>
    </row>
    <row r="16596" spans="66:69" x14ac:dyDescent="0.2">
      <c r="BN16596" s="192"/>
      <c r="BO16596" s="197"/>
      <c r="BP16596" s="197"/>
      <c r="BQ16596" s="197"/>
    </row>
    <row r="16597" spans="66:69" x14ac:dyDescent="0.2">
      <c r="BN16597" s="192"/>
      <c r="BO16597" s="197"/>
      <c r="BP16597" s="197"/>
      <c r="BQ16597" s="197"/>
    </row>
    <row r="16598" spans="66:69" x14ac:dyDescent="0.2">
      <c r="BN16598" s="192"/>
      <c r="BO16598" s="197"/>
      <c r="BP16598" s="197"/>
      <c r="BQ16598" s="197"/>
    </row>
    <row r="16599" spans="66:69" x14ac:dyDescent="0.2">
      <c r="BN16599" s="192"/>
      <c r="BO16599" s="197"/>
      <c r="BP16599" s="197"/>
      <c r="BQ16599" s="197"/>
    </row>
    <row r="16600" spans="66:69" x14ac:dyDescent="0.2">
      <c r="BN16600" s="192"/>
      <c r="BO16600" s="197"/>
      <c r="BP16600" s="197"/>
      <c r="BQ16600" s="197"/>
    </row>
    <row r="16601" spans="66:69" x14ac:dyDescent="0.2">
      <c r="BN16601" s="192"/>
      <c r="BO16601" s="197"/>
      <c r="BP16601" s="197"/>
      <c r="BQ16601" s="197"/>
    </row>
    <row r="16602" spans="66:69" x14ac:dyDescent="0.2">
      <c r="BN16602" s="192"/>
      <c r="BO16602" s="197"/>
      <c r="BP16602" s="197"/>
      <c r="BQ16602" s="197"/>
    </row>
    <row r="16603" spans="66:69" x14ac:dyDescent="0.2">
      <c r="BN16603" s="192"/>
      <c r="BO16603" s="197"/>
      <c r="BP16603" s="197"/>
      <c r="BQ16603" s="197"/>
    </row>
    <row r="16604" spans="66:69" x14ac:dyDescent="0.2">
      <c r="BN16604" s="192"/>
      <c r="BO16604" s="197"/>
      <c r="BP16604" s="197"/>
      <c r="BQ16604" s="197"/>
    </row>
    <row r="16605" spans="66:69" x14ac:dyDescent="0.2">
      <c r="BN16605" s="192"/>
      <c r="BO16605" s="197"/>
      <c r="BP16605" s="197"/>
      <c r="BQ16605" s="197"/>
    </row>
    <row r="16606" spans="66:69" x14ac:dyDescent="0.2">
      <c r="BN16606" s="192"/>
      <c r="BO16606" s="197"/>
      <c r="BP16606" s="197"/>
      <c r="BQ16606" s="197"/>
    </row>
    <row r="16607" spans="66:69" x14ac:dyDescent="0.2">
      <c r="BN16607" s="192"/>
      <c r="BO16607" s="197"/>
      <c r="BP16607" s="197"/>
      <c r="BQ16607" s="197"/>
    </row>
    <row r="16608" spans="66:69" x14ac:dyDescent="0.2">
      <c r="BN16608" s="192"/>
      <c r="BO16608" s="197"/>
      <c r="BP16608" s="197"/>
      <c r="BQ16608" s="197"/>
    </row>
    <row r="16609" spans="66:69" x14ac:dyDescent="0.2">
      <c r="BN16609" s="192"/>
      <c r="BO16609" s="197"/>
      <c r="BP16609" s="197"/>
      <c r="BQ16609" s="197"/>
    </row>
    <row r="16610" spans="66:69" x14ac:dyDescent="0.2">
      <c r="BN16610" s="192"/>
      <c r="BO16610" s="197"/>
      <c r="BP16610" s="197"/>
      <c r="BQ16610" s="197"/>
    </row>
    <row r="16611" spans="66:69" x14ac:dyDescent="0.2">
      <c r="BN16611" s="192"/>
      <c r="BO16611" s="197"/>
      <c r="BP16611" s="197"/>
      <c r="BQ16611" s="197"/>
    </row>
    <row r="16612" spans="66:69" x14ac:dyDescent="0.2">
      <c r="BN16612" s="192"/>
      <c r="BO16612" s="197"/>
      <c r="BP16612" s="197"/>
      <c r="BQ16612" s="197"/>
    </row>
    <row r="16613" spans="66:69" x14ac:dyDescent="0.2">
      <c r="BN16613" s="192"/>
      <c r="BO16613" s="197"/>
      <c r="BP16613" s="197"/>
      <c r="BQ16613" s="197"/>
    </row>
    <row r="16614" spans="66:69" x14ac:dyDescent="0.2">
      <c r="BN16614" s="192"/>
      <c r="BO16614" s="197"/>
      <c r="BP16614" s="197"/>
      <c r="BQ16614" s="197"/>
    </row>
    <row r="16615" spans="66:69" x14ac:dyDescent="0.2">
      <c r="BN16615" s="192"/>
      <c r="BO16615" s="197"/>
      <c r="BP16615" s="197"/>
      <c r="BQ16615" s="197"/>
    </row>
    <row r="16616" spans="66:69" x14ac:dyDescent="0.2">
      <c r="BN16616" s="192"/>
      <c r="BO16616" s="197"/>
      <c r="BP16616" s="197"/>
      <c r="BQ16616" s="197"/>
    </row>
    <row r="16617" spans="66:69" x14ac:dyDescent="0.2">
      <c r="BN16617" s="192"/>
      <c r="BO16617" s="197"/>
      <c r="BP16617" s="197"/>
      <c r="BQ16617" s="197"/>
    </row>
    <row r="16618" spans="66:69" x14ac:dyDescent="0.2">
      <c r="BN16618" s="192"/>
      <c r="BO16618" s="197"/>
      <c r="BP16618" s="197"/>
      <c r="BQ16618" s="197"/>
    </row>
    <row r="16619" spans="66:69" x14ac:dyDescent="0.2">
      <c r="BN16619" s="192"/>
      <c r="BO16619" s="197"/>
      <c r="BP16619" s="197"/>
      <c r="BQ16619" s="197"/>
    </row>
    <row r="16620" spans="66:69" x14ac:dyDescent="0.2">
      <c r="BN16620" s="192"/>
      <c r="BO16620" s="197"/>
      <c r="BP16620" s="197"/>
      <c r="BQ16620" s="197"/>
    </row>
    <row r="16621" spans="66:69" x14ac:dyDescent="0.2">
      <c r="BN16621" s="192"/>
      <c r="BO16621" s="197"/>
      <c r="BP16621" s="197"/>
      <c r="BQ16621" s="197"/>
    </row>
    <row r="16622" spans="66:69" x14ac:dyDescent="0.2">
      <c r="BN16622" s="192"/>
      <c r="BO16622" s="197"/>
      <c r="BP16622" s="197"/>
      <c r="BQ16622" s="197"/>
    </row>
    <row r="16623" spans="66:69" x14ac:dyDescent="0.2">
      <c r="BN16623" s="192"/>
      <c r="BO16623" s="197"/>
      <c r="BP16623" s="197"/>
      <c r="BQ16623" s="197"/>
    </row>
    <row r="16624" spans="66:69" x14ac:dyDescent="0.2">
      <c r="BN16624" s="192"/>
      <c r="BO16624" s="197"/>
      <c r="BP16624" s="197"/>
      <c r="BQ16624" s="197"/>
    </row>
    <row r="16625" spans="66:69" x14ac:dyDescent="0.2">
      <c r="BN16625" s="192"/>
      <c r="BO16625" s="197"/>
      <c r="BP16625" s="197"/>
      <c r="BQ16625" s="197"/>
    </row>
    <row r="16626" spans="66:69" x14ac:dyDescent="0.2">
      <c r="BN16626" s="192"/>
      <c r="BO16626" s="197"/>
      <c r="BP16626" s="197"/>
      <c r="BQ16626" s="197"/>
    </row>
    <row r="16627" spans="66:69" x14ac:dyDescent="0.2">
      <c r="BN16627" s="192"/>
      <c r="BO16627" s="197"/>
      <c r="BP16627" s="197"/>
      <c r="BQ16627" s="197"/>
    </row>
    <row r="16628" spans="66:69" x14ac:dyDescent="0.2">
      <c r="BN16628" s="192"/>
      <c r="BO16628" s="197"/>
      <c r="BP16628" s="197"/>
      <c r="BQ16628" s="197"/>
    </row>
    <row r="16629" spans="66:69" x14ac:dyDescent="0.2">
      <c r="BN16629" s="192"/>
      <c r="BO16629" s="197"/>
      <c r="BP16629" s="197"/>
      <c r="BQ16629" s="197"/>
    </row>
    <row r="16630" spans="66:69" x14ac:dyDescent="0.2">
      <c r="BN16630" s="192"/>
      <c r="BO16630" s="197"/>
      <c r="BP16630" s="197"/>
      <c r="BQ16630" s="197"/>
    </row>
    <row r="16631" spans="66:69" x14ac:dyDescent="0.2">
      <c r="BN16631" s="192"/>
      <c r="BO16631" s="197"/>
      <c r="BP16631" s="197"/>
      <c r="BQ16631" s="197"/>
    </row>
    <row r="16632" spans="66:69" x14ac:dyDescent="0.2">
      <c r="BN16632" s="192"/>
      <c r="BO16632" s="197"/>
      <c r="BP16632" s="197"/>
      <c r="BQ16632" s="197"/>
    </row>
    <row r="16633" spans="66:69" x14ac:dyDescent="0.2">
      <c r="BN16633" s="192"/>
      <c r="BO16633" s="197"/>
      <c r="BP16633" s="197"/>
      <c r="BQ16633" s="197"/>
    </row>
    <row r="16634" spans="66:69" x14ac:dyDescent="0.2">
      <c r="BN16634" s="192"/>
      <c r="BO16634" s="197"/>
      <c r="BP16634" s="197"/>
      <c r="BQ16634" s="197"/>
    </row>
    <row r="16635" spans="66:69" x14ac:dyDescent="0.2">
      <c r="BN16635" s="192"/>
      <c r="BO16635" s="197"/>
      <c r="BP16635" s="197"/>
      <c r="BQ16635" s="197"/>
    </row>
    <row r="16636" spans="66:69" x14ac:dyDescent="0.2">
      <c r="BN16636" s="192"/>
      <c r="BO16636" s="197"/>
      <c r="BP16636" s="197"/>
      <c r="BQ16636" s="197"/>
    </row>
    <row r="16637" spans="66:69" x14ac:dyDescent="0.2">
      <c r="BN16637" s="192"/>
      <c r="BO16637" s="197"/>
      <c r="BP16637" s="197"/>
      <c r="BQ16637" s="197"/>
    </row>
    <row r="16638" spans="66:69" x14ac:dyDescent="0.2">
      <c r="BN16638" s="192"/>
      <c r="BO16638" s="197"/>
      <c r="BP16638" s="197"/>
      <c r="BQ16638" s="197"/>
    </row>
    <row r="16639" spans="66:69" x14ac:dyDescent="0.2">
      <c r="BN16639" s="192"/>
      <c r="BO16639" s="197"/>
      <c r="BP16639" s="197"/>
      <c r="BQ16639" s="197"/>
    </row>
    <row r="16640" spans="66:69" x14ac:dyDescent="0.2">
      <c r="BN16640" s="192"/>
      <c r="BO16640" s="197"/>
      <c r="BP16640" s="197"/>
      <c r="BQ16640" s="197"/>
    </row>
    <row r="16641" spans="66:69" x14ac:dyDescent="0.2">
      <c r="BN16641" s="192"/>
      <c r="BO16641" s="197"/>
      <c r="BP16641" s="197"/>
      <c r="BQ16641" s="197"/>
    </row>
    <row r="16642" spans="66:69" x14ac:dyDescent="0.2">
      <c r="BN16642" s="192"/>
      <c r="BO16642" s="197"/>
      <c r="BP16642" s="197"/>
      <c r="BQ16642" s="197"/>
    </row>
    <row r="16643" spans="66:69" x14ac:dyDescent="0.2">
      <c r="BN16643" s="192"/>
      <c r="BO16643" s="197"/>
      <c r="BP16643" s="197"/>
      <c r="BQ16643" s="197"/>
    </row>
    <row r="16644" spans="66:69" x14ac:dyDescent="0.2">
      <c r="BN16644" s="192"/>
      <c r="BO16644" s="197"/>
      <c r="BP16644" s="197"/>
      <c r="BQ16644" s="197"/>
    </row>
    <row r="16645" spans="66:69" x14ac:dyDescent="0.2">
      <c r="BN16645" s="192"/>
      <c r="BO16645" s="197"/>
      <c r="BP16645" s="197"/>
      <c r="BQ16645" s="197"/>
    </row>
    <row r="16646" spans="66:69" x14ac:dyDescent="0.2">
      <c r="BN16646" s="192"/>
      <c r="BO16646" s="197"/>
      <c r="BP16646" s="197"/>
      <c r="BQ16646" s="197"/>
    </row>
    <row r="16647" spans="66:69" x14ac:dyDescent="0.2">
      <c r="BN16647" s="192"/>
      <c r="BO16647" s="197"/>
      <c r="BP16647" s="197"/>
      <c r="BQ16647" s="197"/>
    </row>
    <row r="16648" spans="66:69" x14ac:dyDescent="0.2">
      <c r="BN16648" s="192"/>
      <c r="BO16648" s="197"/>
      <c r="BP16648" s="197"/>
      <c r="BQ16648" s="197"/>
    </row>
    <row r="16649" spans="66:69" x14ac:dyDescent="0.2">
      <c r="BN16649" s="192"/>
      <c r="BO16649" s="197"/>
      <c r="BP16649" s="197"/>
      <c r="BQ16649" s="197"/>
    </row>
    <row r="16650" spans="66:69" x14ac:dyDescent="0.2">
      <c r="BN16650" s="192"/>
      <c r="BO16650" s="197"/>
      <c r="BP16650" s="197"/>
      <c r="BQ16650" s="197"/>
    </row>
    <row r="16651" spans="66:69" x14ac:dyDescent="0.2">
      <c r="BN16651" s="192"/>
      <c r="BO16651" s="197"/>
      <c r="BP16651" s="197"/>
      <c r="BQ16651" s="197"/>
    </row>
    <row r="16652" spans="66:69" x14ac:dyDescent="0.2">
      <c r="BN16652" s="192"/>
      <c r="BO16652" s="197"/>
      <c r="BP16652" s="197"/>
      <c r="BQ16652" s="197"/>
    </row>
    <row r="16653" spans="66:69" x14ac:dyDescent="0.2">
      <c r="BN16653" s="192"/>
      <c r="BO16653" s="197"/>
      <c r="BP16653" s="197"/>
      <c r="BQ16653" s="197"/>
    </row>
    <row r="16654" spans="66:69" x14ac:dyDescent="0.2">
      <c r="BN16654" s="192"/>
      <c r="BO16654" s="197"/>
      <c r="BP16654" s="197"/>
      <c r="BQ16654" s="197"/>
    </row>
    <row r="16655" spans="66:69" x14ac:dyDescent="0.2">
      <c r="BN16655" s="192"/>
      <c r="BO16655" s="197"/>
      <c r="BP16655" s="197"/>
      <c r="BQ16655" s="197"/>
    </row>
    <row r="16656" spans="66:69" x14ac:dyDescent="0.2">
      <c r="BN16656" s="192"/>
      <c r="BO16656" s="197"/>
      <c r="BP16656" s="197"/>
      <c r="BQ16656" s="197"/>
    </row>
    <row r="16657" spans="66:69" x14ac:dyDescent="0.2">
      <c r="BN16657" s="192"/>
      <c r="BO16657" s="197"/>
      <c r="BP16657" s="197"/>
      <c r="BQ16657" s="197"/>
    </row>
    <row r="16658" spans="66:69" x14ac:dyDescent="0.2">
      <c r="BN16658" s="192"/>
      <c r="BO16658" s="197"/>
      <c r="BP16658" s="197"/>
      <c r="BQ16658" s="197"/>
    </row>
    <row r="16659" spans="66:69" x14ac:dyDescent="0.2">
      <c r="BN16659" s="192"/>
      <c r="BO16659" s="197"/>
      <c r="BP16659" s="197"/>
      <c r="BQ16659" s="197"/>
    </row>
    <row r="16660" spans="66:69" x14ac:dyDescent="0.2">
      <c r="BN16660" s="192"/>
      <c r="BO16660" s="197"/>
      <c r="BP16660" s="197"/>
      <c r="BQ16660" s="197"/>
    </row>
    <row r="16661" spans="66:69" x14ac:dyDescent="0.2">
      <c r="BN16661" s="192"/>
      <c r="BO16661" s="197"/>
      <c r="BP16661" s="197"/>
      <c r="BQ16661" s="197"/>
    </row>
    <row r="16662" spans="66:69" x14ac:dyDescent="0.2">
      <c r="BN16662" s="192"/>
      <c r="BO16662" s="197"/>
      <c r="BP16662" s="197"/>
      <c r="BQ16662" s="197"/>
    </row>
    <row r="16663" spans="66:69" x14ac:dyDescent="0.2">
      <c r="BN16663" s="192"/>
      <c r="BO16663" s="197"/>
      <c r="BP16663" s="197"/>
      <c r="BQ16663" s="197"/>
    </row>
    <row r="16664" spans="66:69" x14ac:dyDescent="0.2">
      <c r="BN16664" s="192"/>
      <c r="BO16664" s="197"/>
      <c r="BP16664" s="197"/>
      <c r="BQ16664" s="197"/>
    </row>
    <row r="16665" spans="66:69" x14ac:dyDescent="0.2">
      <c r="BN16665" s="192"/>
      <c r="BO16665" s="197"/>
      <c r="BP16665" s="197"/>
      <c r="BQ16665" s="197"/>
    </row>
    <row r="16666" spans="66:69" x14ac:dyDescent="0.2">
      <c r="BN16666" s="192"/>
      <c r="BO16666" s="197"/>
      <c r="BP16666" s="197"/>
      <c r="BQ16666" s="197"/>
    </row>
    <row r="16667" spans="66:69" x14ac:dyDescent="0.2">
      <c r="BN16667" s="192"/>
      <c r="BO16667" s="197"/>
      <c r="BP16667" s="197"/>
      <c r="BQ16667" s="197"/>
    </row>
    <row r="16668" spans="66:69" x14ac:dyDescent="0.2">
      <c r="BN16668" s="192"/>
      <c r="BO16668" s="197"/>
      <c r="BP16668" s="197"/>
      <c r="BQ16668" s="197"/>
    </row>
    <row r="16669" spans="66:69" x14ac:dyDescent="0.2">
      <c r="BN16669" s="192"/>
      <c r="BO16669" s="197"/>
      <c r="BP16669" s="197"/>
      <c r="BQ16669" s="197"/>
    </row>
    <row r="16670" spans="66:69" x14ac:dyDescent="0.2">
      <c r="BN16670" s="192"/>
      <c r="BO16670" s="197"/>
      <c r="BP16670" s="197"/>
      <c r="BQ16670" s="197"/>
    </row>
    <row r="16671" spans="66:69" x14ac:dyDescent="0.2">
      <c r="BN16671" s="192"/>
      <c r="BO16671" s="197"/>
      <c r="BP16671" s="197"/>
      <c r="BQ16671" s="197"/>
    </row>
    <row r="16672" spans="66:69" x14ac:dyDescent="0.2">
      <c r="BN16672" s="192"/>
      <c r="BO16672" s="197"/>
      <c r="BP16672" s="197"/>
      <c r="BQ16672" s="197"/>
    </row>
    <row r="16673" spans="66:69" x14ac:dyDescent="0.2">
      <c r="BN16673" s="192"/>
      <c r="BO16673" s="197"/>
      <c r="BP16673" s="197"/>
      <c r="BQ16673" s="197"/>
    </row>
    <row r="16674" spans="66:69" x14ac:dyDescent="0.2">
      <c r="BN16674" s="192"/>
      <c r="BO16674" s="197"/>
      <c r="BP16674" s="197"/>
      <c r="BQ16674" s="197"/>
    </row>
    <row r="16675" spans="66:69" x14ac:dyDescent="0.2">
      <c r="BN16675" s="192"/>
      <c r="BO16675" s="197"/>
      <c r="BP16675" s="197"/>
      <c r="BQ16675" s="197"/>
    </row>
    <row r="16676" spans="66:69" x14ac:dyDescent="0.2">
      <c r="BN16676" s="192"/>
      <c r="BO16676" s="197"/>
      <c r="BP16676" s="197"/>
      <c r="BQ16676" s="197"/>
    </row>
    <row r="16677" spans="66:69" x14ac:dyDescent="0.2">
      <c r="BN16677" s="192"/>
      <c r="BO16677" s="197"/>
      <c r="BP16677" s="197"/>
      <c r="BQ16677" s="197"/>
    </row>
    <row r="16678" spans="66:69" x14ac:dyDescent="0.2">
      <c r="BN16678" s="192"/>
      <c r="BO16678" s="197"/>
      <c r="BP16678" s="197"/>
      <c r="BQ16678" s="197"/>
    </row>
    <row r="16679" spans="66:69" x14ac:dyDescent="0.2">
      <c r="BN16679" s="192"/>
      <c r="BO16679" s="197"/>
      <c r="BP16679" s="197"/>
      <c r="BQ16679" s="197"/>
    </row>
    <row r="16680" spans="66:69" x14ac:dyDescent="0.2">
      <c r="BN16680" s="192"/>
      <c r="BO16680" s="197"/>
      <c r="BP16680" s="197"/>
      <c r="BQ16680" s="197"/>
    </row>
    <row r="16681" spans="66:69" x14ac:dyDescent="0.2">
      <c r="BN16681" s="192"/>
      <c r="BO16681" s="197"/>
      <c r="BP16681" s="197"/>
      <c r="BQ16681" s="197"/>
    </row>
    <row r="16682" spans="66:69" x14ac:dyDescent="0.2">
      <c r="BN16682" s="192"/>
      <c r="BO16682" s="197"/>
      <c r="BP16682" s="197"/>
      <c r="BQ16682" s="197"/>
    </row>
    <row r="16683" spans="66:69" x14ac:dyDescent="0.2">
      <c r="BN16683" s="192"/>
      <c r="BO16683" s="197"/>
      <c r="BP16683" s="197"/>
      <c r="BQ16683" s="197"/>
    </row>
    <row r="16684" spans="66:69" x14ac:dyDescent="0.2">
      <c r="BN16684" s="192"/>
      <c r="BO16684" s="197"/>
      <c r="BP16684" s="197"/>
      <c r="BQ16684" s="197"/>
    </row>
    <row r="16685" spans="66:69" x14ac:dyDescent="0.2">
      <c r="BN16685" s="192"/>
      <c r="BO16685" s="197"/>
      <c r="BP16685" s="197"/>
      <c r="BQ16685" s="197"/>
    </row>
    <row r="16686" spans="66:69" x14ac:dyDescent="0.2">
      <c r="BN16686" s="192"/>
      <c r="BO16686" s="197"/>
      <c r="BP16686" s="197"/>
      <c r="BQ16686" s="197"/>
    </row>
    <row r="16687" spans="66:69" x14ac:dyDescent="0.2">
      <c r="BN16687" s="192"/>
      <c r="BO16687" s="197"/>
      <c r="BP16687" s="197"/>
      <c r="BQ16687" s="197"/>
    </row>
    <row r="16688" spans="66:69" x14ac:dyDescent="0.2">
      <c r="BN16688" s="192"/>
      <c r="BO16688" s="197"/>
      <c r="BP16688" s="197"/>
      <c r="BQ16688" s="197"/>
    </row>
    <row r="16689" spans="66:69" x14ac:dyDescent="0.2">
      <c r="BN16689" s="192"/>
      <c r="BO16689" s="197"/>
      <c r="BP16689" s="197"/>
      <c r="BQ16689" s="197"/>
    </row>
    <row r="16690" spans="66:69" x14ac:dyDescent="0.2">
      <c r="BN16690" s="192"/>
      <c r="BO16690" s="197"/>
      <c r="BP16690" s="197"/>
      <c r="BQ16690" s="197"/>
    </row>
    <row r="16691" spans="66:69" x14ac:dyDescent="0.2">
      <c r="BN16691" s="192"/>
      <c r="BO16691" s="197"/>
      <c r="BP16691" s="197"/>
      <c r="BQ16691" s="197"/>
    </row>
    <row r="16692" spans="66:69" x14ac:dyDescent="0.2">
      <c r="BN16692" s="192"/>
      <c r="BO16692" s="197"/>
      <c r="BP16692" s="197"/>
      <c r="BQ16692" s="197"/>
    </row>
    <row r="16693" spans="66:69" x14ac:dyDescent="0.2">
      <c r="BN16693" s="192"/>
      <c r="BO16693" s="197"/>
      <c r="BP16693" s="197"/>
      <c r="BQ16693" s="197"/>
    </row>
    <row r="16694" spans="66:69" x14ac:dyDescent="0.2">
      <c r="BN16694" s="192"/>
      <c r="BO16694" s="197"/>
      <c r="BP16694" s="197"/>
      <c r="BQ16694" s="197"/>
    </row>
    <row r="16695" spans="66:69" x14ac:dyDescent="0.2">
      <c r="BN16695" s="192"/>
      <c r="BO16695" s="197"/>
      <c r="BP16695" s="197"/>
      <c r="BQ16695" s="197"/>
    </row>
    <row r="16696" spans="66:69" x14ac:dyDescent="0.2">
      <c r="BN16696" s="192"/>
      <c r="BO16696" s="197"/>
      <c r="BP16696" s="197"/>
      <c r="BQ16696" s="197"/>
    </row>
    <row r="16697" spans="66:69" x14ac:dyDescent="0.2">
      <c r="BN16697" s="192"/>
      <c r="BO16697" s="197"/>
      <c r="BP16697" s="197"/>
      <c r="BQ16697" s="197"/>
    </row>
    <row r="16698" spans="66:69" x14ac:dyDescent="0.2">
      <c r="BN16698" s="192"/>
      <c r="BO16698" s="197"/>
      <c r="BP16698" s="197"/>
      <c r="BQ16698" s="197"/>
    </row>
    <row r="16699" spans="66:69" x14ac:dyDescent="0.2">
      <c r="BN16699" s="192"/>
      <c r="BO16699" s="197"/>
      <c r="BP16699" s="197"/>
      <c r="BQ16699" s="197"/>
    </row>
    <row r="16700" spans="66:69" x14ac:dyDescent="0.2">
      <c r="BN16700" s="192"/>
      <c r="BO16700" s="197"/>
      <c r="BP16700" s="197"/>
      <c r="BQ16700" s="197"/>
    </row>
    <row r="16701" spans="66:69" x14ac:dyDescent="0.2">
      <c r="BN16701" s="192"/>
      <c r="BO16701" s="197"/>
      <c r="BP16701" s="197"/>
      <c r="BQ16701" s="197"/>
    </row>
    <row r="16702" spans="66:69" x14ac:dyDescent="0.2">
      <c r="BN16702" s="192"/>
      <c r="BO16702" s="197"/>
      <c r="BP16702" s="197"/>
      <c r="BQ16702" s="197"/>
    </row>
    <row r="16703" spans="66:69" x14ac:dyDescent="0.2">
      <c r="BN16703" s="192"/>
      <c r="BO16703" s="197"/>
      <c r="BP16703" s="197"/>
      <c r="BQ16703" s="197"/>
    </row>
    <row r="16704" spans="66:69" x14ac:dyDescent="0.2">
      <c r="BN16704" s="192"/>
      <c r="BO16704" s="197"/>
      <c r="BP16704" s="197"/>
      <c r="BQ16704" s="197"/>
    </row>
    <row r="16705" spans="66:69" x14ac:dyDescent="0.2">
      <c r="BN16705" s="192"/>
      <c r="BO16705" s="197"/>
      <c r="BP16705" s="197"/>
      <c r="BQ16705" s="197"/>
    </row>
    <row r="16706" spans="66:69" x14ac:dyDescent="0.2">
      <c r="BN16706" s="192"/>
      <c r="BO16706" s="197"/>
      <c r="BP16706" s="197"/>
      <c r="BQ16706" s="197"/>
    </row>
    <row r="16707" spans="66:69" x14ac:dyDescent="0.2">
      <c r="BN16707" s="192"/>
      <c r="BO16707" s="197"/>
      <c r="BP16707" s="197"/>
      <c r="BQ16707" s="197"/>
    </row>
    <row r="16708" spans="66:69" x14ac:dyDescent="0.2">
      <c r="BN16708" s="192"/>
      <c r="BO16708" s="197"/>
      <c r="BP16708" s="197"/>
      <c r="BQ16708" s="197"/>
    </row>
    <row r="16709" spans="66:69" x14ac:dyDescent="0.2">
      <c r="BN16709" s="192"/>
      <c r="BO16709" s="197"/>
      <c r="BP16709" s="197"/>
      <c r="BQ16709" s="197"/>
    </row>
    <row r="16710" spans="66:69" x14ac:dyDescent="0.2">
      <c r="BN16710" s="192"/>
      <c r="BO16710" s="197"/>
      <c r="BP16710" s="197"/>
      <c r="BQ16710" s="197"/>
    </row>
    <row r="16711" spans="66:69" x14ac:dyDescent="0.2">
      <c r="BN16711" s="192"/>
      <c r="BO16711" s="197"/>
      <c r="BP16711" s="197"/>
      <c r="BQ16711" s="197"/>
    </row>
    <row r="16712" spans="66:69" x14ac:dyDescent="0.2">
      <c r="BN16712" s="192"/>
      <c r="BO16712" s="197"/>
      <c r="BP16712" s="197"/>
      <c r="BQ16712" s="197"/>
    </row>
    <row r="16713" spans="66:69" x14ac:dyDescent="0.2">
      <c r="BN16713" s="192"/>
      <c r="BO16713" s="197"/>
      <c r="BP16713" s="197"/>
      <c r="BQ16713" s="197"/>
    </row>
    <row r="16714" spans="66:69" x14ac:dyDescent="0.2">
      <c r="BN16714" s="192"/>
      <c r="BO16714" s="197"/>
      <c r="BP16714" s="197"/>
      <c r="BQ16714" s="197"/>
    </row>
    <row r="16715" spans="66:69" x14ac:dyDescent="0.2">
      <c r="BN16715" s="192"/>
      <c r="BO16715" s="197"/>
      <c r="BP16715" s="197"/>
      <c r="BQ16715" s="197"/>
    </row>
    <row r="16716" spans="66:69" x14ac:dyDescent="0.2">
      <c r="BN16716" s="192"/>
      <c r="BO16716" s="197"/>
      <c r="BP16716" s="197"/>
      <c r="BQ16716" s="197"/>
    </row>
    <row r="16717" spans="66:69" x14ac:dyDescent="0.2">
      <c r="BN16717" s="192"/>
      <c r="BO16717" s="197"/>
      <c r="BP16717" s="197"/>
      <c r="BQ16717" s="197"/>
    </row>
    <row r="16718" spans="66:69" x14ac:dyDescent="0.2">
      <c r="BN16718" s="192"/>
      <c r="BO16718" s="197"/>
      <c r="BP16718" s="197"/>
      <c r="BQ16718" s="197"/>
    </row>
    <row r="16719" spans="66:69" x14ac:dyDescent="0.2">
      <c r="BN16719" s="192"/>
      <c r="BO16719" s="197"/>
      <c r="BP16719" s="197"/>
      <c r="BQ16719" s="197"/>
    </row>
    <row r="16720" spans="66:69" x14ac:dyDescent="0.2">
      <c r="BN16720" s="192"/>
      <c r="BO16720" s="197"/>
      <c r="BP16720" s="197"/>
      <c r="BQ16720" s="197"/>
    </row>
    <row r="16721" spans="66:69" x14ac:dyDescent="0.2">
      <c r="BN16721" s="192"/>
      <c r="BO16721" s="197"/>
      <c r="BP16721" s="197"/>
      <c r="BQ16721" s="197"/>
    </row>
    <row r="16722" spans="66:69" x14ac:dyDescent="0.2">
      <c r="BN16722" s="192"/>
      <c r="BO16722" s="197"/>
      <c r="BP16722" s="197"/>
      <c r="BQ16722" s="197"/>
    </row>
    <row r="16723" spans="66:69" x14ac:dyDescent="0.2">
      <c r="BN16723" s="192"/>
      <c r="BO16723" s="197"/>
      <c r="BP16723" s="197"/>
      <c r="BQ16723" s="197"/>
    </row>
    <row r="16724" spans="66:69" x14ac:dyDescent="0.2">
      <c r="BN16724" s="192"/>
      <c r="BO16724" s="197"/>
      <c r="BP16724" s="197"/>
      <c r="BQ16724" s="197"/>
    </row>
    <row r="16725" spans="66:69" x14ac:dyDescent="0.2">
      <c r="BN16725" s="192"/>
      <c r="BO16725" s="197"/>
      <c r="BP16725" s="197"/>
      <c r="BQ16725" s="197"/>
    </row>
    <row r="16726" spans="66:69" x14ac:dyDescent="0.2">
      <c r="BN16726" s="192"/>
      <c r="BO16726" s="197"/>
      <c r="BP16726" s="197"/>
      <c r="BQ16726" s="197"/>
    </row>
    <row r="16727" spans="66:69" x14ac:dyDescent="0.2">
      <c r="BN16727" s="192"/>
      <c r="BO16727" s="197"/>
      <c r="BP16727" s="197"/>
      <c r="BQ16727" s="197"/>
    </row>
    <row r="16728" spans="66:69" x14ac:dyDescent="0.2">
      <c r="BN16728" s="192"/>
      <c r="BO16728" s="197"/>
      <c r="BP16728" s="197"/>
      <c r="BQ16728" s="197"/>
    </row>
    <row r="16729" spans="66:69" x14ac:dyDescent="0.2">
      <c r="BN16729" s="192"/>
      <c r="BO16729" s="197"/>
      <c r="BP16729" s="197"/>
      <c r="BQ16729" s="197"/>
    </row>
    <row r="16730" spans="66:69" x14ac:dyDescent="0.2">
      <c r="BN16730" s="192"/>
      <c r="BO16730" s="197"/>
      <c r="BP16730" s="197"/>
      <c r="BQ16730" s="197"/>
    </row>
    <row r="16731" spans="66:69" x14ac:dyDescent="0.2">
      <c r="BN16731" s="192"/>
      <c r="BO16731" s="197"/>
      <c r="BP16731" s="197"/>
      <c r="BQ16731" s="197"/>
    </row>
    <row r="16732" spans="66:69" x14ac:dyDescent="0.2">
      <c r="BN16732" s="192"/>
      <c r="BO16732" s="197"/>
      <c r="BP16732" s="197"/>
      <c r="BQ16732" s="197"/>
    </row>
    <row r="16733" spans="66:69" x14ac:dyDescent="0.2">
      <c r="BN16733" s="192"/>
      <c r="BO16733" s="197"/>
      <c r="BP16733" s="197"/>
      <c r="BQ16733" s="197"/>
    </row>
    <row r="16734" spans="66:69" x14ac:dyDescent="0.2">
      <c r="BN16734" s="192"/>
      <c r="BO16734" s="197"/>
      <c r="BP16734" s="197"/>
      <c r="BQ16734" s="197"/>
    </row>
    <row r="16735" spans="66:69" x14ac:dyDescent="0.2">
      <c r="BN16735" s="192"/>
      <c r="BO16735" s="197"/>
      <c r="BP16735" s="197"/>
      <c r="BQ16735" s="197"/>
    </row>
    <row r="16736" spans="66:69" x14ac:dyDescent="0.2">
      <c r="BN16736" s="192"/>
      <c r="BO16736" s="197"/>
      <c r="BP16736" s="197"/>
      <c r="BQ16736" s="197"/>
    </row>
    <row r="16737" spans="66:69" x14ac:dyDescent="0.2">
      <c r="BN16737" s="192"/>
      <c r="BO16737" s="197"/>
      <c r="BP16737" s="197"/>
      <c r="BQ16737" s="197"/>
    </row>
    <row r="16738" spans="66:69" x14ac:dyDescent="0.2">
      <c r="BN16738" s="192"/>
      <c r="BO16738" s="197"/>
      <c r="BP16738" s="197"/>
      <c r="BQ16738" s="197"/>
    </row>
    <row r="16739" spans="66:69" x14ac:dyDescent="0.2">
      <c r="BN16739" s="192"/>
      <c r="BO16739" s="197"/>
      <c r="BP16739" s="197"/>
      <c r="BQ16739" s="197"/>
    </row>
    <row r="16740" spans="66:69" x14ac:dyDescent="0.2">
      <c r="BN16740" s="192"/>
      <c r="BO16740" s="197"/>
      <c r="BP16740" s="197"/>
      <c r="BQ16740" s="197"/>
    </row>
    <row r="16741" spans="66:69" x14ac:dyDescent="0.2">
      <c r="BN16741" s="192"/>
      <c r="BO16741" s="197"/>
      <c r="BP16741" s="197"/>
      <c r="BQ16741" s="197"/>
    </row>
    <row r="16742" spans="66:69" x14ac:dyDescent="0.2">
      <c r="BN16742" s="192"/>
      <c r="BO16742" s="197"/>
      <c r="BP16742" s="197"/>
      <c r="BQ16742" s="197"/>
    </row>
    <row r="16743" spans="66:69" x14ac:dyDescent="0.2">
      <c r="BN16743" s="192"/>
      <c r="BO16743" s="197"/>
      <c r="BP16743" s="197"/>
      <c r="BQ16743" s="197"/>
    </row>
    <row r="16744" spans="66:69" x14ac:dyDescent="0.2">
      <c r="BN16744" s="192"/>
      <c r="BO16744" s="197"/>
      <c r="BP16744" s="197"/>
      <c r="BQ16744" s="197"/>
    </row>
    <row r="16745" spans="66:69" x14ac:dyDescent="0.2">
      <c r="BN16745" s="192"/>
      <c r="BO16745" s="197"/>
      <c r="BP16745" s="197"/>
      <c r="BQ16745" s="197"/>
    </row>
    <row r="16746" spans="66:69" x14ac:dyDescent="0.2">
      <c r="BN16746" s="192"/>
      <c r="BO16746" s="197"/>
      <c r="BP16746" s="197"/>
      <c r="BQ16746" s="197"/>
    </row>
    <row r="16747" spans="66:69" x14ac:dyDescent="0.2">
      <c r="BN16747" s="192"/>
      <c r="BO16747" s="197"/>
      <c r="BP16747" s="197"/>
      <c r="BQ16747" s="197"/>
    </row>
    <row r="16748" spans="66:69" x14ac:dyDescent="0.2">
      <c r="BN16748" s="192"/>
      <c r="BO16748" s="197"/>
      <c r="BP16748" s="197"/>
      <c r="BQ16748" s="197"/>
    </row>
    <row r="16749" spans="66:69" x14ac:dyDescent="0.2">
      <c r="BN16749" s="192"/>
      <c r="BO16749" s="197"/>
      <c r="BP16749" s="197"/>
      <c r="BQ16749" s="197"/>
    </row>
    <row r="16750" spans="66:69" x14ac:dyDescent="0.2">
      <c r="BN16750" s="192"/>
      <c r="BO16750" s="197"/>
      <c r="BP16750" s="197"/>
      <c r="BQ16750" s="197"/>
    </row>
    <row r="16751" spans="66:69" x14ac:dyDescent="0.2">
      <c r="BN16751" s="192"/>
      <c r="BO16751" s="197"/>
      <c r="BP16751" s="197"/>
      <c r="BQ16751" s="197"/>
    </row>
    <row r="16752" spans="66:69" x14ac:dyDescent="0.2">
      <c r="BN16752" s="192"/>
      <c r="BO16752" s="197"/>
      <c r="BP16752" s="197"/>
      <c r="BQ16752" s="197"/>
    </row>
    <row r="16753" spans="66:69" x14ac:dyDescent="0.2">
      <c r="BN16753" s="192"/>
      <c r="BO16753" s="197"/>
      <c r="BP16753" s="197"/>
      <c r="BQ16753" s="197"/>
    </row>
    <row r="16754" spans="66:69" x14ac:dyDescent="0.2">
      <c r="BN16754" s="192"/>
      <c r="BO16754" s="197"/>
      <c r="BP16754" s="197"/>
      <c r="BQ16754" s="197"/>
    </row>
    <row r="16755" spans="66:69" x14ac:dyDescent="0.2">
      <c r="BN16755" s="192"/>
      <c r="BO16755" s="197"/>
      <c r="BP16755" s="197"/>
      <c r="BQ16755" s="197"/>
    </row>
    <row r="16756" spans="66:69" x14ac:dyDescent="0.2">
      <c r="BN16756" s="192"/>
      <c r="BO16756" s="197"/>
      <c r="BP16756" s="197"/>
      <c r="BQ16756" s="197"/>
    </row>
    <row r="16757" spans="66:69" x14ac:dyDescent="0.2">
      <c r="BN16757" s="192"/>
      <c r="BO16757" s="197"/>
      <c r="BP16757" s="197"/>
      <c r="BQ16757" s="197"/>
    </row>
    <row r="16758" spans="66:69" x14ac:dyDescent="0.2">
      <c r="BN16758" s="192"/>
      <c r="BO16758" s="197"/>
      <c r="BP16758" s="197"/>
      <c r="BQ16758" s="197"/>
    </row>
    <row r="16759" spans="66:69" x14ac:dyDescent="0.2">
      <c r="BN16759" s="192"/>
      <c r="BO16759" s="197"/>
      <c r="BP16759" s="197"/>
      <c r="BQ16759" s="197"/>
    </row>
    <row r="16760" spans="66:69" x14ac:dyDescent="0.2">
      <c r="BN16760" s="192"/>
      <c r="BO16760" s="197"/>
      <c r="BP16760" s="197"/>
      <c r="BQ16760" s="197"/>
    </row>
    <row r="16761" spans="66:69" x14ac:dyDescent="0.2">
      <c r="BN16761" s="192"/>
      <c r="BO16761" s="197"/>
      <c r="BP16761" s="197"/>
      <c r="BQ16761" s="197"/>
    </row>
    <row r="16762" spans="66:69" x14ac:dyDescent="0.2">
      <c r="BN16762" s="192"/>
      <c r="BO16762" s="197"/>
      <c r="BP16762" s="197"/>
      <c r="BQ16762" s="197"/>
    </row>
    <row r="16763" spans="66:69" x14ac:dyDescent="0.2">
      <c r="BN16763" s="192"/>
      <c r="BO16763" s="197"/>
      <c r="BP16763" s="197"/>
      <c r="BQ16763" s="197"/>
    </row>
    <row r="16764" spans="66:69" x14ac:dyDescent="0.2">
      <c r="BN16764" s="192"/>
      <c r="BO16764" s="197"/>
      <c r="BP16764" s="197"/>
      <c r="BQ16764" s="197"/>
    </row>
    <row r="16765" spans="66:69" x14ac:dyDescent="0.2">
      <c r="BN16765" s="192"/>
      <c r="BO16765" s="197"/>
      <c r="BP16765" s="197"/>
      <c r="BQ16765" s="197"/>
    </row>
    <row r="16766" spans="66:69" x14ac:dyDescent="0.2">
      <c r="BN16766" s="192"/>
      <c r="BO16766" s="197"/>
      <c r="BP16766" s="197"/>
      <c r="BQ16766" s="197"/>
    </row>
    <row r="16767" spans="66:69" x14ac:dyDescent="0.2">
      <c r="BN16767" s="192"/>
      <c r="BO16767" s="197"/>
      <c r="BP16767" s="197"/>
      <c r="BQ16767" s="197"/>
    </row>
    <row r="16768" spans="66:69" x14ac:dyDescent="0.2">
      <c r="BN16768" s="192"/>
      <c r="BO16768" s="197"/>
      <c r="BP16768" s="197"/>
      <c r="BQ16768" s="197"/>
    </row>
    <row r="16769" spans="66:69" x14ac:dyDescent="0.2">
      <c r="BN16769" s="192"/>
      <c r="BO16769" s="197"/>
      <c r="BP16769" s="197"/>
      <c r="BQ16769" s="197"/>
    </row>
    <row r="16770" spans="66:69" x14ac:dyDescent="0.2">
      <c r="BN16770" s="192"/>
      <c r="BO16770" s="197"/>
      <c r="BP16770" s="197"/>
      <c r="BQ16770" s="197"/>
    </row>
    <row r="16771" spans="66:69" x14ac:dyDescent="0.2">
      <c r="BN16771" s="192"/>
      <c r="BO16771" s="197"/>
      <c r="BP16771" s="197"/>
      <c r="BQ16771" s="197"/>
    </row>
    <row r="16772" spans="66:69" x14ac:dyDescent="0.2">
      <c r="BN16772" s="192"/>
      <c r="BO16772" s="197"/>
      <c r="BP16772" s="197"/>
      <c r="BQ16772" s="197"/>
    </row>
    <row r="16773" spans="66:69" x14ac:dyDescent="0.2">
      <c r="BN16773" s="192"/>
      <c r="BO16773" s="197"/>
      <c r="BP16773" s="197"/>
      <c r="BQ16773" s="197"/>
    </row>
    <row r="16774" spans="66:69" x14ac:dyDescent="0.2">
      <c r="BN16774" s="192"/>
      <c r="BO16774" s="197"/>
      <c r="BP16774" s="197"/>
      <c r="BQ16774" s="197"/>
    </row>
    <row r="16775" spans="66:69" x14ac:dyDescent="0.2">
      <c r="BN16775" s="192"/>
      <c r="BO16775" s="197"/>
      <c r="BP16775" s="197"/>
      <c r="BQ16775" s="197"/>
    </row>
    <row r="16776" spans="66:69" x14ac:dyDescent="0.2">
      <c r="BN16776" s="192"/>
      <c r="BO16776" s="197"/>
      <c r="BP16776" s="197"/>
      <c r="BQ16776" s="197"/>
    </row>
    <row r="16777" spans="66:69" x14ac:dyDescent="0.2">
      <c r="BN16777" s="192"/>
      <c r="BO16777" s="197"/>
      <c r="BP16777" s="197"/>
      <c r="BQ16777" s="197"/>
    </row>
    <row r="16778" spans="66:69" x14ac:dyDescent="0.2">
      <c r="BN16778" s="192"/>
      <c r="BO16778" s="197"/>
      <c r="BP16778" s="197"/>
      <c r="BQ16778" s="197"/>
    </row>
    <row r="16779" spans="66:69" x14ac:dyDescent="0.2">
      <c r="BN16779" s="192"/>
      <c r="BO16779" s="197"/>
      <c r="BP16779" s="197"/>
      <c r="BQ16779" s="197"/>
    </row>
    <row r="16780" spans="66:69" x14ac:dyDescent="0.2">
      <c r="BN16780" s="192"/>
      <c r="BO16780" s="197"/>
      <c r="BP16780" s="197"/>
      <c r="BQ16780" s="197"/>
    </row>
    <row r="16781" spans="66:69" x14ac:dyDescent="0.2">
      <c r="BN16781" s="192"/>
      <c r="BO16781" s="197"/>
      <c r="BP16781" s="197"/>
      <c r="BQ16781" s="197"/>
    </row>
    <row r="16782" spans="66:69" x14ac:dyDescent="0.2">
      <c r="BN16782" s="192"/>
      <c r="BO16782" s="197"/>
      <c r="BP16782" s="197"/>
      <c r="BQ16782" s="197"/>
    </row>
    <row r="16783" spans="66:69" x14ac:dyDescent="0.2">
      <c r="BN16783" s="192"/>
      <c r="BO16783" s="197"/>
      <c r="BP16783" s="197"/>
      <c r="BQ16783" s="197"/>
    </row>
    <row r="16784" spans="66:69" x14ac:dyDescent="0.2">
      <c r="BN16784" s="192"/>
      <c r="BO16784" s="197"/>
      <c r="BP16784" s="197"/>
      <c r="BQ16784" s="197"/>
    </row>
    <row r="16785" spans="66:69" x14ac:dyDescent="0.2">
      <c r="BN16785" s="192"/>
      <c r="BO16785" s="197"/>
      <c r="BP16785" s="197"/>
      <c r="BQ16785" s="197"/>
    </row>
    <row r="16786" spans="66:69" x14ac:dyDescent="0.2">
      <c r="BN16786" s="192"/>
      <c r="BO16786" s="197"/>
      <c r="BP16786" s="197"/>
      <c r="BQ16786" s="197"/>
    </row>
    <row r="16787" spans="66:69" x14ac:dyDescent="0.2">
      <c r="BN16787" s="192"/>
      <c r="BO16787" s="197"/>
      <c r="BP16787" s="197"/>
      <c r="BQ16787" s="197"/>
    </row>
    <row r="16788" spans="66:69" x14ac:dyDescent="0.2">
      <c r="BN16788" s="192"/>
      <c r="BO16788" s="197"/>
      <c r="BP16788" s="197"/>
      <c r="BQ16788" s="197"/>
    </row>
    <row r="16789" spans="66:69" x14ac:dyDescent="0.2">
      <c r="BN16789" s="192"/>
      <c r="BO16789" s="197"/>
      <c r="BP16789" s="197"/>
      <c r="BQ16789" s="197"/>
    </row>
    <row r="16790" spans="66:69" x14ac:dyDescent="0.2">
      <c r="BN16790" s="192"/>
      <c r="BO16790" s="197"/>
      <c r="BP16790" s="197"/>
      <c r="BQ16790" s="197"/>
    </row>
    <row r="16791" spans="66:69" x14ac:dyDescent="0.2">
      <c r="BN16791" s="192"/>
      <c r="BO16791" s="197"/>
      <c r="BP16791" s="197"/>
      <c r="BQ16791" s="197"/>
    </row>
    <row r="16792" spans="66:69" x14ac:dyDescent="0.2">
      <c r="BN16792" s="192"/>
      <c r="BO16792" s="197"/>
      <c r="BP16792" s="197"/>
      <c r="BQ16792" s="197"/>
    </row>
    <row r="16793" spans="66:69" x14ac:dyDescent="0.2">
      <c r="BN16793" s="192"/>
      <c r="BO16793" s="197"/>
      <c r="BP16793" s="197"/>
      <c r="BQ16793" s="197"/>
    </row>
    <row r="16794" spans="66:69" x14ac:dyDescent="0.2">
      <c r="BN16794" s="192"/>
      <c r="BO16794" s="197"/>
      <c r="BP16794" s="197"/>
      <c r="BQ16794" s="197"/>
    </row>
    <row r="16795" spans="66:69" x14ac:dyDescent="0.2">
      <c r="BN16795" s="192"/>
      <c r="BO16795" s="197"/>
      <c r="BP16795" s="197"/>
      <c r="BQ16795" s="197"/>
    </row>
    <row r="16796" spans="66:69" x14ac:dyDescent="0.2">
      <c r="BN16796" s="192"/>
      <c r="BO16796" s="197"/>
      <c r="BP16796" s="197"/>
      <c r="BQ16796" s="197"/>
    </row>
    <row r="16797" spans="66:69" x14ac:dyDescent="0.2">
      <c r="BN16797" s="192"/>
      <c r="BO16797" s="197"/>
      <c r="BP16797" s="197"/>
      <c r="BQ16797" s="197"/>
    </row>
    <row r="16798" spans="66:69" x14ac:dyDescent="0.2">
      <c r="BN16798" s="192"/>
      <c r="BO16798" s="197"/>
      <c r="BP16798" s="197"/>
      <c r="BQ16798" s="197"/>
    </row>
    <row r="16799" spans="66:69" x14ac:dyDescent="0.2">
      <c r="BN16799" s="192"/>
      <c r="BO16799" s="197"/>
      <c r="BP16799" s="197"/>
      <c r="BQ16799" s="197"/>
    </row>
    <row r="16800" spans="66:69" x14ac:dyDescent="0.2">
      <c r="BN16800" s="192"/>
      <c r="BO16800" s="197"/>
      <c r="BP16800" s="197"/>
      <c r="BQ16800" s="197"/>
    </row>
    <row r="16801" spans="66:69" x14ac:dyDescent="0.2">
      <c r="BN16801" s="192"/>
      <c r="BO16801" s="197"/>
      <c r="BP16801" s="197"/>
      <c r="BQ16801" s="197"/>
    </row>
    <row r="16802" spans="66:69" x14ac:dyDescent="0.2">
      <c r="BN16802" s="192"/>
      <c r="BO16802" s="197"/>
      <c r="BP16802" s="197"/>
      <c r="BQ16802" s="197"/>
    </row>
    <row r="16803" spans="66:69" x14ac:dyDescent="0.2">
      <c r="BN16803" s="192"/>
      <c r="BO16803" s="197"/>
      <c r="BP16803" s="197"/>
      <c r="BQ16803" s="197"/>
    </row>
    <row r="16804" spans="66:69" x14ac:dyDescent="0.2">
      <c r="BN16804" s="192"/>
      <c r="BO16804" s="197"/>
      <c r="BP16804" s="197"/>
      <c r="BQ16804" s="197"/>
    </row>
    <row r="16805" spans="66:69" x14ac:dyDescent="0.2">
      <c r="BN16805" s="192"/>
      <c r="BO16805" s="197"/>
      <c r="BP16805" s="197"/>
      <c r="BQ16805" s="197"/>
    </row>
    <row r="16806" spans="66:69" x14ac:dyDescent="0.2">
      <c r="BN16806" s="192"/>
      <c r="BO16806" s="197"/>
      <c r="BP16806" s="197"/>
      <c r="BQ16806" s="197"/>
    </row>
    <row r="16807" spans="66:69" x14ac:dyDescent="0.2">
      <c r="BN16807" s="192"/>
      <c r="BO16807" s="197"/>
      <c r="BP16807" s="197"/>
      <c r="BQ16807" s="197"/>
    </row>
    <row r="16808" spans="66:69" x14ac:dyDescent="0.2">
      <c r="BN16808" s="192"/>
      <c r="BO16808" s="197"/>
      <c r="BP16808" s="197"/>
      <c r="BQ16808" s="197"/>
    </row>
    <row r="16809" spans="66:69" x14ac:dyDescent="0.2">
      <c r="BN16809" s="192"/>
      <c r="BO16809" s="197"/>
      <c r="BP16809" s="197"/>
      <c r="BQ16809" s="197"/>
    </row>
    <row r="16810" spans="66:69" x14ac:dyDescent="0.2">
      <c r="BN16810" s="192"/>
      <c r="BO16810" s="197"/>
      <c r="BP16810" s="197"/>
      <c r="BQ16810" s="197"/>
    </row>
    <row r="16811" spans="66:69" x14ac:dyDescent="0.2">
      <c r="BN16811" s="192"/>
      <c r="BO16811" s="197"/>
      <c r="BP16811" s="197"/>
      <c r="BQ16811" s="197"/>
    </row>
    <row r="16812" spans="66:69" x14ac:dyDescent="0.2">
      <c r="BN16812" s="192"/>
      <c r="BO16812" s="197"/>
      <c r="BP16812" s="197"/>
      <c r="BQ16812" s="197"/>
    </row>
    <row r="16813" spans="66:69" x14ac:dyDescent="0.2">
      <c r="BN16813" s="192"/>
      <c r="BO16813" s="197"/>
      <c r="BP16813" s="197"/>
      <c r="BQ16813" s="197"/>
    </row>
    <row r="16814" spans="66:69" x14ac:dyDescent="0.2">
      <c r="BN16814" s="192"/>
      <c r="BO16814" s="197"/>
      <c r="BP16814" s="197"/>
      <c r="BQ16814" s="197"/>
    </row>
    <row r="16815" spans="66:69" x14ac:dyDescent="0.2">
      <c r="BN16815" s="192"/>
      <c r="BO16815" s="197"/>
      <c r="BP16815" s="197"/>
      <c r="BQ16815" s="197"/>
    </row>
    <row r="16816" spans="66:69" x14ac:dyDescent="0.2">
      <c r="BN16816" s="192"/>
      <c r="BO16816" s="197"/>
      <c r="BP16816" s="197"/>
      <c r="BQ16816" s="197"/>
    </row>
    <row r="16817" spans="66:69" x14ac:dyDescent="0.2">
      <c r="BN16817" s="192"/>
      <c r="BO16817" s="197"/>
      <c r="BP16817" s="197"/>
      <c r="BQ16817" s="197"/>
    </row>
    <row r="16818" spans="66:69" x14ac:dyDescent="0.2">
      <c r="BN16818" s="192"/>
      <c r="BO16818" s="197"/>
      <c r="BP16818" s="197"/>
      <c r="BQ16818" s="197"/>
    </row>
    <row r="16819" spans="66:69" x14ac:dyDescent="0.2">
      <c r="BN16819" s="192"/>
      <c r="BO16819" s="197"/>
      <c r="BP16819" s="197"/>
      <c r="BQ16819" s="197"/>
    </row>
    <row r="16820" spans="66:69" x14ac:dyDescent="0.2">
      <c r="BN16820" s="192"/>
      <c r="BO16820" s="197"/>
      <c r="BP16820" s="197"/>
      <c r="BQ16820" s="197"/>
    </row>
    <row r="16821" spans="66:69" x14ac:dyDescent="0.2">
      <c r="BN16821" s="192"/>
      <c r="BO16821" s="197"/>
      <c r="BP16821" s="197"/>
      <c r="BQ16821" s="197"/>
    </row>
    <row r="16822" spans="66:69" x14ac:dyDescent="0.2">
      <c r="BN16822" s="192"/>
      <c r="BO16822" s="197"/>
      <c r="BP16822" s="197"/>
      <c r="BQ16822" s="197"/>
    </row>
    <row r="16823" spans="66:69" x14ac:dyDescent="0.2">
      <c r="BN16823" s="192"/>
      <c r="BO16823" s="197"/>
      <c r="BP16823" s="197"/>
      <c r="BQ16823" s="197"/>
    </row>
    <row r="16824" spans="66:69" x14ac:dyDescent="0.2">
      <c r="BN16824" s="192"/>
      <c r="BO16824" s="197"/>
      <c r="BP16824" s="197"/>
      <c r="BQ16824" s="197"/>
    </row>
    <row r="16825" spans="66:69" x14ac:dyDescent="0.2">
      <c r="BN16825" s="192"/>
      <c r="BO16825" s="197"/>
      <c r="BP16825" s="197"/>
      <c r="BQ16825" s="197"/>
    </row>
    <row r="16826" spans="66:69" x14ac:dyDescent="0.2">
      <c r="BN16826" s="192"/>
      <c r="BO16826" s="197"/>
      <c r="BP16826" s="197"/>
      <c r="BQ16826" s="197"/>
    </row>
    <row r="16827" spans="66:69" x14ac:dyDescent="0.2">
      <c r="BN16827" s="192"/>
      <c r="BO16827" s="197"/>
      <c r="BP16827" s="197"/>
      <c r="BQ16827" s="197"/>
    </row>
    <row r="16828" spans="66:69" x14ac:dyDescent="0.2">
      <c r="BN16828" s="192"/>
      <c r="BO16828" s="197"/>
      <c r="BP16828" s="197"/>
      <c r="BQ16828" s="197"/>
    </row>
    <row r="16829" spans="66:69" x14ac:dyDescent="0.2">
      <c r="BN16829" s="192"/>
      <c r="BO16829" s="197"/>
      <c r="BP16829" s="197"/>
      <c r="BQ16829" s="197"/>
    </row>
    <row r="16830" spans="66:69" x14ac:dyDescent="0.2">
      <c r="BN16830" s="192"/>
      <c r="BO16830" s="197"/>
      <c r="BP16830" s="197"/>
      <c r="BQ16830" s="197"/>
    </row>
    <row r="16831" spans="66:69" x14ac:dyDescent="0.2">
      <c r="BN16831" s="192"/>
      <c r="BO16831" s="197"/>
      <c r="BP16831" s="197"/>
      <c r="BQ16831" s="197"/>
    </row>
    <row r="16832" spans="66:69" x14ac:dyDescent="0.2">
      <c r="BN16832" s="192"/>
      <c r="BO16832" s="197"/>
      <c r="BP16832" s="197"/>
      <c r="BQ16832" s="197"/>
    </row>
    <row r="16833" spans="66:69" x14ac:dyDescent="0.2">
      <c r="BN16833" s="192"/>
      <c r="BO16833" s="197"/>
      <c r="BP16833" s="197"/>
      <c r="BQ16833" s="197"/>
    </row>
    <row r="16834" spans="66:69" x14ac:dyDescent="0.2">
      <c r="BN16834" s="192"/>
      <c r="BO16834" s="197"/>
      <c r="BP16834" s="197"/>
      <c r="BQ16834" s="197"/>
    </row>
    <row r="16835" spans="66:69" x14ac:dyDescent="0.2">
      <c r="BN16835" s="192"/>
      <c r="BO16835" s="197"/>
      <c r="BP16835" s="197"/>
      <c r="BQ16835" s="197"/>
    </row>
    <row r="16836" spans="66:69" x14ac:dyDescent="0.2">
      <c r="BN16836" s="192"/>
      <c r="BO16836" s="197"/>
      <c r="BP16836" s="197"/>
      <c r="BQ16836" s="197"/>
    </row>
    <row r="16837" spans="66:69" x14ac:dyDescent="0.2">
      <c r="BN16837" s="192"/>
      <c r="BO16837" s="197"/>
      <c r="BP16837" s="197"/>
      <c r="BQ16837" s="197"/>
    </row>
    <row r="16838" spans="66:69" x14ac:dyDescent="0.2">
      <c r="BN16838" s="192"/>
      <c r="BO16838" s="197"/>
      <c r="BP16838" s="197"/>
      <c r="BQ16838" s="197"/>
    </row>
    <row r="16839" spans="66:69" x14ac:dyDescent="0.2">
      <c r="BN16839" s="192"/>
      <c r="BO16839" s="197"/>
      <c r="BP16839" s="197"/>
      <c r="BQ16839" s="197"/>
    </row>
    <row r="16840" spans="66:69" x14ac:dyDescent="0.2">
      <c r="BN16840" s="192"/>
      <c r="BO16840" s="197"/>
      <c r="BP16840" s="197"/>
      <c r="BQ16840" s="197"/>
    </row>
    <row r="16841" spans="66:69" x14ac:dyDescent="0.2">
      <c r="BN16841" s="192"/>
      <c r="BO16841" s="197"/>
      <c r="BP16841" s="197"/>
      <c r="BQ16841" s="197"/>
    </row>
    <row r="16842" spans="66:69" x14ac:dyDescent="0.2">
      <c r="BN16842" s="192"/>
      <c r="BO16842" s="197"/>
      <c r="BP16842" s="197"/>
      <c r="BQ16842" s="197"/>
    </row>
    <row r="16843" spans="66:69" x14ac:dyDescent="0.2">
      <c r="BN16843" s="192"/>
      <c r="BO16843" s="197"/>
      <c r="BP16843" s="197"/>
      <c r="BQ16843" s="197"/>
    </row>
    <row r="16844" spans="66:69" x14ac:dyDescent="0.2">
      <c r="BN16844" s="192"/>
      <c r="BO16844" s="197"/>
      <c r="BP16844" s="197"/>
      <c r="BQ16844" s="197"/>
    </row>
    <row r="16845" spans="66:69" x14ac:dyDescent="0.2">
      <c r="BN16845" s="192"/>
      <c r="BO16845" s="197"/>
      <c r="BP16845" s="197"/>
      <c r="BQ16845" s="197"/>
    </row>
    <row r="16846" spans="66:69" x14ac:dyDescent="0.2">
      <c r="BN16846" s="192"/>
      <c r="BO16846" s="197"/>
      <c r="BP16846" s="197"/>
      <c r="BQ16846" s="197"/>
    </row>
    <row r="16847" spans="66:69" x14ac:dyDescent="0.2">
      <c r="BN16847" s="192"/>
      <c r="BO16847" s="197"/>
      <c r="BP16847" s="197"/>
      <c r="BQ16847" s="197"/>
    </row>
    <row r="16848" spans="66:69" x14ac:dyDescent="0.2">
      <c r="BN16848" s="192"/>
      <c r="BO16848" s="197"/>
      <c r="BP16848" s="197"/>
      <c r="BQ16848" s="197"/>
    </row>
    <row r="16849" spans="66:69" x14ac:dyDescent="0.2">
      <c r="BN16849" s="192"/>
      <c r="BO16849" s="197"/>
      <c r="BP16849" s="197"/>
      <c r="BQ16849" s="197"/>
    </row>
    <row r="16850" spans="66:69" x14ac:dyDescent="0.2">
      <c r="BN16850" s="192"/>
      <c r="BO16850" s="197"/>
      <c r="BP16850" s="197"/>
      <c r="BQ16850" s="197"/>
    </row>
    <row r="16851" spans="66:69" x14ac:dyDescent="0.2">
      <c r="BN16851" s="192"/>
      <c r="BO16851" s="197"/>
      <c r="BP16851" s="197"/>
      <c r="BQ16851" s="197"/>
    </row>
    <row r="16852" spans="66:69" x14ac:dyDescent="0.2">
      <c r="BN16852" s="192"/>
      <c r="BO16852" s="197"/>
      <c r="BP16852" s="197"/>
      <c r="BQ16852" s="197"/>
    </row>
    <row r="16853" spans="66:69" x14ac:dyDescent="0.2">
      <c r="BN16853" s="192"/>
      <c r="BO16853" s="197"/>
      <c r="BP16853" s="197"/>
      <c r="BQ16853" s="197"/>
    </row>
    <row r="16854" spans="66:69" x14ac:dyDescent="0.2">
      <c r="BN16854" s="192"/>
      <c r="BO16854" s="197"/>
      <c r="BP16854" s="197"/>
      <c r="BQ16854" s="197"/>
    </row>
    <row r="16855" spans="66:69" x14ac:dyDescent="0.2">
      <c r="BN16855" s="192"/>
      <c r="BO16855" s="197"/>
      <c r="BP16855" s="197"/>
      <c r="BQ16855" s="197"/>
    </row>
    <row r="16856" spans="66:69" x14ac:dyDescent="0.2">
      <c r="BN16856" s="192"/>
      <c r="BO16856" s="197"/>
      <c r="BP16856" s="197"/>
      <c r="BQ16856" s="197"/>
    </row>
    <row r="16857" spans="66:69" x14ac:dyDescent="0.2">
      <c r="BN16857" s="192"/>
      <c r="BO16857" s="197"/>
      <c r="BP16857" s="197"/>
      <c r="BQ16857" s="197"/>
    </row>
    <row r="16858" spans="66:69" x14ac:dyDescent="0.2">
      <c r="BN16858" s="192"/>
      <c r="BO16858" s="197"/>
      <c r="BP16858" s="197"/>
      <c r="BQ16858" s="197"/>
    </row>
    <row r="16859" spans="66:69" x14ac:dyDescent="0.2">
      <c r="BN16859" s="192"/>
      <c r="BO16859" s="197"/>
      <c r="BP16859" s="197"/>
      <c r="BQ16859" s="197"/>
    </row>
    <row r="16860" spans="66:69" x14ac:dyDescent="0.2">
      <c r="BN16860" s="192"/>
      <c r="BO16860" s="197"/>
      <c r="BP16860" s="197"/>
      <c r="BQ16860" s="197"/>
    </row>
    <row r="16861" spans="66:69" x14ac:dyDescent="0.2">
      <c r="BN16861" s="192"/>
      <c r="BO16861" s="197"/>
      <c r="BP16861" s="197"/>
      <c r="BQ16861" s="197"/>
    </row>
    <row r="16862" spans="66:69" x14ac:dyDescent="0.2">
      <c r="BN16862" s="192"/>
      <c r="BO16862" s="197"/>
      <c r="BP16862" s="197"/>
      <c r="BQ16862" s="197"/>
    </row>
    <row r="16863" spans="66:69" x14ac:dyDescent="0.2">
      <c r="BN16863" s="192"/>
      <c r="BO16863" s="197"/>
      <c r="BP16863" s="197"/>
      <c r="BQ16863" s="197"/>
    </row>
    <row r="16864" spans="66:69" x14ac:dyDescent="0.2">
      <c r="BN16864" s="192"/>
      <c r="BO16864" s="197"/>
      <c r="BP16864" s="197"/>
      <c r="BQ16864" s="197"/>
    </row>
    <row r="16865" spans="66:69" x14ac:dyDescent="0.2">
      <c r="BN16865" s="192"/>
      <c r="BO16865" s="197"/>
      <c r="BP16865" s="197"/>
      <c r="BQ16865" s="197"/>
    </row>
    <row r="16866" spans="66:69" x14ac:dyDescent="0.2">
      <c r="BN16866" s="192"/>
      <c r="BO16866" s="197"/>
      <c r="BP16866" s="197"/>
      <c r="BQ16866" s="197"/>
    </row>
    <row r="16867" spans="66:69" x14ac:dyDescent="0.2">
      <c r="BN16867" s="192"/>
      <c r="BO16867" s="197"/>
      <c r="BP16867" s="197"/>
      <c r="BQ16867" s="197"/>
    </row>
    <row r="16868" spans="66:69" x14ac:dyDescent="0.2">
      <c r="BN16868" s="192"/>
      <c r="BO16868" s="197"/>
      <c r="BP16868" s="197"/>
      <c r="BQ16868" s="197"/>
    </row>
    <row r="16869" spans="66:69" x14ac:dyDescent="0.2">
      <c r="BN16869" s="192"/>
      <c r="BO16869" s="197"/>
      <c r="BP16869" s="197"/>
      <c r="BQ16869" s="197"/>
    </row>
    <row r="16870" spans="66:69" x14ac:dyDescent="0.2">
      <c r="BN16870" s="192"/>
      <c r="BO16870" s="197"/>
      <c r="BP16870" s="197"/>
      <c r="BQ16870" s="197"/>
    </row>
    <row r="16871" spans="66:69" x14ac:dyDescent="0.2">
      <c r="BN16871" s="192"/>
      <c r="BO16871" s="197"/>
      <c r="BP16871" s="197"/>
      <c r="BQ16871" s="197"/>
    </row>
    <row r="16872" spans="66:69" x14ac:dyDescent="0.2">
      <c r="BN16872" s="192"/>
      <c r="BO16872" s="197"/>
      <c r="BP16872" s="197"/>
      <c r="BQ16872" s="197"/>
    </row>
    <row r="16873" spans="66:69" x14ac:dyDescent="0.2">
      <c r="BN16873" s="192"/>
      <c r="BO16873" s="197"/>
      <c r="BP16873" s="197"/>
      <c r="BQ16873" s="197"/>
    </row>
    <row r="16874" spans="66:69" x14ac:dyDescent="0.2">
      <c r="BN16874" s="192"/>
      <c r="BO16874" s="197"/>
      <c r="BP16874" s="197"/>
      <c r="BQ16874" s="197"/>
    </row>
    <row r="16875" spans="66:69" x14ac:dyDescent="0.2">
      <c r="BN16875" s="192"/>
      <c r="BO16875" s="197"/>
      <c r="BP16875" s="197"/>
      <c r="BQ16875" s="197"/>
    </row>
    <row r="16876" spans="66:69" x14ac:dyDescent="0.2">
      <c r="BN16876" s="192"/>
      <c r="BO16876" s="197"/>
      <c r="BP16876" s="197"/>
      <c r="BQ16876" s="197"/>
    </row>
    <row r="16877" spans="66:69" x14ac:dyDescent="0.2">
      <c r="BN16877" s="192"/>
      <c r="BO16877" s="197"/>
      <c r="BP16877" s="197"/>
      <c r="BQ16877" s="197"/>
    </row>
    <row r="16878" spans="66:69" x14ac:dyDescent="0.2">
      <c r="BN16878" s="192"/>
      <c r="BO16878" s="197"/>
      <c r="BP16878" s="197"/>
      <c r="BQ16878" s="197"/>
    </row>
    <row r="16879" spans="66:69" x14ac:dyDescent="0.2">
      <c r="BN16879" s="192"/>
      <c r="BO16879" s="197"/>
      <c r="BP16879" s="197"/>
      <c r="BQ16879" s="197"/>
    </row>
    <row r="16880" spans="66:69" x14ac:dyDescent="0.2">
      <c r="BN16880" s="192"/>
      <c r="BO16880" s="197"/>
      <c r="BP16880" s="197"/>
      <c r="BQ16880" s="197"/>
    </row>
    <row r="16881" spans="66:69" x14ac:dyDescent="0.2">
      <c r="BN16881" s="192"/>
      <c r="BO16881" s="197"/>
      <c r="BP16881" s="197"/>
      <c r="BQ16881" s="197"/>
    </row>
    <row r="16882" spans="66:69" x14ac:dyDescent="0.2">
      <c r="BN16882" s="192"/>
      <c r="BO16882" s="197"/>
      <c r="BP16882" s="197"/>
      <c r="BQ16882" s="197"/>
    </row>
    <row r="16883" spans="66:69" x14ac:dyDescent="0.2">
      <c r="BN16883" s="192"/>
      <c r="BO16883" s="197"/>
      <c r="BP16883" s="197"/>
      <c r="BQ16883" s="197"/>
    </row>
    <row r="16884" spans="66:69" x14ac:dyDescent="0.2">
      <c r="BN16884" s="192"/>
      <c r="BO16884" s="197"/>
      <c r="BP16884" s="197"/>
      <c r="BQ16884" s="197"/>
    </row>
    <row r="16885" spans="66:69" x14ac:dyDescent="0.2">
      <c r="BN16885" s="192"/>
      <c r="BO16885" s="197"/>
      <c r="BP16885" s="197"/>
      <c r="BQ16885" s="197"/>
    </row>
    <row r="16886" spans="66:69" x14ac:dyDescent="0.2">
      <c r="BN16886" s="192"/>
      <c r="BO16886" s="197"/>
      <c r="BP16886" s="197"/>
      <c r="BQ16886" s="197"/>
    </row>
    <row r="16887" spans="66:69" x14ac:dyDescent="0.2">
      <c r="BN16887" s="192"/>
      <c r="BO16887" s="197"/>
      <c r="BP16887" s="197"/>
      <c r="BQ16887" s="197"/>
    </row>
    <row r="16888" spans="66:69" x14ac:dyDescent="0.2">
      <c r="BN16888" s="192"/>
      <c r="BO16888" s="197"/>
      <c r="BP16888" s="197"/>
      <c r="BQ16888" s="197"/>
    </row>
    <row r="16889" spans="66:69" x14ac:dyDescent="0.2">
      <c r="BN16889" s="192"/>
      <c r="BO16889" s="197"/>
      <c r="BP16889" s="197"/>
      <c r="BQ16889" s="197"/>
    </row>
    <row r="16890" spans="66:69" x14ac:dyDescent="0.2">
      <c r="BN16890" s="192"/>
      <c r="BO16890" s="197"/>
      <c r="BP16890" s="197"/>
      <c r="BQ16890" s="197"/>
    </row>
    <row r="16891" spans="66:69" x14ac:dyDescent="0.2">
      <c r="BN16891" s="192"/>
      <c r="BO16891" s="197"/>
      <c r="BP16891" s="197"/>
      <c r="BQ16891" s="197"/>
    </row>
    <row r="16892" spans="66:69" x14ac:dyDescent="0.2">
      <c r="BN16892" s="192"/>
      <c r="BO16892" s="197"/>
      <c r="BP16892" s="197"/>
      <c r="BQ16892" s="197"/>
    </row>
    <row r="16893" spans="66:69" x14ac:dyDescent="0.2">
      <c r="BN16893" s="192"/>
      <c r="BO16893" s="197"/>
      <c r="BP16893" s="197"/>
      <c r="BQ16893" s="197"/>
    </row>
    <row r="16894" spans="66:69" x14ac:dyDescent="0.2">
      <c r="BN16894" s="192"/>
      <c r="BO16894" s="197"/>
      <c r="BP16894" s="197"/>
      <c r="BQ16894" s="197"/>
    </row>
    <row r="16895" spans="66:69" x14ac:dyDescent="0.2">
      <c r="BN16895" s="192"/>
      <c r="BO16895" s="197"/>
      <c r="BP16895" s="197"/>
      <c r="BQ16895" s="197"/>
    </row>
    <row r="16896" spans="66:69" x14ac:dyDescent="0.2">
      <c r="BN16896" s="192"/>
      <c r="BO16896" s="197"/>
      <c r="BP16896" s="197"/>
      <c r="BQ16896" s="197"/>
    </row>
    <row r="16897" spans="66:69" x14ac:dyDescent="0.2">
      <c r="BN16897" s="192"/>
      <c r="BO16897" s="197"/>
      <c r="BP16897" s="197"/>
      <c r="BQ16897" s="197"/>
    </row>
    <row r="16898" spans="66:69" x14ac:dyDescent="0.2">
      <c r="BN16898" s="192"/>
      <c r="BO16898" s="197"/>
      <c r="BP16898" s="197"/>
      <c r="BQ16898" s="197"/>
    </row>
    <row r="16899" spans="66:69" x14ac:dyDescent="0.2">
      <c r="BN16899" s="192"/>
      <c r="BO16899" s="197"/>
      <c r="BP16899" s="197"/>
      <c r="BQ16899" s="197"/>
    </row>
    <row r="16900" spans="66:69" x14ac:dyDescent="0.2">
      <c r="BN16900" s="192"/>
      <c r="BO16900" s="197"/>
      <c r="BP16900" s="197"/>
      <c r="BQ16900" s="197"/>
    </row>
    <row r="16901" spans="66:69" x14ac:dyDescent="0.2">
      <c r="BN16901" s="192"/>
      <c r="BO16901" s="197"/>
      <c r="BP16901" s="197"/>
      <c r="BQ16901" s="197"/>
    </row>
    <row r="16902" spans="66:69" x14ac:dyDescent="0.2">
      <c r="BN16902" s="192"/>
      <c r="BO16902" s="197"/>
      <c r="BP16902" s="197"/>
      <c r="BQ16902" s="197"/>
    </row>
    <row r="16903" spans="66:69" x14ac:dyDescent="0.2">
      <c r="BN16903" s="192"/>
      <c r="BO16903" s="197"/>
      <c r="BP16903" s="197"/>
      <c r="BQ16903" s="197"/>
    </row>
    <row r="16904" spans="66:69" x14ac:dyDescent="0.2">
      <c r="BN16904" s="192"/>
      <c r="BO16904" s="197"/>
      <c r="BP16904" s="197"/>
      <c r="BQ16904" s="197"/>
    </row>
    <row r="16905" spans="66:69" x14ac:dyDescent="0.2">
      <c r="BN16905" s="192"/>
      <c r="BO16905" s="197"/>
      <c r="BP16905" s="197"/>
      <c r="BQ16905" s="197"/>
    </row>
    <row r="16906" spans="66:69" x14ac:dyDescent="0.2">
      <c r="BN16906" s="192"/>
      <c r="BO16906" s="197"/>
      <c r="BP16906" s="197"/>
      <c r="BQ16906" s="197"/>
    </row>
    <row r="16907" spans="66:69" x14ac:dyDescent="0.2">
      <c r="BN16907" s="192"/>
      <c r="BO16907" s="197"/>
      <c r="BP16907" s="197"/>
      <c r="BQ16907" s="197"/>
    </row>
    <row r="16908" spans="66:69" x14ac:dyDescent="0.2">
      <c r="BN16908" s="192"/>
      <c r="BO16908" s="197"/>
      <c r="BP16908" s="197"/>
      <c r="BQ16908" s="197"/>
    </row>
    <row r="16909" spans="66:69" x14ac:dyDescent="0.2">
      <c r="BN16909" s="192"/>
      <c r="BO16909" s="197"/>
      <c r="BP16909" s="197"/>
      <c r="BQ16909" s="197"/>
    </row>
    <row r="16910" spans="66:69" x14ac:dyDescent="0.2">
      <c r="BN16910" s="192"/>
      <c r="BO16910" s="197"/>
      <c r="BP16910" s="197"/>
      <c r="BQ16910" s="197"/>
    </row>
    <row r="16911" spans="66:69" x14ac:dyDescent="0.2">
      <c r="BN16911" s="192"/>
      <c r="BO16911" s="197"/>
      <c r="BP16911" s="197"/>
      <c r="BQ16911" s="197"/>
    </row>
    <row r="16912" spans="66:69" x14ac:dyDescent="0.2">
      <c r="BN16912" s="192"/>
      <c r="BO16912" s="197"/>
      <c r="BP16912" s="197"/>
      <c r="BQ16912" s="197"/>
    </row>
    <row r="16913" spans="66:69" x14ac:dyDescent="0.2">
      <c r="BN16913" s="192"/>
      <c r="BO16913" s="197"/>
      <c r="BP16913" s="197"/>
      <c r="BQ16913" s="197"/>
    </row>
    <row r="16914" spans="66:69" x14ac:dyDescent="0.2">
      <c r="BN16914" s="192"/>
      <c r="BO16914" s="197"/>
      <c r="BP16914" s="197"/>
      <c r="BQ16914" s="197"/>
    </row>
    <row r="16915" spans="66:69" x14ac:dyDescent="0.2">
      <c r="BN16915" s="192"/>
      <c r="BO16915" s="197"/>
      <c r="BP16915" s="197"/>
      <c r="BQ16915" s="197"/>
    </row>
    <row r="16916" spans="66:69" x14ac:dyDescent="0.2">
      <c r="BN16916" s="192"/>
      <c r="BO16916" s="197"/>
      <c r="BP16916" s="197"/>
      <c r="BQ16916" s="197"/>
    </row>
    <row r="16917" spans="66:69" x14ac:dyDescent="0.2">
      <c r="BN16917" s="192"/>
      <c r="BO16917" s="197"/>
      <c r="BP16917" s="197"/>
      <c r="BQ16917" s="197"/>
    </row>
    <row r="16918" spans="66:69" x14ac:dyDescent="0.2">
      <c r="BN16918" s="192"/>
      <c r="BO16918" s="197"/>
      <c r="BP16918" s="197"/>
      <c r="BQ16918" s="197"/>
    </row>
    <row r="16919" spans="66:69" x14ac:dyDescent="0.2">
      <c r="BN16919" s="192"/>
      <c r="BO16919" s="197"/>
      <c r="BP16919" s="197"/>
      <c r="BQ16919" s="197"/>
    </row>
    <row r="16920" spans="66:69" x14ac:dyDescent="0.2">
      <c r="BN16920" s="192"/>
      <c r="BO16920" s="197"/>
      <c r="BP16920" s="197"/>
      <c r="BQ16920" s="197"/>
    </row>
    <row r="16921" spans="66:69" x14ac:dyDescent="0.2">
      <c r="BN16921" s="192"/>
      <c r="BO16921" s="197"/>
      <c r="BP16921" s="197"/>
      <c r="BQ16921" s="197"/>
    </row>
    <row r="16922" spans="66:69" x14ac:dyDescent="0.2">
      <c r="BN16922" s="192"/>
      <c r="BO16922" s="197"/>
      <c r="BP16922" s="197"/>
      <c r="BQ16922" s="197"/>
    </row>
    <row r="16923" spans="66:69" x14ac:dyDescent="0.2">
      <c r="BN16923" s="192"/>
      <c r="BO16923" s="197"/>
      <c r="BP16923" s="197"/>
      <c r="BQ16923" s="197"/>
    </row>
    <row r="16924" spans="66:69" x14ac:dyDescent="0.2">
      <c r="BN16924" s="192"/>
      <c r="BO16924" s="197"/>
      <c r="BP16924" s="197"/>
      <c r="BQ16924" s="197"/>
    </row>
    <row r="16925" spans="66:69" x14ac:dyDescent="0.2">
      <c r="BN16925" s="192"/>
      <c r="BO16925" s="197"/>
      <c r="BP16925" s="197"/>
      <c r="BQ16925" s="197"/>
    </row>
    <row r="16926" spans="66:69" x14ac:dyDescent="0.2">
      <c r="BN16926" s="192"/>
      <c r="BO16926" s="197"/>
      <c r="BP16926" s="197"/>
      <c r="BQ16926" s="197"/>
    </row>
    <row r="16927" spans="66:69" x14ac:dyDescent="0.2">
      <c r="BN16927" s="192"/>
      <c r="BO16927" s="197"/>
      <c r="BP16927" s="197"/>
      <c r="BQ16927" s="197"/>
    </row>
    <row r="16928" spans="66:69" x14ac:dyDescent="0.2">
      <c r="BN16928" s="192"/>
      <c r="BO16928" s="197"/>
      <c r="BP16928" s="197"/>
      <c r="BQ16928" s="197"/>
    </row>
    <row r="16929" spans="66:69" x14ac:dyDescent="0.2">
      <c r="BN16929" s="192"/>
      <c r="BO16929" s="197"/>
      <c r="BP16929" s="197"/>
      <c r="BQ16929" s="197"/>
    </row>
    <row r="16930" spans="66:69" x14ac:dyDescent="0.2">
      <c r="BN16930" s="192"/>
      <c r="BO16930" s="197"/>
      <c r="BP16930" s="197"/>
      <c r="BQ16930" s="197"/>
    </row>
    <row r="16931" spans="66:69" x14ac:dyDescent="0.2">
      <c r="BN16931" s="192"/>
      <c r="BO16931" s="197"/>
      <c r="BP16931" s="197"/>
      <c r="BQ16931" s="197"/>
    </row>
    <row r="16932" spans="66:69" x14ac:dyDescent="0.2">
      <c r="BN16932" s="192"/>
      <c r="BO16932" s="197"/>
      <c r="BP16932" s="197"/>
      <c r="BQ16932" s="197"/>
    </row>
    <row r="16933" spans="66:69" x14ac:dyDescent="0.2">
      <c r="BN16933" s="192"/>
      <c r="BO16933" s="197"/>
      <c r="BP16933" s="197"/>
      <c r="BQ16933" s="197"/>
    </row>
    <row r="16934" spans="66:69" x14ac:dyDescent="0.2">
      <c r="BN16934" s="192"/>
      <c r="BO16934" s="197"/>
      <c r="BP16934" s="197"/>
      <c r="BQ16934" s="197"/>
    </row>
    <row r="16935" spans="66:69" x14ac:dyDescent="0.2">
      <c r="BN16935" s="192"/>
      <c r="BO16935" s="197"/>
      <c r="BP16935" s="197"/>
      <c r="BQ16935" s="197"/>
    </row>
    <row r="16936" spans="66:69" x14ac:dyDescent="0.2">
      <c r="BN16936" s="192"/>
      <c r="BO16936" s="197"/>
      <c r="BP16936" s="197"/>
      <c r="BQ16936" s="197"/>
    </row>
    <row r="16937" spans="66:69" x14ac:dyDescent="0.2">
      <c r="BN16937" s="192"/>
      <c r="BO16937" s="197"/>
      <c r="BP16937" s="197"/>
      <c r="BQ16937" s="197"/>
    </row>
    <row r="16938" spans="66:69" x14ac:dyDescent="0.2">
      <c r="BN16938" s="192"/>
      <c r="BO16938" s="197"/>
      <c r="BP16938" s="197"/>
      <c r="BQ16938" s="197"/>
    </row>
    <row r="16939" spans="66:69" x14ac:dyDescent="0.2">
      <c r="BN16939" s="192"/>
      <c r="BO16939" s="197"/>
      <c r="BP16939" s="197"/>
      <c r="BQ16939" s="197"/>
    </row>
    <row r="16940" spans="66:69" x14ac:dyDescent="0.2">
      <c r="BN16940" s="192"/>
      <c r="BO16940" s="197"/>
      <c r="BP16940" s="197"/>
      <c r="BQ16940" s="197"/>
    </row>
    <row r="16941" spans="66:69" x14ac:dyDescent="0.2">
      <c r="BN16941" s="192"/>
      <c r="BO16941" s="197"/>
      <c r="BP16941" s="197"/>
      <c r="BQ16941" s="197"/>
    </row>
    <row r="16942" spans="66:69" x14ac:dyDescent="0.2">
      <c r="BN16942" s="192"/>
      <c r="BO16942" s="197"/>
      <c r="BP16942" s="197"/>
      <c r="BQ16942" s="197"/>
    </row>
    <row r="16943" spans="66:69" x14ac:dyDescent="0.2">
      <c r="BN16943" s="192"/>
      <c r="BO16943" s="197"/>
      <c r="BP16943" s="197"/>
      <c r="BQ16943" s="197"/>
    </row>
    <row r="16944" spans="66:69" x14ac:dyDescent="0.2">
      <c r="BN16944" s="192"/>
      <c r="BO16944" s="197"/>
      <c r="BP16944" s="197"/>
      <c r="BQ16944" s="197"/>
    </row>
    <row r="16945" spans="66:69" x14ac:dyDescent="0.2">
      <c r="BN16945" s="192"/>
      <c r="BO16945" s="197"/>
      <c r="BP16945" s="197"/>
      <c r="BQ16945" s="197"/>
    </row>
    <row r="16946" spans="66:69" x14ac:dyDescent="0.2">
      <c r="BN16946" s="192"/>
      <c r="BO16946" s="197"/>
      <c r="BP16946" s="197"/>
      <c r="BQ16946" s="197"/>
    </row>
    <row r="16947" spans="66:69" x14ac:dyDescent="0.2">
      <c r="BN16947" s="192"/>
      <c r="BO16947" s="197"/>
      <c r="BP16947" s="197"/>
      <c r="BQ16947" s="197"/>
    </row>
    <row r="16948" spans="66:69" x14ac:dyDescent="0.2">
      <c r="BN16948" s="192"/>
      <c r="BO16948" s="197"/>
      <c r="BP16948" s="197"/>
      <c r="BQ16948" s="197"/>
    </row>
    <row r="16949" spans="66:69" x14ac:dyDescent="0.2">
      <c r="BN16949" s="192"/>
      <c r="BO16949" s="197"/>
      <c r="BP16949" s="197"/>
      <c r="BQ16949" s="197"/>
    </row>
    <row r="16950" spans="66:69" x14ac:dyDescent="0.2">
      <c r="BN16950" s="192"/>
      <c r="BO16950" s="197"/>
      <c r="BP16950" s="197"/>
      <c r="BQ16950" s="197"/>
    </row>
    <row r="16951" spans="66:69" x14ac:dyDescent="0.2">
      <c r="BN16951" s="192"/>
      <c r="BO16951" s="197"/>
      <c r="BP16951" s="197"/>
      <c r="BQ16951" s="197"/>
    </row>
    <row r="16952" spans="66:69" x14ac:dyDescent="0.2">
      <c r="BN16952" s="192"/>
      <c r="BO16952" s="197"/>
      <c r="BP16952" s="197"/>
      <c r="BQ16952" s="197"/>
    </row>
    <row r="16953" spans="66:69" x14ac:dyDescent="0.2">
      <c r="BN16953" s="192"/>
      <c r="BO16953" s="197"/>
      <c r="BP16953" s="197"/>
      <c r="BQ16953" s="197"/>
    </row>
    <row r="16954" spans="66:69" x14ac:dyDescent="0.2">
      <c r="BN16954" s="192"/>
      <c r="BO16954" s="197"/>
      <c r="BP16954" s="197"/>
      <c r="BQ16954" s="197"/>
    </row>
    <row r="16955" spans="66:69" x14ac:dyDescent="0.2">
      <c r="BN16955" s="192"/>
      <c r="BO16955" s="197"/>
      <c r="BP16955" s="197"/>
      <c r="BQ16955" s="197"/>
    </row>
    <row r="16956" spans="66:69" x14ac:dyDescent="0.2">
      <c r="BN16956" s="192"/>
      <c r="BO16956" s="197"/>
      <c r="BP16956" s="197"/>
      <c r="BQ16956" s="197"/>
    </row>
    <row r="16957" spans="66:69" x14ac:dyDescent="0.2">
      <c r="BN16957" s="192"/>
      <c r="BO16957" s="197"/>
      <c r="BP16957" s="197"/>
      <c r="BQ16957" s="197"/>
    </row>
    <row r="16958" spans="66:69" x14ac:dyDescent="0.2">
      <c r="BN16958" s="192"/>
      <c r="BO16958" s="197"/>
      <c r="BP16958" s="197"/>
      <c r="BQ16958" s="197"/>
    </row>
    <row r="16959" spans="66:69" x14ac:dyDescent="0.2">
      <c r="BN16959" s="192"/>
      <c r="BO16959" s="197"/>
      <c r="BP16959" s="197"/>
      <c r="BQ16959" s="197"/>
    </row>
    <row r="16960" spans="66:69" x14ac:dyDescent="0.2">
      <c r="BN16960" s="192"/>
      <c r="BO16960" s="197"/>
      <c r="BP16960" s="197"/>
      <c r="BQ16960" s="197"/>
    </row>
    <row r="16961" spans="66:69" x14ac:dyDescent="0.2">
      <c r="BN16961" s="192"/>
      <c r="BO16961" s="197"/>
      <c r="BP16961" s="197"/>
      <c r="BQ16961" s="197"/>
    </row>
    <row r="16962" spans="66:69" x14ac:dyDescent="0.2">
      <c r="BN16962" s="192"/>
      <c r="BO16962" s="197"/>
      <c r="BP16962" s="197"/>
      <c r="BQ16962" s="197"/>
    </row>
    <row r="16963" spans="66:69" x14ac:dyDescent="0.2">
      <c r="BN16963" s="192"/>
      <c r="BO16963" s="197"/>
      <c r="BP16963" s="197"/>
      <c r="BQ16963" s="197"/>
    </row>
    <row r="16964" spans="66:69" x14ac:dyDescent="0.2">
      <c r="BN16964" s="192"/>
      <c r="BO16964" s="197"/>
      <c r="BP16964" s="197"/>
      <c r="BQ16964" s="197"/>
    </row>
    <row r="16965" spans="66:69" x14ac:dyDescent="0.2">
      <c r="BN16965" s="192"/>
      <c r="BO16965" s="197"/>
      <c r="BP16965" s="197"/>
      <c r="BQ16965" s="197"/>
    </row>
    <row r="16966" spans="66:69" x14ac:dyDescent="0.2">
      <c r="BN16966" s="192"/>
      <c r="BO16966" s="197"/>
      <c r="BP16966" s="197"/>
      <c r="BQ16966" s="197"/>
    </row>
    <row r="16967" spans="66:69" x14ac:dyDescent="0.2">
      <c r="BN16967" s="192"/>
      <c r="BO16967" s="197"/>
      <c r="BP16967" s="197"/>
      <c r="BQ16967" s="197"/>
    </row>
    <row r="16968" spans="66:69" x14ac:dyDescent="0.2">
      <c r="BN16968" s="192"/>
      <c r="BO16968" s="197"/>
      <c r="BP16968" s="197"/>
      <c r="BQ16968" s="197"/>
    </row>
    <row r="16969" spans="66:69" x14ac:dyDescent="0.2">
      <c r="BN16969" s="192"/>
      <c r="BO16969" s="197"/>
      <c r="BP16969" s="197"/>
      <c r="BQ16969" s="197"/>
    </row>
    <row r="16970" spans="66:69" x14ac:dyDescent="0.2">
      <c r="BN16970" s="192"/>
      <c r="BO16970" s="197"/>
      <c r="BP16970" s="197"/>
      <c r="BQ16970" s="197"/>
    </row>
    <row r="16971" spans="66:69" x14ac:dyDescent="0.2">
      <c r="BN16971" s="192"/>
      <c r="BO16971" s="197"/>
      <c r="BP16971" s="197"/>
      <c r="BQ16971" s="197"/>
    </row>
    <row r="16972" spans="66:69" x14ac:dyDescent="0.2">
      <c r="BN16972" s="192"/>
      <c r="BO16972" s="197"/>
      <c r="BP16972" s="197"/>
      <c r="BQ16972" s="197"/>
    </row>
    <row r="16973" spans="66:69" x14ac:dyDescent="0.2">
      <c r="BN16973" s="192"/>
      <c r="BO16973" s="197"/>
      <c r="BP16973" s="197"/>
      <c r="BQ16973" s="197"/>
    </row>
    <row r="16974" spans="66:69" x14ac:dyDescent="0.2">
      <c r="BN16974" s="192"/>
      <c r="BO16974" s="197"/>
      <c r="BP16974" s="197"/>
      <c r="BQ16974" s="197"/>
    </row>
    <row r="16975" spans="66:69" x14ac:dyDescent="0.2">
      <c r="BN16975" s="192"/>
      <c r="BO16975" s="197"/>
      <c r="BP16975" s="197"/>
      <c r="BQ16975" s="197"/>
    </row>
    <row r="16976" spans="66:69" x14ac:dyDescent="0.2">
      <c r="BN16976" s="192"/>
      <c r="BO16976" s="197"/>
      <c r="BP16976" s="197"/>
      <c r="BQ16976" s="197"/>
    </row>
    <row r="16977" spans="66:69" x14ac:dyDescent="0.2">
      <c r="BN16977" s="192"/>
      <c r="BO16977" s="197"/>
      <c r="BP16977" s="197"/>
      <c r="BQ16977" s="197"/>
    </row>
    <row r="16978" spans="66:69" x14ac:dyDescent="0.2">
      <c r="BN16978" s="192"/>
      <c r="BO16978" s="197"/>
      <c r="BP16978" s="197"/>
      <c r="BQ16978" s="197"/>
    </row>
    <row r="16979" spans="66:69" x14ac:dyDescent="0.2">
      <c r="BN16979" s="192"/>
      <c r="BO16979" s="197"/>
      <c r="BP16979" s="197"/>
      <c r="BQ16979" s="197"/>
    </row>
    <row r="16980" spans="66:69" x14ac:dyDescent="0.2">
      <c r="BN16980" s="192"/>
      <c r="BO16980" s="197"/>
      <c r="BP16980" s="197"/>
      <c r="BQ16980" s="197"/>
    </row>
    <row r="16981" spans="66:69" x14ac:dyDescent="0.2">
      <c r="BN16981" s="192"/>
      <c r="BO16981" s="197"/>
      <c r="BP16981" s="197"/>
      <c r="BQ16981" s="197"/>
    </row>
    <row r="16982" spans="66:69" x14ac:dyDescent="0.2">
      <c r="BN16982" s="192"/>
      <c r="BO16982" s="197"/>
      <c r="BP16982" s="197"/>
      <c r="BQ16982" s="197"/>
    </row>
    <row r="16983" spans="66:69" x14ac:dyDescent="0.2">
      <c r="BN16983" s="192"/>
      <c r="BO16983" s="197"/>
      <c r="BP16983" s="197"/>
      <c r="BQ16983" s="197"/>
    </row>
    <row r="16984" spans="66:69" x14ac:dyDescent="0.2">
      <c r="BN16984" s="192"/>
      <c r="BO16984" s="197"/>
      <c r="BP16984" s="197"/>
      <c r="BQ16984" s="197"/>
    </row>
    <row r="16985" spans="66:69" x14ac:dyDescent="0.2">
      <c r="BN16985" s="192"/>
      <c r="BO16985" s="197"/>
      <c r="BP16985" s="197"/>
      <c r="BQ16985" s="197"/>
    </row>
    <row r="16986" spans="66:69" x14ac:dyDescent="0.2">
      <c r="BN16986" s="192"/>
      <c r="BO16986" s="197"/>
      <c r="BP16986" s="197"/>
      <c r="BQ16986" s="197"/>
    </row>
    <row r="16987" spans="66:69" x14ac:dyDescent="0.2">
      <c r="BN16987" s="192"/>
      <c r="BO16987" s="197"/>
      <c r="BP16987" s="197"/>
      <c r="BQ16987" s="197"/>
    </row>
    <row r="16988" spans="66:69" x14ac:dyDescent="0.2">
      <c r="BN16988" s="192"/>
      <c r="BO16988" s="197"/>
      <c r="BP16988" s="197"/>
      <c r="BQ16988" s="197"/>
    </row>
    <row r="16989" spans="66:69" x14ac:dyDescent="0.2">
      <c r="BN16989" s="192"/>
      <c r="BO16989" s="197"/>
      <c r="BP16989" s="197"/>
      <c r="BQ16989" s="197"/>
    </row>
    <row r="16990" spans="66:69" x14ac:dyDescent="0.2">
      <c r="BN16990" s="192"/>
      <c r="BO16990" s="197"/>
      <c r="BP16990" s="197"/>
      <c r="BQ16990" s="197"/>
    </row>
    <row r="16991" spans="66:69" x14ac:dyDescent="0.2">
      <c r="BN16991" s="192"/>
      <c r="BO16991" s="197"/>
      <c r="BP16991" s="197"/>
      <c r="BQ16991" s="197"/>
    </row>
    <row r="16992" spans="66:69" x14ac:dyDescent="0.2">
      <c r="BN16992" s="192"/>
      <c r="BO16992" s="197"/>
      <c r="BP16992" s="197"/>
      <c r="BQ16992" s="197"/>
    </row>
    <row r="16993" spans="66:69" x14ac:dyDescent="0.2">
      <c r="BN16993" s="192"/>
      <c r="BO16993" s="197"/>
      <c r="BP16993" s="197"/>
      <c r="BQ16993" s="197"/>
    </row>
    <row r="16994" spans="66:69" x14ac:dyDescent="0.2">
      <c r="BN16994" s="192"/>
      <c r="BO16994" s="197"/>
      <c r="BP16994" s="197"/>
      <c r="BQ16994" s="197"/>
    </row>
    <row r="16995" spans="66:69" x14ac:dyDescent="0.2">
      <c r="BN16995" s="192"/>
      <c r="BO16995" s="197"/>
      <c r="BP16995" s="197"/>
      <c r="BQ16995" s="197"/>
    </row>
    <row r="16996" spans="66:69" x14ac:dyDescent="0.2">
      <c r="BN16996" s="192"/>
      <c r="BO16996" s="197"/>
      <c r="BP16996" s="197"/>
      <c r="BQ16996" s="197"/>
    </row>
    <row r="16997" spans="66:69" x14ac:dyDescent="0.2">
      <c r="BN16997" s="192"/>
      <c r="BO16997" s="197"/>
      <c r="BP16997" s="197"/>
      <c r="BQ16997" s="197"/>
    </row>
    <row r="16998" spans="66:69" x14ac:dyDescent="0.2">
      <c r="BN16998" s="192"/>
      <c r="BO16998" s="197"/>
      <c r="BP16998" s="197"/>
      <c r="BQ16998" s="197"/>
    </row>
    <row r="16999" spans="66:69" x14ac:dyDescent="0.2">
      <c r="BN16999" s="192"/>
      <c r="BO16999" s="197"/>
      <c r="BP16999" s="197"/>
      <c r="BQ16999" s="197"/>
    </row>
    <row r="17000" spans="66:69" x14ac:dyDescent="0.2">
      <c r="BN17000" s="192"/>
      <c r="BO17000" s="197"/>
      <c r="BP17000" s="197"/>
      <c r="BQ17000" s="197"/>
    </row>
    <row r="17001" spans="66:69" x14ac:dyDescent="0.2">
      <c r="BN17001" s="192"/>
      <c r="BO17001" s="197"/>
      <c r="BP17001" s="197"/>
      <c r="BQ17001" s="197"/>
    </row>
    <row r="17002" spans="66:69" x14ac:dyDescent="0.2">
      <c r="BN17002" s="192"/>
      <c r="BO17002" s="197"/>
      <c r="BP17002" s="197"/>
      <c r="BQ17002" s="197"/>
    </row>
    <row r="17003" spans="66:69" x14ac:dyDescent="0.2">
      <c r="BN17003" s="192"/>
      <c r="BO17003" s="197"/>
      <c r="BP17003" s="197"/>
      <c r="BQ17003" s="197"/>
    </row>
    <row r="17004" spans="66:69" x14ac:dyDescent="0.2">
      <c r="BN17004" s="192"/>
      <c r="BO17004" s="197"/>
      <c r="BP17004" s="197"/>
      <c r="BQ17004" s="197"/>
    </row>
    <row r="17005" spans="66:69" x14ac:dyDescent="0.2">
      <c r="BN17005" s="192"/>
      <c r="BO17005" s="197"/>
      <c r="BP17005" s="197"/>
      <c r="BQ17005" s="197"/>
    </row>
    <row r="17006" spans="66:69" x14ac:dyDescent="0.2">
      <c r="BN17006" s="192"/>
      <c r="BO17006" s="197"/>
      <c r="BP17006" s="197"/>
      <c r="BQ17006" s="197"/>
    </row>
    <row r="17007" spans="66:69" x14ac:dyDescent="0.2">
      <c r="BN17007" s="192"/>
      <c r="BO17007" s="197"/>
      <c r="BP17007" s="197"/>
      <c r="BQ17007" s="197"/>
    </row>
    <row r="17008" spans="66:69" x14ac:dyDescent="0.2">
      <c r="BN17008" s="192"/>
      <c r="BO17008" s="197"/>
      <c r="BP17008" s="197"/>
      <c r="BQ17008" s="197"/>
    </row>
    <row r="17009" spans="66:69" x14ac:dyDescent="0.2">
      <c r="BN17009" s="192"/>
      <c r="BO17009" s="197"/>
      <c r="BP17009" s="197"/>
      <c r="BQ17009" s="197"/>
    </row>
    <row r="17010" spans="66:69" x14ac:dyDescent="0.2">
      <c r="BN17010" s="192"/>
      <c r="BO17010" s="197"/>
      <c r="BP17010" s="197"/>
      <c r="BQ17010" s="197"/>
    </row>
    <row r="17011" spans="66:69" x14ac:dyDescent="0.2">
      <c r="BN17011" s="192"/>
      <c r="BO17011" s="197"/>
      <c r="BP17011" s="197"/>
      <c r="BQ17011" s="197"/>
    </row>
    <row r="17012" spans="66:69" x14ac:dyDescent="0.2">
      <c r="BN17012" s="192"/>
      <c r="BO17012" s="197"/>
      <c r="BP17012" s="197"/>
      <c r="BQ17012" s="197"/>
    </row>
    <row r="17013" spans="66:69" x14ac:dyDescent="0.2">
      <c r="BN17013" s="192"/>
      <c r="BO17013" s="197"/>
      <c r="BP17013" s="197"/>
      <c r="BQ17013" s="197"/>
    </row>
    <row r="17014" spans="66:69" x14ac:dyDescent="0.2">
      <c r="BN17014" s="192"/>
      <c r="BO17014" s="197"/>
      <c r="BP17014" s="197"/>
      <c r="BQ17014" s="197"/>
    </row>
    <row r="17015" spans="66:69" x14ac:dyDescent="0.2">
      <c r="BN17015" s="192"/>
      <c r="BO17015" s="197"/>
      <c r="BP17015" s="197"/>
      <c r="BQ17015" s="197"/>
    </row>
    <row r="17016" spans="66:69" x14ac:dyDescent="0.2">
      <c r="BN17016" s="192"/>
      <c r="BO17016" s="197"/>
      <c r="BP17016" s="197"/>
      <c r="BQ17016" s="197"/>
    </row>
    <row r="17017" spans="66:69" x14ac:dyDescent="0.2">
      <c r="BN17017" s="192"/>
      <c r="BO17017" s="197"/>
      <c r="BP17017" s="197"/>
      <c r="BQ17017" s="197"/>
    </row>
    <row r="17018" spans="66:69" x14ac:dyDescent="0.2">
      <c r="BN17018" s="192"/>
      <c r="BO17018" s="197"/>
      <c r="BP17018" s="197"/>
      <c r="BQ17018" s="197"/>
    </row>
    <row r="17019" spans="66:69" x14ac:dyDescent="0.2">
      <c r="BN17019" s="192"/>
      <c r="BO17019" s="197"/>
      <c r="BP17019" s="197"/>
      <c r="BQ17019" s="197"/>
    </row>
    <row r="17020" spans="66:69" x14ac:dyDescent="0.2">
      <c r="BN17020" s="192"/>
      <c r="BO17020" s="197"/>
      <c r="BP17020" s="197"/>
      <c r="BQ17020" s="197"/>
    </row>
    <row r="17021" spans="66:69" x14ac:dyDescent="0.2">
      <c r="BN17021" s="192"/>
      <c r="BO17021" s="197"/>
      <c r="BP17021" s="197"/>
      <c r="BQ17021" s="197"/>
    </row>
    <row r="17022" spans="66:69" x14ac:dyDescent="0.2">
      <c r="BN17022" s="192"/>
      <c r="BO17022" s="197"/>
      <c r="BP17022" s="197"/>
      <c r="BQ17022" s="197"/>
    </row>
    <row r="17023" spans="66:69" x14ac:dyDescent="0.2">
      <c r="BN17023" s="192"/>
      <c r="BO17023" s="197"/>
      <c r="BP17023" s="197"/>
      <c r="BQ17023" s="197"/>
    </row>
    <row r="17024" spans="66:69" x14ac:dyDescent="0.2">
      <c r="BN17024" s="192"/>
      <c r="BO17024" s="197"/>
      <c r="BP17024" s="197"/>
      <c r="BQ17024" s="197"/>
    </row>
    <row r="17025" spans="66:69" x14ac:dyDescent="0.2">
      <c r="BN17025" s="192"/>
      <c r="BO17025" s="197"/>
      <c r="BP17025" s="197"/>
      <c r="BQ17025" s="197"/>
    </row>
    <row r="17026" spans="66:69" x14ac:dyDescent="0.2">
      <c r="BN17026" s="192"/>
      <c r="BO17026" s="197"/>
      <c r="BP17026" s="197"/>
      <c r="BQ17026" s="197"/>
    </row>
    <row r="17027" spans="66:69" x14ac:dyDescent="0.2">
      <c r="BN17027" s="192"/>
      <c r="BO17027" s="197"/>
      <c r="BP17027" s="197"/>
      <c r="BQ17027" s="197"/>
    </row>
    <row r="17028" spans="66:69" x14ac:dyDescent="0.2">
      <c r="BN17028" s="192"/>
      <c r="BO17028" s="197"/>
      <c r="BP17028" s="197"/>
      <c r="BQ17028" s="197"/>
    </row>
    <row r="17029" spans="66:69" x14ac:dyDescent="0.2">
      <c r="BN17029" s="192"/>
      <c r="BO17029" s="197"/>
      <c r="BP17029" s="197"/>
      <c r="BQ17029" s="197"/>
    </row>
    <row r="17030" spans="66:69" x14ac:dyDescent="0.2">
      <c r="BN17030" s="192"/>
      <c r="BO17030" s="197"/>
      <c r="BP17030" s="197"/>
      <c r="BQ17030" s="197"/>
    </row>
    <row r="17031" spans="66:69" x14ac:dyDescent="0.2">
      <c r="BN17031" s="192"/>
      <c r="BO17031" s="197"/>
      <c r="BP17031" s="197"/>
      <c r="BQ17031" s="197"/>
    </row>
    <row r="17032" spans="66:69" x14ac:dyDescent="0.2">
      <c r="BN17032" s="192"/>
      <c r="BO17032" s="197"/>
      <c r="BP17032" s="197"/>
      <c r="BQ17032" s="197"/>
    </row>
    <row r="17033" spans="66:69" x14ac:dyDescent="0.2">
      <c r="BN17033" s="192"/>
      <c r="BO17033" s="197"/>
      <c r="BP17033" s="197"/>
      <c r="BQ17033" s="197"/>
    </row>
    <row r="17034" spans="66:69" x14ac:dyDescent="0.2">
      <c r="BN17034" s="192"/>
      <c r="BO17034" s="197"/>
      <c r="BP17034" s="197"/>
      <c r="BQ17034" s="197"/>
    </row>
    <row r="17035" spans="66:69" x14ac:dyDescent="0.2">
      <c r="BN17035" s="192"/>
      <c r="BO17035" s="197"/>
      <c r="BP17035" s="197"/>
      <c r="BQ17035" s="197"/>
    </row>
    <row r="17036" spans="66:69" x14ac:dyDescent="0.2">
      <c r="BN17036" s="192"/>
      <c r="BO17036" s="197"/>
      <c r="BP17036" s="197"/>
      <c r="BQ17036" s="197"/>
    </row>
    <row r="17037" spans="66:69" x14ac:dyDescent="0.2">
      <c r="BN17037" s="192"/>
      <c r="BO17037" s="197"/>
      <c r="BP17037" s="197"/>
      <c r="BQ17037" s="197"/>
    </row>
    <row r="17038" spans="66:69" x14ac:dyDescent="0.2">
      <c r="BN17038" s="192"/>
      <c r="BO17038" s="197"/>
      <c r="BP17038" s="197"/>
      <c r="BQ17038" s="197"/>
    </row>
    <row r="17039" spans="66:69" x14ac:dyDescent="0.2">
      <c r="BN17039" s="192"/>
      <c r="BO17039" s="197"/>
      <c r="BP17039" s="197"/>
      <c r="BQ17039" s="197"/>
    </row>
    <row r="17040" spans="66:69" x14ac:dyDescent="0.2">
      <c r="BN17040" s="192"/>
      <c r="BO17040" s="197"/>
      <c r="BP17040" s="197"/>
      <c r="BQ17040" s="197"/>
    </row>
    <row r="17041" spans="66:69" x14ac:dyDescent="0.2">
      <c r="BN17041" s="192"/>
      <c r="BO17041" s="197"/>
      <c r="BP17041" s="197"/>
      <c r="BQ17041" s="197"/>
    </row>
    <row r="17042" spans="66:69" x14ac:dyDescent="0.2">
      <c r="BN17042" s="192"/>
      <c r="BO17042" s="197"/>
      <c r="BP17042" s="197"/>
      <c r="BQ17042" s="197"/>
    </row>
    <row r="17043" spans="66:69" x14ac:dyDescent="0.2">
      <c r="BN17043" s="192"/>
      <c r="BO17043" s="197"/>
      <c r="BP17043" s="197"/>
      <c r="BQ17043" s="197"/>
    </row>
    <row r="17044" spans="66:69" x14ac:dyDescent="0.2">
      <c r="BN17044" s="192"/>
      <c r="BO17044" s="197"/>
      <c r="BP17044" s="197"/>
      <c r="BQ17044" s="197"/>
    </row>
    <row r="17045" spans="66:69" x14ac:dyDescent="0.2">
      <c r="BN17045" s="192"/>
      <c r="BO17045" s="197"/>
      <c r="BP17045" s="197"/>
      <c r="BQ17045" s="197"/>
    </row>
    <row r="17046" spans="66:69" x14ac:dyDescent="0.2">
      <c r="BN17046" s="192"/>
      <c r="BO17046" s="197"/>
      <c r="BP17046" s="197"/>
      <c r="BQ17046" s="197"/>
    </row>
    <row r="17047" spans="66:69" x14ac:dyDescent="0.2">
      <c r="BN17047" s="192"/>
      <c r="BO17047" s="197"/>
      <c r="BP17047" s="197"/>
      <c r="BQ17047" s="197"/>
    </row>
    <row r="17048" spans="66:69" x14ac:dyDescent="0.2">
      <c r="BN17048" s="192"/>
      <c r="BO17048" s="197"/>
      <c r="BP17048" s="197"/>
      <c r="BQ17048" s="197"/>
    </row>
    <row r="17049" spans="66:69" x14ac:dyDescent="0.2">
      <c r="BN17049" s="192"/>
      <c r="BO17049" s="197"/>
      <c r="BP17049" s="197"/>
      <c r="BQ17049" s="197"/>
    </row>
    <row r="17050" spans="66:69" x14ac:dyDescent="0.2">
      <c r="BN17050" s="192"/>
      <c r="BO17050" s="197"/>
      <c r="BP17050" s="197"/>
      <c r="BQ17050" s="197"/>
    </row>
    <row r="17051" spans="66:69" x14ac:dyDescent="0.2">
      <c r="BN17051" s="192"/>
      <c r="BO17051" s="197"/>
      <c r="BP17051" s="197"/>
      <c r="BQ17051" s="197"/>
    </row>
    <row r="17052" spans="66:69" x14ac:dyDescent="0.2">
      <c r="BN17052" s="192"/>
      <c r="BO17052" s="197"/>
      <c r="BP17052" s="197"/>
      <c r="BQ17052" s="197"/>
    </row>
    <row r="17053" spans="66:69" x14ac:dyDescent="0.2">
      <c r="BN17053" s="192"/>
      <c r="BO17053" s="197"/>
      <c r="BP17053" s="197"/>
      <c r="BQ17053" s="197"/>
    </row>
    <row r="17054" spans="66:69" x14ac:dyDescent="0.2">
      <c r="BN17054" s="192"/>
      <c r="BO17054" s="197"/>
      <c r="BP17054" s="197"/>
      <c r="BQ17054" s="197"/>
    </row>
    <row r="17055" spans="66:69" x14ac:dyDescent="0.2">
      <c r="BN17055" s="192"/>
      <c r="BO17055" s="197"/>
      <c r="BP17055" s="197"/>
      <c r="BQ17055" s="197"/>
    </row>
    <row r="17056" spans="66:69" x14ac:dyDescent="0.2">
      <c r="BN17056" s="192"/>
      <c r="BO17056" s="197"/>
      <c r="BP17056" s="197"/>
      <c r="BQ17056" s="197"/>
    </row>
    <row r="17057" spans="66:69" x14ac:dyDescent="0.2">
      <c r="BN17057" s="192"/>
      <c r="BO17057" s="197"/>
      <c r="BP17057" s="197"/>
      <c r="BQ17057" s="197"/>
    </row>
    <row r="17058" spans="66:69" x14ac:dyDescent="0.2">
      <c r="BN17058" s="192"/>
      <c r="BO17058" s="197"/>
      <c r="BP17058" s="197"/>
      <c r="BQ17058" s="197"/>
    </row>
    <row r="17059" spans="66:69" x14ac:dyDescent="0.2">
      <c r="BN17059" s="192"/>
      <c r="BO17059" s="197"/>
      <c r="BP17059" s="197"/>
      <c r="BQ17059" s="197"/>
    </row>
    <row r="17060" spans="66:69" x14ac:dyDescent="0.2">
      <c r="BN17060" s="192"/>
      <c r="BO17060" s="197"/>
      <c r="BP17060" s="197"/>
      <c r="BQ17060" s="197"/>
    </row>
    <row r="17061" spans="66:69" x14ac:dyDescent="0.2">
      <c r="BN17061" s="192"/>
      <c r="BO17061" s="197"/>
      <c r="BP17061" s="197"/>
      <c r="BQ17061" s="197"/>
    </row>
    <row r="17062" spans="66:69" x14ac:dyDescent="0.2">
      <c r="BN17062" s="192"/>
      <c r="BO17062" s="197"/>
      <c r="BP17062" s="197"/>
      <c r="BQ17062" s="197"/>
    </row>
    <row r="17063" spans="66:69" x14ac:dyDescent="0.2">
      <c r="BN17063" s="192"/>
      <c r="BO17063" s="197"/>
      <c r="BP17063" s="197"/>
      <c r="BQ17063" s="197"/>
    </row>
    <row r="17064" spans="66:69" x14ac:dyDescent="0.2">
      <c r="BN17064" s="192"/>
      <c r="BO17064" s="197"/>
      <c r="BP17064" s="197"/>
      <c r="BQ17064" s="197"/>
    </row>
    <row r="17065" spans="66:69" x14ac:dyDescent="0.2">
      <c r="BN17065" s="192"/>
      <c r="BO17065" s="197"/>
      <c r="BP17065" s="197"/>
      <c r="BQ17065" s="197"/>
    </row>
    <row r="17066" spans="66:69" x14ac:dyDescent="0.2">
      <c r="BN17066" s="192"/>
      <c r="BO17066" s="197"/>
      <c r="BP17066" s="197"/>
      <c r="BQ17066" s="197"/>
    </row>
    <row r="17067" spans="66:69" x14ac:dyDescent="0.2">
      <c r="BN17067" s="192"/>
      <c r="BO17067" s="197"/>
      <c r="BP17067" s="197"/>
      <c r="BQ17067" s="197"/>
    </row>
    <row r="17068" spans="66:69" x14ac:dyDescent="0.2">
      <c r="BN17068" s="192"/>
      <c r="BO17068" s="197"/>
      <c r="BP17068" s="197"/>
      <c r="BQ17068" s="197"/>
    </row>
    <row r="17069" spans="66:69" x14ac:dyDescent="0.2">
      <c r="BN17069" s="192"/>
      <c r="BO17069" s="197"/>
      <c r="BP17069" s="197"/>
      <c r="BQ17069" s="197"/>
    </row>
    <row r="17070" spans="66:69" x14ac:dyDescent="0.2">
      <c r="BN17070" s="192"/>
      <c r="BO17070" s="197"/>
      <c r="BP17070" s="197"/>
      <c r="BQ17070" s="197"/>
    </row>
    <row r="17071" spans="66:69" x14ac:dyDescent="0.2">
      <c r="BN17071" s="192"/>
      <c r="BO17071" s="197"/>
      <c r="BP17071" s="197"/>
      <c r="BQ17071" s="197"/>
    </row>
    <row r="17072" spans="66:69" x14ac:dyDescent="0.2">
      <c r="BN17072" s="192"/>
      <c r="BO17072" s="197"/>
      <c r="BP17072" s="197"/>
      <c r="BQ17072" s="197"/>
    </row>
    <row r="17073" spans="66:69" x14ac:dyDescent="0.2">
      <c r="BN17073" s="192"/>
      <c r="BO17073" s="197"/>
      <c r="BP17073" s="197"/>
      <c r="BQ17073" s="197"/>
    </row>
    <row r="17074" spans="66:69" x14ac:dyDescent="0.2">
      <c r="BN17074" s="192"/>
      <c r="BO17074" s="197"/>
      <c r="BP17074" s="197"/>
      <c r="BQ17074" s="197"/>
    </row>
    <row r="17075" spans="66:69" x14ac:dyDescent="0.2">
      <c r="BN17075" s="192"/>
      <c r="BO17075" s="197"/>
      <c r="BP17075" s="197"/>
      <c r="BQ17075" s="197"/>
    </row>
    <row r="17076" spans="66:69" x14ac:dyDescent="0.2">
      <c r="BN17076" s="192"/>
      <c r="BO17076" s="197"/>
      <c r="BP17076" s="197"/>
      <c r="BQ17076" s="197"/>
    </row>
    <row r="17077" spans="66:69" x14ac:dyDescent="0.2">
      <c r="BN17077" s="192"/>
      <c r="BO17077" s="197"/>
      <c r="BP17077" s="197"/>
      <c r="BQ17077" s="197"/>
    </row>
    <row r="17078" spans="66:69" x14ac:dyDescent="0.2">
      <c r="BN17078" s="192"/>
      <c r="BO17078" s="197"/>
      <c r="BP17078" s="197"/>
      <c r="BQ17078" s="197"/>
    </row>
    <row r="17079" spans="66:69" x14ac:dyDescent="0.2">
      <c r="BN17079" s="192"/>
      <c r="BO17079" s="197"/>
      <c r="BP17079" s="197"/>
      <c r="BQ17079" s="197"/>
    </row>
    <row r="17080" spans="66:69" x14ac:dyDescent="0.2">
      <c r="BN17080" s="192"/>
      <c r="BO17080" s="197"/>
      <c r="BP17080" s="197"/>
      <c r="BQ17080" s="197"/>
    </row>
    <row r="17081" spans="66:69" x14ac:dyDescent="0.2">
      <c r="BN17081" s="192"/>
      <c r="BO17081" s="197"/>
      <c r="BP17081" s="197"/>
      <c r="BQ17081" s="197"/>
    </row>
    <row r="17082" spans="66:69" x14ac:dyDescent="0.2">
      <c r="BN17082" s="192"/>
      <c r="BO17082" s="197"/>
      <c r="BP17082" s="197"/>
      <c r="BQ17082" s="197"/>
    </row>
    <row r="17083" spans="66:69" x14ac:dyDescent="0.2">
      <c r="BN17083" s="192"/>
      <c r="BO17083" s="197"/>
      <c r="BP17083" s="197"/>
      <c r="BQ17083" s="197"/>
    </row>
    <row r="17084" spans="66:69" x14ac:dyDescent="0.2">
      <c r="BN17084" s="192"/>
      <c r="BO17084" s="197"/>
      <c r="BP17084" s="197"/>
      <c r="BQ17084" s="197"/>
    </row>
    <row r="17085" spans="66:69" x14ac:dyDescent="0.2">
      <c r="BN17085" s="192"/>
      <c r="BO17085" s="197"/>
      <c r="BP17085" s="197"/>
      <c r="BQ17085" s="197"/>
    </row>
    <row r="17086" spans="66:69" x14ac:dyDescent="0.2">
      <c r="BN17086" s="192"/>
      <c r="BO17086" s="197"/>
      <c r="BP17086" s="197"/>
      <c r="BQ17086" s="197"/>
    </row>
    <row r="17087" spans="66:69" x14ac:dyDescent="0.2">
      <c r="BN17087" s="192"/>
      <c r="BO17087" s="197"/>
      <c r="BP17087" s="197"/>
      <c r="BQ17087" s="197"/>
    </row>
    <row r="17088" spans="66:69" x14ac:dyDescent="0.2">
      <c r="BN17088" s="192"/>
      <c r="BO17088" s="197"/>
      <c r="BP17088" s="197"/>
      <c r="BQ17088" s="197"/>
    </row>
    <row r="17089" spans="66:69" x14ac:dyDescent="0.2">
      <c r="BN17089" s="192"/>
      <c r="BO17089" s="197"/>
      <c r="BP17089" s="197"/>
      <c r="BQ17089" s="197"/>
    </row>
    <row r="17090" spans="66:69" x14ac:dyDescent="0.2">
      <c r="BN17090" s="192"/>
      <c r="BO17090" s="197"/>
      <c r="BP17090" s="197"/>
      <c r="BQ17090" s="197"/>
    </row>
    <row r="17091" spans="66:69" x14ac:dyDescent="0.2">
      <c r="BN17091" s="192"/>
      <c r="BO17091" s="197"/>
      <c r="BP17091" s="197"/>
      <c r="BQ17091" s="197"/>
    </row>
    <row r="17092" spans="66:69" x14ac:dyDescent="0.2">
      <c r="BN17092" s="192"/>
      <c r="BO17092" s="197"/>
      <c r="BP17092" s="197"/>
      <c r="BQ17092" s="197"/>
    </row>
    <row r="17093" spans="66:69" x14ac:dyDescent="0.2">
      <c r="BN17093" s="192"/>
      <c r="BO17093" s="197"/>
      <c r="BP17093" s="197"/>
      <c r="BQ17093" s="197"/>
    </row>
    <row r="17094" spans="66:69" x14ac:dyDescent="0.2">
      <c r="BN17094" s="192"/>
      <c r="BO17094" s="197"/>
      <c r="BP17094" s="197"/>
      <c r="BQ17094" s="197"/>
    </row>
    <row r="17095" spans="66:69" x14ac:dyDescent="0.2">
      <c r="BN17095" s="192"/>
      <c r="BO17095" s="197"/>
      <c r="BP17095" s="197"/>
      <c r="BQ17095" s="197"/>
    </row>
    <row r="17096" spans="66:69" x14ac:dyDescent="0.2">
      <c r="BN17096" s="192"/>
      <c r="BO17096" s="197"/>
      <c r="BP17096" s="197"/>
      <c r="BQ17096" s="197"/>
    </row>
    <row r="17097" spans="66:69" x14ac:dyDescent="0.2">
      <c r="BN17097" s="192"/>
      <c r="BO17097" s="197"/>
      <c r="BP17097" s="197"/>
      <c r="BQ17097" s="197"/>
    </row>
    <row r="17098" spans="66:69" x14ac:dyDescent="0.2">
      <c r="BN17098" s="192"/>
      <c r="BO17098" s="197"/>
      <c r="BP17098" s="197"/>
      <c r="BQ17098" s="197"/>
    </row>
    <row r="17099" spans="66:69" x14ac:dyDescent="0.2">
      <c r="BN17099" s="192"/>
      <c r="BO17099" s="197"/>
      <c r="BP17099" s="197"/>
      <c r="BQ17099" s="197"/>
    </row>
    <row r="17100" spans="66:69" x14ac:dyDescent="0.2">
      <c r="BN17100" s="192"/>
      <c r="BO17100" s="197"/>
      <c r="BP17100" s="197"/>
      <c r="BQ17100" s="197"/>
    </row>
    <row r="17101" spans="66:69" x14ac:dyDescent="0.2">
      <c r="BN17101" s="192"/>
      <c r="BO17101" s="197"/>
      <c r="BP17101" s="197"/>
      <c r="BQ17101" s="197"/>
    </row>
    <row r="17102" spans="66:69" x14ac:dyDescent="0.2">
      <c r="BN17102" s="192"/>
      <c r="BO17102" s="197"/>
      <c r="BP17102" s="197"/>
      <c r="BQ17102" s="197"/>
    </row>
    <row r="17103" spans="66:69" x14ac:dyDescent="0.2">
      <c r="BN17103" s="192"/>
      <c r="BO17103" s="197"/>
      <c r="BP17103" s="197"/>
      <c r="BQ17103" s="197"/>
    </row>
    <row r="17104" spans="66:69" x14ac:dyDescent="0.2">
      <c r="BN17104" s="192"/>
      <c r="BO17104" s="197"/>
      <c r="BP17104" s="197"/>
      <c r="BQ17104" s="197"/>
    </row>
    <row r="17105" spans="66:69" x14ac:dyDescent="0.2">
      <c r="BN17105" s="192"/>
      <c r="BO17105" s="197"/>
      <c r="BP17105" s="197"/>
      <c r="BQ17105" s="197"/>
    </row>
    <row r="17106" spans="66:69" x14ac:dyDescent="0.2">
      <c r="BN17106" s="192"/>
      <c r="BO17106" s="197"/>
      <c r="BP17106" s="197"/>
      <c r="BQ17106" s="197"/>
    </row>
    <row r="17107" spans="66:69" x14ac:dyDescent="0.2">
      <c r="BN17107" s="192"/>
      <c r="BO17107" s="197"/>
      <c r="BP17107" s="197"/>
      <c r="BQ17107" s="197"/>
    </row>
    <row r="17108" spans="66:69" x14ac:dyDescent="0.2">
      <c r="BN17108" s="192"/>
      <c r="BO17108" s="197"/>
      <c r="BP17108" s="197"/>
      <c r="BQ17108" s="197"/>
    </row>
    <row r="17109" spans="66:69" x14ac:dyDescent="0.2">
      <c r="BN17109" s="192"/>
      <c r="BO17109" s="197"/>
      <c r="BP17109" s="197"/>
      <c r="BQ17109" s="197"/>
    </row>
    <row r="17110" spans="66:69" x14ac:dyDescent="0.2">
      <c r="BN17110" s="192"/>
      <c r="BO17110" s="197"/>
      <c r="BP17110" s="197"/>
      <c r="BQ17110" s="197"/>
    </row>
    <row r="17111" spans="66:69" x14ac:dyDescent="0.2">
      <c r="BN17111" s="192"/>
      <c r="BO17111" s="197"/>
      <c r="BP17111" s="197"/>
      <c r="BQ17111" s="197"/>
    </row>
    <row r="17112" spans="66:69" x14ac:dyDescent="0.2">
      <c r="BN17112" s="192"/>
      <c r="BO17112" s="197"/>
      <c r="BP17112" s="197"/>
      <c r="BQ17112" s="197"/>
    </row>
    <row r="17113" spans="66:69" x14ac:dyDescent="0.2">
      <c r="BN17113" s="192"/>
      <c r="BO17113" s="197"/>
      <c r="BP17113" s="197"/>
      <c r="BQ17113" s="197"/>
    </row>
    <row r="17114" spans="66:69" x14ac:dyDescent="0.2">
      <c r="BN17114" s="192"/>
      <c r="BO17114" s="197"/>
      <c r="BP17114" s="197"/>
      <c r="BQ17114" s="197"/>
    </row>
    <row r="17115" spans="66:69" x14ac:dyDescent="0.2">
      <c r="BN17115" s="192"/>
      <c r="BO17115" s="197"/>
      <c r="BP17115" s="197"/>
      <c r="BQ17115" s="197"/>
    </row>
    <row r="17116" spans="66:69" x14ac:dyDescent="0.2">
      <c r="BN17116" s="192"/>
      <c r="BO17116" s="197"/>
      <c r="BP17116" s="197"/>
      <c r="BQ17116" s="197"/>
    </row>
    <row r="17117" spans="66:69" x14ac:dyDescent="0.2">
      <c r="BN17117" s="192"/>
      <c r="BO17117" s="197"/>
      <c r="BP17117" s="197"/>
      <c r="BQ17117" s="197"/>
    </row>
    <row r="17118" spans="66:69" x14ac:dyDescent="0.2">
      <c r="BN17118" s="192"/>
      <c r="BO17118" s="197"/>
      <c r="BP17118" s="197"/>
      <c r="BQ17118" s="197"/>
    </row>
    <row r="17119" spans="66:69" x14ac:dyDescent="0.2">
      <c r="BN17119" s="192"/>
      <c r="BO17119" s="197"/>
      <c r="BP17119" s="197"/>
      <c r="BQ17119" s="197"/>
    </row>
    <row r="17120" spans="66:69" x14ac:dyDescent="0.2">
      <c r="BN17120" s="192"/>
      <c r="BO17120" s="197"/>
      <c r="BP17120" s="197"/>
      <c r="BQ17120" s="197"/>
    </row>
    <row r="17121" spans="66:69" x14ac:dyDescent="0.2">
      <c r="BN17121" s="192"/>
      <c r="BO17121" s="197"/>
      <c r="BP17121" s="197"/>
      <c r="BQ17121" s="197"/>
    </row>
    <row r="17122" spans="66:69" x14ac:dyDescent="0.2">
      <c r="BN17122" s="192"/>
      <c r="BO17122" s="197"/>
      <c r="BP17122" s="197"/>
      <c r="BQ17122" s="197"/>
    </row>
    <row r="17123" spans="66:69" x14ac:dyDescent="0.2">
      <c r="BN17123" s="192"/>
      <c r="BO17123" s="197"/>
      <c r="BP17123" s="197"/>
      <c r="BQ17123" s="197"/>
    </row>
    <row r="17124" spans="66:69" x14ac:dyDescent="0.2">
      <c r="BN17124" s="192"/>
      <c r="BO17124" s="197"/>
      <c r="BP17124" s="197"/>
      <c r="BQ17124" s="197"/>
    </row>
    <row r="17125" spans="66:69" x14ac:dyDescent="0.2">
      <c r="BN17125" s="192"/>
      <c r="BO17125" s="197"/>
      <c r="BP17125" s="197"/>
      <c r="BQ17125" s="197"/>
    </row>
    <row r="17126" spans="66:69" x14ac:dyDescent="0.2">
      <c r="BN17126" s="192"/>
      <c r="BO17126" s="197"/>
      <c r="BP17126" s="197"/>
      <c r="BQ17126" s="197"/>
    </row>
    <row r="17127" spans="66:69" x14ac:dyDescent="0.2">
      <c r="BN17127" s="192"/>
      <c r="BO17127" s="197"/>
      <c r="BP17127" s="197"/>
      <c r="BQ17127" s="197"/>
    </row>
    <row r="17128" spans="66:69" x14ac:dyDescent="0.2">
      <c r="BN17128" s="192"/>
      <c r="BO17128" s="197"/>
      <c r="BP17128" s="197"/>
      <c r="BQ17128" s="197"/>
    </row>
    <row r="17129" spans="66:69" x14ac:dyDescent="0.2">
      <c r="BN17129" s="192"/>
      <c r="BO17129" s="197"/>
      <c r="BP17129" s="197"/>
      <c r="BQ17129" s="197"/>
    </row>
    <row r="17130" spans="66:69" x14ac:dyDescent="0.2">
      <c r="BN17130" s="192"/>
      <c r="BO17130" s="197"/>
      <c r="BP17130" s="197"/>
      <c r="BQ17130" s="197"/>
    </row>
    <row r="17131" spans="66:69" x14ac:dyDescent="0.2">
      <c r="BN17131" s="192"/>
      <c r="BO17131" s="197"/>
      <c r="BP17131" s="197"/>
      <c r="BQ17131" s="197"/>
    </row>
    <row r="17132" spans="66:69" x14ac:dyDescent="0.2">
      <c r="BN17132" s="192"/>
      <c r="BO17132" s="197"/>
      <c r="BP17132" s="197"/>
      <c r="BQ17132" s="197"/>
    </row>
    <row r="17133" spans="66:69" x14ac:dyDescent="0.2">
      <c r="BN17133" s="192"/>
      <c r="BO17133" s="197"/>
      <c r="BP17133" s="197"/>
      <c r="BQ17133" s="197"/>
    </row>
    <row r="17134" spans="66:69" x14ac:dyDescent="0.2">
      <c r="BN17134" s="192"/>
      <c r="BO17134" s="197"/>
      <c r="BP17134" s="197"/>
      <c r="BQ17134" s="197"/>
    </row>
    <row r="17135" spans="66:69" x14ac:dyDescent="0.2">
      <c r="BN17135" s="192"/>
      <c r="BO17135" s="197"/>
      <c r="BP17135" s="197"/>
      <c r="BQ17135" s="197"/>
    </row>
    <row r="17136" spans="66:69" x14ac:dyDescent="0.2">
      <c r="BN17136" s="192"/>
      <c r="BO17136" s="197"/>
      <c r="BP17136" s="197"/>
      <c r="BQ17136" s="197"/>
    </row>
    <row r="17137" spans="66:69" x14ac:dyDescent="0.2">
      <c r="BN17137" s="192"/>
      <c r="BO17137" s="197"/>
      <c r="BP17137" s="197"/>
      <c r="BQ17137" s="197"/>
    </row>
    <row r="17138" spans="66:69" x14ac:dyDescent="0.2">
      <c r="BN17138" s="192"/>
      <c r="BO17138" s="197"/>
      <c r="BP17138" s="197"/>
      <c r="BQ17138" s="197"/>
    </row>
    <row r="17139" spans="66:69" x14ac:dyDescent="0.2">
      <c r="BN17139" s="192"/>
      <c r="BO17139" s="197"/>
      <c r="BP17139" s="197"/>
      <c r="BQ17139" s="197"/>
    </row>
    <row r="17140" spans="66:69" x14ac:dyDescent="0.2">
      <c r="BN17140" s="192"/>
      <c r="BO17140" s="197"/>
      <c r="BP17140" s="197"/>
      <c r="BQ17140" s="197"/>
    </row>
    <row r="17141" spans="66:69" x14ac:dyDescent="0.2">
      <c r="BN17141" s="192"/>
      <c r="BO17141" s="197"/>
      <c r="BP17141" s="197"/>
      <c r="BQ17141" s="197"/>
    </row>
    <row r="17142" spans="66:69" x14ac:dyDescent="0.2">
      <c r="BN17142" s="192"/>
      <c r="BO17142" s="197"/>
      <c r="BP17142" s="197"/>
      <c r="BQ17142" s="197"/>
    </row>
    <row r="17143" spans="66:69" x14ac:dyDescent="0.2">
      <c r="BN17143" s="192"/>
      <c r="BO17143" s="197"/>
      <c r="BP17143" s="197"/>
      <c r="BQ17143" s="197"/>
    </row>
    <row r="17144" spans="66:69" x14ac:dyDescent="0.2">
      <c r="BN17144" s="192"/>
      <c r="BO17144" s="197"/>
      <c r="BP17144" s="197"/>
      <c r="BQ17144" s="197"/>
    </row>
    <row r="17145" spans="66:69" x14ac:dyDescent="0.2">
      <c r="BN17145" s="192"/>
      <c r="BO17145" s="197"/>
      <c r="BP17145" s="197"/>
      <c r="BQ17145" s="197"/>
    </row>
    <row r="17146" spans="66:69" x14ac:dyDescent="0.2">
      <c r="BN17146" s="192"/>
      <c r="BO17146" s="197"/>
      <c r="BP17146" s="197"/>
      <c r="BQ17146" s="197"/>
    </row>
    <row r="17147" spans="66:69" x14ac:dyDescent="0.2">
      <c r="BN17147" s="192"/>
      <c r="BO17147" s="197"/>
      <c r="BP17147" s="197"/>
      <c r="BQ17147" s="197"/>
    </row>
    <row r="17148" spans="66:69" x14ac:dyDescent="0.2">
      <c r="BN17148" s="192"/>
      <c r="BO17148" s="197"/>
      <c r="BP17148" s="197"/>
      <c r="BQ17148" s="197"/>
    </row>
    <row r="17149" spans="66:69" x14ac:dyDescent="0.2">
      <c r="BN17149" s="192"/>
      <c r="BO17149" s="197"/>
      <c r="BP17149" s="197"/>
      <c r="BQ17149" s="197"/>
    </row>
    <row r="17150" spans="66:69" x14ac:dyDescent="0.2">
      <c r="BN17150" s="192"/>
      <c r="BO17150" s="197"/>
      <c r="BP17150" s="197"/>
      <c r="BQ17150" s="197"/>
    </row>
    <row r="17151" spans="66:69" x14ac:dyDescent="0.2">
      <c r="BN17151" s="192"/>
      <c r="BO17151" s="197"/>
      <c r="BP17151" s="197"/>
      <c r="BQ17151" s="197"/>
    </row>
    <row r="17152" spans="66:69" x14ac:dyDescent="0.2">
      <c r="BN17152" s="192"/>
      <c r="BO17152" s="197"/>
      <c r="BP17152" s="197"/>
      <c r="BQ17152" s="197"/>
    </row>
    <row r="17153" spans="66:69" x14ac:dyDescent="0.2">
      <c r="BN17153" s="192"/>
      <c r="BO17153" s="197"/>
      <c r="BP17153" s="197"/>
      <c r="BQ17153" s="197"/>
    </row>
    <row r="17154" spans="66:69" x14ac:dyDescent="0.2">
      <c r="BN17154" s="192"/>
      <c r="BO17154" s="197"/>
      <c r="BP17154" s="197"/>
      <c r="BQ17154" s="197"/>
    </row>
    <row r="17155" spans="66:69" x14ac:dyDescent="0.2">
      <c r="BN17155" s="192"/>
      <c r="BO17155" s="197"/>
      <c r="BP17155" s="197"/>
      <c r="BQ17155" s="197"/>
    </row>
    <row r="17156" spans="66:69" x14ac:dyDescent="0.2">
      <c r="BN17156" s="192"/>
      <c r="BO17156" s="197"/>
      <c r="BP17156" s="197"/>
      <c r="BQ17156" s="197"/>
    </row>
    <row r="17157" spans="66:69" x14ac:dyDescent="0.2">
      <c r="BN17157" s="192"/>
      <c r="BO17157" s="197"/>
      <c r="BP17157" s="197"/>
      <c r="BQ17157" s="197"/>
    </row>
    <row r="17158" spans="66:69" x14ac:dyDescent="0.2">
      <c r="BN17158" s="192"/>
      <c r="BO17158" s="197"/>
      <c r="BP17158" s="197"/>
      <c r="BQ17158" s="197"/>
    </row>
    <row r="17159" spans="66:69" x14ac:dyDescent="0.2">
      <c r="BN17159" s="192"/>
      <c r="BO17159" s="197"/>
      <c r="BP17159" s="197"/>
      <c r="BQ17159" s="197"/>
    </row>
    <row r="17160" spans="66:69" x14ac:dyDescent="0.2">
      <c r="BN17160" s="192"/>
      <c r="BO17160" s="197"/>
      <c r="BP17160" s="197"/>
      <c r="BQ17160" s="197"/>
    </row>
    <row r="17161" spans="66:69" x14ac:dyDescent="0.2">
      <c r="BN17161" s="192"/>
      <c r="BO17161" s="197"/>
      <c r="BP17161" s="197"/>
      <c r="BQ17161" s="197"/>
    </row>
    <row r="17162" spans="66:69" x14ac:dyDescent="0.2">
      <c r="BN17162" s="192"/>
      <c r="BO17162" s="197"/>
      <c r="BP17162" s="197"/>
      <c r="BQ17162" s="197"/>
    </row>
    <row r="17163" spans="66:69" x14ac:dyDescent="0.2">
      <c r="BN17163" s="192"/>
      <c r="BO17163" s="197"/>
      <c r="BP17163" s="197"/>
      <c r="BQ17163" s="197"/>
    </row>
    <row r="17164" spans="66:69" x14ac:dyDescent="0.2">
      <c r="BN17164" s="192"/>
      <c r="BO17164" s="197"/>
      <c r="BP17164" s="197"/>
      <c r="BQ17164" s="197"/>
    </row>
    <row r="17165" spans="66:69" x14ac:dyDescent="0.2">
      <c r="BN17165" s="192"/>
      <c r="BO17165" s="197"/>
      <c r="BP17165" s="197"/>
      <c r="BQ17165" s="197"/>
    </row>
    <row r="17166" spans="66:69" x14ac:dyDescent="0.2">
      <c r="BN17166" s="192"/>
      <c r="BO17166" s="197"/>
      <c r="BP17166" s="197"/>
      <c r="BQ17166" s="197"/>
    </row>
    <row r="17167" spans="66:69" x14ac:dyDescent="0.2">
      <c r="BN17167" s="192"/>
      <c r="BO17167" s="197"/>
      <c r="BP17167" s="197"/>
      <c r="BQ17167" s="197"/>
    </row>
    <row r="17168" spans="66:69" x14ac:dyDescent="0.2">
      <c r="BN17168" s="192"/>
      <c r="BO17168" s="197"/>
      <c r="BP17168" s="197"/>
      <c r="BQ17168" s="197"/>
    </row>
    <row r="17169" spans="66:69" x14ac:dyDescent="0.2">
      <c r="BN17169" s="192"/>
      <c r="BO17169" s="197"/>
      <c r="BP17169" s="197"/>
      <c r="BQ17169" s="197"/>
    </row>
    <row r="17170" spans="66:69" x14ac:dyDescent="0.2">
      <c r="BN17170" s="192"/>
      <c r="BO17170" s="197"/>
      <c r="BP17170" s="197"/>
      <c r="BQ17170" s="197"/>
    </row>
    <row r="17171" spans="66:69" x14ac:dyDescent="0.2">
      <c r="BN17171" s="192"/>
      <c r="BO17171" s="197"/>
      <c r="BP17171" s="197"/>
      <c r="BQ17171" s="197"/>
    </row>
    <row r="17172" spans="66:69" x14ac:dyDescent="0.2">
      <c r="BN17172" s="192"/>
      <c r="BO17172" s="197"/>
      <c r="BP17172" s="197"/>
      <c r="BQ17172" s="197"/>
    </row>
    <row r="17173" spans="66:69" x14ac:dyDescent="0.2">
      <c r="BN17173" s="192"/>
      <c r="BO17173" s="197"/>
      <c r="BP17173" s="197"/>
      <c r="BQ17173" s="197"/>
    </row>
    <row r="17174" spans="66:69" x14ac:dyDescent="0.2">
      <c r="BN17174" s="192"/>
      <c r="BO17174" s="197"/>
      <c r="BP17174" s="197"/>
      <c r="BQ17174" s="197"/>
    </row>
    <row r="17175" spans="66:69" x14ac:dyDescent="0.2">
      <c r="BN17175" s="192"/>
      <c r="BO17175" s="197"/>
      <c r="BP17175" s="197"/>
      <c r="BQ17175" s="197"/>
    </row>
    <row r="17176" spans="66:69" x14ac:dyDescent="0.2">
      <c r="BN17176" s="192"/>
      <c r="BO17176" s="197"/>
      <c r="BP17176" s="197"/>
      <c r="BQ17176" s="197"/>
    </row>
    <row r="17177" spans="66:69" x14ac:dyDescent="0.2">
      <c r="BN17177" s="192"/>
      <c r="BO17177" s="197"/>
      <c r="BP17177" s="197"/>
      <c r="BQ17177" s="197"/>
    </row>
    <row r="17178" spans="66:69" x14ac:dyDescent="0.2">
      <c r="BN17178" s="192"/>
      <c r="BO17178" s="197"/>
      <c r="BP17178" s="197"/>
      <c r="BQ17178" s="197"/>
    </row>
    <row r="17179" spans="66:69" x14ac:dyDescent="0.2">
      <c r="BN17179" s="192"/>
      <c r="BO17179" s="197"/>
      <c r="BP17179" s="197"/>
      <c r="BQ17179" s="197"/>
    </row>
    <row r="17180" spans="66:69" x14ac:dyDescent="0.2">
      <c r="BN17180" s="192"/>
      <c r="BO17180" s="197"/>
      <c r="BP17180" s="197"/>
      <c r="BQ17180" s="197"/>
    </row>
    <row r="17181" spans="66:69" x14ac:dyDescent="0.2">
      <c r="BN17181" s="192"/>
      <c r="BO17181" s="197"/>
      <c r="BP17181" s="197"/>
      <c r="BQ17181" s="197"/>
    </row>
    <row r="17182" spans="66:69" x14ac:dyDescent="0.2">
      <c r="BN17182" s="192"/>
      <c r="BO17182" s="197"/>
      <c r="BP17182" s="197"/>
      <c r="BQ17182" s="197"/>
    </row>
    <row r="17183" spans="66:69" x14ac:dyDescent="0.2">
      <c r="BN17183" s="192"/>
      <c r="BO17183" s="197"/>
      <c r="BP17183" s="197"/>
      <c r="BQ17183" s="197"/>
    </row>
    <row r="17184" spans="66:69" x14ac:dyDescent="0.2">
      <c r="BN17184" s="192"/>
      <c r="BO17184" s="197"/>
      <c r="BP17184" s="197"/>
      <c r="BQ17184" s="197"/>
    </row>
    <row r="17185" spans="66:69" x14ac:dyDescent="0.2">
      <c r="BN17185" s="192"/>
      <c r="BO17185" s="197"/>
      <c r="BP17185" s="197"/>
      <c r="BQ17185" s="197"/>
    </row>
    <row r="17186" spans="66:69" x14ac:dyDescent="0.2">
      <c r="BN17186" s="192"/>
      <c r="BO17186" s="197"/>
      <c r="BP17186" s="197"/>
      <c r="BQ17186" s="197"/>
    </row>
    <row r="17187" spans="66:69" x14ac:dyDescent="0.2">
      <c r="BN17187" s="192"/>
      <c r="BO17187" s="197"/>
      <c r="BP17187" s="197"/>
      <c r="BQ17187" s="197"/>
    </row>
    <row r="17188" spans="66:69" x14ac:dyDescent="0.2">
      <c r="BN17188" s="192"/>
      <c r="BO17188" s="197"/>
      <c r="BP17188" s="197"/>
      <c r="BQ17188" s="197"/>
    </row>
    <row r="17189" spans="66:69" x14ac:dyDescent="0.2">
      <c r="BN17189" s="192"/>
      <c r="BO17189" s="197"/>
      <c r="BP17189" s="197"/>
      <c r="BQ17189" s="197"/>
    </row>
    <row r="17190" spans="66:69" x14ac:dyDescent="0.2">
      <c r="BN17190" s="192"/>
      <c r="BO17190" s="197"/>
      <c r="BP17190" s="197"/>
      <c r="BQ17190" s="197"/>
    </row>
    <row r="17191" spans="66:69" x14ac:dyDescent="0.2">
      <c r="BN17191" s="192"/>
      <c r="BO17191" s="197"/>
      <c r="BP17191" s="197"/>
      <c r="BQ17191" s="197"/>
    </row>
    <row r="17192" spans="66:69" x14ac:dyDescent="0.2">
      <c r="BN17192" s="192"/>
      <c r="BO17192" s="197"/>
      <c r="BP17192" s="197"/>
      <c r="BQ17192" s="197"/>
    </row>
    <row r="17193" spans="66:69" x14ac:dyDescent="0.2">
      <c r="BN17193" s="192"/>
      <c r="BO17193" s="197"/>
      <c r="BP17193" s="197"/>
      <c r="BQ17193" s="197"/>
    </row>
    <row r="17194" spans="66:69" x14ac:dyDescent="0.2">
      <c r="BN17194" s="192"/>
      <c r="BO17194" s="197"/>
      <c r="BP17194" s="197"/>
      <c r="BQ17194" s="197"/>
    </row>
    <row r="17195" spans="66:69" x14ac:dyDescent="0.2">
      <c r="BN17195" s="192"/>
      <c r="BO17195" s="197"/>
      <c r="BP17195" s="197"/>
      <c r="BQ17195" s="197"/>
    </row>
    <row r="17196" spans="66:69" x14ac:dyDescent="0.2">
      <c r="BN17196" s="192"/>
      <c r="BO17196" s="197"/>
      <c r="BP17196" s="197"/>
      <c r="BQ17196" s="197"/>
    </row>
    <row r="17197" spans="66:69" x14ac:dyDescent="0.2">
      <c r="BN17197" s="192"/>
      <c r="BO17197" s="197"/>
      <c r="BP17197" s="197"/>
      <c r="BQ17197" s="197"/>
    </row>
    <row r="17198" spans="66:69" x14ac:dyDescent="0.2">
      <c r="BN17198" s="192"/>
      <c r="BO17198" s="197"/>
      <c r="BP17198" s="197"/>
      <c r="BQ17198" s="197"/>
    </row>
    <row r="17199" spans="66:69" x14ac:dyDescent="0.2">
      <c r="BN17199" s="192"/>
      <c r="BO17199" s="197"/>
      <c r="BP17199" s="197"/>
      <c r="BQ17199" s="197"/>
    </row>
    <row r="17200" spans="66:69" x14ac:dyDescent="0.2">
      <c r="BN17200" s="192"/>
      <c r="BO17200" s="197"/>
      <c r="BP17200" s="197"/>
      <c r="BQ17200" s="197"/>
    </row>
    <row r="17201" spans="66:69" x14ac:dyDescent="0.2">
      <c r="BN17201" s="192"/>
      <c r="BO17201" s="197"/>
      <c r="BP17201" s="197"/>
      <c r="BQ17201" s="197"/>
    </row>
    <row r="17202" spans="66:69" x14ac:dyDescent="0.2">
      <c r="BN17202" s="192"/>
      <c r="BO17202" s="197"/>
      <c r="BP17202" s="197"/>
      <c r="BQ17202" s="197"/>
    </row>
    <row r="17203" spans="66:69" x14ac:dyDescent="0.2">
      <c r="BN17203" s="192"/>
      <c r="BO17203" s="197"/>
      <c r="BP17203" s="197"/>
      <c r="BQ17203" s="197"/>
    </row>
    <row r="17204" spans="66:69" x14ac:dyDescent="0.2">
      <c r="BN17204" s="192"/>
      <c r="BO17204" s="197"/>
      <c r="BP17204" s="197"/>
      <c r="BQ17204" s="197"/>
    </row>
    <row r="17205" spans="66:69" x14ac:dyDescent="0.2">
      <c r="BN17205" s="192"/>
      <c r="BO17205" s="197"/>
      <c r="BP17205" s="197"/>
      <c r="BQ17205" s="197"/>
    </row>
    <row r="17206" spans="66:69" x14ac:dyDescent="0.2">
      <c r="BN17206" s="192"/>
      <c r="BO17206" s="197"/>
      <c r="BP17206" s="197"/>
      <c r="BQ17206" s="197"/>
    </row>
    <row r="17207" spans="66:69" x14ac:dyDescent="0.2">
      <c r="BN17207" s="192"/>
      <c r="BO17207" s="197"/>
      <c r="BP17207" s="197"/>
      <c r="BQ17207" s="197"/>
    </row>
    <row r="17208" spans="66:69" x14ac:dyDescent="0.2">
      <c r="BN17208" s="192"/>
      <c r="BO17208" s="197"/>
      <c r="BP17208" s="197"/>
      <c r="BQ17208" s="197"/>
    </row>
    <row r="17209" spans="66:69" x14ac:dyDescent="0.2">
      <c r="BN17209" s="192"/>
      <c r="BO17209" s="197"/>
      <c r="BP17209" s="197"/>
      <c r="BQ17209" s="197"/>
    </row>
    <row r="17210" spans="66:69" x14ac:dyDescent="0.2">
      <c r="BN17210" s="192"/>
      <c r="BO17210" s="197"/>
      <c r="BP17210" s="197"/>
      <c r="BQ17210" s="197"/>
    </row>
    <row r="17211" spans="66:69" x14ac:dyDescent="0.2">
      <c r="BN17211" s="192"/>
      <c r="BO17211" s="197"/>
      <c r="BP17211" s="197"/>
      <c r="BQ17211" s="197"/>
    </row>
    <row r="17212" spans="66:69" x14ac:dyDescent="0.2">
      <c r="BN17212" s="192"/>
      <c r="BO17212" s="197"/>
      <c r="BP17212" s="197"/>
      <c r="BQ17212" s="197"/>
    </row>
    <row r="17213" spans="66:69" x14ac:dyDescent="0.2">
      <c r="BN17213" s="192"/>
      <c r="BO17213" s="197"/>
      <c r="BP17213" s="197"/>
      <c r="BQ17213" s="197"/>
    </row>
    <row r="17214" spans="66:69" x14ac:dyDescent="0.2">
      <c r="BN17214" s="192"/>
      <c r="BO17214" s="197"/>
      <c r="BP17214" s="197"/>
      <c r="BQ17214" s="197"/>
    </row>
    <row r="17215" spans="66:69" x14ac:dyDescent="0.2">
      <c r="BN17215" s="192"/>
      <c r="BO17215" s="197"/>
      <c r="BP17215" s="197"/>
      <c r="BQ17215" s="197"/>
    </row>
    <row r="17216" spans="66:69" x14ac:dyDescent="0.2">
      <c r="BN17216" s="192"/>
      <c r="BO17216" s="197"/>
      <c r="BP17216" s="197"/>
      <c r="BQ17216" s="197"/>
    </row>
    <row r="17217" spans="66:69" x14ac:dyDescent="0.2">
      <c r="BN17217" s="192"/>
      <c r="BO17217" s="197"/>
      <c r="BP17217" s="197"/>
      <c r="BQ17217" s="197"/>
    </row>
    <row r="17218" spans="66:69" x14ac:dyDescent="0.2">
      <c r="BN17218" s="192"/>
      <c r="BO17218" s="197"/>
      <c r="BP17218" s="197"/>
      <c r="BQ17218" s="197"/>
    </row>
    <row r="17219" spans="66:69" x14ac:dyDescent="0.2">
      <c r="BN17219" s="192"/>
      <c r="BO17219" s="197"/>
      <c r="BP17219" s="197"/>
      <c r="BQ17219" s="197"/>
    </row>
    <row r="17220" spans="66:69" x14ac:dyDescent="0.2">
      <c r="BN17220" s="192"/>
      <c r="BO17220" s="197"/>
      <c r="BP17220" s="197"/>
      <c r="BQ17220" s="197"/>
    </row>
    <row r="17221" spans="66:69" x14ac:dyDescent="0.2">
      <c r="BN17221" s="192"/>
      <c r="BO17221" s="197"/>
      <c r="BP17221" s="197"/>
      <c r="BQ17221" s="197"/>
    </row>
    <row r="17222" spans="66:69" x14ac:dyDescent="0.2">
      <c r="BN17222" s="192"/>
      <c r="BO17222" s="197"/>
      <c r="BP17222" s="197"/>
      <c r="BQ17222" s="197"/>
    </row>
    <row r="17223" spans="66:69" x14ac:dyDescent="0.2">
      <c r="BN17223" s="192"/>
      <c r="BO17223" s="197"/>
      <c r="BP17223" s="197"/>
      <c r="BQ17223" s="197"/>
    </row>
    <row r="17224" spans="66:69" x14ac:dyDescent="0.2">
      <c r="BN17224" s="192"/>
      <c r="BO17224" s="197"/>
      <c r="BP17224" s="197"/>
      <c r="BQ17224" s="197"/>
    </row>
    <row r="17225" spans="66:69" x14ac:dyDescent="0.2">
      <c r="BN17225" s="192"/>
      <c r="BO17225" s="197"/>
      <c r="BP17225" s="197"/>
      <c r="BQ17225" s="197"/>
    </row>
    <row r="17226" spans="66:69" x14ac:dyDescent="0.2">
      <c r="BN17226" s="192"/>
      <c r="BO17226" s="197"/>
      <c r="BP17226" s="197"/>
      <c r="BQ17226" s="197"/>
    </row>
    <row r="17227" spans="66:69" x14ac:dyDescent="0.2">
      <c r="BN17227" s="192"/>
      <c r="BO17227" s="197"/>
      <c r="BP17227" s="197"/>
      <c r="BQ17227" s="197"/>
    </row>
    <row r="17228" spans="66:69" x14ac:dyDescent="0.2">
      <c r="BN17228" s="192"/>
      <c r="BO17228" s="197"/>
      <c r="BP17228" s="197"/>
      <c r="BQ17228" s="197"/>
    </row>
    <row r="17229" spans="66:69" x14ac:dyDescent="0.2">
      <c r="BN17229" s="192"/>
      <c r="BO17229" s="197"/>
      <c r="BP17229" s="197"/>
      <c r="BQ17229" s="197"/>
    </row>
    <row r="17230" spans="66:69" x14ac:dyDescent="0.2">
      <c r="BN17230" s="192"/>
      <c r="BO17230" s="197"/>
      <c r="BP17230" s="197"/>
      <c r="BQ17230" s="197"/>
    </row>
    <row r="17231" spans="66:69" x14ac:dyDescent="0.2">
      <c r="BN17231" s="192"/>
      <c r="BO17231" s="197"/>
      <c r="BP17231" s="197"/>
      <c r="BQ17231" s="197"/>
    </row>
    <row r="17232" spans="66:69" x14ac:dyDescent="0.2">
      <c r="BN17232" s="192"/>
      <c r="BO17232" s="197"/>
      <c r="BP17232" s="197"/>
      <c r="BQ17232" s="197"/>
    </row>
    <row r="17233" spans="66:69" x14ac:dyDescent="0.2">
      <c r="BN17233" s="192"/>
      <c r="BO17233" s="197"/>
      <c r="BP17233" s="197"/>
      <c r="BQ17233" s="197"/>
    </row>
    <row r="17234" spans="66:69" x14ac:dyDescent="0.2">
      <c r="BN17234" s="192"/>
      <c r="BO17234" s="197"/>
      <c r="BP17234" s="197"/>
      <c r="BQ17234" s="197"/>
    </row>
    <row r="17235" spans="66:69" x14ac:dyDescent="0.2">
      <c r="BN17235" s="192"/>
      <c r="BO17235" s="197"/>
      <c r="BP17235" s="197"/>
      <c r="BQ17235" s="197"/>
    </row>
    <row r="17236" spans="66:69" x14ac:dyDescent="0.2">
      <c r="BN17236" s="192"/>
      <c r="BO17236" s="197"/>
      <c r="BP17236" s="197"/>
      <c r="BQ17236" s="197"/>
    </row>
    <row r="17237" spans="66:69" x14ac:dyDescent="0.2">
      <c r="BN17237" s="192"/>
      <c r="BO17237" s="197"/>
      <c r="BP17237" s="197"/>
      <c r="BQ17237" s="197"/>
    </row>
    <row r="17238" spans="66:69" x14ac:dyDescent="0.2">
      <c r="BN17238" s="192"/>
      <c r="BO17238" s="197"/>
      <c r="BP17238" s="197"/>
      <c r="BQ17238" s="197"/>
    </row>
    <row r="17239" spans="66:69" x14ac:dyDescent="0.2">
      <c r="BN17239" s="192"/>
      <c r="BO17239" s="197"/>
      <c r="BP17239" s="197"/>
      <c r="BQ17239" s="197"/>
    </row>
    <row r="17240" spans="66:69" x14ac:dyDescent="0.2">
      <c r="BN17240" s="192"/>
      <c r="BO17240" s="197"/>
      <c r="BP17240" s="197"/>
      <c r="BQ17240" s="197"/>
    </row>
    <row r="17241" spans="66:69" x14ac:dyDescent="0.2">
      <c r="BN17241" s="192"/>
      <c r="BO17241" s="197"/>
      <c r="BP17241" s="197"/>
      <c r="BQ17241" s="197"/>
    </row>
    <row r="17242" spans="66:69" x14ac:dyDescent="0.2">
      <c r="BN17242" s="192"/>
      <c r="BO17242" s="197"/>
      <c r="BP17242" s="197"/>
      <c r="BQ17242" s="197"/>
    </row>
    <row r="17243" spans="66:69" x14ac:dyDescent="0.2">
      <c r="BN17243" s="192"/>
      <c r="BO17243" s="197"/>
      <c r="BP17243" s="197"/>
      <c r="BQ17243" s="197"/>
    </row>
    <row r="17244" spans="66:69" x14ac:dyDescent="0.2">
      <c r="BN17244" s="192"/>
      <c r="BO17244" s="197"/>
      <c r="BP17244" s="197"/>
      <c r="BQ17244" s="197"/>
    </row>
    <row r="17245" spans="66:69" x14ac:dyDescent="0.2">
      <c r="BN17245" s="192"/>
      <c r="BO17245" s="197"/>
      <c r="BP17245" s="197"/>
      <c r="BQ17245" s="197"/>
    </row>
    <row r="17246" spans="66:69" x14ac:dyDescent="0.2">
      <c r="BN17246" s="192"/>
      <c r="BO17246" s="197"/>
      <c r="BP17246" s="197"/>
      <c r="BQ17246" s="197"/>
    </row>
    <row r="17247" spans="66:69" x14ac:dyDescent="0.2">
      <c r="BN17247" s="192"/>
      <c r="BO17247" s="197"/>
      <c r="BP17247" s="197"/>
      <c r="BQ17247" s="197"/>
    </row>
    <row r="17248" spans="66:69" x14ac:dyDescent="0.2">
      <c r="BN17248" s="192"/>
      <c r="BO17248" s="197"/>
      <c r="BP17248" s="197"/>
      <c r="BQ17248" s="197"/>
    </row>
    <row r="17249" spans="66:69" x14ac:dyDescent="0.2">
      <c r="BN17249" s="192"/>
      <c r="BO17249" s="197"/>
      <c r="BP17249" s="197"/>
      <c r="BQ17249" s="197"/>
    </row>
    <row r="17250" spans="66:69" x14ac:dyDescent="0.2">
      <c r="BN17250" s="192"/>
      <c r="BO17250" s="197"/>
      <c r="BP17250" s="197"/>
      <c r="BQ17250" s="197"/>
    </row>
    <row r="17251" spans="66:69" x14ac:dyDescent="0.2">
      <c r="BN17251" s="192"/>
      <c r="BO17251" s="197"/>
      <c r="BP17251" s="197"/>
      <c r="BQ17251" s="197"/>
    </row>
    <row r="17252" spans="66:69" x14ac:dyDescent="0.2">
      <c r="BN17252" s="192"/>
      <c r="BO17252" s="197"/>
      <c r="BP17252" s="197"/>
      <c r="BQ17252" s="197"/>
    </row>
    <row r="17253" spans="66:69" x14ac:dyDescent="0.2">
      <c r="BN17253" s="192"/>
      <c r="BO17253" s="197"/>
      <c r="BP17253" s="197"/>
      <c r="BQ17253" s="197"/>
    </row>
    <row r="17254" spans="66:69" x14ac:dyDescent="0.2">
      <c r="BN17254" s="192"/>
      <c r="BO17254" s="197"/>
      <c r="BP17254" s="197"/>
      <c r="BQ17254" s="197"/>
    </row>
    <row r="17255" spans="66:69" x14ac:dyDescent="0.2">
      <c r="BN17255" s="192"/>
      <c r="BO17255" s="197"/>
      <c r="BP17255" s="197"/>
      <c r="BQ17255" s="197"/>
    </row>
    <row r="17256" spans="66:69" x14ac:dyDescent="0.2">
      <c r="BN17256" s="192"/>
      <c r="BO17256" s="197"/>
      <c r="BP17256" s="197"/>
      <c r="BQ17256" s="197"/>
    </row>
    <row r="17257" spans="66:69" x14ac:dyDescent="0.2">
      <c r="BN17257" s="192"/>
      <c r="BO17257" s="197"/>
      <c r="BP17257" s="197"/>
      <c r="BQ17257" s="197"/>
    </row>
    <row r="17258" spans="66:69" x14ac:dyDescent="0.2">
      <c r="BN17258" s="192"/>
      <c r="BO17258" s="197"/>
      <c r="BP17258" s="197"/>
      <c r="BQ17258" s="197"/>
    </row>
    <row r="17259" spans="66:69" x14ac:dyDescent="0.2">
      <c r="BN17259" s="192"/>
      <c r="BO17259" s="197"/>
      <c r="BP17259" s="197"/>
      <c r="BQ17259" s="197"/>
    </row>
    <row r="17260" spans="66:69" x14ac:dyDescent="0.2">
      <c r="BN17260" s="192"/>
      <c r="BO17260" s="197"/>
      <c r="BP17260" s="197"/>
      <c r="BQ17260" s="197"/>
    </row>
    <row r="17261" spans="66:69" x14ac:dyDescent="0.2">
      <c r="BN17261" s="192"/>
      <c r="BO17261" s="197"/>
      <c r="BP17261" s="197"/>
      <c r="BQ17261" s="197"/>
    </row>
    <row r="17262" spans="66:69" x14ac:dyDescent="0.2">
      <c r="BN17262" s="192"/>
      <c r="BO17262" s="197"/>
      <c r="BP17262" s="197"/>
      <c r="BQ17262" s="197"/>
    </row>
    <row r="17263" spans="66:69" x14ac:dyDescent="0.2">
      <c r="BN17263" s="192"/>
      <c r="BO17263" s="197"/>
      <c r="BP17263" s="197"/>
      <c r="BQ17263" s="197"/>
    </row>
    <row r="17264" spans="66:69" x14ac:dyDescent="0.2">
      <c r="BN17264" s="192"/>
      <c r="BO17264" s="197"/>
      <c r="BP17264" s="197"/>
      <c r="BQ17264" s="197"/>
    </row>
    <row r="17265" spans="66:69" x14ac:dyDescent="0.2">
      <c r="BN17265" s="192"/>
      <c r="BO17265" s="197"/>
      <c r="BP17265" s="197"/>
      <c r="BQ17265" s="197"/>
    </row>
    <row r="17266" spans="66:69" x14ac:dyDescent="0.2">
      <c r="BN17266" s="192"/>
      <c r="BO17266" s="197"/>
      <c r="BP17266" s="197"/>
      <c r="BQ17266" s="197"/>
    </row>
    <row r="17267" spans="66:69" x14ac:dyDescent="0.2">
      <c r="BN17267" s="192"/>
      <c r="BO17267" s="197"/>
      <c r="BP17267" s="197"/>
      <c r="BQ17267" s="197"/>
    </row>
    <row r="17268" spans="66:69" x14ac:dyDescent="0.2">
      <c r="BN17268" s="192"/>
      <c r="BO17268" s="197"/>
      <c r="BP17268" s="197"/>
      <c r="BQ17268" s="197"/>
    </row>
    <row r="17269" spans="66:69" x14ac:dyDescent="0.2">
      <c r="BN17269" s="192"/>
      <c r="BO17269" s="197"/>
      <c r="BP17269" s="197"/>
      <c r="BQ17269" s="197"/>
    </row>
    <row r="17270" spans="66:69" x14ac:dyDescent="0.2">
      <c r="BN17270" s="192"/>
      <c r="BO17270" s="197"/>
      <c r="BP17270" s="197"/>
      <c r="BQ17270" s="197"/>
    </row>
    <row r="17271" spans="66:69" x14ac:dyDescent="0.2">
      <c r="BN17271" s="192"/>
      <c r="BO17271" s="197"/>
      <c r="BP17271" s="197"/>
      <c r="BQ17271" s="197"/>
    </row>
    <row r="17272" spans="66:69" x14ac:dyDescent="0.2">
      <c r="BN17272" s="192"/>
      <c r="BO17272" s="197"/>
      <c r="BP17272" s="197"/>
      <c r="BQ17272" s="197"/>
    </row>
    <row r="17273" spans="66:69" x14ac:dyDescent="0.2">
      <c r="BN17273" s="192"/>
      <c r="BO17273" s="197"/>
      <c r="BP17273" s="197"/>
      <c r="BQ17273" s="197"/>
    </row>
    <row r="17274" spans="66:69" x14ac:dyDescent="0.2">
      <c r="BN17274" s="192"/>
      <c r="BO17274" s="197"/>
      <c r="BP17274" s="197"/>
      <c r="BQ17274" s="197"/>
    </row>
    <row r="17275" spans="66:69" x14ac:dyDescent="0.2">
      <c r="BN17275" s="192"/>
      <c r="BO17275" s="197"/>
      <c r="BP17275" s="197"/>
      <c r="BQ17275" s="197"/>
    </row>
    <row r="17276" spans="66:69" x14ac:dyDescent="0.2">
      <c r="BN17276" s="192"/>
      <c r="BO17276" s="197"/>
      <c r="BP17276" s="197"/>
      <c r="BQ17276" s="197"/>
    </row>
    <row r="17277" spans="66:69" x14ac:dyDescent="0.2">
      <c r="BN17277" s="192"/>
      <c r="BO17277" s="197"/>
      <c r="BP17277" s="197"/>
      <c r="BQ17277" s="197"/>
    </row>
    <row r="17278" spans="66:69" x14ac:dyDescent="0.2">
      <c r="BN17278" s="192"/>
      <c r="BO17278" s="197"/>
      <c r="BP17278" s="197"/>
      <c r="BQ17278" s="197"/>
    </row>
    <row r="17279" spans="66:69" x14ac:dyDescent="0.2">
      <c r="BN17279" s="192"/>
      <c r="BO17279" s="197"/>
      <c r="BP17279" s="197"/>
      <c r="BQ17279" s="197"/>
    </row>
    <row r="17280" spans="66:69" x14ac:dyDescent="0.2">
      <c r="BN17280" s="192"/>
      <c r="BO17280" s="197"/>
      <c r="BP17280" s="197"/>
      <c r="BQ17280" s="197"/>
    </row>
    <row r="17281" spans="66:69" x14ac:dyDescent="0.2">
      <c r="BN17281" s="192"/>
      <c r="BO17281" s="197"/>
      <c r="BP17281" s="197"/>
      <c r="BQ17281" s="197"/>
    </row>
    <row r="17282" spans="66:69" x14ac:dyDescent="0.2">
      <c r="BN17282" s="192"/>
      <c r="BO17282" s="197"/>
      <c r="BP17282" s="197"/>
      <c r="BQ17282" s="197"/>
    </row>
    <row r="17283" spans="66:69" x14ac:dyDescent="0.2">
      <c r="BN17283" s="192"/>
      <c r="BO17283" s="197"/>
      <c r="BP17283" s="197"/>
      <c r="BQ17283" s="197"/>
    </row>
    <row r="17284" spans="66:69" x14ac:dyDescent="0.2">
      <c r="BN17284" s="192"/>
      <c r="BO17284" s="197"/>
      <c r="BP17284" s="197"/>
      <c r="BQ17284" s="197"/>
    </row>
    <row r="17285" spans="66:69" x14ac:dyDescent="0.2">
      <c r="BN17285" s="192"/>
      <c r="BO17285" s="197"/>
      <c r="BP17285" s="197"/>
      <c r="BQ17285" s="197"/>
    </row>
    <row r="17286" spans="66:69" x14ac:dyDescent="0.2">
      <c r="BN17286" s="192"/>
      <c r="BO17286" s="197"/>
      <c r="BP17286" s="197"/>
      <c r="BQ17286" s="197"/>
    </row>
    <row r="17287" spans="66:69" x14ac:dyDescent="0.2">
      <c r="BN17287" s="192"/>
      <c r="BO17287" s="197"/>
      <c r="BP17287" s="197"/>
      <c r="BQ17287" s="197"/>
    </row>
    <row r="17288" spans="66:69" x14ac:dyDescent="0.2">
      <c r="BN17288" s="192"/>
      <c r="BO17288" s="197"/>
      <c r="BP17288" s="197"/>
      <c r="BQ17288" s="197"/>
    </row>
    <row r="17289" spans="66:69" x14ac:dyDescent="0.2">
      <c r="BN17289" s="192"/>
      <c r="BO17289" s="197"/>
      <c r="BP17289" s="197"/>
      <c r="BQ17289" s="197"/>
    </row>
    <row r="17290" spans="66:69" x14ac:dyDescent="0.2">
      <c r="BN17290" s="192"/>
      <c r="BO17290" s="197"/>
      <c r="BP17290" s="197"/>
      <c r="BQ17290" s="197"/>
    </row>
    <row r="17291" spans="66:69" x14ac:dyDescent="0.2">
      <c r="BN17291" s="192"/>
      <c r="BO17291" s="197"/>
      <c r="BP17291" s="197"/>
      <c r="BQ17291" s="197"/>
    </row>
    <row r="17292" spans="66:69" x14ac:dyDescent="0.2">
      <c r="BN17292" s="192"/>
      <c r="BO17292" s="197"/>
      <c r="BP17292" s="197"/>
      <c r="BQ17292" s="197"/>
    </row>
    <row r="17293" spans="66:69" x14ac:dyDescent="0.2">
      <c r="BN17293" s="192"/>
      <c r="BO17293" s="197"/>
      <c r="BP17293" s="197"/>
      <c r="BQ17293" s="197"/>
    </row>
    <row r="17294" spans="66:69" x14ac:dyDescent="0.2">
      <c r="BN17294" s="192"/>
      <c r="BO17294" s="197"/>
      <c r="BP17294" s="197"/>
      <c r="BQ17294" s="197"/>
    </row>
    <row r="17295" spans="66:69" x14ac:dyDescent="0.2">
      <c r="BN17295" s="192"/>
      <c r="BO17295" s="197"/>
      <c r="BP17295" s="197"/>
      <c r="BQ17295" s="197"/>
    </row>
    <row r="17296" spans="66:69" x14ac:dyDescent="0.2">
      <c r="BN17296" s="192"/>
      <c r="BO17296" s="197"/>
      <c r="BP17296" s="197"/>
      <c r="BQ17296" s="197"/>
    </row>
    <row r="17297" spans="66:69" x14ac:dyDescent="0.2">
      <c r="BN17297" s="192"/>
      <c r="BO17297" s="197"/>
      <c r="BP17297" s="197"/>
      <c r="BQ17297" s="197"/>
    </row>
    <row r="17298" spans="66:69" x14ac:dyDescent="0.2">
      <c r="BN17298" s="192"/>
      <c r="BO17298" s="197"/>
      <c r="BP17298" s="197"/>
      <c r="BQ17298" s="197"/>
    </row>
    <row r="17299" spans="66:69" x14ac:dyDescent="0.2">
      <c r="BN17299" s="192"/>
      <c r="BO17299" s="197"/>
      <c r="BP17299" s="197"/>
      <c r="BQ17299" s="197"/>
    </row>
    <row r="17300" spans="66:69" x14ac:dyDescent="0.2">
      <c r="BN17300" s="192"/>
      <c r="BO17300" s="197"/>
      <c r="BP17300" s="197"/>
      <c r="BQ17300" s="197"/>
    </row>
    <row r="17301" spans="66:69" x14ac:dyDescent="0.2">
      <c r="BN17301" s="192"/>
      <c r="BO17301" s="197"/>
      <c r="BP17301" s="197"/>
      <c r="BQ17301" s="197"/>
    </row>
    <row r="17302" spans="66:69" x14ac:dyDescent="0.2">
      <c r="BN17302" s="192"/>
      <c r="BO17302" s="197"/>
      <c r="BP17302" s="197"/>
      <c r="BQ17302" s="197"/>
    </row>
    <row r="17303" spans="66:69" x14ac:dyDescent="0.2">
      <c r="BN17303" s="192"/>
      <c r="BO17303" s="197"/>
      <c r="BP17303" s="197"/>
      <c r="BQ17303" s="197"/>
    </row>
    <row r="17304" spans="66:69" x14ac:dyDescent="0.2">
      <c r="BN17304" s="192"/>
      <c r="BO17304" s="197"/>
      <c r="BP17304" s="197"/>
      <c r="BQ17304" s="197"/>
    </row>
    <row r="17305" spans="66:69" x14ac:dyDescent="0.2">
      <c r="BN17305" s="192"/>
      <c r="BO17305" s="197"/>
      <c r="BP17305" s="197"/>
      <c r="BQ17305" s="197"/>
    </row>
    <row r="17306" spans="66:69" x14ac:dyDescent="0.2">
      <c r="BN17306" s="192"/>
      <c r="BO17306" s="197"/>
      <c r="BP17306" s="197"/>
      <c r="BQ17306" s="197"/>
    </row>
    <row r="17307" spans="66:69" x14ac:dyDescent="0.2">
      <c r="BN17307" s="192"/>
      <c r="BO17307" s="197"/>
      <c r="BP17307" s="197"/>
      <c r="BQ17307" s="197"/>
    </row>
    <row r="17308" spans="66:69" x14ac:dyDescent="0.2">
      <c r="BN17308" s="192"/>
      <c r="BO17308" s="197"/>
      <c r="BP17308" s="197"/>
      <c r="BQ17308" s="197"/>
    </row>
    <row r="17309" spans="66:69" x14ac:dyDescent="0.2">
      <c r="BN17309" s="192"/>
      <c r="BO17309" s="197"/>
      <c r="BP17309" s="197"/>
      <c r="BQ17309" s="197"/>
    </row>
    <row r="17310" spans="66:69" x14ac:dyDescent="0.2">
      <c r="BN17310" s="192"/>
      <c r="BO17310" s="197"/>
      <c r="BP17310" s="197"/>
      <c r="BQ17310" s="197"/>
    </row>
    <row r="17311" spans="66:69" x14ac:dyDescent="0.2">
      <c r="BN17311" s="192"/>
      <c r="BO17311" s="197"/>
      <c r="BP17311" s="197"/>
      <c r="BQ17311" s="197"/>
    </row>
    <row r="17312" spans="66:69" x14ac:dyDescent="0.2">
      <c r="BN17312" s="192"/>
      <c r="BO17312" s="197"/>
      <c r="BP17312" s="197"/>
      <c r="BQ17312" s="197"/>
    </row>
    <row r="17313" spans="66:69" x14ac:dyDescent="0.2">
      <c r="BN17313" s="192"/>
      <c r="BO17313" s="197"/>
      <c r="BP17313" s="197"/>
      <c r="BQ17313" s="197"/>
    </row>
    <row r="17314" spans="66:69" x14ac:dyDescent="0.2">
      <c r="BN17314" s="192"/>
      <c r="BO17314" s="197"/>
      <c r="BP17314" s="197"/>
      <c r="BQ17314" s="197"/>
    </row>
    <row r="17315" spans="66:69" x14ac:dyDescent="0.2">
      <c r="BN17315" s="192"/>
      <c r="BO17315" s="197"/>
      <c r="BP17315" s="197"/>
      <c r="BQ17315" s="197"/>
    </row>
    <row r="17316" spans="66:69" x14ac:dyDescent="0.2">
      <c r="BN17316" s="192"/>
      <c r="BO17316" s="197"/>
      <c r="BP17316" s="197"/>
      <c r="BQ17316" s="197"/>
    </row>
    <row r="17317" spans="66:69" x14ac:dyDescent="0.2">
      <c r="BN17317" s="192"/>
      <c r="BO17317" s="197"/>
      <c r="BP17317" s="197"/>
      <c r="BQ17317" s="197"/>
    </row>
    <row r="17318" spans="66:69" x14ac:dyDescent="0.2">
      <c r="BN17318" s="192"/>
      <c r="BO17318" s="197"/>
      <c r="BP17318" s="197"/>
      <c r="BQ17318" s="197"/>
    </row>
    <row r="17319" spans="66:69" x14ac:dyDescent="0.2">
      <c r="BN17319" s="192"/>
      <c r="BO17319" s="197"/>
      <c r="BP17319" s="197"/>
      <c r="BQ17319" s="197"/>
    </row>
    <row r="17320" spans="66:69" x14ac:dyDescent="0.2">
      <c r="BN17320" s="192"/>
      <c r="BO17320" s="197"/>
      <c r="BP17320" s="197"/>
      <c r="BQ17320" s="197"/>
    </row>
    <row r="17321" spans="66:69" x14ac:dyDescent="0.2">
      <c r="BN17321" s="192"/>
      <c r="BO17321" s="197"/>
      <c r="BP17321" s="197"/>
      <c r="BQ17321" s="197"/>
    </row>
    <row r="17322" spans="66:69" x14ac:dyDescent="0.2">
      <c r="BN17322" s="192"/>
      <c r="BO17322" s="197"/>
      <c r="BP17322" s="197"/>
      <c r="BQ17322" s="197"/>
    </row>
    <row r="17323" spans="66:69" x14ac:dyDescent="0.2">
      <c r="BN17323" s="192"/>
      <c r="BO17323" s="197"/>
      <c r="BP17323" s="197"/>
      <c r="BQ17323" s="197"/>
    </row>
    <row r="17324" spans="66:69" x14ac:dyDescent="0.2">
      <c r="BN17324" s="192"/>
      <c r="BO17324" s="197"/>
      <c r="BP17324" s="197"/>
      <c r="BQ17324" s="197"/>
    </row>
    <row r="17325" spans="66:69" x14ac:dyDescent="0.2">
      <c r="BN17325" s="192"/>
      <c r="BO17325" s="197"/>
      <c r="BP17325" s="197"/>
      <c r="BQ17325" s="197"/>
    </row>
    <row r="17326" spans="66:69" x14ac:dyDescent="0.2">
      <c r="BN17326" s="192"/>
      <c r="BO17326" s="197"/>
      <c r="BP17326" s="197"/>
      <c r="BQ17326" s="197"/>
    </row>
    <row r="17327" spans="66:69" x14ac:dyDescent="0.2">
      <c r="BN17327" s="192"/>
      <c r="BO17327" s="197"/>
      <c r="BP17327" s="197"/>
      <c r="BQ17327" s="197"/>
    </row>
    <row r="17328" spans="66:69" x14ac:dyDescent="0.2">
      <c r="BN17328" s="192"/>
      <c r="BO17328" s="197"/>
      <c r="BP17328" s="197"/>
      <c r="BQ17328" s="197"/>
    </row>
    <row r="17329" spans="66:69" x14ac:dyDescent="0.2">
      <c r="BN17329" s="192"/>
      <c r="BO17329" s="197"/>
      <c r="BP17329" s="197"/>
      <c r="BQ17329" s="197"/>
    </row>
    <row r="17330" spans="66:69" x14ac:dyDescent="0.2">
      <c r="BN17330" s="192"/>
      <c r="BO17330" s="197"/>
      <c r="BP17330" s="197"/>
      <c r="BQ17330" s="197"/>
    </row>
    <row r="17331" spans="66:69" x14ac:dyDescent="0.2">
      <c r="BN17331" s="192"/>
      <c r="BO17331" s="197"/>
      <c r="BP17331" s="197"/>
      <c r="BQ17331" s="197"/>
    </row>
    <row r="17332" spans="66:69" x14ac:dyDescent="0.2">
      <c r="BN17332" s="192"/>
      <c r="BO17332" s="197"/>
      <c r="BP17332" s="197"/>
      <c r="BQ17332" s="197"/>
    </row>
    <row r="17333" spans="66:69" x14ac:dyDescent="0.2">
      <c r="BN17333" s="192"/>
      <c r="BO17333" s="197"/>
      <c r="BP17333" s="197"/>
      <c r="BQ17333" s="197"/>
    </row>
    <row r="17334" spans="66:69" x14ac:dyDescent="0.2">
      <c r="BN17334" s="192"/>
      <c r="BO17334" s="197"/>
      <c r="BP17334" s="197"/>
      <c r="BQ17334" s="197"/>
    </row>
    <row r="17335" spans="66:69" x14ac:dyDescent="0.2">
      <c r="BN17335" s="192"/>
      <c r="BO17335" s="197"/>
      <c r="BP17335" s="197"/>
      <c r="BQ17335" s="197"/>
    </row>
    <row r="17336" spans="66:69" x14ac:dyDescent="0.2">
      <c r="BN17336" s="192"/>
      <c r="BO17336" s="197"/>
      <c r="BP17336" s="197"/>
      <c r="BQ17336" s="197"/>
    </row>
    <row r="17337" spans="66:69" x14ac:dyDescent="0.2">
      <c r="BN17337" s="192"/>
      <c r="BO17337" s="197"/>
      <c r="BP17337" s="197"/>
      <c r="BQ17337" s="197"/>
    </row>
    <row r="17338" spans="66:69" x14ac:dyDescent="0.2">
      <c r="BN17338" s="192"/>
      <c r="BO17338" s="197"/>
      <c r="BP17338" s="197"/>
      <c r="BQ17338" s="197"/>
    </row>
    <row r="17339" spans="66:69" x14ac:dyDescent="0.2">
      <c r="BN17339" s="192"/>
      <c r="BO17339" s="197"/>
      <c r="BP17339" s="197"/>
      <c r="BQ17339" s="197"/>
    </row>
    <row r="17340" spans="66:69" x14ac:dyDescent="0.2">
      <c r="BN17340" s="192"/>
      <c r="BO17340" s="197"/>
      <c r="BP17340" s="197"/>
      <c r="BQ17340" s="197"/>
    </row>
    <row r="17341" spans="66:69" x14ac:dyDescent="0.2">
      <c r="BN17341" s="192"/>
      <c r="BO17341" s="197"/>
      <c r="BP17341" s="197"/>
      <c r="BQ17341" s="197"/>
    </row>
    <row r="17342" spans="66:69" x14ac:dyDescent="0.2">
      <c r="BN17342" s="192"/>
      <c r="BO17342" s="197"/>
      <c r="BP17342" s="197"/>
      <c r="BQ17342" s="197"/>
    </row>
    <row r="17343" spans="66:69" x14ac:dyDescent="0.2">
      <c r="BN17343" s="192"/>
      <c r="BO17343" s="197"/>
      <c r="BP17343" s="197"/>
      <c r="BQ17343" s="197"/>
    </row>
    <row r="17344" spans="66:69" x14ac:dyDescent="0.2">
      <c r="BN17344" s="192"/>
      <c r="BO17344" s="197"/>
      <c r="BP17344" s="197"/>
      <c r="BQ17344" s="197"/>
    </row>
    <row r="17345" spans="66:69" x14ac:dyDescent="0.2">
      <c r="BN17345" s="192"/>
      <c r="BO17345" s="197"/>
      <c r="BP17345" s="197"/>
      <c r="BQ17345" s="197"/>
    </row>
    <row r="17346" spans="66:69" x14ac:dyDescent="0.2">
      <c r="BN17346" s="192"/>
      <c r="BO17346" s="197"/>
      <c r="BP17346" s="197"/>
      <c r="BQ17346" s="197"/>
    </row>
    <row r="17347" spans="66:69" x14ac:dyDescent="0.2">
      <c r="BN17347" s="192"/>
      <c r="BO17347" s="197"/>
      <c r="BP17347" s="197"/>
      <c r="BQ17347" s="197"/>
    </row>
    <row r="17348" spans="66:69" x14ac:dyDescent="0.2">
      <c r="BN17348" s="192"/>
      <c r="BO17348" s="197"/>
      <c r="BP17348" s="197"/>
      <c r="BQ17348" s="197"/>
    </row>
    <row r="17349" spans="66:69" x14ac:dyDescent="0.2">
      <c r="BN17349" s="192"/>
      <c r="BO17349" s="197"/>
      <c r="BP17349" s="197"/>
      <c r="BQ17349" s="197"/>
    </row>
    <row r="17350" spans="66:69" x14ac:dyDescent="0.2">
      <c r="BN17350" s="192"/>
      <c r="BO17350" s="197"/>
      <c r="BP17350" s="197"/>
      <c r="BQ17350" s="197"/>
    </row>
    <row r="17351" spans="66:69" x14ac:dyDescent="0.2">
      <c r="BN17351" s="192"/>
      <c r="BO17351" s="197"/>
      <c r="BP17351" s="197"/>
      <c r="BQ17351" s="197"/>
    </row>
    <row r="17352" spans="66:69" x14ac:dyDescent="0.2">
      <c r="BN17352" s="192"/>
      <c r="BO17352" s="197"/>
      <c r="BP17352" s="197"/>
      <c r="BQ17352" s="197"/>
    </row>
    <row r="17353" spans="66:69" x14ac:dyDescent="0.2">
      <c r="BN17353" s="192"/>
      <c r="BO17353" s="197"/>
      <c r="BP17353" s="197"/>
      <c r="BQ17353" s="197"/>
    </row>
    <row r="17354" spans="66:69" x14ac:dyDescent="0.2">
      <c r="BN17354" s="192"/>
      <c r="BO17354" s="197"/>
      <c r="BP17354" s="197"/>
      <c r="BQ17354" s="197"/>
    </row>
    <row r="17355" spans="66:69" x14ac:dyDescent="0.2">
      <c r="BN17355" s="192"/>
      <c r="BO17355" s="197"/>
      <c r="BP17355" s="197"/>
      <c r="BQ17355" s="197"/>
    </row>
    <row r="17356" spans="66:69" x14ac:dyDescent="0.2">
      <c r="BN17356" s="192"/>
      <c r="BO17356" s="197"/>
      <c r="BP17356" s="197"/>
      <c r="BQ17356" s="197"/>
    </row>
    <row r="17357" spans="66:69" x14ac:dyDescent="0.2">
      <c r="BN17357" s="192"/>
      <c r="BO17357" s="197"/>
      <c r="BP17357" s="197"/>
      <c r="BQ17357" s="197"/>
    </row>
    <row r="17358" spans="66:69" x14ac:dyDescent="0.2">
      <c r="BN17358" s="192"/>
      <c r="BO17358" s="197"/>
      <c r="BP17358" s="197"/>
      <c r="BQ17358" s="197"/>
    </row>
    <row r="17359" spans="66:69" x14ac:dyDescent="0.2">
      <c r="BN17359" s="192"/>
      <c r="BO17359" s="197"/>
      <c r="BP17359" s="197"/>
      <c r="BQ17359" s="197"/>
    </row>
    <row r="17360" spans="66:69" x14ac:dyDescent="0.2">
      <c r="BN17360" s="192"/>
      <c r="BO17360" s="197"/>
      <c r="BP17360" s="197"/>
      <c r="BQ17360" s="197"/>
    </row>
    <row r="17361" spans="66:69" x14ac:dyDescent="0.2">
      <c r="BN17361" s="192"/>
      <c r="BO17361" s="197"/>
      <c r="BP17361" s="197"/>
      <c r="BQ17361" s="197"/>
    </row>
    <row r="17362" spans="66:69" x14ac:dyDescent="0.2">
      <c r="BN17362" s="192"/>
      <c r="BO17362" s="197"/>
      <c r="BP17362" s="197"/>
      <c r="BQ17362" s="197"/>
    </row>
    <row r="17363" spans="66:69" x14ac:dyDescent="0.2">
      <c r="BN17363" s="192"/>
      <c r="BO17363" s="197"/>
      <c r="BP17363" s="197"/>
      <c r="BQ17363" s="197"/>
    </row>
    <row r="17364" spans="66:69" x14ac:dyDescent="0.2">
      <c r="BN17364" s="192"/>
      <c r="BO17364" s="197"/>
      <c r="BP17364" s="197"/>
      <c r="BQ17364" s="197"/>
    </row>
    <row r="17365" spans="66:69" x14ac:dyDescent="0.2">
      <c r="BN17365" s="192"/>
      <c r="BO17365" s="197"/>
      <c r="BP17365" s="197"/>
      <c r="BQ17365" s="197"/>
    </row>
    <row r="17366" spans="66:69" x14ac:dyDescent="0.2">
      <c r="BN17366" s="192"/>
      <c r="BO17366" s="197"/>
      <c r="BP17366" s="197"/>
      <c r="BQ17366" s="197"/>
    </row>
    <row r="17367" spans="66:69" x14ac:dyDescent="0.2">
      <c r="BN17367" s="192"/>
      <c r="BO17367" s="197"/>
      <c r="BP17367" s="197"/>
      <c r="BQ17367" s="197"/>
    </row>
    <row r="17368" spans="66:69" x14ac:dyDescent="0.2">
      <c r="BN17368" s="192"/>
      <c r="BO17368" s="197"/>
      <c r="BP17368" s="197"/>
      <c r="BQ17368" s="197"/>
    </row>
    <row r="17369" spans="66:69" x14ac:dyDescent="0.2">
      <c r="BN17369" s="192"/>
      <c r="BO17369" s="197"/>
      <c r="BP17369" s="197"/>
      <c r="BQ17369" s="197"/>
    </row>
    <row r="17370" spans="66:69" x14ac:dyDescent="0.2">
      <c r="BN17370" s="192"/>
      <c r="BO17370" s="197"/>
      <c r="BP17370" s="197"/>
      <c r="BQ17370" s="197"/>
    </row>
    <row r="17371" spans="66:69" x14ac:dyDescent="0.2">
      <c r="BN17371" s="192"/>
      <c r="BO17371" s="197"/>
      <c r="BP17371" s="197"/>
      <c r="BQ17371" s="197"/>
    </row>
    <row r="17372" spans="66:69" x14ac:dyDescent="0.2">
      <c r="BN17372" s="192"/>
      <c r="BO17372" s="197"/>
      <c r="BP17372" s="197"/>
      <c r="BQ17372" s="197"/>
    </row>
    <row r="17373" spans="66:69" x14ac:dyDescent="0.2">
      <c r="BN17373" s="192"/>
      <c r="BO17373" s="197"/>
      <c r="BP17373" s="197"/>
      <c r="BQ17373" s="197"/>
    </row>
    <row r="17374" spans="66:69" x14ac:dyDescent="0.2">
      <c r="BN17374" s="192"/>
      <c r="BO17374" s="197"/>
      <c r="BP17374" s="197"/>
      <c r="BQ17374" s="197"/>
    </row>
    <row r="17375" spans="66:69" x14ac:dyDescent="0.2">
      <c r="BN17375" s="192"/>
      <c r="BO17375" s="197"/>
      <c r="BP17375" s="197"/>
      <c r="BQ17375" s="197"/>
    </row>
    <row r="17376" spans="66:69" x14ac:dyDescent="0.2">
      <c r="BN17376" s="192"/>
      <c r="BO17376" s="197"/>
      <c r="BP17376" s="197"/>
      <c r="BQ17376" s="197"/>
    </row>
    <row r="17377" spans="66:69" x14ac:dyDescent="0.2">
      <c r="BN17377" s="192"/>
      <c r="BO17377" s="197"/>
      <c r="BP17377" s="197"/>
      <c r="BQ17377" s="197"/>
    </row>
    <row r="17378" spans="66:69" x14ac:dyDescent="0.2">
      <c r="BN17378" s="192"/>
      <c r="BO17378" s="197"/>
      <c r="BP17378" s="197"/>
      <c r="BQ17378" s="197"/>
    </row>
    <row r="17379" spans="66:69" x14ac:dyDescent="0.2">
      <c r="BN17379" s="192"/>
      <c r="BO17379" s="197"/>
      <c r="BP17379" s="197"/>
      <c r="BQ17379" s="197"/>
    </row>
    <row r="17380" spans="66:69" x14ac:dyDescent="0.2">
      <c r="BN17380" s="192"/>
      <c r="BO17380" s="197"/>
      <c r="BP17380" s="197"/>
      <c r="BQ17380" s="197"/>
    </row>
    <row r="17381" spans="66:69" x14ac:dyDescent="0.2">
      <c r="BN17381" s="192"/>
      <c r="BO17381" s="197"/>
      <c r="BP17381" s="197"/>
      <c r="BQ17381" s="197"/>
    </row>
    <row r="17382" spans="66:69" x14ac:dyDescent="0.2">
      <c r="BN17382" s="192"/>
      <c r="BO17382" s="197"/>
      <c r="BP17382" s="197"/>
      <c r="BQ17382" s="197"/>
    </row>
    <row r="17383" spans="66:69" x14ac:dyDescent="0.2">
      <c r="BN17383" s="192"/>
      <c r="BO17383" s="197"/>
      <c r="BP17383" s="197"/>
      <c r="BQ17383" s="197"/>
    </row>
    <row r="17384" spans="66:69" x14ac:dyDescent="0.2">
      <c r="BN17384" s="192"/>
      <c r="BO17384" s="197"/>
      <c r="BP17384" s="197"/>
      <c r="BQ17384" s="197"/>
    </row>
    <row r="17385" spans="66:69" x14ac:dyDescent="0.2">
      <c r="BN17385" s="192"/>
      <c r="BO17385" s="197"/>
      <c r="BP17385" s="197"/>
      <c r="BQ17385" s="197"/>
    </row>
    <row r="17386" spans="66:69" x14ac:dyDescent="0.2">
      <c r="BN17386" s="192"/>
      <c r="BO17386" s="197"/>
      <c r="BP17386" s="197"/>
      <c r="BQ17386" s="197"/>
    </row>
    <row r="17387" spans="66:69" x14ac:dyDescent="0.2">
      <c r="BN17387" s="192"/>
      <c r="BO17387" s="197"/>
      <c r="BP17387" s="197"/>
      <c r="BQ17387" s="197"/>
    </row>
    <row r="17388" spans="66:69" x14ac:dyDescent="0.2">
      <c r="BN17388" s="192"/>
      <c r="BO17388" s="197"/>
      <c r="BP17388" s="197"/>
      <c r="BQ17388" s="197"/>
    </row>
    <row r="17389" spans="66:69" x14ac:dyDescent="0.2">
      <c r="BN17389" s="192"/>
      <c r="BO17389" s="197"/>
      <c r="BP17389" s="197"/>
      <c r="BQ17389" s="197"/>
    </row>
    <row r="17390" spans="66:69" x14ac:dyDescent="0.2">
      <c r="BN17390" s="192"/>
      <c r="BO17390" s="197"/>
      <c r="BP17390" s="197"/>
      <c r="BQ17390" s="197"/>
    </row>
    <row r="17391" spans="66:69" x14ac:dyDescent="0.2">
      <c r="BN17391" s="192"/>
      <c r="BO17391" s="197"/>
      <c r="BP17391" s="197"/>
      <c r="BQ17391" s="197"/>
    </row>
    <row r="17392" spans="66:69" x14ac:dyDescent="0.2">
      <c r="BN17392" s="192"/>
      <c r="BO17392" s="197"/>
      <c r="BP17392" s="197"/>
      <c r="BQ17392" s="197"/>
    </row>
    <row r="17393" spans="66:69" x14ac:dyDescent="0.2">
      <c r="BN17393" s="192"/>
      <c r="BO17393" s="197"/>
      <c r="BP17393" s="197"/>
      <c r="BQ17393" s="197"/>
    </row>
    <row r="17394" spans="66:69" x14ac:dyDescent="0.2">
      <c r="BN17394" s="192"/>
      <c r="BO17394" s="197"/>
      <c r="BP17394" s="197"/>
      <c r="BQ17394" s="197"/>
    </row>
    <row r="17395" spans="66:69" x14ac:dyDescent="0.2">
      <c r="BN17395" s="192"/>
      <c r="BO17395" s="197"/>
      <c r="BP17395" s="197"/>
      <c r="BQ17395" s="197"/>
    </row>
    <row r="17396" spans="66:69" x14ac:dyDescent="0.2">
      <c r="BN17396" s="192"/>
      <c r="BO17396" s="197"/>
      <c r="BP17396" s="197"/>
      <c r="BQ17396" s="197"/>
    </row>
    <row r="17397" spans="66:69" x14ac:dyDescent="0.2">
      <c r="BN17397" s="192"/>
      <c r="BO17397" s="197"/>
      <c r="BP17397" s="197"/>
      <c r="BQ17397" s="197"/>
    </row>
    <row r="17398" spans="66:69" x14ac:dyDescent="0.2">
      <c r="BN17398" s="192"/>
      <c r="BO17398" s="197"/>
      <c r="BP17398" s="197"/>
      <c r="BQ17398" s="197"/>
    </row>
    <row r="17399" spans="66:69" x14ac:dyDescent="0.2">
      <c r="BN17399" s="192"/>
      <c r="BO17399" s="197"/>
      <c r="BP17399" s="197"/>
      <c r="BQ17399" s="197"/>
    </row>
    <row r="17400" spans="66:69" x14ac:dyDescent="0.2">
      <c r="BN17400" s="192"/>
      <c r="BO17400" s="197"/>
      <c r="BP17400" s="197"/>
      <c r="BQ17400" s="197"/>
    </row>
    <row r="17401" spans="66:69" x14ac:dyDescent="0.2">
      <c r="BN17401" s="192"/>
      <c r="BO17401" s="197"/>
      <c r="BP17401" s="197"/>
      <c r="BQ17401" s="197"/>
    </row>
    <row r="17402" spans="66:69" x14ac:dyDescent="0.2">
      <c r="BN17402" s="192"/>
      <c r="BO17402" s="197"/>
      <c r="BP17402" s="197"/>
      <c r="BQ17402" s="197"/>
    </row>
    <row r="17403" spans="66:69" x14ac:dyDescent="0.2">
      <c r="BN17403" s="192"/>
      <c r="BO17403" s="197"/>
      <c r="BP17403" s="197"/>
      <c r="BQ17403" s="197"/>
    </row>
    <row r="17404" spans="66:69" x14ac:dyDescent="0.2">
      <c r="BN17404" s="192"/>
      <c r="BO17404" s="197"/>
      <c r="BP17404" s="197"/>
      <c r="BQ17404" s="197"/>
    </row>
    <row r="17405" spans="66:69" x14ac:dyDescent="0.2">
      <c r="BN17405" s="192"/>
      <c r="BO17405" s="197"/>
      <c r="BP17405" s="197"/>
      <c r="BQ17405" s="197"/>
    </row>
    <row r="17406" spans="66:69" x14ac:dyDescent="0.2">
      <c r="BN17406" s="192"/>
      <c r="BO17406" s="197"/>
      <c r="BP17406" s="197"/>
      <c r="BQ17406" s="197"/>
    </row>
    <row r="17407" spans="66:69" x14ac:dyDescent="0.2">
      <c r="BN17407" s="192"/>
      <c r="BO17407" s="197"/>
      <c r="BP17407" s="197"/>
      <c r="BQ17407" s="197"/>
    </row>
    <row r="17408" spans="66:69" x14ac:dyDescent="0.2">
      <c r="BN17408" s="192"/>
      <c r="BO17408" s="197"/>
      <c r="BP17408" s="197"/>
      <c r="BQ17408" s="197"/>
    </row>
    <row r="17409" spans="66:69" x14ac:dyDescent="0.2">
      <c r="BN17409" s="192"/>
      <c r="BO17409" s="197"/>
      <c r="BP17409" s="197"/>
      <c r="BQ17409" s="197"/>
    </row>
    <row r="17410" spans="66:69" x14ac:dyDescent="0.2">
      <c r="BN17410" s="192"/>
      <c r="BO17410" s="197"/>
      <c r="BP17410" s="197"/>
      <c r="BQ17410" s="197"/>
    </row>
    <row r="17411" spans="66:69" x14ac:dyDescent="0.2">
      <c r="BN17411" s="192"/>
      <c r="BO17411" s="197"/>
      <c r="BP17411" s="197"/>
      <c r="BQ17411" s="197"/>
    </row>
    <row r="17412" spans="66:69" x14ac:dyDescent="0.2">
      <c r="BN17412" s="192"/>
      <c r="BO17412" s="197"/>
      <c r="BP17412" s="197"/>
      <c r="BQ17412" s="197"/>
    </row>
    <row r="17413" spans="66:69" x14ac:dyDescent="0.2">
      <c r="BN17413" s="192"/>
      <c r="BO17413" s="197"/>
      <c r="BP17413" s="197"/>
      <c r="BQ17413" s="197"/>
    </row>
    <row r="17414" spans="66:69" x14ac:dyDescent="0.2">
      <c r="BN17414" s="192"/>
      <c r="BO17414" s="197"/>
      <c r="BP17414" s="197"/>
      <c r="BQ17414" s="197"/>
    </row>
    <row r="17415" spans="66:69" x14ac:dyDescent="0.2">
      <c r="BN17415" s="192"/>
      <c r="BO17415" s="197"/>
      <c r="BP17415" s="197"/>
      <c r="BQ17415" s="197"/>
    </row>
    <row r="17416" spans="66:69" x14ac:dyDescent="0.2">
      <c r="BN17416" s="192"/>
      <c r="BO17416" s="197"/>
      <c r="BP17416" s="197"/>
      <c r="BQ17416" s="197"/>
    </row>
    <row r="17417" spans="66:69" x14ac:dyDescent="0.2">
      <c r="BN17417" s="192"/>
      <c r="BO17417" s="197"/>
      <c r="BP17417" s="197"/>
      <c r="BQ17417" s="197"/>
    </row>
    <row r="17418" spans="66:69" x14ac:dyDescent="0.2">
      <c r="BN17418" s="192"/>
      <c r="BO17418" s="197"/>
      <c r="BP17418" s="197"/>
      <c r="BQ17418" s="197"/>
    </row>
    <row r="17419" spans="66:69" x14ac:dyDescent="0.2">
      <c r="BN17419" s="192"/>
      <c r="BO17419" s="197"/>
      <c r="BP17419" s="197"/>
      <c r="BQ17419" s="197"/>
    </row>
    <row r="17420" spans="66:69" x14ac:dyDescent="0.2">
      <c r="BN17420" s="192"/>
      <c r="BO17420" s="197"/>
      <c r="BP17420" s="197"/>
      <c r="BQ17420" s="197"/>
    </row>
    <row r="17421" spans="66:69" x14ac:dyDescent="0.2">
      <c r="BN17421" s="192"/>
      <c r="BO17421" s="197"/>
      <c r="BP17421" s="197"/>
      <c r="BQ17421" s="197"/>
    </row>
    <row r="17422" spans="66:69" x14ac:dyDescent="0.2">
      <c r="BN17422" s="192"/>
      <c r="BO17422" s="197"/>
      <c r="BP17422" s="197"/>
      <c r="BQ17422" s="197"/>
    </row>
    <row r="17423" spans="66:69" x14ac:dyDescent="0.2">
      <c r="BN17423" s="192"/>
      <c r="BO17423" s="197"/>
      <c r="BP17423" s="197"/>
      <c r="BQ17423" s="197"/>
    </row>
    <row r="17424" spans="66:69" x14ac:dyDescent="0.2">
      <c r="BN17424" s="192"/>
      <c r="BO17424" s="197"/>
      <c r="BP17424" s="197"/>
      <c r="BQ17424" s="197"/>
    </row>
    <row r="17425" spans="66:69" x14ac:dyDescent="0.2">
      <c r="BN17425" s="192"/>
      <c r="BO17425" s="197"/>
      <c r="BP17425" s="197"/>
      <c r="BQ17425" s="197"/>
    </row>
    <row r="17426" spans="66:69" x14ac:dyDescent="0.2">
      <c r="BN17426" s="192"/>
      <c r="BO17426" s="197"/>
      <c r="BP17426" s="197"/>
      <c r="BQ17426" s="197"/>
    </row>
    <row r="17427" spans="66:69" x14ac:dyDescent="0.2">
      <c r="BN17427" s="192"/>
      <c r="BO17427" s="197"/>
      <c r="BP17427" s="197"/>
      <c r="BQ17427" s="197"/>
    </row>
    <row r="17428" spans="66:69" x14ac:dyDescent="0.2">
      <c r="BN17428" s="192"/>
      <c r="BO17428" s="197"/>
      <c r="BP17428" s="197"/>
      <c r="BQ17428" s="197"/>
    </row>
    <row r="17429" spans="66:69" x14ac:dyDescent="0.2">
      <c r="BN17429" s="192"/>
      <c r="BO17429" s="197"/>
      <c r="BP17429" s="197"/>
      <c r="BQ17429" s="197"/>
    </row>
    <row r="17430" spans="66:69" x14ac:dyDescent="0.2">
      <c r="BN17430" s="192"/>
      <c r="BO17430" s="197"/>
      <c r="BP17430" s="197"/>
      <c r="BQ17430" s="197"/>
    </row>
    <row r="17431" spans="66:69" x14ac:dyDescent="0.2">
      <c r="BN17431" s="192"/>
      <c r="BO17431" s="197"/>
      <c r="BP17431" s="197"/>
      <c r="BQ17431" s="197"/>
    </row>
    <row r="17432" spans="66:69" x14ac:dyDescent="0.2">
      <c r="BN17432" s="192"/>
      <c r="BO17432" s="197"/>
      <c r="BP17432" s="197"/>
      <c r="BQ17432" s="197"/>
    </row>
    <row r="17433" spans="66:69" x14ac:dyDescent="0.2">
      <c r="BN17433" s="192"/>
      <c r="BO17433" s="197"/>
      <c r="BP17433" s="197"/>
      <c r="BQ17433" s="197"/>
    </row>
    <row r="17434" spans="66:69" x14ac:dyDescent="0.2">
      <c r="BN17434" s="192"/>
      <c r="BO17434" s="197"/>
      <c r="BP17434" s="197"/>
      <c r="BQ17434" s="197"/>
    </row>
    <row r="17435" spans="66:69" x14ac:dyDescent="0.2">
      <c r="BN17435" s="192"/>
      <c r="BO17435" s="197"/>
      <c r="BP17435" s="197"/>
      <c r="BQ17435" s="197"/>
    </row>
    <row r="17436" spans="66:69" x14ac:dyDescent="0.2">
      <c r="BN17436" s="192"/>
      <c r="BO17436" s="197"/>
      <c r="BP17436" s="197"/>
      <c r="BQ17436" s="197"/>
    </row>
    <row r="17437" spans="66:69" x14ac:dyDescent="0.2">
      <c r="BN17437" s="192"/>
      <c r="BO17437" s="197"/>
      <c r="BP17437" s="197"/>
      <c r="BQ17437" s="197"/>
    </row>
    <row r="17438" spans="66:69" x14ac:dyDescent="0.2">
      <c r="BN17438" s="192"/>
      <c r="BO17438" s="197"/>
      <c r="BP17438" s="197"/>
      <c r="BQ17438" s="197"/>
    </row>
    <row r="17439" spans="66:69" x14ac:dyDescent="0.2">
      <c r="BN17439" s="192"/>
      <c r="BO17439" s="197"/>
      <c r="BP17439" s="197"/>
      <c r="BQ17439" s="197"/>
    </row>
    <row r="17440" spans="66:69" x14ac:dyDescent="0.2">
      <c r="BN17440" s="192"/>
      <c r="BO17440" s="197"/>
      <c r="BP17440" s="197"/>
      <c r="BQ17440" s="197"/>
    </row>
    <row r="17441" spans="66:69" x14ac:dyDescent="0.2">
      <c r="BN17441" s="192"/>
      <c r="BO17441" s="197"/>
      <c r="BP17441" s="197"/>
      <c r="BQ17441" s="197"/>
    </row>
    <row r="17442" spans="66:69" x14ac:dyDescent="0.2">
      <c r="BN17442" s="192"/>
      <c r="BO17442" s="197"/>
      <c r="BP17442" s="197"/>
      <c r="BQ17442" s="197"/>
    </row>
    <row r="17443" spans="66:69" x14ac:dyDescent="0.2">
      <c r="BN17443" s="192"/>
      <c r="BO17443" s="197"/>
      <c r="BP17443" s="197"/>
      <c r="BQ17443" s="197"/>
    </row>
    <row r="17444" spans="66:69" x14ac:dyDescent="0.2">
      <c r="BN17444" s="192"/>
      <c r="BO17444" s="197"/>
      <c r="BP17444" s="197"/>
      <c r="BQ17444" s="197"/>
    </row>
    <row r="17445" spans="66:69" x14ac:dyDescent="0.2">
      <c r="BN17445" s="192"/>
      <c r="BO17445" s="197"/>
      <c r="BP17445" s="197"/>
      <c r="BQ17445" s="197"/>
    </row>
    <row r="17446" spans="66:69" x14ac:dyDescent="0.2">
      <c r="BN17446" s="192"/>
      <c r="BO17446" s="197"/>
      <c r="BP17446" s="197"/>
      <c r="BQ17446" s="197"/>
    </row>
    <row r="17447" spans="66:69" x14ac:dyDescent="0.2">
      <c r="BN17447" s="192"/>
      <c r="BO17447" s="197"/>
      <c r="BP17447" s="197"/>
      <c r="BQ17447" s="197"/>
    </row>
    <row r="17448" spans="66:69" x14ac:dyDescent="0.2">
      <c r="BN17448" s="192"/>
      <c r="BO17448" s="197"/>
      <c r="BP17448" s="197"/>
      <c r="BQ17448" s="197"/>
    </row>
    <row r="17449" spans="66:69" x14ac:dyDescent="0.2">
      <c r="BN17449" s="192"/>
      <c r="BO17449" s="197"/>
      <c r="BP17449" s="197"/>
      <c r="BQ17449" s="197"/>
    </row>
    <row r="17450" spans="66:69" x14ac:dyDescent="0.2">
      <c r="BN17450" s="192"/>
      <c r="BO17450" s="197"/>
      <c r="BP17450" s="197"/>
      <c r="BQ17450" s="197"/>
    </row>
    <row r="17451" spans="66:69" x14ac:dyDescent="0.2">
      <c r="BN17451" s="192"/>
      <c r="BO17451" s="197"/>
      <c r="BP17451" s="197"/>
      <c r="BQ17451" s="197"/>
    </row>
    <row r="17452" spans="66:69" x14ac:dyDescent="0.2">
      <c r="BN17452" s="192"/>
      <c r="BO17452" s="197"/>
      <c r="BP17452" s="197"/>
      <c r="BQ17452" s="197"/>
    </row>
    <row r="17453" spans="66:69" x14ac:dyDescent="0.2">
      <c r="BN17453" s="192"/>
      <c r="BO17453" s="197"/>
      <c r="BP17453" s="197"/>
      <c r="BQ17453" s="197"/>
    </row>
    <row r="17454" spans="66:69" x14ac:dyDescent="0.2">
      <c r="BN17454" s="192"/>
      <c r="BO17454" s="197"/>
      <c r="BP17454" s="197"/>
      <c r="BQ17454" s="197"/>
    </row>
    <row r="17455" spans="66:69" x14ac:dyDescent="0.2">
      <c r="BN17455" s="192"/>
      <c r="BO17455" s="197"/>
      <c r="BP17455" s="197"/>
      <c r="BQ17455" s="197"/>
    </row>
    <row r="17456" spans="66:69" x14ac:dyDescent="0.2">
      <c r="BN17456" s="192"/>
      <c r="BO17456" s="197"/>
      <c r="BP17456" s="197"/>
      <c r="BQ17456" s="197"/>
    </row>
    <row r="17457" spans="66:69" x14ac:dyDescent="0.2">
      <c r="BN17457" s="192"/>
      <c r="BO17457" s="197"/>
      <c r="BP17457" s="197"/>
      <c r="BQ17457" s="197"/>
    </row>
    <row r="17458" spans="66:69" x14ac:dyDescent="0.2">
      <c r="BN17458" s="192"/>
      <c r="BO17458" s="197"/>
      <c r="BP17458" s="197"/>
      <c r="BQ17458" s="197"/>
    </row>
    <row r="17459" spans="66:69" x14ac:dyDescent="0.2">
      <c r="BN17459" s="192"/>
      <c r="BO17459" s="197"/>
      <c r="BP17459" s="197"/>
      <c r="BQ17459" s="197"/>
    </row>
    <row r="17460" spans="66:69" x14ac:dyDescent="0.2">
      <c r="BN17460" s="192"/>
      <c r="BO17460" s="197"/>
      <c r="BP17460" s="197"/>
      <c r="BQ17460" s="197"/>
    </row>
    <row r="17461" spans="66:69" x14ac:dyDescent="0.2">
      <c r="BN17461" s="192"/>
      <c r="BO17461" s="197"/>
      <c r="BP17461" s="197"/>
      <c r="BQ17461" s="197"/>
    </row>
    <row r="17462" spans="66:69" x14ac:dyDescent="0.2">
      <c r="BN17462" s="192"/>
      <c r="BO17462" s="197"/>
      <c r="BP17462" s="197"/>
      <c r="BQ17462" s="197"/>
    </row>
    <row r="17463" spans="66:69" x14ac:dyDescent="0.2">
      <c r="BN17463" s="192"/>
      <c r="BO17463" s="197"/>
      <c r="BP17463" s="197"/>
      <c r="BQ17463" s="197"/>
    </row>
    <row r="17464" spans="66:69" x14ac:dyDescent="0.2">
      <c r="BN17464" s="192"/>
      <c r="BO17464" s="197"/>
      <c r="BP17464" s="197"/>
      <c r="BQ17464" s="197"/>
    </row>
    <row r="17465" spans="66:69" x14ac:dyDescent="0.2">
      <c r="BN17465" s="192"/>
      <c r="BO17465" s="197"/>
      <c r="BP17465" s="197"/>
      <c r="BQ17465" s="197"/>
    </row>
    <row r="17466" spans="66:69" x14ac:dyDescent="0.2">
      <c r="BN17466" s="192"/>
      <c r="BO17466" s="197"/>
      <c r="BP17466" s="197"/>
      <c r="BQ17466" s="197"/>
    </row>
    <row r="17467" spans="66:69" x14ac:dyDescent="0.2">
      <c r="BN17467" s="192"/>
      <c r="BO17467" s="197"/>
      <c r="BP17467" s="197"/>
      <c r="BQ17467" s="197"/>
    </row>
    <row r="17468" spans="66:69" x14ac:dyDescent="0.2">
      <c r="BN17468" s="192"/>
      <c r="BO17468" s="197"/>
      <c r="BP17468" s="197"/>
      <c r="BQ17468" s="197"/>
    </row>
    <row r="17469" spans="66:69" x14ac:dyDescent="0.2">
      <c r="BN17469" s="192"/>
      <c r="BO17469" s="197"/>
      <c r="BP17469" s="197"/>
      <c r="BQ17469" s="197"/>
    </row>
    <row r="17470" spans="66:69" x14ac:dyDescent="0.2">
      <c r="BN17470" s="192"/>
      <c r="BO17470" s="197"/>
      <c r="BP17470" s="197"/>
      <c r="BQ17470" s="197"/>
    </row>
    <row r="17471" spans="66:69" x14ac:dyDescent="0.2">
      <c r="BN17471" s="192"/>
      <c r="BO17471" s="197"/>
      <c r="BP17471" s="197"/>
      <c r="BQ17471" s="197"/>
    </row>
    <row r="17472" spans="66:69" x14ac:dyDescent="0.2">
      <c r="BN17472" s="192"/>
      <c r="BO17472" s="197"/>
      <c r="BP17472" s="197"/>
      <c r="BQ17472" s="197"/>
    </row>
    <row r="17473" spans="66:69" x14ac:dyDescent="0.2">
      <c r="BN17473" s="192"/>
      <c r="BO17473" s="197"/>
      <c r="BP17473" s="197"/>
      <c r="BQ17473" s="197"/>
    </row>
    <row r="17474" spans="66:69" x14ac:dyDescent="0.2">
      <c r="BN17474" s="192"/>
      <c r="BO17474" s="197"/>
      <c r="BP17474" s="197"/>
      <c r="BQ17474" s="197"/>
    </row>
    <row r="17475" spans="66:69" x14ac:dyDescent="0.2">
      <c r="BN17475" s="192"/>
      <c r="BO17475" s="197"/>
      <c r="BP17475" s="197"/>
      <c r="BQ17475" s="197"/>
    </row>
    <row r="17476" spans="66:69" x14ac:dyDescent="0.2">
      <c r="BN17476" s="192"/>
      <c r="BO17476" s="197"/>
      <c r="BP17476" s="197"/>
      <c r="BQ17476" s="197"/>
    </row>
    <row r="17477" spans="66:69" x14ac:dyDescent="0.2">
      <c r="BN17477" s="192"/>
      <c r="BO17477" s="197"/>
      <c r="BP17477" s="197"/>
      <c r="BQ17477" s="197"/>
    </row>
    <row r="17478" spans="66:69" x14ac:dyDescent="0.2">
      <c r="BN17478" s="192"/>
      <c r="BO17478" s="197"/>
      <c r="BP17478" s="197"/>
      <c r="BQ17478" s="197"/>
    </row>
    <row r="17479" spans="66:69" x14ac:dyDescent="0.2">
      <c r="BN17479" s="192"/>
      <c r="BO17479" s="197"/>
      <c r="BP17479" s="197"/>
      <c r="BQ17479" s="197"/>
    </row>
    <row r="17480" spans="66:69" x14ac:dyDescent="0.2">
      <c r="BN17480" s="192"/>
      <c r="BO17480" s="197"/>
      <c r="BP17480" s="197"/>
      <c r="BQ17480" s="197"/>
    </row>
    <row r="17481" spans="66:69" x14ac:dyDescent="0.2">
      <c r="BN17481" s="192"/>
      <c r="BO17481" s="197"/>
      <c r="BP17481" s="197"/>
      <c r="BQ17481" s="197"/>
    </row>
    <row r="17482" spans="66:69" x14ac:dyDescent="0.2">
      <c r="BN17482" s="192"/>
      <c r="BO17482" s="197"/>
      <c r="BP17482" s="197"/>
      <c r="BQ17482" s="197"/>
    </row>
    <row r="17483" spans="66:69" x14ac:dyDescent="0.2">
      <c r="BN17483" s="192"/>
      <c r="BO17483" s="197"/>
      <c r="BP17483" s="197"/>
      <c r="BQ17483" s="197"/>
    </row>
    <row r="17484" spans="66:69" x14ac:dyDescent="0.2">
      <c r="BN17484" s="192"/>
      <c r="BO17484" s="197"/>
      <c r="BP17484" s="197"/>
      <c r="BQ17484" s="197"/>
    </row>
    <row r="17485" spans="66:69" x14ac:dyDescent="0.2">
      <c r="BN17485" s="192"/>
      <c r="BO17485" s="197"/>
      <c r="BP17485" s="197"/>
      <c r="BQ17485" s="197"/>
    </row>
    <row r="17486" spans="66:69" x14ac:dyDescent="0.2">
      <c r="BN17486" s="192"/>
      <c r="BO17486" s="197"/>
      <c r="BP17486" s="197"/>
      <c r="BQ17486" s="197"/>
    </row>
    <row r="17487" spans="66:69" x14ac:dyDescent="0.2">
      <c r="BN17487" s="192"/>
      <c r="BO17487" s="197"/>
      <c r="BP17487" s="197"/>
      <c r="BQ17487" s="197"/>
    </row>
    <row r="17488" spans="66:69" x14ac:dyDescent="0.2">
      <c r="BN17488" s="192"/>
      <c r="BO17488" s="197"/>
      <c r="BP17488" s="197"/>
      <c r="BQ17488" s="197"/>
    </row>
    <row r="17489" spans="66:69" x14ac:dyDescent="0.2">
      <c r="BN17489" s="192"/>
      <c r="BO17489" s="197"/>
      <c r="BP17489" s="197"/>
      <c r="BQ17489" s="197"/>
    </row>
    <row r="17490" spans="66:69" x14ac:dyDescent="0.2">
      <c r="BN17490" s="192"/>
      <c r="BO17490" s="197"/>
      <c r="BP17490" s="197"/>
      <c r="BQ17490" s="197"/>
    </row>
    <row r="17491" spans="66:69" x14ac:dyDescent="0.2">
      <c r="BN17491" s="192"/>
      <c r="BO17491" s="197"/>
      <c r="BP17491" s="197"/>
      <c r="BQ17491" s="197"/>
    </row>
    <row r="17492" spans="66:69" x14ac:dyDescent="0.2">
      <c r="BN17492" s="192"/>
      <c r="BO17492" s="197"/>
      <c r="BP17492" s="197"/>
      <c r="BQ17492" s="197"/>
    </row>
    <row r="17493" spans="66:69" x14ac:dyDescent="0.2">
      <c r="BN17493" s="192"/>
      <c r="BO17493" s="197"/>
      <c r="BP17493" s="197"/>
      <c r="BQ17493" s="197"/>
    </row>
    <row r="17494" spans="66:69" x14ac:dyDescent="0.2">
      <c r="BN17494" s="192"/>
      <c r="BO17494" s="197"/>
      <c r="BP17494" s="197"/>
      <c r="BQ17494" s="197"/>
    </row>
    <row r="17495" spans="66:69" x14ac:dyDescent="0.2">
      <c r="BN17495" s="192"/>
      <c r="BO17495" s="197"/>
      <c r="BP17495" s="197"/>
      <c r="BQ17495" s="197"/>
    </row>
    <row r="17496" spans="66:69" x14ac:dyDescent="0.2">
      <c r="BN17496" s="192"/>
      <c r="BO17496" s="197"/>
      <c r="BP17496" s="197"/>
      <c r="BQ17496" s="197"/>
    </row>
    <row r="17497" spans="66:69" x14ac:dyDescent="0.2">
      <c r="BN17497" s="192"/>
      <c r="BO17497" s="197"/>
      <c r="BP17497" s="197"/>
      <c r="BQ17497" s="197"/>
    </row>
    <row r="17498" spans="66:69" x14ac:dyDescent="0.2">
      <c r="BN17498" s="192"/>
      <c r="BO17498" s="197"/>
      <c r="BP17498" s="197"/>
      <c r="BQ17498" s="197"/>
    </row>
    <row r="17499" spans="66:69" x14ac:dyDescent="0.2">
      <c r="BN17499" s="192"/>
      <c r="BO17499" s="197"/>
      <c r="BP17499" s="197"/>
      <c r="BQ17499" s="197"/>
    </row>
    <row r="17500" spans="66:69" x14ac:dyDescent="0.2">
      <c r="BN17500" s="192"/>
      <c r="BO17500" s="197"/>
      <c r="BP17500" s="197"/>
      <c r="BQ17500" s="197"/>
    </row>
    <row r="17501" spans="66:69" x14ac:dyDescent="0.2">
      <c r="BN17501" s="192"/>
      <c r="BO17501" s="197"/>
      <c r="BP17501" s="197"/>
      <c r="BQ17501" s="197"/>
    </row>
    <row r="17502" spans="66:69" x14ac:dyDescent="0.2">
      <c r="BN17502" s="192"/>
      <c r="BO17502" s="197"/>
      <c r="BP17502" s="197"/>
      <c r="BQ17502" s="197"/>
    </row>
    <row r="17503" spans="66:69" x14ac:dyDescent="0.2">
      <c r="BN17503" s="192"/>
      <c r="BO17503" s="197"/>
      <c r="BP17503" s="197"/>
      <c r="BQ17503" s="197"/>
    </row>
    <row r="17504" spans="66:69" x14ac:dyDescent="0.2">
      <c r="BN17504" s="192"/>
      <c r="BO17504" s="197"/>
      <c r="BP17504" s="197"/>
      <c r="BQ17504" s="197"/>
    </row>
    <row r="17505" spans="66:69" x14ac:dyDescent="0.2">
      <c r="BN17505" s="192"/>
      <c r="BO17505" s="197"/>
      <c r="BP17505" s="197"/>
      <c r="BQ17505" s="197"/>
    </row>
    <row r="17506" spans="66:69" x14ac:dyDescent="0.2">
      <c r="BN17506" s="192"/>
      <c r="BO17506" s="197"/>
      <c r="BP17506" s="197"/>
      <c r="BQ17506" s="197"/>
    </row>
    <row r="17507" spans="66:69" x14ac:dyDescent="0.2">
      <c r="BN17507" s="192"/>
      <c r="BO17507" s="197"/>
      <c r="BP17507" s="197"/>
      <c r="BQ17507" s="197"/>
    </row>
    <row r="17508" spans="66:69" x14ac:dyDescent="0.2">
      <c r="BN17508" s="192"/>
      <c r="BO17508" s="197"/>
      <c r="BP17508" s="197"/>
      <c r="BQ17508" s="197"/>
    </row>
    <row r="17509" spans="66:69" x14ac:dyDescent="0.2">
      <c r="BN17509" s="192"/>
      <c r="BO17509" s="197"/>
      <c r="BP17509" s="197"/>
      <c r="BQ17509" s="197"/>
    </row>
    <row r="17510" spans="66:69" x14ac:dyDescent="0.2">
      <c r="BN17510" s="192"/>
      <c r="BO17510" s="197"/>
      <c r="BP17510" s="197"/>
      <c r="BQ17510" s="197"/>
    </row>
    <row r="17511" spans="66:69" x14ac:dyDescent="0.2">
      <c r="BN17511" s="192"/>
      <c r="BO17511" s="197"/>
      <c r="BP17511" s="197"/>
      <c r="BQ17511" s="197"/>
    </row>
    <row r="17512" spans="66:69" x14ac:dyDescent="0.2">
      <c r="BN17512" s="192"/>
      <c r="BO17512" s="197"/>
      <c r="BP17512" s="197"/>
      <c r="BQ17512" s="197"/>
    </row>
    <row r="17513" spans="66:69" x14ac:dyDescent="0.2">
      <c r="BN17513" s="192"/>
      <c r="BO17513" s="197"/>
      <c r="BP17513" s="197"/>
      <c r="BQ17513" s="197"/>
    </row>
    <row r="17514" spans="66:69" x14ac:dyDescent="0.2">
      <c r="BN17514" s="192"/>
      <c r="BO17514" s="197"/>
      <c r="BP17514" s="197"/>
      <c r="BQ17514" s="197"/>
    </row>
    <row r="17515" spans="66:69" x14ac:dyDescent="0.2">
      <c r="BN17515" s="192"/>
      <c r="BO17515" s="197"/>
      <c r="BP17515" s="197"/>
      <c r="BQ17515" s="197"/>
    </row>
    <row r="17516" spans="66:69" x14ac:dyDescent="0.2">
      <c r="BN17516" s="192"/>
      <c r="BO17516" s="197"/>
      <c r="BP17516" s="197"/>
      <c r="BQ17516" s="197"/>
    </row>
    <row r="17517" spans="66:69" x14ac:dyDescent="0.2">
      <c r="BN17517" s="192"/>
      <c r="BO17517" s="197"/>
      <c r="BP17517" s="197"/>
      <c r="BQ17517" s="197"/>
    </row>
    <row r="17518" spans="66:69" x14ac:dyDescent="0.2">
      <c r="BN17518" s="192"/>
      <c r="BO17518" s="197"/>
      <c r="BP17518" s="197"/>
      <c r="BQ17518" s="197"/>
    </row>
    <row r="17519" spans="66:69" x14ac:dyDescent="0.2">
      <c r="BN17519" s="192"/>
      <c r="BO17519" s="197"/>
      <c r="BP17519" s="197"/>
      <c r="BQ17519" s="197"/>
    </row>
    <row r="17520" spans="66:69" x14ac:dyDescent="0.2">
      <c r="BN17520" s="192"/>
      <c r="BO17520" s="197"/>
      <c r="BP17520" s="197"/>
      <c r="BQ17520" s="197"/>
    </row>
    <row r="17521" spans="66:69" x14ac:dyDescent="0.2">
      <c r="BN17521" s="192"/>
      <c r="BO17521" s="197"/>
      <c r="BP17521" s="197"/>
      <c r="BQ17521" s="197"/>
    </row>
    <row r="17522" spans="66:69" x14ac:dyDescent="0.2">
      <c r="BN17522" s="192"/>
      <c r="BO17522" s="197"/>
      <c r="BP17522" s="197"/>
      <c r="BQ17522" s="197"/>
    </row>
    <row r="17523" spans="66:69" x14ac:dyDescent="0.2">
      <c r="BN17523" s="192"/>
      <c r="BO17523" s="197"/>
      <c r="BP17523" s="197"/>
      <c r="BQ17523" s="197"/>
    </row>
    <row r="17524" spans="66:69" x14ac:dyDescent="0.2">
      <c r="BN17524" s="192"/>
      <c r="BO17524" s="197"/>
      <c r="BP17524" s="197"/>
      <c r="BQ17524" s="197"/>
    </row>
    <row r="17525" spans="66:69" x14ac:dyDescent="0.2">
      <c r="BN17525" s="192"/>
      <c r="BO17525" s="197"/>
      <c r="BP17525" s="197"/>
      <c r="BQ17525" s="197"/>
    </row>
    <row r="17526" spans="66:69" x14ac:dyDescent="0.2">
      <c r="BN17526" s="192"/>
      <c r="BO17526" s="197"/>
      <c r="BP17526" s="197"/>
      <c r="BQ17526" s="197"/>
    </row>
    <row r="17527" spans="66:69" x14ac:dyDescent="0.2">
      <c r="BN17527" s="192"/>
      <c r="BO17527" s="197"/>
      <c r="BP17527" s="197"/>
      <c r="BQ17527" s="197"/>
    </row>
    <row r="17528" spans="66:69" x14ac:dyDescent="0.2">
      <c r="BN17528" s="192"/>
      <c r="BO17528" s="197"/>
      <c r="BP17528" s="197"/>
      <c r="BQ17528" s="197"/>
    </row>
    <row r="17529" spans="66:69" x14ac:dyDescent="0.2">
      <c r="BN17529" s="192"/>
      <c r="BO17529" s="197"/>
      <c r="BP17529" s="197"/>
      <c r="BQ17529" s="197"/>
    </row>
    <row r="17530" spans="66:69" x14ac:dyDescent="0.2">
      <c r="BN17530" s="192"/>
      <c r="BO17530" s="197"/>
      <c r="BP17530" s="197"/>
      <c r="BQ17530" s="197"/>
    </row>
    <row r="17531" spans="66:69" x14ac:dyDescent="0.2">
      <c r="BN17531" s="192"/>
      <c r="BO17531" s="197"/>
      <c r="BP17531" s="197"/>
      <c r="BQ17531" s="197"/>
    </row>
    <row r="17532" spans="66:69" x14ac:dyDescent="0.2">
      <c r="BN17532" s="192"/>
      <c r="BO17532" s="197"/>
      <c r="BP17532" s="197"/>
      <c r="BQ17532" s="197"/>
    </row>
    <row r="17533" spans="66:69" x14ac:dyDescent="0.2">
      <c r="BN17533" s="192"/>
      <c r="BO17533" s="197"/>
      <c r="BP17533" s="197"/>
      <c r="BQ17533" s="197"/>
    </row>
    <row r="17534" spans="66:69" x14ac:dyDescent="0.2">
      <c r="BN17534" s="192"/>
      <c r="BO17534" s="197"/>
      <c r="BP17534" s="197"/>
      <c r="BQ17534" s="197"/>
    </row>
    <row r="17535" spans="66:69" x14ac:dyDescent="0.2">
      <c r="BN17535" s="192"/>
      <c r="BO17535" s="197"/>
      <c r="BP17535" s="197"/>
      <c r="BQ17535" s="197"/>
    </row>
    <row r="17536" spans="66:69" x14ac:dyDescent="0.2">
      <c r="BN17536" s="192"/>
      <c r="BO17536" s="197"/>
      <c r="BP17536" s="197"/>
      <c r="BQ17536" s="197"/>
    </row>
    <row r="17537" spans="66:69" x14ac:dyDescent="0.2">
      <c r="BN17537" s="192"/>
      <c r="BO17537" s="197"/>
      <c r="BP17537" s="197"/>
      <c r="BQ17537" s="197"/>
    </row>
    <row r="17538" spans="66:69" x14ac:dyDescent="0.2">
      <c r="BN17538" s="192"/>
      <c r="BO17538" s="197"/>
      <c r="BP17538" s="197"/>
      <c r="BQ17538" s="197"/>
    </row>
    <row r="17539" spans="66:69" x14ac:dyDescent="0.2">
      <c r="BN17539" s="192"/>
      <c r="BO17539" s="197"/>
      <c r="BP17539" s="197"/>
      <c r="BQ17539" s="197"/>
    </row>
    <row r="17540" spans="66:69" x14ac:dyDescent="0.2">
      <c r="BN17540" s="192"/>
      <c r="BO17540" s="197"/>
      <c r="BP17540" s="197"/>
      <c r="BQ17540" s="197"/>
    </row>
    <row r="17541" spans="66:69" x14ac:dyDescent="0.2">
      <c r="BN17541" s="192"/>
      <c r="BO17541" s="197"/>
      <c r="BP17541" s="197"/>
      <c r="BQ17541" s="197"/>
    </row>
    <row r="17542" spans="66:69" x14ac:dyDescent="0.2">
      <c r="BN17542" s="192"/>
      <c r="BO17542" s="197"/>
      <c r="BP17542" s="197"/>
      <c r="BQ17542" s="197"/>
    </row>
    <row r="17543" spans="66:69" x14ac:dyDescent="0.2">
      <c r="BN17543" s="192"/>
      <c r="BO17543" s="197"/>
      <c r="BP17543" s="197"/>
      <c r="BQ17543" s="197"/>
    </row>
    <row r="17544" spans="66:69" x14ac:dyDescent="0.2">
      <c r="BN17544" s="192"/>
      <c r="BO17544" s="197"/>
      <c r="BP17544" s="197"/>
      <c r="BQ17544" s="197"/>
    </row>
    <row r="17545" spans="66:69" x14ac:dyDescent="0.2">
      <c r="BN17545" s="192"/>
      <c r="BO17545" s="197"/>
      <c r="BP17545" s="197"/>
      <c r="BQ17545" s="197"/>
    </row>
    <row r="17546" spans="66:69" x14ac:dyDescent="0.2">
      <c r="BN17546" s="192"/>
      <c r="BO17546" s="197"/>
      <c r="BP17546" s="197"/>
      <c r="BQ17546" s="197"/>
    </row>
    <row r="17547" spans="66:69" x14ac:dyDescent="0.2">
      <c r="BN17547" s="192"/>
      <c r="BO17547" s="197"/>
      <c r="BP17547" s="197"/>
      <c r="BQ17547" s="197"/>
    </row>
    <row r="17548" spans="66:69" x14ac:dyDescent="0.2">
      <c r="BN17548" s="192"/>
      <c r="BO17548" s="197"/>
      <c r="BP17548" s="197"/>
      <c r="BQ17548" s="197"/>
    </row>
    <row r="17549" spans="66:69" x14ac:dyDescent="0.2">
      <c r="BN17549" s="192"/>
      <c r="BO17549" s="197"/>
      <c r="BP17549" s="197"/>
      <c r="BQ17549" s="197"/>
    </row>
    <row r="17550" spans="66:69" x14ac:dyDescent="0.2">
      <c r="BN17550" s="192"/>
      <c r="BO17550" s="197"/>
      <c r="BP17550" s="197"/>
      <c r="BQ17550" s="197"/>
    </row>
    <row r="17551" spans="66:69" x14ac:dyDescent="0.2">
      <c r="BN17551" s="192"/>
      <c r="BO17551" s="197"/>
      <c r="BP17551" s="197"/>
      <c r="BQ17551" s="197"/>
    </row>
    <row r="17552" spans="66:69" x14ac:dyDescent="0.2">
      <c r="BN17552" s="192"/>
      <c r="BO17552" s="197"/>
      <c r="BP17552" s="197"/>
      <c r="BQ17552" s="197"/>
    </row>
    <row r="17553" spans="66:69" x14ac:dyDescent="0.2">
      <c r="BN17553" s="192"/>
      <c r="BO17553" s="197"/>
      <c r="BP17553" s="197"/>
      <c r="BQ17553" s="197"/>
    </row>
    <row r="17554" spans="66:69" x14ac:dyDescent="0.2">
      <c r="BN17554" s="192"/>
      <c r="BO17554" s="197"/>
      <c r="BP17554" s="197"/>
      <c r="BQ17554" s="197"/>
    </row>
    <row r="17555" spans="66:69" x14ac:dyDescent="0.2">
      <c r="BN17555" s="192"/>
      <c r="BO17555" s="197"/>
      <c r="BP17555" s="197"/>
      <c r="BQ17555" s="197"/>
    </row>
    <row r="17556" spans="66:69" x14ac:dyDescent="0.2">
      <c r="BN17556" s="192"/>
      <c r="BO17556" s="197"/>
      <c r="BP17556" s="197"/>
      <c r="BQ17556" s="197"/>
    </row>
    <row r="17557" spans="66:69" x14ac:dyDescent="0.2">
      <c r="BN17557" s="192"/>
      <c r="BO17557" s="197"/>
      <c r="BP17557" s="197"/>
      <c r="BQ17557" s="197"/>
    </row>
    <row r="17558" spans="66:69" x14ac:dyDescent="0.2">
      <c r="BN17558" s="192"/>
      <c r="BO17558" s="197"/>
      <c r="BP17558" s="197"/>
      <c r="BQ17558" s="197"/>
    </row>
    <row r="17559" spans="66:69" x14ac:dyDescent="0.2">
      <c r="BN17559" s="192"/>
      <c r="BO17559" s="197"/>
      <c r="BP17559" s="197"/>
      <c r="BQ17559" s="197"/>
    </row>
    <row r="17560" spans="66:69" x14ac:dyDescent="0.2">
      <c r="BN17560" s="192"/>
      <c r="BO17560" s="197"/>
      <c r="BP17560" s="197"/>
      <c r="BQ17560" s="197"/>
    </row>
    <row r="17561" spans="66:69" x14ac:dyDescent="0.2">
      <c r="BN17561" s="192"/>
      <c r="BO17561" s="197"/>
      <c r="BP17561" s="197"/>
      <c r="BQ17561" s="197"/>
    </row>
    <row r="17562" spans="66:69" x14ac:dyDescent="0.2">
      <c r="BN17562" s="192"/>
      <c r="BO17562" s="197"/>
      <c r="BP17562" s="197"/>
      <c r="BQ17562" s="197"/>
    </row>
    <row r="17563" spans="66:69" x14ac:dyDescent="0.2">
      <c r="BN17563" s="192"/>
      <c r="BO17563" s="197"/>
      <c r="BP17563" s="197"/>
      <c r="BQ17563" s="197"/>
    </row>
    <row r="17564" spans="66:69" x14ac:dyDescent="0.2">
      <c r="BN17564" s="192"/>
      <c r="BO17564" s="197"/>
      <c r="BP17564" s="197"/>
      <c r="BQ17564" s="197"/>
    </row>
    <row r="17565" spans="66:69" x14ac:dyDescent="0.2">
      <c r="BN17565" s="192"/>
      <c r="BO17565" s="197"/>
      <c r="BP17565" s="197"/>
      <c r="BQ17565" s="197"/>
    </row>
    <row r="17566" spans="66:69" x14ac:dyDescent="0.2">
      <c r="BN17566" s="192"/>
      <c r="BO17566" s="197"/>
      <c r="BP17566" s="197"/>
      <c r="BQ17566" s="197"/>
    </row>
    <row r="17567" spans="66:69" x14ac:dyDescent="0.2">
      <c r="BN17567" s="192"/>
      <c r="BO17567" s="197"/>
      <c r="BP17567" s="197"/>
      <c r="BQ17567" s="197"/>
    </row>
    <row r="17568" spans="66:69" x14ac:dyDescent="0.2">
      <c r="BN17568" s="192"/>
      <c r="BO17568" s="197"/>
      <c r="BP17568" s="197"/>
      <c r="BQ17568" s="197"/>
    </row>
    <row r="17569" spans="66:69" x14ac:dyDescent="0.2">
      <c r="BN17569" s="192"/>
      <c r="BO17569" s="197"/>
      <c r="BP17569" s="197"/>
      <c r="BQ17569" s="197"/>
    </row>
    <row r="17570" spans="66:69" x14ac:dyDescent="0.2">
      <c r="BN17570" s="192"/>
      <c r="BO17570" s="197"/>
      <c r="BP17570" s="197"/>
      <c r="BQ17570" s="197"/>
    </row>
    <row r="17571" spans="66:69" x14ac:dyDescent="0.2">
      <c r="BN17571" s="192"/>
      <c r="BO17571" s="197"/>
      <c r="BP17571" s="197"/>
      <c r="BQ17571" s="197"/>
    </row>
    <row r="17572" spans="66:69" x14ac:dyDescent="0.2">
      <c r="BN17572" s="192"/>
      <c r="BO17572" s="197"/>
      <c r="BP17572" s="197"/>
      <c r="BQ17572" s="197"/>
    </row>
    <row r="17573" spans="66:69" x14ac:dyDescent="0.2">
      <c r="BN17573" s="192"/>
      <c r="BO17573" s="197"/>
      <c r="BP17573" s="197"/>
      <c r="BQ17573" s="197"/>
    </row>
    <row r="17574" spans="66:69" x14ac:dyDescent="0.2">
      <c r="BN17574" s="192"/>
      <c r="BO17574" s="197"/>
      <c r="BP17574" s="197"/>
      <c r="BQ17574" s="197"/>
    </row>
    <row r="17575" spans="66:69" x14ac:dyDescent="0.2">
      <c r="BN17575" s="192"/>
      <c r="BO17575" s="197"/>
      <c r="BP17575" s="197"/>
      <c r="BQ17575" s="197"/>
    </row>
    <row r="17576" spans="66:69" x14ac:dyDescent="0.2">
      <c r="BN17576" s="192"/>
      <c r="BO17576" s="197"/>
      <c r="BP17576" s="197"/>
      <c r="BQ17576" s="197"/>
    </row>
    <row r="17577" spans="66:69" x14ac:dyDescent="0.2">
      <c r="BN17577" s="192"/>
      <c r="BO17577" s="197"/>
      <c r="BP17577" s="197"/>
      <c r="BQ17577" s="197"/>
    </row>
    <row r="17578" spans="66:69" x14ac:dyDescent="0.2">
      <c r="BN17578" s="192"/>
      <c r="BO17578" s="197"/>
      <c r="BP17578" s="197"/>
      <c r="BQ17578" s="197"/>
    </row>
    <row r="17579" spans="66:69" x14ac:dyDescent="0.2">
      <c r="BN17579" s="192"/>
      <c r="BO17579" s="197"/>
      <c r="BP17579" s="197"/>
      <c r="BQ17579" s="197"/>
    </row>
    <row r="17580" spans="66:69" x14ac:dyDescent="0.2">
      <c r="BN17580" s="192"/>
      <c r="BO17580" s="197"/>
      <c r="BP17580" s="197"/>
      <c r="BQ17580" s="197"/>
    </row>
    <row r="17581" spans="66:69" x14ac:dyDescent="0.2">
      <c r="BN17581" s="192"/>
      <c r="BO17581" s="197"/>
      <c r="BP17581" s="197"/>
      <c r="BQ17581" s="197"/>
    </row>
    <row r="17582" spans="66:69" x14ac:dyDescent="0.2">
      <c r="BN17582" s="192"/>
      <c r="BO17582" s="197"/>
      <c r="BP17582" s="197"/>
      <c r="BQ17582" s="197"/>
    </row>
    <row r="17583" spans="66:69" x14ac:dyDescent="0.2">
      <c r="BN17583" s="192"/>
      <c r="BO17583" s="197"/>
      <c r="BP17583" s="197"/>
      <c r="BQ17583" s="197"/>
    </row>
    <row r="17584" spans="66:69" x14ac:dyDescent="0.2">
      <c r="BN17584" s="192"/>
      <c r="BO17584" s="197"/>
      <c r="BP17584" s="197"/>
      <c r="BQ17584" s="197"/>
    </row>
    <row r="17585" spans="66:69" x14ac:dyDescent="0.2">
      <c r="BN17585" s="192"/>
      <c r="BO17585" s="197"/>
      <c r="BP17585" s="197"/>
      <c r="BQ17585" s="197"/>
    </row>
    <row r="17586" spans="66:69" x14ac:dyDescent="0.2">
      <c r="BN17586" s="192"/>
      <c r="BO17586" s="197"/>
      <c r="BP17586" s="197"/>
      <c r="BQ17586" s="197"/>
    </row>
    <row r="17587" spans="66:69" x14ac:dyDescent="0.2">
      <c r="BN17587" s="192"/>
      <c r="BO17587" s="197"/>
      <c r="BP17587" s="197"/>
      <c r="BQ17587" s="197"/>
    </row>
    <row r="17588" spans="66:69" x14ac:dyDescent="0.2">
      <c r="BN17588" s="192"/>
      <c r="BO17588" s="197"/>
      <c r="BP17588" s="197"/>
      <c r="BQ17588" s="197"/>
    </row>
    <row r="17589" spans="66:69" x14ac:dyDescent="0.2">
      <c r="BN17589" s="192"/>
      <c r="BO17589" s="197"/>
      <c r="BP17589" s="197"/>
      <c r="BQ17589" s="197"/>
    </row>
    <row r="17590" spans="66:69" x14ac:dyDescent="0.2">
      <c r="BN17590" s="192"/>
      <c r="BO17590" s="197"/>
      <c r="BP17590" s="197"/>
      <c r="BQ17590" s="197"/>
    </row>
    <row r="17591" spans="66:69" x14ac:dyDescent="0.2">
      <c r="BN17591" s="192"/>
      <c r="BO17591" s="197"/>
      <c r="BP17591" s="197"/>
      <c r="BQ17591" s="197"/>
    </row>
    <row r="17592" spans="66:69" x14ac:dyDescent="0.2">
      <c r="BN17592" s="192"/>
      <c r="BO17592" s="197"/>
      <c r="BP17592" s="197"/>
      <c r="BQ17592" s="197"/>
    </row>
    <row r="17593" spans="66:69" x14ac:dyDescent="0.2">
      <c r="BN17593" s="192"/>
      <c r="BO17593" s="197"/>
      <c r="BP17593" s="197"/>
      <c r="BQ17593" s="197"/>
    </row>
    <row r="17594" spans="66:69" x14ac:dyDescent="0.2">
      <c r="BN17594" s="192"/>
      <c r="BO17594" s="197"/>
      <c r="BP17594" s="197"/>
      <c r="BQ17594" s="197"/>
    </row>
    <row r="17595" spans="66:69" x14ac:dyDescent="0.2">
      <c r="BN17595" s="192"/>
      <c r="BO17595" s="197"/>
      <c r="BP17595" s="197"/>
      <c r="BQ17595" s="197"/>
    </row>
    <row r="17596" spans="66:69" x14ac:dyDescent="0.2">
      <c r="BN17596" s="192"/>
      <c r="BO17596" s="197"/>
      <c r="BP17596" s="197"/>
      <c r="BQ17596" s="197"/>
    </row>
    <row r="17597" spans="66:69" x14ac:dyDescent="0.2">
      <c r="BN17597" s="192"/>
      <c r="BO17597" s="197"/>
      <c r="BP17597" s="197"/>
      <c r="BQ17597" s="197"/>
    </row>
    <row r="17598" spans="66:69" x14ac:dyDescent="0.2">
      <c r="BN17598" s="192"/>
      <c r="BO17598" s="197"/>
      <c r="BP17598" s="197"/>
      <c r="BQ17598" s="197"/>
    </row>
    <row r="17599" spans="66:69" x14ac:dyDescent="0.2">
      <c r="BN17599" s="192"/>
      <c r="BO17599" s="197"/>
      <c r="BP17599" s="197"/>
      <c r="BQ17599" s="197"/>
    </row>
    <row r="17600" spans="66:69" x14ac:dyDescent="0.2">
      <c r="BN17600" s="192"/>
      <c r="BO17600" s="197"/>
      <c r="BP17600" s="197"/>
      <c r="BQ17600" s="197"/>
    </row>
    <row r="17601" spans="66:69" x14ac:dyDescent="0.2">
      <c r="BN17601" s="192"/>
      <c r="BO17601" s="197"/>
      <c r="BP17601" s="197"/>
      <c r="BQ17601" s="197"/>
    </row>
    <row r="17602" spans="66:69" x14ac:dyDescent="0.2">
      <c r="BN17602" s="192"/>
      <c r="BO17602" s="197"/>
      <c r="BP17602" s="197"/>
      <c r="BQ17602" s="197"/>
    </row>
    <row r="17603" spans="66:69" x14ac:dyDescent="0.2">
      <c r="BN17603" s="192"/>
      <c r="BO17603" s="197"/>
      <c r="BP17603" s="197"/>
      <c r="BQ17603" s="197"/>
    </row>
    <row r="17604" spans="66:69" x14ac:dyDescent="0.2">
      <c r="BN17604" s="192"/>
      <c r="BO17604" s="197"/>
      <c r="BP17604" s="197"/>
      <c r="BQ17604" s="197"/>
    </row>
    <row r="17605" spans="66:69" x14ac:dyDescent="0.2">
      <c r="BN17605" s="192"/>
      <c r="BO17605" s="197"/>
      <c r="BP17605" s="197"/>
      <c r="BQ17605" s="197"/>
    </row>
    <row r="17606" spans="66:69" x14ac:dyDescent="0.2">
      <c r="BN17606" s="192"/>
      <c r="BO17606" s="197"/>
      <c r="BP17606" s="197"/>
      <c r="BQ17606" s="197"/>
    </row>
    <row r="17607" spans="66:69" x14ac:dyDescent="0.2">
      <c r="BN17607" s="192"/>
      <c r="BO17607" s="197"/>
      <c r="BP17607" s="197"/>
      <c r="BQ17607" s="197"/>
    </row>
    <row r="17608" spans="66:69" x14ac:dyDescent="0.2">
      <c r="BN17608" s="192"/>
      <c r="BO17608" s="197"/>
      <c r="BP17608" s="197"/>
      <c r="BQ17608" s="197"/>
    </row>
    <row r="17609" spans="66:69" x14ac:dyDescent="0.2">
      <c r="BN17609" s="192"/>
      <c r="BO17609" s="197"/>
      <c r="BP17609" s="197"/>
      <c r="BQ17609" s="197"/>
    </row>
    <row r="17610" spans="66:69" x14ac:dyDescent="0.2">
      <c r="BN17610" s="192"/>
      <c r="BO17610" s="197"/>
      <c r="BP17610" s="197"/>
      <c r="BQ17610" s="197"/>
    </row>
    <row r="17611" spans="66:69" x14ac:dyDescent="0.2">
      <c r="BN17611" s="192"/>
      <c r="BO17611" s="197"/>
      <c r="BP17611" s="197"/>
      <c r="BQ17611" s="197"/>
    </row>
    <row r="17612" spans="66:69" x14ac:dyDescent="0.2">
      <c r="BN17612" s="192"/>
      <c r="BO17612" s="197"/>
      <c r="BP17612" s="197"/>
      <c r="BQ17612" s="197"/>
    </row>
    <row r="17613" spans="66:69" x14ac:dyDescent="0.2">
      <c r="BN17613" s="192"/>
      <c r="BO17613" s="197"/>
      <c r="BP17613" s="197"/>
      <c r="BQ17613" s="197"/>
    </row>
    <row r="17614" spans="66:69" x14ac:dyDescent="0.2">
      <c r="BN17614" s="192"/>
      <c r="BO17614" s="197"/>
      <c r="BP17614" s="197"/>
      <c r="BQ17614" s="197"/>
    </row>
    <row r="17615" spans="66:69" x14ac:dyDescent="0.2">
      <c r="BN17615" s="192"/>
      <c r="BO17615" s="197"/>
      <c r="BP17615" s="197"/>
      <c r="BQ17615" s="197"/>
    </row>
    <row r="17616" spans="66:69" x14ac:dyDescent="0.2">
      <c r="BN17616" s="192"/>
      <c r="BO17616" s="197"/>
      <c r="BP17616" s="197"/>
      <c r="BQ17616" s="197"/>
    </row>
    <row r="17617" spans="66:69" x14ac:dyDescent="0.2">
      <c r="BN17617" s="192"/>
      <c r="BO17617" s="197"/>
      <c r="BP17617" s="197"/>
      <c r="BQ17617" s="197"/>
    </row>
    <row r="17618" spans="66:69" x14ac:dyDescent="0.2">
      <c r="BN17618" s="192"/>
      <c r="BO17618" s="197"/>
      <c r="BP17618" s="197"/>
      <c r="BQ17618" s="197"/>
    </row>
    <row r="17619" spans="66:69" x14ac:dyDescent="0.2">
      <c r="BN17619" s="192"/>
      <c r="BO17619" s="197"/>
      <c r="BP17619" s="197"/>
      <c r="BQ17619" s="197"/>
    </row>
    <row r="17620" spans="66:69" x14ac:dyDescent="0.2">
      <c r="BN17620" s="192"/>
      <c r="BO17620" s="197"/>
      <c r="BP17620" s="197"/>
      <c r="BQ17620" s="197"/>
    </row>
    <row r="17621" spans="66:69" x14ac:dyDescent="0.2">
      <c r="BN17621" s="192"/>
      <c r="BO17621" s="197"/>
      <c r="BP17621" s="197"/>
      <c r="BQ17621" s="197"/>
    </row>
    <row r="17622" spans="66:69" x14ac:dyDescent="0.2">
      <c r="BN17622" s="192"/>
      <c r="BO17622" s="197"/>
      <c r="BP17622" s="197"/>
      <c r="BQ17622" s="197"/>
    </row>
    <row r="17623" spans="66:69" x14ac:dyDescent="0.2">
      <c r="BN17623" s="192"/>
      <c r="BO17623" s="197"/>
      <c r="BP17623" s="197"/>
      <c r="BQ17623" s="197"/>
    </row>
    <row r="17624" spans="66:69" x14ac:dyDescent="0.2">
      <c r="BN17624" s="192"/>
      <c r="BO17624" s="197"/>
      <c r="BP17624" s="197"/>
      <c r="BQ17624" s="197"/>
    </row>
    <row r="17625" spans="66:69" x14ac:dyDescent="0.2">
      <c r="BN17625" s="192"/>
      <c r="BO17625" s="197"/>
      <c r="BP17625" s="197"/>
      <c r="BQ17625" s="197"/>
    </row>
    <row r="17626" spans="66:69" x14ac:dyDescent="0.2">
      <c r="BN17626" s="192"/>
      <c r="BO17626" s="197"/>
      <c r="BP17626" s="197"/>
      <c r="BQ17626" s="197"/>
    </row>
    <row r="17627" spans="66:69" x14ac:dyDescent="0.2">
      <c r="BN17627" s="192"/>
      <c r="BO17627" s="197"/>
      <c r="BP17627" s="197"/>
      <c r="BQ17627" s="197"/>
    </row>
    <row r="17628" spans="66:69" x14ac:dyDescent="0.2">
      <c r="BN17628" s="192"/>
      <c r="BO17628" s="197"/>
      <c r="BP17628" s="197"/>
      <c r="BQ17628" s="197"/>
    </row>
    <row r="17629" spans="66:69" x14ac:dyDescent="0.2">
      <c r="BN17629" s="192"/>
      <c r="BO17629" s="197"/>
      <c r="BP17629" s="197"/>
      <c r="BQ17629" s="197"/>
    </row>
    <row r="17630" spans="66:69" x14ac:dyDescent="0.2">
      <c r="BN17630" s="192"/>
      <c r="BO17630" s="197"/>
      <c r="BP17630" s="197"/>
      <c r="BQ17630" s="197"/>
    </row>
    <row r="17631" spans="66:69" x14ac:dyDescent="0.2">
      <c r="BN17631" s="192"/>
      <c r="BO17631" s="197"/>
      <c r="BP17631" s="197"/>
      <c r="BQ17631" s="197"/>
    </row>
    <row r="17632" spans="66:69" x14ac:dyDescent="0.2">
      <c r="BN17632" s="192"/>
      <c r="BO17632" s="197"/>
      <c r="BP17632" s="197"/>
      <c r="BQ17632" s="197"/>
    </row>
    <row r="17633" spans="66:69" x14ac:dyDescent="0.2">
      <c r="BN17633" s="192"/>
      <c r="BO17633" s="197"/>
      <c r="BP17633" s="197"/>
      <c r="BQ17633" s="197"/>
    </row>
    <row r="17634" spans="66:69" x14ac:dyDescent="0.2">
      <c r="BN17634" s="192"/>
      <c r="BO17634" s="197"/>
      <c r="BP17634" s="197"/>
      <c r="BQ17634" s="197"/>
    </row>
    <row r="17635" spans="66:69" x14ac:dyDescent="0.2">
      <c r="BN17635" s="192"/>
      <c r="BO17635" s="197"/>
      <c r="BP17635" s="197"/>
      <c r="BQ17635" s="197"/>
    </row>
    <row r="17636" spans="66:69" x14ac:dyDescent="0.2">
      <c r="BN17636" s="192"/>
      <c r="BO17636" s="197"/>
      <c r="BP17636" s="197"/>
      <c r="BQ17636" s="197"/>
    </row>
    <row r="17637" spans="66:69" x14ac:dyDescent="0.2">
      <c r="BN17637" s="192"/>
      <c r="BO17637" s="197"/>
      <c r="BP17637" s="197"/>
      <c r="BQ17637" s="197"/>
    </row>
    <row r="17638" spans="66:69" x14ac:dyDescent="0.2">
      <c r="BN17638" s="192"/>
      <c r="BO17638" s="197"/>
      <c r="BP17638" s="197"/>
      <c r="BQ17638" s="197"/>
    </row>
    <row r="17639" spans="66:69" x14ac:dyDescent="0.2">
      <c r="BN17639" s="192"/>
      <c r="BO17639" s="197"/>
      <c r="BP17639" s="197"/>
      <c r="BQ17639" s="197"/>
    </row>
    <row r="17640" spans="66:69" x14ac:dyDescent="0.2">
      <c r="BN17640" s="192"/>
      <c r="BO17640" s="197"/>
      <c r="BP17640" s="197"/>
      <c r="BQ17640" s="197"/>
    </row>
    <row r="17641" spans="66:69" x14ac:dyDescent="0.2">
      <c r="BN17641" s="192"/>
      <c r="BO17641" s="197"/>
      <c r="BP17641" s="197"/>
      <c r="BQ17641" s="197"/>
    </row>
    <row r="17642" spans="66:69" x14ac:dyDescent="0.2">
      <c r="BN17642" s="192"/>
      <c r="BO17642" s="197"/>
      <c r="BP17642" s="197"/>
      <c r="BQ17642" s="197"/>
    </row>
    <row r="17643" spans="66:69" x14ac:dyDescent="0.2">
      <c r="BN17643" s="192"/>
      <c r="BO17643" s="197"/>
      <c r="BP17643" s="197"/>
      <c r="BQ17643" s="197"/>
    </row>
    <row r="17644" spans="66:69" x14ac:dyDescent="0.2">
      <c r="BN17644" s="192"/>
      <c r="BO17644" s="197"/>
      <c r="BP17644" s="197"/>
      <c r="BQ17644" s="197"/>
    </row>
    <row r="17645" spans="66:69" x14ac:dyDescent="0.2">
      <c r="BN17645" s="192"/>
      <c r="BO17645" s="197"/>
      <c r="BP17645" s="197"/>
      <c r="BQ17645" s="197"/>
    </row>
    <row r="17646" spans="66:69" x14ac:dyDescent="0.2">
      <c r="BN17646" s="192"/>
      <c r="BO17646" s="197"/>
      <c r="BP17646" s="197"/>
      <c r="BQ17646" s="197"/>
    </row>
    <row r="17647" spans="66:69" x14ac:dyDescent="0.2">
      <c r="BN17647" s="192"/>
      <c r="BO17647" s="197"/>
      <c r="BP17647" s="197"/>
      <c r="BQ17647" s="197"/>
    </row>
    <row r="17648" spans="66:69" x14ac:dyDescent="0.2">
      <c r="BN17648" s="192"/>
      <c r="BO17648" s="197"/>
      <c r="BP17648" s="197"/>
      <c r="BQ17648" s="197"/>
    </row>
    <row r="17649" spans="66:69" x14ac:dyDescent="0.2">
      <c r="BN17649" s="192"/>
      <c r="BO17649" s="197"/>
      <c r="BP17649" s="197"/>
      <c r="BQ17649" s="197"/>
    </row>
    <row r="17650" spans="66:69" x14ac:dyDescent="0.2">
      <c r="BN17650" s="192"/>
      <c r="BO17650" s="197"/>
      <c r="BP17650" s="197"/>
      <c r="BQ17650" s="197"/>
    </row>
    <row r="17651" spans="66:69" x14ac:dyDescent="0.2">
      <c r="BN17651" s="192"/>
      <c r="BO17651" s="197"/>
      <c r="BP17651" s="197"/>
      <c r="BQ17651" s="197"/>
    </row>
    <row r="17652" spans="66:69" x14ac:dyDescent="0.2">
      <c r="BN17652" s="192"/>
      <c r="BO17652" s="197"/>
      <c r="BP17652" s="197"/>
      <c r="BQ17652" s="197"/>
    </row>
    <row r="17653" spans="66:69" x14ac:dyDescent="0.2">
      <c r="BN17653" s="192"/>
      <c r="BO17653" s="197"/>
      <c r="BP17653" s="197"/>
      <c r="BQ17653" s="197"/>
    </row>
    <row r="17654" spans="66:69" x14ac:dyDescent="0.2">
      <c r="BN17654" s="192"/>
      <c r="BO17654" s="197"/>
      <c r="BP17654" s="197"/>
      <c r="BQ17654" s="197"/>
    </row>
    <row r="17655" spans="66:69" x14ac:dyDescent="0.2">
      <c r="BN17655" s="192"/>
      <c r="BO17655" s="197"/>
      <c r="BP17655" s="197"/>
      <c r="BQ17655" s="197"/>
    </row>
    <row r="17656" spans="66:69" x14ac:dyDescent="0.2">
      <c r="BN17656" s="192"/>
      <c r="BO17656" s="197"/>
      <c r="BP17656" s="197"/>
      <c r="BQ17656" s="197"/>
    </row>
    <row r="17657" spans="66:69" x14ac:dyDescent="0.2">
      <c r="BN17657" s="192"/>
      <c r="BO17657" s="197"/>
      <c r="BP17657" s="197"/>
      <c r="BQ17657" s="197"/>
    </row>
    <row r="17658" spans="66:69" x14ac:dyDescent="0.2">
      <c r="BN17658" s="192"/>
      <c r="BO17658" s="197"/>
      <c r="BP17658" s="197"/>
      <c r="BQ17658" s="197"/>
    </row>
    <row r="17659" spans="66:69" x14ac:dyDescent="0.2">
      <c r="BN17659" s="192"/>
      <c r="BO17659" s="197"/>
      <c r="BP17659" s="197"/>
      <c r="BQ17659" s="197"/>
    </row>
    <row r="17660" spans="66:69" x14ac:dyDescent="0.2">
      <c r="BN17660" s="192"/>
      <c r="BO17660" s="197"/>
      <c r="BP17660" s="197"/>
      <c r="BQ17660" s="197"/>
    </row>
    <row r="17661" spans="66:69" x14ac:dyDescent="0.2">
      <c r="BN17661" s="192"/>
      <c r="BO17661" s="197"/>
      <c r="BP17661" s="197"/>
      <c r="BQ17661" s="197"/>
    </row>
    <row r="17662" spans="66:69" x14ac:dyDescent="0.2">
      <c r="BN17662" s="192"/>
      <c r="BO17662" s="197"/>
      <c r="BP17662" s="197"/>
      <c r="BQ17662" s="197"/>
    </row>
    <row r="17663" spans="66:69" x14ac:dyDescent="0.2">
      <c r="BN17663" s="192"/>
      <c r="BO17663" s="197"/>
      <c r="BP17663" s="197"/>
      <c r="BQ17663" s="197"/>
    </row>
    <row r="17664" spans="66:69" x14ac:dyDescent="0.2">
      <c r="BN17664" s="192"/>
      <c r="BO17664" s="197"/>
      <c r="BP17664" s="197"/>
      <c r="BQ17664" s="197"/>
    </row>
    <row r="17665" spans="66:69" x14ac:dyDescent="0.2">
      <c r="BN17665" s="192"/>
      <c r="BO17665" s="197"/>
      <c r="BP17665" s="197"/>
      <c r="BQ17665" s="197"/>
    </row>
    <row r="17666" spans="66:69" x14ac:dyDescent="0.2">
      <c r="BN17666" s="192"/>
      <c r="BO17666" s="197"/>
      <c r="BP17666" s="197"/>
      <c r="BQ17666" s="197"/>
    </row>
    <row r="17667" spans="66:69" x14ac:dyDescent="0.2">
      <c r="BN17667" s="192"/>
      <c r="BO17667" s="197"/>
      <c r="BP17667" s="197"/>
      <c r="BQ17667" s="197"/>
    </row>
    <row r="17668" spans="66:69" x14ac:dyDescent="0.2">
      <c r="BN17668" s="192"/>
      <c r="BO17668" s="197"/>
      <c r="BP17668" s="197"/>
      <c r="BQ17668" s="197"/>
    </row>
    <row r="17669" spans="66:69" x14ac:dyDescent="0.2">
      <c r="BN17669" s="192"/>
      <c r="BO17669" s="197"/>
      <c r="BP17669" s="197"/>
      <c r="BQ17669" s="197"/>
    </row>
    <row r="17670" spans="66:69" x14ac:dyDescent="0.2">
      <c r="BN17670" s="192"/>
      <c r="BO17670" s="197"/>
      <c r="BP17670" s="197"/>
      <c r="BQ17670" s="197"/>
    </row>
    <row r="17671" spans="66:69" x14ac:dyDescent="0.2">
      <c r="BN17671" s="192"/>
      <c r="BO17671" s="197"/>
      <c r="BP17671" s="197"/>
      <c r="BQ17671" s="197"/>
    </row>
    <row r="17672" spans="66:69" x14ac:dyDescent="0.2">
      <c r="BN17672" s="192"/>
      <c r="BO17672" s="197"/>
      <c r="BP17672" s="197"/>
      <c r="BQ17672" s="197"/>
    </row>
    <row r="17673" spans="66:69" x14ac:dyDescent="0.2">
      <c r="BN17673" s="192"/>
      <c r="BO17673" s="197"/>
      <c r="BP17673" s="197"/>
      <c r="BQ17673" s="197"/>
    </row>
    <row r="17674" spans="66:69" x14ac:dyDescent="0.2">
      <c r="BN17674" s="192"/>
      <c r="BO17674" s="197"/>
      <c r="BP17674" s="197"/>
      <c r="BQ17674" s="197"/>
    </row>
    <row r="17675" spans="66:69" x14ac:dyDescent="0.2">
      <c r="BN17675" s="192"/>
      <c r="BO17675" s="197"/>
      <c r="BP17675" s="197"/>
      <c r="BQ17675" s="197"/>
    </row>
    <row r="17676" spans="66:69" x14ac:dyDescent="0.2">
      <c r="BN17676" s="192"/>
      <c r="BO17676" s="197"/>
      <c r="BP17676" s="197"/>
      <c r="BQ17676" s="197"/>
    </row>
    <row r="17677" spans="66:69" x14ac:dyDescent="0.2">
      <c r="BN17677" s="192"/>
      <c r="BO17677" s="197"/>
      <c r="BP17677" s="197"/>
      <c r="BQ17677" s="197"/>
    </row>
    <row r="17678" spans="66:69" x14ac:dyDescent="0.2">
      <c r="BN17678" s="192"/>
      <c r="BO17678" s="197"/>
      <c r="BP17678" s="197"/>
      <c r="BQ17678" s="197"/>
    </row>
    <row r="17679" spans="66:69" x14ac:dyDescent="0.2">
      <c r="BN17679" s="192"/>
      <c r="BO17679" s="197"/>
      <c r="BP17679" s="197"/>
      <c r="BQ17679" s="197"/>
    </row>
    <row r="17680" spans="66:69" x14ac:dyDescent="0.2">
      <c r="BN17680" s="192"/>
      <c r="BO17680" s="197"/>
      <c r="BP17680" s="197"/>
      <c r="BQ17680" s="197"/>
    </row>
    <row r="17681" spans="66:69" x14ac:dyDescent="0.2">
      <c r="BN17681" s="192"/>
      <c r="BO17681" s="197"/>
      <c r="BP17681" s="197"/>
      <c r="BQ17681" s="197"/>
    </row>
    <row r="17682" spans="66:69" x14ac:dyDescent="0.2">
      <c r="BN17682" s="192"/>
      <c r="BO17682" s="197"/>
      <c r="BP17682" s="197"/>
      <c r="BQ17682" s="197"/>
    </row>
    <row r="17683" spans="66:69" x14ac:dyDescent="0.2">
      <c r="BN17683" s="192"/>
      <c r="BO17683" s="197"/>
      <c r="BP17683" s="197"/>
      <c r="BQ17683" s="197"/>
    </row>
    <row r="17684" spans="66:69" x14ac:dyDescent="0.2">
      <c r="BN17684" s="192"/>
      <c r="BO17684" s="197"/>
      <c r="BP17684" s="197"/>
      <c r="BQ17684" s="197"/>
    </row>
    <row r="17685" spans="66:69" x14ac:dyDescent="0.2">
      <c r="BN17685" s="192"/>
      <c r="BO17685" s="197"/>
      <c r="BP17685" s="197"/>
      <c r="BQ17685" s="197"/>
    </row>
    <row r="17686" spans="66:69" x14ac:dyDescent="0.2">
      <c r="BN17686" s="192"/>
      <c r="BO17686" s="197"/>
      <c r="BP17686" s="197"/>
      <c r="BQ17686" s="197"/>
    </row>
    <row r="17687" spans="66:69" x14ac:dyDescent="0.2">
      <c r="BN17687" s="192"/>
      <c r="BO17687" s="197"/>
      <c r="BP17687" s="197"/>
      <c r="BQ17687" s="197"/>
    </row>
    <row r="17688" spans="66:69" x14ac:dyDescent="0.2">
      <c r="BN17688" s="192"/>
      <c r="BO17688" s="197"/>
      <c r="BP17688" s="197"/>
      <c r="BQ17688" s="197"/>
    </row>
    <row r="17689" spans="66:69" x14ac:dyDescent="0.2">
      <c r="BN17689" s="192"/>
      <c r="BO17689" s="197"/>
      <c r="BP17689" s="197"/>
      <c r="BQ17689" s="197"/>
    </row>
    <row r="17690" spans="66:69" x14ac:dyDescent="0.2">
      <c r="BN17690" s="192"/>
      <c r="BO17690" s="197"/>
      <c r="BP17690" s="197"/>
      <c r="BQ17690" s="197"/>
    </row>
    <row r="17691" spans="66:69" x14ac:dyDescent="0.2">
      <c r="BN17691" s="192"/>
      <c r="BO17691" s="197"/>
      <c r="BP17691" s="197"/>
      <c r="BQ17691" s="197"/>
    </row>
    <row r="17692" spans="66:69" x14ac:dyDescent="0.2">
      <c r="BN17692" s="192"/>
      <c r="BO17692" s="197"/>
      <c r="BP17692" s="197"/>
      <c r="BQ17692" s="197"/>
    </row>
    <row r="17693" spans="66:69" x14ac:dyDescent="0.2">
      <c r="BN17693" s="192"/>
      <c r="BO17693" s="197"/>
      <c r="BP17693" s="197"/>
      <c r="BQ17693" s="197"/>
    </row>
    <row r="17694" spans="66:69" x14ac:dyDescent="0.2">
      <c r="BN17694" s="192"/>
      <c r="BO17694" s="197"/>
      <c r="BP17694" s="197"/>
      <c r="BQ17694" s="197"/>
    </row>
    <row r="17695" spans="66:69" x14ac:dyDescent="0.2">
      <c r="BN17695" s="192"/>
      <c r="BO17695" s="197"/>
      <c r="BP17695" s="197"/>
      <c r="BQ17695" s="197"/>
    </row>
    <row r="17696" spans="66:69" x14ac:dyDescent="0.2">
      <c r="BN17696" s="192"/>
      <c r="BO17696" s="197"/>
      <c r="BP17696" s="197"/>
      <c r="BQ17696" s="197"/>
    </row>
    <row r="17697" spans="66:69" x14ac:dyDescent="0.2">
      <c r="BN17697" s="192"/>
      <c r="BO17697" s="197"/>
      <c r="BP17697" s="197"/>
      <c r="BQ17697" s="197"/>
    </row>
    <row r="17698" spans="66:69" x14ac:dyDescent="0.2">
      <c r="BN17698" s="192"/>
      <c r="BO17698" s="197"/>
      <c r="BP17698" s="197"/>
      <c r="BQ17698" s="197"/>
    </row>
    <row r="17699" spans="66:69" x14ac:dyDescent="0.2">
      <c r="BN17699" s="192"/>
      <c r="BO17699" s="197"/>
      <c r="BP17699" s="197"/>
      <c r="BQ17699" s="197"/>
    </row>
    <row r="17700" spans="66:69" x14ac:dyDescent="0.2">
      <c r="BN17700" s="192"/>
      <c r="BO17700" s="197"/>
      <c r="BP17700" s="197"/>
      <c r="BQ17700" s="197"/>
    </row>
    <row r="17701" spans="66:69" x14ac:dyDescent="0.2">
      <c r="BN17701" s="192"/>
      <c r="BO17701" s="197"/>
      <c r="BP17701" s="197"/>
      <c r="BQ17701" s="197"/>
    </row>
    <row r="17702" spans="66:69" x14ac:dyDescent="0.2">
      <c r="BN17702" s="192"/>
      <c r="BO17702" s="197"/>
      <c r="BP17702" s="197"/>
      <c r="BQ17702" s="197"/>
    </row>
    <row r="17703" spans="66:69" x14ac:dyDescent="0.2">
      <c r="BN17703" s="192"/>
      <c r="BO17703" s="197"/>
      <c r="BP17703" s="197"/>
      <c r="BQ17703" s="197"/>
    </row>
    <row r="17704" spans="66:69" x14ac:dyDescent="0.2">
      <c r="BN17704" s="192"/>
      <c r="BO17704" s="197"/>
      <c r="BP17704" s="197"/>
      <c r="BQ17704" s="197"/>
    </row>
    <row r="17705" spans="66:69" x14ac:dyDescent="0.2">
      <c r="BN17705" s="192"/>
      <c r="BO17705" s="197"/>
      <c r="BP17705" s="197"/>
      <c r="BQ17705" s="197"/>
    </row>
    <row r="17706" spans="66:69" x14ac:dyDescent="0.2">
      <c r="BN17706" s="192"/>
      <c r="BO17706" s="197"/>
      <c r="BP17706" s="197"/>
      <c r="BQ17706" s="197"/>
    </row>
    <row r="17707" spans="66:69" x14ac:dyDescent="0.2">
      <c r="BN17707" s="192"/>
      <c r="BO17707" s="197"/>
      <c r="BP17707" s="197"/>
      <c r="BQ17707" s="197"/>
    </row>
    <row r="17708" spans="66:69" x14ac:dyDescent="0.2">
      <c r="BN17708" s="192"/>
      <c r="BO17708" s="197"/>
      <c r="BP17708" s="197"/>
      <c r="BQ17708" s="197"/>
    </row>
    <row r="17709" spans="66:69" x14ac:dyDescent="0.2">
      <c r="BN17709" s="192"/>
      <c r="BO17709" s="197"/>
      <c r="BP17709" s="197"/>
      <c r="BQ17709" s="197"/>
    </row>
    <row r="17710" spans="66:69" x14ac:dyDescent="0.2">
      <c r="BN17710" s="192"/>
      <c r="BO17710" s="197"/>
      <c r="BP17710" s="197"/>
      <c r="BQ17710" s="197"/>
    </row>
    <row r="17711" spans="66:69" x14ac:dyDescent="0.2">
      <c r="BN17711" s="192"/>
      <c r="BO17711" s="197"/>
      <c r="BP17711" s="197"/>
      <c r="BQ17711" s="197"/>
    </row>
    <row r="17712" spans="66:69" x14ac:dyDescent="0.2">
      <c r="BN17712" s="192"/>
      <c r="BO17712" s="197"/>
      <c r="BP17712" s="197"/>
      <c r="BQ17712" s="197"/>
    </row>
    <row r="17713" spans="66:69" x14ac:dyDescent="0.2">
      <c r="BN17713" s="192"/>
      <c r="BO17713" s="197"/>
      <c r="BP17713" s="197"/>
      <c r="BQ17713" s="197"/>
    </row>
    <row r="17714" spans="66:69" x14ac:dyDescent="0.2">
      <c r="BN17714" s="192"/>
      <c r="BO17714" s="197"/>
      <c r="BP17714" s="197"/>
      <c r="BQ17714" s="197"/>
    </row>
    <row r="17715" spans="66:69" x14ac:dyDescent="0.2">
      <c r="BN17715" s="192"/>
      <c r="BO17715" s="197"/>
      <c r="BP17715" s="197"/>
      <c r="BQ17715" s="197"/>
    </row>
    <row r="17716" spans="66:69" x14ac:dyDescent="0.2">
      <c r="BN17716" s="192"/>
      <c r="BO17716" s="197"/>
      <c r="BP17716" s="197"/>
      <c r="BQ17716" s="197"/>
    </row>
    <row r="17717" spans="66:69" x14ac:dyDescent="0.2">
      <c r="BN17717" s="192"/>
      <c r="BO17717" s="197"/>
      <c r="BP17717" s="197"/>
      <c r="BQ17717" s="197"/>
    </row>
    <row r="17718" spans="66:69" x14ac:dyDescent="0.2">
      <c r="BN17718" s="192"/>
      <c r="BO17718" s="197"/>
      <c r="BP17718" s="197"/>
      <c r="BQ17718" s="197"/>
    </row>
    <row r="17719" spans="66:69" x14ac:dyDescent="0.2">
      <c r="BN17719" s="192"/>
      <c r="BO17719" s="197"/>
      <c r="BP17719" s="197"/>
      <c r="BQ17719" s="197"/>
    </row>
    <row r="17720" spans="66:69" x14ac:dyDescent="0.2">
      <c r="BN17720" s="192"/>
      <c r="BO17720" s="197"/>
      <c r="BP17720" s="197"/>
      <c r="BQ17720" s="197"/>
    </row>
    <row r="17721" spans="66:69" x14ac:dyDescent="0.2">
      <c r="BN17721" s="192"/>
      <c r="BO17721" s="197"/>
      <c r="BP17721" s="197"/>
      <c r="BQ17721" s="197"/>
    </row>
    <row r="17722" spans="66:69" x14ac:dyDescent="0.2">
      <c r="BN17722" s="192"/>
      <c r="BO17722" s="197"/>
      <c r="BP17722" s="197"/>
      <c r="BQ17722" s="197"/>
    </row>
    <row r="17723" spans="66:69" x14ac:dyDescent="0.2">
      <c r="BN17723" s="192"/>
      <c r="BO17723" s="197"/>
      <c r="BP17723" s="197"/>
      <c r="BQ17723" s="197"/>
    </row>
    <row r="17724" spans="66:69" x14ac:dyDescent="0.2">
      <c r="BN17724" s="192"/>
      <c r="BO17724" s="197"/>
      <c r="BP17724" s="197"/>
      <c r="BQ17724" s="197"/>
    </row>
    <row r="17725" spans="66:69" x14ac:dyDescent="0.2">
      <c r="BN17725" s="192"/>
      <c r="BO17725" s="197"/>
      <c r="BP17725" s="197"/>
      <c r="BQ17725" s="197"/>
    </row>
    <row r="17726" spans="66:69" x14ac:dyDescent="0.2">
      <c r="BN17726" s="192"/>
      <c r="BO17726" s="197"/>
      <c r="BP17726" s="197"/>
      <c r="BQ17726" s="197"/>
    </row>
    <row r="17727" spans="66:69" x14ac:dyDescent="0.2">
      <c r="BN17727" s="192"/>
      <c r="BO17727" s="197"/>
      <c r="BP17727" s="197"/>
      <c r="BQ17727" s="197"/>
    </row>
    <row r="17728" spans="66:69" x14ac:dyDescent="0.2">
      <c r="BN17728" s="192"/>
      <c r="BO17728" s="197"/>
      <c r="BP17728" s="197"/>
      <c r="BQ17728" s="197"/>
    </row>
    <row r="17729" spans="66:69" x14ac:dyDescent="0.2">
      <c r="BN17729" s="192"/>
      <c r="BO17729" s="197"/>
      <c r="BP17729" s="197"/>
      <c r="BQ17729" s="197"/>
    </row>
    <row r="17730" spans="66:69" x14ac:dyDescent="0.2">
      <c r="BN17730" s="192"/>
      <c r="BO17730" s="197"/>
      <c r="BP17730" s="197"/>
      <c r="BQ17730" s="197"/>
    </row>
    <row r="17731" spans="66:69" x14ac:dyDescent="0.2">
      <c r="BN17731" s="192"/>
      <c r="BO17731" s="197"/>
      <c r="BP17731" s="197"/>
      <c r="BQ17731" s="197"/>
    </row>
    <row r="17732" spans="66:69" x14ac:dyDescent="0.2">
      <c r="BN17732" s="192"/>
      <c r="BO17732" s="197"/>
      <c r="BP17732" s="197"/>
      <c r="BQ17732" s="197"/>
    </row>
    <row r="17733" spans="66:69" x14ac:dyDescent="0.2">
      <c r="BN17733" s="192"/>
      <c r="BO17733" s="197"/>
      <c r="BP17733" s="197"/>
      <c r="BQ17733" s="197"/>
    </row>
    <row r="17734" spans="66:69" x14ac:dyDescent="0.2">
      <c r="BN17734" s="192"/>
      <c r="BO17734" s="197"/>
      <c r="BP17734" s="197"/>
      <c r="BQ17734" s="197"/>
    </row>
    <row r="17735" spans="66:69" x14ac:dyDescent="0.2">
      <c r="BN17735" s="192"/>
      <c r="BO17735" s="197"/>
      <c r="BP17735" s="197"/>
      <c r="BQ17735" s="197"/>
    </row>
    <row r="17736" spans="66:69" x14ac:dyDescent="0.2">
      <c r="BN17736" s="192"/>
      <c r="BO17736" s="197"/>
      <c r="BP17736" s="197"/>
      <c r="BQ17736" s="197"/>
    </row>
    <row r="17737" spans="66:69" x14ac:dyDescent="0.2">
      <c r="BN17737" s="192"/>
      <c r="BO17737" s="197"/>
      <c r="BP17737" s="197"/>
      <c r="BQ17737" s="197"/>
    </row>
    <row r="17738" spans="66:69" x14ac:dyDescent="0.2">
      <c r="BN17738" s="192"/>
      <c r="BO17738" s="197"/>
      <c r="BP17738" s="197"/>
      <c r="BQ17738" s="197"/>
    </row>
    <row r="17739" spans="66:69" x14ac:dyDescent="0.2">
      <c r="BN17739" s="192"/>
      <c r="BO17739" s="197"/>
      <c r="BP17739" s="197"/>
      <c r="BQ17739" s="197"/>
    </row>
    <row r="17740" spans="66:69" x14ac:dyDescent="0.2">
      <c r="BN17740" s="192"/>
      <c r="BO17740" s="197"/>
      <c r="BP17740" s="197"/>
      <c r="BQ17740" s="197"/>
    </row>
    <row r="17741" spans="66:69" x14ac:dyDescent="0.2">
      <c r="BN17741" s="192"/>
      <c r="BO17741" s="197"/>
      <c r="BP17741" s="197"/>
      <c r="BQ17741" s="197"/>
    </row>
    <row r="17742" spans="66:69" x14ac:dyDescent="0.2">
      <c r="BN17742" s="192"/>
      <c r="BO17742" s="197"/>
      <c r="BP17742" s="197"/>
      <c r="BQ17742" s="197"/>
    </row>
    <row r="17743" spans="66:69" x14ac:dyDescent="0.2">
      <c r="BN17743" s="192"/>
      <c r="BO17743" s="197"/>
      <c r="BP17743" s="197"/>
      <c r="BQ17743" s="197"/>
    </row>
    <row r="17744" spans="66:69" x14ac:dyDescent="0.2">
      <c r="BN17744" s="192"/>
      <c r="BO17744" s="197"/>
      <c r="BP17744" s="197"/>
      <c r="BQ17744" s="197"/>
    </row>
    <row r="17745" spans="66:69" x14ac:dyDescent="0.2">
      <c r="BN17745" s="192"/>
      <c r="BO17745" s="197"/>
      <c r="BP17745" s="197"/>
      <c r="BQ17745" s="197"/>
    </row>
    <row r="17746" spans="66:69" x14ac:dyDescent="0.2">
      <c r="BN17746" s="192"/>
      <c r="BO17746" s="197"/>
      <c r="BP17746" s="197"/>
      <c r="BQ17746" s="197"/>
    </row>
    <row r="17747" spans="66:69" x14ac:dyDescent="0.2">
      <c r="BN17747" s="192"/>
      <c r="BO17747" s="197"/>
      <c r="BP17747" s="197"/>
      <c r="BQ17747" s="197"/>
    </row>
    <row r="17748" spans="66:69" x14ac:dyDescent="0.2">
      <c r="BN17748" s="192"/>
      <c r="BO17748" s="197"/>
      <c r="BP17748" s="197"/>
      <c r="BQ17748" s="197"/>
    </row>
    <row r="17749" spans="66:69" x14ac:dyDescent="0.2">
      <c r="BN17749" s="192"/>
      <c r="BO17749" s="197"/>
      <c r="BP17749" s="197"/>
      <c r="BQ17749" s="197"/>
    </row>
    <row r="17750" spans="66:69" x14ac:dyDescent="0.2">
      <c r="BN17750" s="192"/>
      <c r="BO17750" s="197"/>
      <c r="BP17750" s="197"/>
      <c r="BQ17750" s="197"/>
    </row>
    <row r="17751" spans="66:69" x14ac:dyDescent="0.2">
      <c r="BN17751" s="192"/>
      <c r="BO17751" s="197"/>
      <c r="BP17751" s="197"/>
      <c r="BQ17751" s="197"/>
    </row>
    <row r="17752" spans="66:69" x14ac:dyDescent="0.2">
      <c r="BN17752" s="192"/>
      <c r="BO17752" s="197"/>
      <c r="BP17752" s="197"/>
      <c r="BQ17752" s="197"/>
    </row>
    <row r="17753" spans="66:69" x14ac:dyDescent="0.2">
      <c r="BN17753" s="192"/>
      <c r="BO17753" s="197"/>
      <c r="BP17753" s="197"/>
      <c r="BQ17753" s="197"/>
    </row>
    <row r="17754" spans="66:69" x14ac:dyDescent="0.2">
      <c r="BN17754" s="192"/>
      <c r="BO17754" s="197"/>
      <c r="BP17754" s="197"/>
      <c r="BQ17754" s="197"/>
    </row>
    <row r="17755" spans="66:69" x14ac:dyDescent="0.2">
      <c r="BN17755" s="192"/>
      <c r="BO17755" s="197"/>
      <c r="BP17755" s="197"/>
      <c r="BQ17755" s="197"/>
    </row>
    <row r="17756" spans="66:69" x14ac:dyDescent="0.2">
      <c r="BN17756" s="192"/>
      <c r="BO17756" s="197"/>
      <c r="BP17756" s="197"/>
      <c r="BQ17756" s="197"/>
    </row>
    <row r="17757" spans="66:69" x14ac:dyDescent="0.2">
      <c r="BN17757" s="192"/>
      <c r="BO17757" s="197"/>
      <c r="BP17757" s="197"/>
      <c r="BQ17757" s="197"/>
    </row>
    <row r="17758" spans="66:69" x14ac:dyDescent="0.2">
      <c r="BN17758" s="192"/>
      <c r="BO17758" s="197"/>
      <c r="BP17758" s="197"/>
      <c r="BQ17758" s="197"/>
    </row>
    <row r="17759" spans="66:69" x14ac:dyDescent="0.2">
      <c r="BN17759" s="192"/>
      <c r="BO17759" s="197"/>
      <c r="BP17759" s="197"/>
      <c r="BQ17759" s="197"/>
    </row>
    <row r="17760" spans="66:69" x14ac:dyDescent="0.2">
      <c r="BN17760" s="192"/>
      <c r="BO17760" s="197"/>
      <c r="BP17760" s="197"/>
      <c r="BQ17760" s="197"/>
    </row>
    <row r="17761" spans="66:69" x14ac:dyDescent="0.2">
      <c r="BN17761" s="192"/>
      <c r="BO17761" s="197"/>
      <c r="BP17761" s="197"/>
      <c r="BQ17761" s="197"/>
    </row>
    <row r="17762" spans="66:69" x14ac:dyDescent="0.2">
      <c r="BN17762" s="192"/>
      <c r="BO17762" s="197"/>
      <c r="BP17762" s="197"/>
      <c r="BQ17762" s="197"/>
    </row>
    <row r="17763" spans="66:69" x14ac:dyDescent="0.2">
      <c r="BN17763" s="192"/>
      <c r="BO17763" s="197"/>
      <c r="BP17763" s="197"/>
      <c r="BQ17763" s="197"/>
    </row>
    <row r="17764" spans="66:69" x14ac:dyDescent="0.2">
      <c r="BN17764" s="192"/>
      <c r="BO17764" s="197"/>
      <c r="BP17764" s="197"/>
      <c r="BQ17764" s="197"/>
    </row>
    <row r="17765" spans="66:69" x14ac:dyDescent="0.2">
      <c r="BN17765" s="192"/>
      <c r="BO17765" s="197"/>
      <c r="BP17765" s="197"/>
      <c r="BQ17765" s="197"/>
    </row>
    <row r="17766" spans="66:69" x14ac:dyDescent="0.2">
      <c r="BN17766" s="192"/>
      <c r="BO17766" s="197"/>
      <c r="BP17766" s="197"/>
      <c r="BQ17766" s="197"/>
    </row>
    <row r="17767" spans="66:69" x14ac:dyDescent="0.2">
      <c r="BN17767" s="192"/>
      <c r="BO17767" s="197"/>
      <c r="BP17767" s="197"/>
      <c r="BQ17767" s="197"/>
    </row>
    <row r="17768" spans="66:69" x14ac:dyDescent="0.2">
      <c r="BN17768" s="192"/>
      <c r="BO17768" s="197"/>
      <c r="BP17768" s="197"/>
      <c r="BQ17768" s="197"/>
    </row>
    <row r="17769" spans="66:69" x14ac:dyDescent="0.2">
      <c r="BN17769" s="192"/>
      <c r="BO17769" s="197"/>
      <c r="BP17769" s="197"/>
      <c r="BQ17769" s="197"/>
    </row>
    <row r="17770" spans="66:69" x14ac:dyDescent="0.2">
      <c r="BN17770" s="192"/>
      <c r="BO17770" s="197"/>
      <c r="BP17770" s="197"/>
      <c r="BQ17770" s="197"/>
    </row>
    <row r="17771" spans="66:69" x14ac:dyDescent="0.2">
      <c r="BN17771" s="192"/>
      <c r="BO17771" s="197"/>
      <c r="BP17771" s="197"/>
      <c r="BQ17771" s="197"/>
    </row>
    <row r="17772" spans="66:69" x14ac:dyDescent="0.2">
      <c r="BN17772" s="192"/>
      <c r="BO17772" s="197"/>
      <c r="BP17772" s="197"/>
      <c r="BQ17772" s="197"/>
    </row>
    <row r="17773" spans="66:69" x14ac:dyDescent="0.2">
      <c r="BN17773" s="192"/>
      <c r="BO17773" s="197"/>
      <c r="BP17773" s="197"/>
      <c r="BQ17773" s="197"/>
    </row>
    <row r="17774" spans="66:69" x14ac:dyDescent="0.2">
      <c r="BN17774" s="192"/>
      <c r="BO17774" s="197"/>
      <c r="BP17774" s="197"/>
      <c r="BQ17774" s="197"/>
    </row>
    <row r="17775" spans="66:69" x14ac:dyDescent="0.2">
      <c r="BN17775" s="192"/>
      <c r="BO17775" s="197"/>
      <c r="BP17775" s="197"/>
      <c r="BQ17775" s="197"/>
    </row>
    <row r="17776" spans="66:69" x14ac:dyDescent="0.2">
      <c r="BN17776" s="192"/>
      <c r="BO17776" s="197"/>
      <c r="BP17776" s="197"/>
      <c r="BQ17776" s="197"/>
    </row>
    <row r="17777" spans="66:69" x14ac:dyDescent="0.2">
      <c r="BN17777" s="192"/>
      <c r="BO17777" s="197"/>
      <c r="BP17777" s="197"/>
      <c r="BQ17777" s="197"/>
    </row>
    <row r="17778" spans="66:69" x14ac:dyDescent="0.2">
      <c r="BN17778" s="192"/>
      <c r="BO17778" s="197"/>
      <c r="BP17778" s="197"/>
      <c r="BQ17778" s="197"/>
    </row>
    <row r="17779" spans="66:69" x14ac:dyDescent="0.2">
      <c r="BN17779" s="192"/>
      <c r="BO17779" s="197"/>
      <c r="BP17779" s="197"/>
      <c r="BQ17779" s="197"/>
    </row>
    <row r="17780" spans="66:69" x14ac:dyDescent="0.2">
      <c r="BN17780" s="192"/>
      <c r="BO17780" s="197"/>
      <c r="BP17780" s="197"/>
      <c r="BQ17780" s="197"/>
    </row>
    <row r="17781" spans="66:69" x14ac:dyDescent="0.2">
      <c r="BN17781" s="192"/>
      <c r="BO17781" s="197"/>
      <c r="BP17781" s="197"/>
      <c r="BQ17781" s="197"/>
    </row>
    <row r="17782" spans="66:69" x14ac:dyDescent="0.2">
      <c r="BN17782" s="192"/>
      <c r="BO17782" s="197"/>
      <c r="BP17782" s="197"/>
      <c r="BQ17782" s="197"/>
    </row>
    <row r="17783" spans="66:69" x14ac:dyDescent="0.2">
      <c r="BN17783" s="192"/>
      <c r="BO17783" s="197"/>
      <c r="BP17783" s="197"/>
      <c r="BQ17783" s="197"/>
    </row>
    <row r="17784" spans="66:69" x14ac:dyDescent="0.2">
      <c r="BN17784" s="192"/>
      <c r="BO17784" s="197"/>
      <c r="BP17784" s="197"/>
      <c r="BQ17784" s="197"/>
    </row>
    <row r="17785" spans="66:69" x14ac:dyDescent="0.2">
      <c r="BN17785" s="192"/>
      <c r="BO17785" s="197"/>
      <c r="BP17785" s="197"/>
      <c r="BQ17785" s="197"/>
    </row>
    <row r="17786" spans="66:69" x14ac:dyDescent="0.2">
      <c r="BN17786" s="192"/>
      <c r="BO17786" s="197"/>
      <c r="BP17786" s="197"/>
      <c r="BQ17786" s="197"/>
    </row>
    <row r="17787" spans="66:69" x14ac:dyDescent="0.2">
      <c r="BN17787" s="192"/>
      <c r="BO17787" s="197"/>
      <c r="BP17787" s="197"/>
      <c r="BQ17787" s="197"/>
    </row>
    <row r="17788" spans="66:69" x14ac:dyDescent="0.2">
      <c r="BN17788" s="192"/>
      <c r="BO17788" s="197"/>
      <c r="BP17788" s="197"/>
      <c r="BQ17788" s="197"/>
    </row>
    <row r="17789" spans="66:69" x14ac:dyDescent="0.2">
      <c r="BN17789" s="192"/>
      <c r="BO17789" s="197"/>
      <c r="BP17789" s="197"/>
      <c r="BQ17789" s="197"/>
    </row>
    <row r="17790" spans="66:69" x14ac:dyDescent="0.2">
      <c r="BN17790" s="192"/>
      <c r="BO17790" s="197"/>
      <c r="BP17790" s="197"/>
      <c r="BQ17790" s="197"/>
    </row>
    <row r="17791" spans="66:69" x14ac:dyDescent="0.2">
      <c r="BN17791" s="192"/>
      <c r="BO17791" s="197"/>
      <c r="BP17791" s="197"/>
      <c r="BQ17791" s="197"/>
    </row>
    <row r="17792" spans="66:69" x14ac:dyDescent="0.2">
      <c r="BN17792" s="192"/>
      <c r="BO17792" s="197"/>
      <c r="BP17792" s="197"/>
      <c r="BQ17792" s="197"/>
    </row>
    <row r="17793" spans="66:69" x14ac:dyDescent="0.2">
      <c r="BN17793" s="192"/>
      <c r="BO17793" s="197"/>
      <c r="BP17793" s="197"/>
      <c r="BQ17793" s="197"/>
    </row>
    <row r="17794" spans="66:69" x14ac:dyDescent="0.2">
      <c r="BN17794" s="192"/>
      <c r="BO17794" s="197"/>
      <c r="BP17794" s="197"/>
      <c r="BQ17794" s="197"/>
    </row>
    <row r="17795" spans="66:69" x14ac:dyDescent="0.2">
      <c r="BN17795" s="192"/>
      <c r="BO17795" s="197"/>
      <c r="BP17795" s="197"/>
      <c r="BQ17795" s="197"/>
    </row>
    <row r="17796" spans="66:69" x14ac:dyDescent="0.2">
      <c r="BN17796" s="192"/>
      <c r="BO17796" s="197"/>
      <c r="BP17796" s="197"/>
      <c r="BQ17796" s="197"/>
    </row>
    <row r="17797" spans="66:69" x14ac:dyDescent="0.2">
      <c r="BN17797" s="192"/>
      <c r="BO17797" s="197"/>
      <c r="BP17797" s="197"/>
      <c r="BQ17797" s="197"/>
    </row>
    <row r="17798" spans="66:69" x14ac:dyDescent="0.2">
      <c r="BN17798" s="192"/>
      <c r="BO17798" s="197"/>
      <c r="BP17798" s="197"/>
      <c r="BQ17798" s="197"/>
    </row>
    <row r="17799" spans="66:69" x14ac:dyDescent="0.2">
      <c r="BN17799" s="192"/>
      <c r="BO17799" s="197"/>
      <c r="BP17799" s="197"/>
      <c r="BQ17799" s="197"/>
    </row>
    <row r="17800" spans="66:69" x14ac:dyDescent="0.2">
      <c r="BN17800" s="192"/>
      <c r="BO17800" s="197"/>
      <c r="BP17800" s="197"/>
      <c r="BQ17800" s="197"/>
    </row>
    <row r="17801" spans="66:69" x14ac:dyDescent="0.2">
      <c r="BN17801" s="192"/>
      <c r="BO17801" s="197"/>
      <c r="BP17801" s="197"/>
      <c r="BQ17801" s="197"/>
    </row>
    <row r="17802" spans="66:69" x14ac:dyDescent="0.2">
      <c r="BN17802" s="192"/>
      <c r="BO17802" s="197"/>
      <c r="BP17802" s="197"/>
      <c r="BQ17802" s="197"/>
    </row>
    <row r="17803" spans="66:69" x14ac:dyDescent="0.2">
      <c r="BN17803" s="192"/>
      <c r="BO17803" s="197"/>
      <c r="BP17803" s="197"/>
      <c r="BQ17803" s="197"/>
    </row>
    <row r="17804" spans="66:69" x14ac:dyDescent="0.2">
      <c r="BN17804" s="192"/>
      <c r="BO17804" s="197"/>
      <c r="BP17804" s="197"/>
      <c r="BQ17804" s="197"/>
    </row>
    <row r="17805" spans="66:69" x14ac:dyDescent="0.2">
      <c r="BN17805" s="192"/>
      <c r="BO17805" s="197"/>
      <c r="BP17805" s="197"/>
      <c r="BQ17805" s="197"/>
    </row>
    <row r="17806" spans="66:69" x14ac:dyDescent="0.2">
      <c r="BN17806" s="192"/>
      <c r="BO17806" s="197"/>
      <c r="BP17806" s="197"/>
      <c r="BQ17806" s="197"/>
    </row>
    <row r="17807" spans="66:69" x14ac:dyDescent="0.2">
      <c r="BN17807" s="192"/>
      <c r="BO17807" s="197"/>
      <c r="BP17807" s="197"/>
      <c r="BQ17807" s="197"/>
    </row>
    <row r="17808" spans="66:69" x14ac:dyDescent="0.2">
      <c r="BN17808" s="192"/>
      <c r="BO17808" s="197"/>
      <c r="BP17808" s="197"/>
      <c r="BQ17808" s="197"/>
    </row>
    <row r="17809" spans="66:69" x14ac:dyDescent="0.2">
      <c r="BN17809" s="192"/>
      <c r="BO17809" s="197"/>
      <c r="BP17809" s="197"/>
      <c r="BQ17809" s="197"/>
    </row>
    <row r="17810" spans="66:69" x14ac:dyDescent="0.2">
      <c r="BN17810" s="192"/>
      <c r="BO17810" s="197"/>
      <c r="BP17810" s="197"/>
      <c r="BQ17810" s="197"/>
    </row>
    <row r="17811" spans="66:69" x14ac:dyDescent="0.2">
      <c r="BN17811" s="192"/>
      <c r="BO17811" s="197"/>
      <c r="BP17811" s="197"/>
      <c r="BQ17811" s="197"/>
    </row>
    <row r="17812" spans="66:69" x14ac:dyDescent="0.2">
      <c r="BN17812" s="192"/>
      <c r="BO17812" s="197"/>
      <c r="BP17812" s="197"/>
      <c r="BQ17812" s="197"/>
    </row>
    <row r="17813" spans="66:69" x14ac:dyDescent="0.2">
      <c r="BN17813" s="192"/>
      <c r="BO17813" s="197"/>
      <c r="BP17813" s="197"/>
      <c r="BQ17813" s="197"/>
    </row>
    <row r="17814" spans="66:69" x14ac:dyDescent="0.2">
      <c r="BN17814" s="192"/>
      <c r="BO17814" s="197"/>
      <c r="BP17814" s="197"/>
      <c r="BQ17814" s="197"/>
    </row>
    <row r="17815" spans="66:69" x14ac:dyDescent="0.2">
      <c r="BN17815" s="192"/>
      <c r="BO17815" s="197"/>
      <c r="BP17815" s="197"/>
      <c r="BQ17815" s="197"/>
    </row>
    <row r="17816" spans="66:69" x14ac:dyDescent="0.2">
      <c r="BN17816" s="192"/>
      <c r="BO17816" s="197"/>
      <c r="BP17816" s="197"/>
      <c r="BQ17816" s="197"/>
    </row>
    <row r="17817" spans="66:69" x14ac:dyDescent="0.2">
      <c r="BN17817" s="192"/>
      <c r="BO17817" s="197"/>
      <c r="BP17817" s="197"/>
      <c r="BQ17817" s="197"/>
    </row>
    <row r="17818" spans="66:69" x14ac:dyDescent="0.2">
      <c r="BN17818" s="192"/>
      <c r="BO17818" s="197"/>
      <c r="BP17818" s="197"/>
      <c r="BQ17818" s="197"/>
    </row>
    <row r="17819" spans="66:69" x14ac:dyDescent="0.2">
      <c r="BN17819" s="192"/>
      <c r="BO17819" s="197"/>
      <c r="BP17819" s="197"/>
      <c r="BQ17819" s="197"/>
    </row>
    <row r="17820" spans="66:69" x14ac:dyDescent="0.2">
      <c r="BN17820" s="192"/>
      <c r="BO17820" s="197"/>
      <c r="BP17820" s="197"/>
      <c r="BQ17820" s="197"/>
    </row>
    <row r="17821" spans="66:69" x14ac:dyDescent="0.2">
      <c r="BN17821" s="192"/>
      <c r="BO17821" s="197"/>
      <c r="BP17821" s="197"/>
      <c r="BQ17821" s="197"/>
    </row>
    <row r="17822" spans="66:69" x14ac:dyDescent="0.2">
      <c r="BN17822" s="192"/>
      <c r="BO17822" s="197"/>
      <c r="BP17822" s="197"/>
      <c r="BQ17822" s="197"/>
    </row>
    <row r="17823" spans="66:69" x14ac:dyDescent="0.2">
      <c r="BN17823" s="192"/>
      <c r="BO17823" s="197"/>
      <c r="BP17823" s="197"/>
      <c r="BQ17823" s="197"/>
    </row>
    <row r="17824" spans="66:69" x14ac:dyDescent="0.2">
      <c r="BN17824" s="192"/>
      <c r="BO17824" s="197"/>
      <c r="BP17824" s="197"/>
      <c r="BQ17824" s="197"/>
    </row>
    <row r="17825" spans="66:69" x14ac:dyDescent="0.2">
      <c r="BN17825" s="192"/>
      <c r="BO17825" s="197"/>
      <c r="BP17825" s="197"/>
      <c r="BQ17825" s="197"/>
    </row>
    <row r="17826" spans="66:69" x14ac:dyDescent="0.2">
      <c r="BN17826" s="192"/>
      <c r="BO17826" s="197"/>
      <c r="BP17826" s="197"/>
      <c r="BQ17826" s="197"/>
    </row>
    <row r="17827" spans="66:69" x14ac:dyDescent="0.2">
      <c r="BN17827" s="192"/>
      <c r="BO17827" s="197"/>
      <c r="BP17827" s="197"/>
      <c r="BQ17827" s="197"/>
    </row>
    <row r="17828" spans="66:69" x14ac:dyDescent="0.2">
      <c r="BN17828" s="192"/>
      <c r="BO17828" s="197"/>
      <c r="BP17828" s="197"/>
      <c r="BQ17828" s="197"/>
    </row>
    <row r="17829" spans="66:69" x14ac:dyDescent="0.2">
      <c r="BN17829" s="192"/>
      <c r="BO17829" s="197"/>
      <c r="BP17829" s="197"/>
      <c r="BQ17829" s="197"/>
    </row>
    <row r="17830" spans="66:69" x14ac:dyDescent="0.2">
      <c r="BN17830" s="192"/>
      <c r="BO17830" s="197"/>
      <c r="BP17830" s="197"/>
      <c r="BQ17830" s="197"/>
    </row>
    <row r="17831" spans="66:69" x14ac:dyDescent="0.2">
      <c r="BN17831" s="192"/>
      <c r="BO17831" s="197"/>
      <c r="BP17831" s="197"/>
      <c r="BQ17831" s="197"/>
    </row>
    <row r="17832" spans="66:69" x14ac:dyDescent="0.2">
      <c r="BN17832" s="192"/>
      <c r="BO17832" s="197"/>
      <c r="BP17832" s="197"/>
      <c r="BQ17832" s="197"/>
    </row>
    <row r="17833" spans="66:69" x14ac:dyDescent="0.2">
      <c r="BN17833" s="192"/>
      <c r="BO17833" s="197"/>
      <c r="BP17833" s="197"/>
      <c r="BQ17833" s="197"/>
    </row>
    <row r="17834" spans="66:69" x14ac:dyDescent="0.2">
      <c r="BN17834" s="192"/>
      <c r="BO17834" s="197"/>
      <c r="BP17834" s="197"/>
      <c r="BQ17834" s="197"/>
    </row>
    <row r="17835" spans="66:69" x14ac:dyDescent="0.2">
      <c r="BN17835" s="192"/>
      <c r="BO17835" s="197"/>
      <c r="BP17835" s="197"/>
      <c r="BQ17835" s="197"/>
    </row>
    <row r="17836" spans="66:69" x14ac:dyDescent="0.2">
      <c r="BN17836" s="192"/>
      <c r="BO17836" s="197"/>
      <c r="BP17836" s="197"/>
      <c r="BQ17836" s="197"/>
    </row>
    <row r="17837" spans="66:69" x14ac:dyDescent="0.2">
      <c r="BN17837" s="192"/>
      <c r="BO17837" s="197"/>
      <c r="BP17837" s="197"/>
      <c r="BQ17837" s="197"/>
    </row>
    <row r="17838" spans="66:69" x14ac:dyDescent="0.2">
      <c r="BN17838" s="192"/>
      <c r="BO17838" s="197"/>
      <c r="BP17838" s="197"/>
      <c r="BQ17838" s="197"/>
    </row>
    <row r="17839" spans="66:69" x14ac:dyDescent="0.2">
      <c r="BN17839" s="192"/>
      <c r="BO17839" s="197"/>
      <c r="BP17839" s="197"/>
      <c r="BQ17839" s="197"/>
    </row>
    <row r="17840" spans="66:69" x14ac:dyDescent="0.2">
      <c r="BN17840" s="192"/>
      <c r="BO17840" s="197"/>
      <c r="BP17840" s="197"/>
      <c r="BQ17840" s="197"/>
    </row>
    <row r="17841" spans="66:69" x14ac:dyDescent="0.2">
      <c r="BN17841" s="192"/>
      <c r="BO17841" s="197"/>
      <c r="BP17841" s="197"/>
      <c r="BQ17841" s="197"/>
    </row>
    <row r="17842" spans="66:69" x14ac:dyDescent="0.2">
      <c r="BN17842" s="192"/>
      <c r="BO17842" s="197"/>
      <c r="BP17842" s="197"/>
      <c r="BQ17842" s="197"/>
    </row>
    <row r="17843" spans="66:69" x14ac:dyDescent="0.2">
      <c r="BN17843" s="192"/>
      <c r="BO17843" s="197"/>
      <c r="BP17843" s="197"/>
      <c r="BQ17843" s="197"/>
    </row>
    <row r="17844" spans="66:69" x14ac:dyDescent="0.2">
      <c r="BN17844" s="192"/>
      <c r="BO17844" s="197"/>
      <c r="BP17844" s="197"/>
      <c r="BQ17844" s="197"/>
    </row>
    <row r="17845" spans="66:69" x14ac:dyDescent="0.2">
      <c r="BN17845" s="192"/>
      <c r="BO17845" s="197"/>
      <c r="BP17845" s="197"/>
      <c r="BQ17845" s="197"/>
    </row>
    <row r="17846" spans="66:69" x14ac:dyDescent="0.2">
      <c r="BN17846" s="192"/>
      <c r="BO17846" s="197"/>
      <c r="BP17846" s="197"/>
      <c r="BQ17846" s="197"/>
    </row>
    <row r="17847" spans="66:69" x14ac:dyDescent="0.2">
      <c r="BN17847" s="192"/>
      <c r="BO17847" s="197"/>
      <c r="BP17847" s="197"/>
      <c r="BQ17847" s="197"/>
    </row>
    <row r="17848" spans="66:69" x14ac:dyDescent="0.2">
      <c r="BN17848" s="192"/>
      <c r="BO17848" s="197"/>
      <c r="BP17848" s="197"/>
      <c r="BQ17848" s="197"/>
    </row>
    <row r="17849" spans="66:69" x14ac:dyDescent="0.2">
      <c r="BN17849" s="192"/>
      <c r="BO17849" s="197"/>
      <c r="BP17849" s="197"/>
      <c r="BQ17849" s="197"/>
    </row>
    <row r="17850" spans="66:69" x14ac:dyDescent="0.2">
      <c r="BN17850" s="192"/>
      <c r="BO17850" s="197"/>
      <c r="BP17850" s="197"/>
      <c r="BQ17850" s="197"/>
    </row>
    <row r="17851" spans="66:69" x14ac:dyDescent="0.2">
      <c r="BN17851" s="192"/>
      <c r="BO17851" s="197"/>
      <c r="BP17851" s="197"/>
      <c r="BQ17851" s="197"/>
    </row>
    <row r="17852" spans="66:69" x14ac:dyDescent="0.2">
      <c r="BN17852" s="192"/>
      <c r="BO17852" s="197"/>
      <c r="BP17852" s="197"/>
      <c r="BQ17852" s="197"/>
    </row>
    <row r="17853" spans="66:69" x14ac:dyDescent="0.2">
      <c r="BN17853" s="192"/>
      <c r="BO17853" s="197"/>
      <c r="BP17853" s="197"/>
      <c r="BQ17853" s="197"/>
    </row>
    <row r="17854" spans="66:69" x14ac:dyDescent="0.2">
      <c r="BN17854" s="192"/>
      <c r="BO17854" s="197"/>
      <c r="BP17854" s="197"/>
      <c r="BQ17854" s="197"/>
    </row>
    <row r="17855" spans="66:69" x14ac:dyDescent="0.2">
      <c r="BN17855" s="192"/>
      <c r="BO17855" s="197"/>
      <c r="BP17855" s="197"/>
      <c r="BQ17855" s="197"/>
    </row>
    <row r="17856" spans="66:69" x14ac:dyDescent="0.2">
      <c r="BN17856" s="192"/>
      <c r="BO17856" s="197"/>
      <c r="BP17856" s="197"/>
      <c r="BQ17856" s="197"/>
    </row>
    <row r="17857" spans="66:69" x14ac:dyDescent="0.2">
      <c r="BN17857" s="192"/>
      <c r="BO17857" s="197"/>
      <c r="BP17857" s="197"/>
      <c r="BQ17857" s="197"/>
    </row>
    <row r="17858" spans="66:69" x14ac:dyDescent="0.2">
      <c r="BN17858" s="192"/>
      <c r="BO17858" s="197"/>
      <c r="BP17858" s="197"/>
      <c r="BQ17858" s="197"/>
    </row>
    <row r="17859" spans="66:69" x14ac:dyDescent="0.2">
      <c r="BN17859" s="192"/>
      <c r="BO17859" s="197"/>
      <c r="BP17859" s="197"/>
      <c r="BQ17859" s="197"/>
    </row>
    <row r="17860" spans="66:69" x14ac:dyDescent="0.2">
      <c r="BN17860" s="192"/>
      <c r="BO17860" s="197"/>
      <c r="BP17860" s="197"/>
      <c r="BQ17860" s="197"/>
    </row>
    <row r="17861" spans="66:69" x14ac:dyDescent="0.2">
      <c r="BN17861" s="192"/>
      <c r="BO17861" s="197"/>
      <c r="BP17861" s="197"/>
      <c r="BQ17861" s="197"/>
    </row>
    <row r="17862" spans="66:69" x14ac:dyDescent="0.2">
      <c r="BN17862" s="192"/>
      <c r="BO17862" s="197"/>
      <c r="BP17862" s="197"/>
      <c r="BQ17862" s="197"/>
    </row>
    <row r="17863" spans="66:69" x14ac:dyDescent="0.2">
      <c r="BN17863" s="192"/>
      <c r="BO17863" s="197"/>
      <c r="BP17863" s="197"/>
      <c r="BQ17863" s="197"/>
    </row>
    <row r="17864" spans="66:69" x14ac:dyDescent="0.2">
      <c r="BN17864" s="192"/>
      <c r="BO17864" s="197"/>
      <c r="BP17864" s="197"/>
      <c r="BQ17864" s="197"/>
    </row>
    <row r="17865" spans="66:69" x14ac:dyDescent="0.2">
      <c r="BN17865" s="192"/>
      <c r="BO17865" s="197"/>
      <c r="BP17865" s="197"/>
      <c r="BQ17865" s="197"/>
    </row>
    <row r="17866" spans="66:69" x14ac:dyDescent="0.2">
      <c r="BN17866" s="192"/>
      <c r="BO17866" s="197"/>
      <c r="BP17866" s="197"/>
      <c r="BQ17866" s="197"/>
    </row>
    <row r="17867" spans="66:69" x14ac:dyDescent="0.2">
      <c r="BN17867" s="192"/>
      <c r="BO17867" s="197"/>
      <c r="BP17867" s="197"/>
      <c r="BQ17867" s="197"/>
    </row>
    <row r="17868" spans="66:69" x14ac:dyDescent="0.2">
      <c r="BN17868" s="192"/>
      <c r="BO17868" s="197"/>
      <c r="BP17868" s="197"/>
      <c r="BQ17868" s="197"/>
    </row>
    <row r="17869" spans="66:69" x14ac:dyDescent="0.2">
      <c r="BN17869" s="192"/>
      <c r="BO17869" s="197"/>
      <c r="BP17869" s="197"/>
      <c r="BQ17869" s="197"/>
    </row>
    <row r="17870" spans="66:69" x14ac:dyDescent="0.2">
      <c r="BN17870" s="192"/>
      <c r="BO17870" s="197"/>
      <c r="BP17870" s="197"/>
      <c r="BQ17870" s="197"/>
    </row>
    <row r="17871" spans="66:69" x14ac:dyDescent="0.2">
      <c r="BN17871" s="192"/>
      <c r="BO17871" s="197"/>
      <c r="BP17871" s="197"/>
      <c r="BQ17871" s="197"/>
    </row>
    <row r="17872" spans="66:69" x14ac:dyDescent="0.2">
      <c r="BN17872" s="192"/>
      <c r="BO17872" s="197"/>
      <c r="BP17872" s="197"/>
      <c r="BQ17872" s="197"/>
    </row>
    <row r="17873" spans="66:69" x14ac:dyDescent="0.2">
      <c r="BN17873" s="192"/>
      <c r="BO17873" s="197"/>
      <c r="BP17873" s="197"/>
      <c r="BQ17873" s="197"/>
    </row>
    <row r="17874" spans="66:69" x14ac:dyDescent="0.2">
      <c r="BN17874" s="192"/>
      <c r="BO17874" s="197"/>
      <c r="BP17874" s="197"/>
      <c r="BQ17874" s="197"/>
    </row>
    <row r="17875" spans="66:69" x14ac:dyDescent="0.2">
      <c r="BN17875" s="192"/>
      <c r="BO17875" s="197"/>
      <c r="BP17875" s="197"/>
      <c r="BQ17875" s="197"/>
    </row>
    <row r="17876" spans="66:69" x14ac:dyDescent="0.2">
      <c r="BN17876" s="192"/>
      <c r="BO17876" s="197"/>
      <c r="BP17876" s="197"/>
      <c r="BQ17876" s="197"/>
    </row>
    <row r="17877" spans="66:69" x14ac:dyDescent="0.2">
      <c r="BN17877" s="192"/>
      <c r="BO17877" s="197"/>
      <c r="BP17877" s="197"/>
      <c r="BQ17877" s="197"/>
    </row>
    <row r="17878" spans="66:69" x14ac:dyDescent="0.2">
      <c r="BN17878" s="192"/>
      <c r="BO17878" s="197"/>
      <c r="BP17878" s="197"/>
      <c r="BQ17878" s="197"/>
    </row>
    <row r="17879" spans="66:69" x14ac:dyDescent="0.2">
      <c r="BN17879" s="192"/>
      <c r="BO17879" s="197"/>
      <c r="BP17879" s="197"/>
      <c r="BQ17879" s="197"/>
    </row>
    <row r="17880" spans="66:69" x14ac:dyDescent="0.2">
      <c r="BN17880" s="192"/>
      <c r="BO17880" s="197"/>
      <c r="BP17880" s="197"/>
      <c r="BQ17880" s="197"/>
    </row>
    <row r="17881" spans="66:69" x14ac:dyDescent="0.2">
      <c r="BN17881" s="192"/>
      <c r="BO17881" s="197"/>
      <c r="BP17881" s="197"/>
      <c r="BQ17881" s="197"/>
    </row>
    <row r="17882" spans="66:69" x14ac:dyDescent="0.2">
      <c r="BN17882" s="192"/>
      <c r="BO17882" s="197"/>
      <c r="BP17882" s="197"/>
      <c r="BQ17882" s="197"/>
    </row>
    <row r="17883" spans="66:69" x14ac:dyDescent="0.2">
      <c r="BN17883" s="192"/>
      <c r="BO17883" s="197"/>
      <c r="BP17883" s="197"/>
      <c r="BQ17883" s="197"/>
    </row>
    <row r="17884" spans="66:69" x14ac:dyDescent="0.2">
      <c r="BN17884" s="192"/>
      <c r="BO17884" s="197"/>
      <c r="BP17884" s="197"/>
      <c r="BQ17884" s="197"/>
    </row>
    <row r="17885" spans="66:69" x14ac:dyDescent="0.2">
      <c r="BN17885" s="192"/>
      <c r="BO17885" s="197"/>
      <c r="BP17885" s="197"/>
      <c r="BQ17885" s="197"/>
    </row>
    <row r="17886" spans="66:69" x14ac:dyDescent="0.2">
      <c r="BN17886" s="192"/>
      <c r="BO17886" s="197"/>
      <c r="BP17886" s="197"/>
      <c r="BQ17886" s="197"/>
    </row>
    <row r="17887" spans="66:69" x14ac:dyDescent="0.2">
      <c r="BN17887" s="192"/>
      <c r="BO17887" s="197"/>
      <c r="BP17887" s="197"/>
      <c r="BQ17887" s="197"/>
    </row>
    <row r="17888" spans="66:69" x14ac:dyDescent="0.2">
      <c r="BN17888" s="192"/>
      <c r="BO17888" s="197"/>
      <c r="BP17888" s="197"/>
      <c r="BQ17888" s="197"/>
    </row>
    <row r="17889" spans="66:69" x14ac:dyDescent="0.2">
      <c r="BN17889" s="192"/>
      <c r="BO17889" s="197"/>
      <c r="BP17889" s="197"/>
      <c r="BQ17889" s="197"/>
    </row>
    <row r="17890" spans="66:69" x14ac:dyDescent="0.2">
      <c r="BN17890" s="192"/>
      <c r="BO17890" s="197"/>
      <c r="BP17890" s="197"/>
      <c r="BQ17890" s="197"/>
    </row>
    <row r="17891" spans="66:69" x14ac:dyDescent="0.2">
      <c r="BN17891" s="192"/>
      <c r="BO17891" s="197"/>
      <c r="BP17891" s="197"/>
      <c r="BQ17891" s="197"/>
    </row>
    <row r="17892" spans="66:69" x14ac:dyDescent="0.2">
      <c r="BN17892" s="192"/>
      <c r="BO17892" s="197"/>
      <c r="BP17892" s="197"/>
      <c r="BQ17892" s="197"/>
    </row>
    <row r="17893" spans="66:69" x14ac:dyDescent="0.2">
      <c r="BN17893" s="192"/>
      <c r="BO17893" s="197"/>
      <c r="BP17893" s="197"/>
      <c r="BQ17893" s="197"/>
    </row>
    <row r="17894" spans="66:69" x14ac:dyDescent="0.2">
      <c r="BN17894" s="192"/>
      <c r="BO17894" s="197"/>
      <c r="BP17894" s="197"/>
      <c r="BQ17894" s="197"/>
    </row>
    <row r="17895" spans="66:69" x14ac:dyDescent="0.2">
      <c r="BN17895" s="192"/>
      <c r="BO17895" s="197"/>
      <c r="BP17895" s="197"/>
      <c r="BQ17895" s="197"/>
    </row>
    <row r="17896" spans="66:69" x14ac:dyDescent="0.2">
      <c r="BN17896" s="192"/>
      <c r="BO17896" s="197"/>
      <c r="BP17896" s="197"/>
      <c r="BQ17896" s="197"/>
    </row>
    <row r="17897" spans="66:69" x14ac:dyDescent="0.2">
      <c r="BN17897" s="192"/>
      <c r="BO17897" s="197"/>
      <c r="BP17897" s="197"/>
      <c r="BQ17897" s="197"/>
    </row>
    <row r="17898" spans="66:69" x14ac:dyDescent="0.2">
      <c r="BN17898" s="192"/>
      <c r="BO17898" s="197"/>
      <c r="BP17898" s="197"/>
      <c r="BQ17898" s="197"/>
    </row>
    <row r="17899" spans="66:69" x14ac:dyDescent="0.2">
      <c r="BN17899" s="192"/>
      <c r="BO17899" s="197"/>
      <c r="BP17899" s="197"/>
      <c r="BQ17899" s="197"/>
    </row>
    <row r="17900" spans="66:69" x14ac:dyDescent="0.2">
      <c r="BN17900" s="192"/>
      <c r="BO17900" s="197"/>
      <c r="BP17900" s="197"/>
      <c r="BQ17900" s="197"/>
    </row>
    <row r="17901" spans="66:69" x14ac:dyDescent="0.2">
      <c r="BN17901" s="192"/>
      <c r="BO17901" s="197"/>
      <c r="BP17901" s="197"/>
      <c r="BQ17901" s="197"/>
    </row>
    <row r="17902" spans="66:69" x14ac:dyDescent="0.2">
      <c r="BN17902" s="192"/>
      <c r="BO17902" s="197"/>
      <c r="BP17902" s="197"/>
      <c r="BQ17902" s="197"/>
    </row>
    <row r="17903" spans="66:69" x14ac:dyDescent="0.2">
      <c r="BN17903" s="192"/>
      <c r="BO17903" s="197"/>
      <c r="BP17903" s="197"/>
      <c r="BQ17903" s="197"/>
    </row>
    <row r="17904" spans="66:69" x14ac:dyDescent="0.2">
      <c r="BN17904" s="192"/>
      <c r="BO17904" s="197"/>
      <c r="BP17904" s="197"/>
      <c r="BQ17904" s="197"/>
    </row>
    <row r="17905" spans="66:69" x14ac:dyDescent="0.2">
      <c r="BN17905" s="192"/>
      <c r="BO17905" s="197"/>
      <c r="BP17905" s="197"/>
      <c r="BQ17905" s="197"/>
    </row>
    <row r="17906" spans="66:69" x14ac:dyDescent="0.2">
      <c r="BN17906" s="192"/>
      <c r="BO17906" s="197"/>
      <c r="BP17906" s="197"/>
      <c r="BQ17906" s="197"/>
    </row>
    <row r="17907" spans="66:69" x14ac:dyDescent="0.2">
      <c r="BN17907" s="192"/>
      <c r="BO17907" s="197"/>
      <c r="BP17907" s="197"/>
      <c r="BQ17907" s="197"/>
    </row>
    <row r="17908" spans="66:69" x14ac:dyDescent="0.2">
      <c r="BN17908" s="192"/>
      <c r="BO17908" s="197"/>
      <c r="BP17908" s="197"/>
      <c r="BQ17908" s="197"/>
    </row>
    <row r="17909" spans="66:69" x14ac:dyDescent="0.2">
      <c r="BN17909" s="192"/>
      <c r="BO17909" s="197"/>
      <c r="BP17909" s="197"/>
      <c r="BQ17909" s="197"/>
    </row>
    <row r="17910" spans="66:69" x14ac:dyDescent="0.2">
      <c r="BN17910" s="192"/>
      <c r="BO17910" s="197"/>
      <c r="BP17910" s="197"/>
      <c r="BQ17910" s="197"/>
    </row>
    <row r="17911" spans="66:69" x14ac:dyDescent="0.2">
      <c r="BN17911" s="192"/>
      <c r="BO17911" s="197"/>
      <c r="BP17911" s="197"/>
      <c r="BQ17911" s="197"/>
    </row>
    <row r="17912" spans="66:69" x14ac:dyDescent="0.2">
      <c r="BN17912" s="192"/>
      <c r="BO17912" s="197"/>
      <c r="BP17912" s="197"/>
      <c r="BQ17912" s="197"/>
    </row>
    <row r="17913" spans="66:69" x14ac:dyDescent="0.2">
      <c r="BN17913" s="192"/>
      <c r="BO17913" s="197"/>
      <c r="BP17913" s="197"/>
      <c r="BQ17913" s="197"/>
    </row>
    <row r="17914" spans="66:69" x14ac:dyDescent="0.2">
      <c r="BN17914" s="192"/>
      <c r="BO17914" s="197"/>
      <c r="BP17914" s="197"/>
      <c r="BQ17914" s="197"/>
    </row>
    <row r="17915" spans="66:69" x14ac:dyDescent="0.2">
      <c r="BN17915" s="192"/>
      <c r="BO17915" s="197"/>
      <c r="BP17915" s="197"/>
      <c r="BQ17915" s="197"/>
    </row>
    <row r="17916" spans="66:69" x14ac:dyDescent="0.2">
      <c r="BN17916" s="192"/>
      <c r="BO17916" s="197"/>
      <c r="BP17916" s="197"/>
      <c r="BQ17916" s="197"/>
    </row>
    <row r="17917" spans="66:69" x14ac:dyDescent="0.2">
      <c r="BN17917" s="192"/>
      <c r="BO17917" s="197"/>
      <c r="BP17917" s="197"/>
      <c r="BQ17917" s="197"/>
    </row>
    <row r="17918" spans="66:69" x14ac:dyDescent="0.2">
      <c r="BN17918" s="192"/>
      <c r="BO17918" s="197"/>
      <c r="BP17918" s="197"/>
      <c r="BQ17918" s="197"/>
    </row>
    <row r="17919" spans="66:69" x14ac:dyDescent="0.2">
      <c r="BN17919" s="192"/>
      <c r="BO17919" s="197"/>
      <c r="BP17919" s="197"/>
      <c r="BQ17919" s="197"/>
    </row>
    <row r="17920" spans="66:69" x14ac:dyDescent="0.2">
      <c r="BN17920" s="192"/>
      <c r="BO17920" s="197"/>
      <c r="BP17920" s="197"/>
      <c r="BQ17920" s="197"/>
    </row>
    <row r="17921" spans="66:69" x14ac:dyDescent="0.2">
      <c r="BN17921" s="192"/>
      <c r="BO17921" s="197"/>
      <c r="BP17921" s="197"/>
      <c r="BQ17921" s="197"/>
    </row>
    <row r="17922" spans="66:69" x14ac:dyDescent="0.2">
      <c r="BN17922" s="192"/>
      <c r="BO17922" s="197"/>
      <c r="BP17922" s="197"/>
      <c r="BQ17922" s="197"/>
    </row>
    <row r="17923" spans="66:69" x14ac:dyDescent="0.2">
      <c r="BN17923" s="192"/>
      <c r="BO17923" s="197"/>
      <c r="BP17923" s="197"/>
      <c r="BQ17923" s="197"/>
    </row>
    <row r="17924" spans="66:69" x14ac:dyDescent="0.2">
      <c r="BN17924" s="192"/>
      <c r="BO17924" s="197"/>
      <c r="BP17924" s="197"/>
      <c r="BQ17924" s="197"/>
    </row>
    <row r="17925" spans="66:69" x14ac:dyDescent="0.2">
      <c r="BN17925" s="192"/>
      <c r="BO17925" s="197"/>
      <c r="BP17925" s="197"/>
      <c r="BQ17925" s="197"/>
    </row>
    <row r="17926" spans="66:69" x14ac:dyDescent="0.2">
      <c r="BN17926" s="192"/>
      <c r="BO17926" s="197"/>
      <c r="BP17926" s="197"/>
      <c r="BQ17926" s="197"/>
    </row>
    <row r="17927" spans="66:69" x14ac:dyDescent="0.2">
      <c r="BN17927" s="192"/>
      <c r="BO17927" s="197"/>
      <c r="BP17927" s="197"/>
      <c r="BQ17927" s="197"/>
    </row>
    <row r="17928" spans="66:69" x14ac:dyDescent="0.2">
      <c r="BN17928" s="192"/>
      <c r="BO17928" s="197"/>
      <c r="BP17928" s="197"/>
      <c r="BQ17928" s="197"/>
    </row>
    <row r="17929" spans="66:69" x14ac:dyDescent="0.2">
      <c r="BN17929" s="192"/>
      <c r="BO17929" s="197"/>
      <c r="BP17929" s="197"/>
      <c r="BQ17929" s="197"/>
    </row>
    <row r="17930" spans="66:69" x14ac:dyDescent="0.2">
      <c r="BN17930" s="192"/>
      <c r="BO17930" s="197"/>
      <c r="BP17930" s="197"/>
      <c r="BQ17930" s="197"/>
    </row>
    <row r="17931" spans="66:69" x14ac:dyDescent="0.2">
      <c r="BN17931" s="192"/>
      <c r="BO17931" s="197"/>
      <c r="BP17931" s="197"/>
      <c r="BQ17931" s="197"/>
    </row>
    <row r="17932" spans="66:69" x14ac:dyDescent="0.2">
      <c r="BN17932" s="192"/>
      <c r="BO17932" s="197"/>
      <c r="BP17932" s="197"/>
      <c r="BQ17932" s="197"/>
    </row>
    <row r="17933" spans="66:69" x14ac:dyDescent="0.2">
      <c r="BN17933" s="192"/>
      <c r="BO17933" s="197"/>
      <c r="BP17933" s="197"/>
      <c r="BQ17933" s="197"/>
    </row>
    <row r="17934" spans="66:69" x14ac:dyDescent="0.2">
      <c r="BN17934" s="192"/>
      <c r="BO17934" s="197"/>
      <c r="BP17934" s="197"/>
      <c r="BQ17934" s="197"/>
    </row>
    <row r="17935" spans="66:69" x14ac:dyDescent="0.2">
      <c r="BN17935" s="192"/>
      <c r="BO17935" s="197"/>
      <c r="BP17935" s="197"/>
      <c r="BQ17935" s="197"/>
    </row>
    <row r="17936" spans="66:69" x14ac:dyDescent="0.2">
      <c r="BN17936" s="192"/>
      <c r="BO17936" s="197"/>
      <c r="BP17936" s="197"/>
      <c r="BQ17936" s="197"/>
    </row>
    <row r="17937" spans="66:69" x14ac:dyDescent="0.2">
      <c r="BN17937" s="192"/>
      <c r="BO17937" s="197"/>
      <c r="BP17937" s="197"/>
      <c r="BQ17937" s="197"/>
    </row>
    <row r="17938" spans="66:69" x14ac:dyDescent="0.2">
      <c r="BN17938" s="192"/>
      <c r="BO17938" s="197"/>
      <c r="BP17938" s="197"/>
      <c r="BQ17938" s="197"/>
    </row>
    <row r="17939" spans="66:69" x14ac:dyDescent="0.2">
      <c r="BN17939" s="192"/>
      <c r="BO17939" s="197"/>
      <c r="BP17939" s="197"/>
      <c r="BQ17939" s="197"/>
    </row>
    <row r="17940" spans="66:69" x14ac:dyDescent="0.2">
      <c r="BN17940" s="192"/>
      <c r="BO17940" s="197"/>
      <c r="BP17940" s="197"/>
      <c r="BQ17940" s="197"/>
    </row>
    <row r="17941" spans="66:69" x14ac:dyDescent="0.2">
      <c r="BN17941" s="192"/>
      <c r="BO17941" s="197"/>
      <c r="BP17941" s="197"/>
      <c r="BQ17941" s="197"/>
    </row>
    <row r="17942" spans="66:69" x14ac:dyDescent="0.2">
      <c r="BN17942" s="192"/>
      <c r="BO17942" s="197"/>
      <c r="BP17942" s="197"/>
      <c r="BQ17942" s="197"/>
    </row>
    <row r="17943" spans="66:69" x14ac:dyDescent="0.2">
      <c r="BN17943" s="192"/>
      <c r="BO17943" s="197"/>
      <c r="BP17943" s="197"/>
      <c r="BQ17943" s="197"/>
    </row>
    <row r="17944" spans="66:69" x14ac:dyDescent="0.2">
      <c r="BN17944" s="192"/>
      <c r="BO17944" s="197"/>
      <c r="BP17944" s="197"/>
      <c r="BQ17944" s="197"/>
    </row>
    <row r="17945" spans="66:69" x14ac:dyDescent="0.2">
      <c r="BN17945" s="192"/>
      <c r="BO17945" s="197"/>
      <c r="BP17945" s="197"/>
      <c r="BQ17945" s="197"/>
    </row>
    <row r="17946" spans="66:69" x14ac:dyDescent="0.2">
      <c r="BN17946" s="192"/>
      <c r="BO17946" s="197"/>
      <c r="BP17946" s="197"/>
      <c r="BQ17946" s="197"/>
    </row>
    <row r="17947" spans="66:69" x14ac:dyDescent="0.2">
      <c r="BN17947" s="192"/>
      <c r="BO17947" s="197"/>
      <c r="BP17947" s="197"/>
      <c r="BQ17947" s="197"/>
    </row>
    <row r="17948" spans="66:69" x14ac:dyDescent="0.2">
      <c r="BN17948" s="192"/>
      <c r="BO17948" s="197"/>
      <c r="BP17948" s="197"/>
      <c r="BQ17948" s="197"/>
    </row>
    <row r="17949" spans="66:69" x14ac:dyDescent="0.2">
      <c r="BN17949" s="192"/>
      <c r="BO17949" s="197"/>
      <c r="BP17949" s="197"/>
      <c r="BQ17949" s="197"/>
    </row>
    <row r="17950" spans="66:69" x14ac:dyDescent="0.2">
      <c r="BN17950" s="192"/>
      <c r="BO17950" s="197"/>
      <c r="BP17950" s="197"/>
      <c r="BQ17950" s="197"/>
    </row>
    <row r="17951" spans="66:69" x14ac:dyDescent="0.2">
      <c r="BN17951" s="192"/>
      <c r="BO17951" s="197"/>
      <c r="BP17951" s="197"/>
      <c r="BQ17951" s="197"/>
    </row>
    <row r="17952" spans="66:69" x14ac:dyDescent="0.2">
      <c r="BN17952" s="192"/>
      <c r="BO17952" s="197"/>
      <c r="BP17952" s="197"/>
      <c r="BQ17952" s="197"/>
    </row>
    <row r="17953" spans="66:69" x14ac:dyDescent="0.2">
      <c r="BN17953" s="192"/>
      <c r="BO17953" s="197"/>
      <c r="BP17953" s="197"/>
      <c r="BQ17953" s="197"/>
    </row>
    <row r="17954" spans="66:69" x14ac:dyDescent="0.2">
      <c r="BN17954" s="192"/>
      <c r="BO17954" s="197"/>
      <c r="BP17954" s="197"/>
      <c r="BQ17954" s="197"/>
    </row>
    <row r="17955" spans="66:69" x14ac:dyDescent="0.2">
      <c r="BN17955" s="192"/>
      <c r="BO17955" s="197"/>
      <c r="BP17955" s="197"/>
      <c r="BQ17955" s="197"/>
    </row>
    <row r="17956" spans="66:69" x14ac:dyDescent="0.2">
      <c r="BN17956" s="192"/>
      <c r="BO17956" s="197"/>
      <c r="BP17956" s="197"/>
      <c r="BQ17956" s="197"/>
    </row>
    <row r="17957" spans="66:69" x14ac:dyDescent="0.2">
      <c r="BN17957" s="192"/>
      <c r="BO17957" s="197"/>
      <c r="BP17957" s="197"/>
      <c r="BQ17957" s="197"/>
    </row>
    <row r="17958" spans="66:69" x14ac:dyDescent="0.2">
      <c r="BN17958" s="192"/>
      <c r="BO17958" s="197"/>
      <c r="BP17958" s="197"/>
      <c r="BQ17958" s="197"/>
    </row>
    <row r="17959" spans="66:69" x14ac:dyDescent="0.2">
      <c r="BN17959" s="192"/>
      <c r="BO17959" s="197"/>
      <c r="BP17959" s="197"/>
      <c r="BQ17959" s="197"/>
    </row>
    <row r="17960" spans="66:69" x14ac:dyDescent="0.2">
      <c r="BN17960" s="192"/>
      <c r="BO17960" s="197"/>
      <c r="BP17960" s="197"/>
      <c r="BQ17960" s="197"/>
    </row>
    <row r="17961" spans="66:69" x14ac:dyDescent="0.2">
      <c r="BN17961" s="192"/>
      <c r="BO17961" s="197"/>
      <c r="BP17961" s="197"/>
      <c r="BQ17961" s="197"/>
    </row>
    <row r="17962" spans="66:69" x14ac:dyDescent="0.2">
      <c r="BN17962" s="192"/>
      <c r="BO17962" s="197"/>
      <c r="BP17962" s="197"/>
      <c r="BQ17962" s="197"/>
    </row>
    <row r="17963" spans="66:69" x14ac:dyDescent="0.2">
      <c r="BN17963" s="192"/>
      <c r="BO17963" s="197"/>
      <c r="BP17963" s="197"/>
      <c r="BQ17963" s="197"/>
    </row>
    <row r="17964" spans="66:69" x14ac:dyDescent="0.2">
      <c r="BN17964" s="192"/>
      <c r="BO17964" s="197"/>
      <c r="BP17964" s="197"/>
      <c r="BQ17964" s="197"/>
    </row>
    <row r="17965" spans="66:69" x14ac:dyDescent="0.2">
      <c r="BN17965" s="192"/>
      <c r="BO17965" s="197"/>
      <c r="BP17965" s="197"/>
      <c r="BQ17965" s="197"/>
    </row>
    <row r="17966" spans="66:69" x14ac:dyDescent="0.2">
      <c r="BN17966" s="192"/>
      <c r="BO17966" s="197"/>
      <c r="BP17966" s="197"/>
      <c r="BQ17966" s="197"/>
    </row>
    <row r="17967" spans="66:69" x14ac:dyDescent="0.2">
      <c r="BN17967" s="192"/>
      <c r="BO17967" s="197"/>
      <c r="BP17967" s="197"/>
      <c r="BQ17967" s="197"/>
    </row>
    <row r="17968" spans="66:69" x14ac:dyDescent="0.2">
      <c r="BN17968" s="192"/>
      <c r="BO17968" s="197"/>
      <c r="BP17968" s="197"/>
      <c r="BQ17968" s="197"/>
    </row>
    <row r="17969" spans="66:69" x14ac:dyDescent="0.2">
      <c r="BN17969" s="192"/>
      <c r="BO17969" s="197"/>
      <c r="BP17969" s="197"/>
      <c r="BQ17969" s="197"/>
    </row>
    <row r="17970" spans="66:69" x14ac:dyDescent="0.2">
      <c r="BN17970" s="192"/>
      <c r="BO17970" s="197"/>
      <c r="BP17970" s="197"/>
      <c r="BQ17970" s="197"/>
    </row>
    <row r="17971" spans="66:69" x14ac:dyDescent="0.2">
      <c r="BN17971" s="192"/>
      <c r="BO17971" s="197"/>
      <c r="BP17971" s="197"/>
      <c r="BQ17971" s="197"/>
    </row>
    <row r="17972" spans="66:69" x14ac:dyDescent="0.2">
      <c r="BN17972" s="192"/>
      <c r="BO17972" s="197"/>
      <c r="BP17972" s="197"/>
      <c r="BQ17972" s="197"/>
    </row>
    <row r="17973" spans="66:69" x14ac:dyDescent="0.2">
      <c r="BN17973" s="192"/>
      <c r="BO17973" s="197"/>
      <c r="BP17973" s="197"/>
      <c r="BQ17973" s="197"/>
    </row>
    <row r="17974" spans="66:69" x14ac:dyDescent="0.2">
      <c r="BN17974" s="192"/>
      <c r="BO17974" s="197"/>
      <c r="BP17974" s="197"/>
      <c r="BQ17974" s="197"/>
    </row>
    <row r="17975" spans="66:69" x14ac:dyDescent="0.2">
      <c r="BN17975" s="192"/>
      <c r="BO17975" s="197"/>
      <c r="BP17975" s="197"/>
      <c r="BQ17975" s="197"/>
    </row>
    <row r="17976" spans="66:69" x14ac:dyDescent="0.2">
      <c r="BN17976" s="192"/>
      <c r="BO17976" s="197"/>
      <c r="BP17976" s="197"/>
      <c r="BQ17976" s="197"/>
    </row>
    <row r="17977" spans="66:69" x14ac:dyDescent="0.2">
      <c r="BN17977" s="192"/>
      <c r="BO17977" s="197"/>
      <c r="BP17977" s="197"/>
      <c r="BQ17977" s="197"/>
    </row>
    <row r="17978" spans="66:69" x14ac:dyDescent="0.2">
      <c r="BN17978" s="192"/>
      <c r="BO17978" s="197"/>
      <c r="BP17978" s="197"/>
      <c r="BQ17978" s="197"/>
    </row>
    <row r="17979" spans="66:69" x14ac:dyDescent="0.2">
      <c r="BN17979" s="192"/>
      <c r="BO17979" s="197"/>
      <c r="BP17979" s="197"/>
      <c r="BQ17979" s="197"/>
    </row>
    <row r="17980" spans="66:69" x14ac:dyDescent="0.2">
      <c r="BN17980" s="192"/>
      <c r="BO17980" s="197"/>
      <c r="BP17980" s="197"/>
      <c r="BQ17980" s="197"/>
    </row>
    <row r="17981" spans="66:69" x14ac:dyDescent="0.2">
      <c r="BN17981" s="192"/>
      <c r="BO17981" s="197"/>
      <c r="BP17981" s="197"/>
      <c r="BQ17981" s="197"/>
    </row>
    <row r="17982" spans="66:69" x14ac:dyDescent="0.2">
      <c r="BN17982" s="192"/>
      <c r="BO17982" s="197"/>
      <c r="BP17982" s="197"/>
      <c r="BQ17982" s="197"/>
    </row>
    <row r="17983" spans="66:69" x14ac:dyDescent="0.2">
      <c r="BN17983" s="192"/>
      <c r="BO17983" s="197"/>
      <c r="BP17983" s="197"/>
      <c r="BQ17983" s="197"/>
    </row>
    <row r="17984" spans="66:69" x14ac:dyDescent="0.2">
      <c r="BN17984" s="192"/>
      <c r="BO17984" s="197"/>
      <c r="BP17984" s="197"/>
      <c r="BQ17984" s="197"/>
    </row>
    <row r="17985" spans="66:69" x14ac:dyDescent="0.2">
      <c r="BN17985" s="192"/>
      <c r="BO17985" s="197"/>
      <c r="BP17985" s="197"/>
      <c r="BQ17985" s="197"/>
    </row>
    <row r="17986" spans="66:69" x14ac:dyDescent="0.2">
      <c r="BN17986" s="192"/>
      <c r="BO17986" s="197"/>
      <c r="BP17986" s="197"/>
      <c r="BQ17986" s="197"/>
    </row>
    <row r="17987" spans="66:69" x14ac:dyDescent="0.2">
      <c r="BN17987" s="192"/>
      <c r="BO17987" s="197"/>
      <c r="BP17987" s="197"/>
      <c r="BQ17987" s="197"/>
    </row>
    <row r="17988" spans="66:69" x14ac:dyDescent="0.2">
      <c r="BN17988" s="192"/>
      <c r="BO17988" s="197"/>
      <c r="BP17988" s="197"/>
      <c r="BQ17988" s="197"/>
    </row>
    <row r="17989" spans="66:69" x14ac:dyDescent="0.2">
      <c r="BN17989" s="192"/>
      <c r="BO17989" s="197"/>
      <c r="BP17989" s="197"/>
      <c r="BQ17989" s="197"/>
    </row>
    <row r="17990" spans="66:69" x14ac:dyDescent="0.2">
      <c r="BN17990" s="192"/>
      <c r="BO17990" s="197"/>
      <c r="BP17990" s="197"/>
      <c r="BQ17990" s="197"/>
    </row>
    <row r="17991" spans="66:69" x14ac:dyDescent="0.2">
      <c r="BN17991" s="192"/>
      <c r="BO17991" s="197"/>
      <c r="BP17991" s="197"/>
      <c r="BQ17991" s="197"/>
    </row>
    <row r="17992" spans="66:69" x14ac:dyDescent="0.2">
      <c r="BN17992" s="192"/>
      <c r="BO17992" s="197"/>
      <c r="BP17992" s="197"/>
      <c r="BQ17992" s="197"/>
    </row>
    <row r="17993" spans="66:69" x14ac:dyDescent="0.2">
      <c r="BN17993" s="192"/>
      <c r="BO17993" s="197"/>
      <c r="BP17993" s="197"/>
      <c r="BQ17993" s="197"/>
    </row>
    <row r="17994" spans="66:69" x14ac:dyDescent="0.2">
      <c r="BN17994" s="192"/>
      <c r="BO17994" s="197"/>
      <c r="BP17994" s="197"/>
      <c r="BQ17994" s="197"/>
    </row>
    <row r="17995" spans="66:69" x14ac:dyDescent="0.2">
      <c r="BN17995" s="192"/>
      <c r="BO17995" s="197"/>
      <c r="BP17995" s="197"/>
      <c r="BQ17995" s="197"/>
    </row>
    <row r="17996" spans="66:69" x14ac:dyDescent="0.2">
      <c r="BN17996" s="192"/>
      <c r="BO17996" s="197"/>
      <c r="BP17996" s="197"/>
      <c r="BQ17996" s="197"/>
    </row>
    <row r="17997" spans="66:69" x14ac:dyDescent="0.2">
      <c r="BN17997" s="192"/>
      <c r="BO17997" s="197"/>
      <c r="BP17997" s="197"/>
      <c r="BQ17997" s="197"/>
    </row>
    <row r="17998" spans="66:69" x14ac:dyDescent="0.2">
      <c r="BN17998" s="192"/>
      <c r="BO17998" s="197"/>
      <c r="BP17998" s="197"/>
      <c r="BQ17998" s="197"/>
    </row>
    <row r="17999" spans="66:69" x14ac:dyDescent="0.2">
      <c r="BN17999" s="192"/>
      <c r="BO17999" s="197"/>
      <c r="BP17999" s="197"/>
      <c r="BQ17999" s="197"/>
    </row>
    <row r="18000" spans="66:69" x14ac:dyDescent="0.2">
      <c r="BN18000" s="192"/>
      <c r="BO18000" s="197"/>
      <c r="BP18000" s="197"/>
      <c r="BQ18000" s="197"/>
    </row>
    <row r="18001" spans="66:69" x14ac:dyDescent="0.2">
      <c r="BN18001" s="192"/>
      <c r="BO18001" s="197"/>
      <c r="BP18001" s="197"/>
      <c r="BQ18001" s="197"/>
    </row>
    <row r="18002" spans="66:69" x14ac:dyDescent="0.2">
      <c r="BN18002" s="192"/>
      <c r="BO18002" s="197"/>
      <c r="BP18002" s="197"/>
      <c r="BQ18002" s="197"/>
    </row>
    <row r="18003" spans="66:69" x14ac:dyDescent="0.2">
      <c r="BN18003" s="192"/>
      <c r="BO18003" s="197"/>
      <c r="BP18003" s="197"/>
      <c r="BQ18003" s="197"/>
    </row>
    <row r="18004" spans="66:69" x14ac:dyDescent="0.2">
      <c r="BN18004" s="192"/>
      <c r="BO18004" s="197"/>
      <c r="BP18004" s="197"/>
      <c r="BQ18004" s="197"/>
    </row>
    <row r="18005" spans="66:69" x14ac:dyDescent="0.2">
      <c r="BN18005" s="192"/>
      <c r="BO18005" s="197"/>
      <c r="BP18005" s="197"/>
      <c r="BQ18005" s="197"/>
    </row>
    <row r="18006" spans="66:69" x14ac:dyDescent="0.2">
      <c r="BN18006" s="192"/>
      <c r="BO18006" s="197"/>
      <c r="BP18006" s="197"/>
      <c r="BQ18006" s="197"/>
    </row>
    <row r="18007" spans="66:69" x14ac:dyDescent="0.2">
      <c r="BN18007" s="192"/>
      <c r="BO18007" s="197"/>
      <c r="BP18007" s="197"/>
      <c r="BQ18007" s="197"/>
    </row>
    <row r="18008" spans="66:69" x14ac:dyDescent="0.2">
      <c r="BN18008" s="192"/>
      <c r="BO18008" s="197"/>
      <c r="BP18008" s="197"/>
      <c r="BQ18008" s="197"/>
    </row>
    <row r="18009" spans="66:69" x14ac:dyDescent="0.2">
      <c r="BN18009" s="192"/>
      <c r="BO18009" s="197"/>
      <c r="BP18009" s="197"/>
      <c r="BQ18009" s="197"/>
    </row>
    <row r="18010" spans="66:69" x14ac:dyDescent="0.2">
      <c r="BN18010" s="192"/>
      <c r="BO18010" s="197"/>
      <c r="BP18010" s="197"/>
      <c r="BQ18010" s="197"/>
    </row>
    <row r="18011" spans="66:69" x14ac:dyDescent="0.2">
      <c r="BN18011" s="192"/>
      <c r="BO18011" s="197"/>
      <c r="BP18011" s="197"/>
      <c r="BQ18011" s="197"/>
    </row>
    <row r="18012" spans="66:69" x14ac:dyDescent="0.2">
      <c r="BN18012" s="192"/>
      <c r="BO18012" s="197"/>
      <c r="BP18012" s="197"/>
      <c r="BQ18012" s="197"/>
    </row>
    <row r="18013" spans="66:69" x14ac:dyDescent="0.2">
      <c r="BN18013" s="192"/>
      <c r="BO18013" s="197"/>
      <c r="BP18013" s="197"/>
      <c r="BQ18013" s="197"/>
    </row>
    <row r="18014" spans="66:69" x14ac:dyDescent="0.2">
      <c r="BN18014" s="192"/>
      <c r="BO18014" s="197"/>
      <c r="BP18014" s="197"/>
      <c r="BQ18014" s="197"/>
    </row>
    <row r="18015" spans="66:69" x14ac:dyDescent="0.2">
      <c r="BN18015" s="192"/>
      <c r="BO18015" s="197"/>
      <c r="BP18015" s="197"/>
      <c r="BQ18015" s="197"/>
    </row>
    <row r="18016" spans="66:69" x14ac:dyDescent="0.2">
      <c r="BN18016" s="192"/>
      <c r="BO18016" s="197"/>
      <c r="BP18016" s="197"/>
      <c r="BQ18016" s="197"/>
    </row>
    <row r="18017" spans="66:69" x14ac:dyDescent="0.2">
      <c r="BN18017" s="192"/>
      <c r="BO18017" s="197"/>
      <c r="BP18017" s="197"/>
      <c r="BQ18017" s="197"/>
    </row>
    <row r="18018" spans="66:69" x14ac:dyDescent="0.2">
      <c r="BN18018" s="192"/>
      <c r="BO18018" s="197"/>
      <c r="BP18018" s="197"/>
      <c r="BQ18018" s="197"/>
    </row>
    <row r="18019" spans="66:69" x14ac:dyDescent="0.2">
      <c r="BN18019" s="192"/>
      <c r="BO18019" s="197"/>
      <c r="BP18019" s="197"/>
      <c r="BQ18019" s="197"/>
    </row>
    <row r="18020" spans="66:69" x14ac:dyDescent="0.2">
      <c r="BN18020" s="192"/>
      <c r="BO18020" s="197"/>
      <c r="BP18020" s="197"/>
      <c r="BQ18020" s="197"/>
    </row>
    <row r="18021" spans="66:69" x14ac:dyDescent="0.2">
      <c r="BN18021" s="192"/>
      <c r="BO18021" s="197"/>
      <c r="BP18021" s="197"/>
      <c r="BQ18021" s="197"/>
    </row>
    <row r="18022" spans="66:69" x14ac:dyDescent="0.2">
      <c r="BN18022" s="192"/>
      <c r="BO18022" s="197"/>
      <c r="BP18022" s="197"/>
      <c r="BQ18022" s="197"/>
    </row>
    <row r="18023" spans="66:69" x14ac:dyDescent="0.2">
      <c r="BN18023" s="192"/>
      <c r="BO18023" s="197"/>
      <c r="BP18023" s="197"/>
      <c r="BQ18023" s="197"/>
    </row>
    <row r="18024" spans="66:69" x14ac:dyDescent="0.2">
      <c r="BN18024" s="192"/>
      <c r="BO18024" s="197"/>
      <c r="BP18024" s="197"/>
      <c r="BQ18024" s="197"/>
    </row>
    <row r="18025" spans="66:69" x14ac:dyDescent="0.2">
      <c r="BN18025" s="192"/>
      <c r="BO18025" s="197"/>
      <c r="BP18025" s="197"/>
      <c r="BQ18025" s="197"/>
    </row>
    <row r="18026" spans="66:69" x14ac:dyDescent="0.2">
      <c r="BN18026" s="192"/>
      <c r="BO18026" s="197"/>
      <c r="BP18026" s="197"/>
      <c r="BQ18026" s="197"/>
    </row>
    <row r="18027" spans="66:69" x14ac:dyDescent="0.2">
      <c r="BN18027" s="192"/>
      <c r="BO18027" s="197"/>
      <c r="BP18027" s="197"/>
      <c r="BQ18027" s="197"/>
    </row>
    <row r="18028" spans="66:69" x14ac:dyDescent="0.2">
      <c r="BN18028" s="192"/>
      <c r="BO18028" s="197"/>
      <c r="BP18028" s="197"/>
      <c r="BQ18028" s="197"/>
    </row>
    <row r="18029" spans="66:69" x14ac:dyDescent="0.2">
      <c r="BN18029" s="192"/>
      <c r="BO18029" s="197"/>
      <c r="BP18029" s="197"/>
      <c r="BQ18029" s="197"/>
    </row>
    <row r="18030" spans="66:69" x14ac:dyDescent="0.2">
      <c r="BN18030" s="192"/>
      <c r="BO18030" s="197"/>
      <c r="BP18030" s="197"/>
      <c r="BQ18030" s="197"/>
    </row>
    <row r="18031" spans="66:69" x14ac:dyDescent="0.2">
      <c r="BN18031" s="192"/>
      <c r="BO18031" s="197"/>
      <c r="BP18031" s="197"/>
      <c r="BQ18031" s="197"/>
    </row>
    <row r="18032" spans="66:69" x14ac:dyDescent="0.2">
      <c r="BN18032" s="192"/>
      <c r="BO18032" s="197"/>
      <c r="BP18032" s="197"/>
      <c r="BQ18032" s="197"/>
    </row>
    <row r="18033" spans="66:69" x14ac:dyDescent="0.2">
      <c r="BN18033" s="192"/>
      <c r="BO18033" s="197"/>
      <c r="BP18033" s="197"/>
      <c r="BQ18033" s="197"/>
    </row>
    <row r="18034" spans="66:69" x14ac:dyDescent="0.2">
      <c r="BN18034" s="192"/>
      <c r="BO18034" s="197"/>
      <c r="BP18034" s="197"/>
      <c r="BQ18034" s="197"/>
    </row>
    <row r="18035" spans="66:69" x14ac:dyDescent="0.2">
      <c r="BN18035" s="192"/>
      <c r="BO18035" s="197"/>
      <c r="BP18035" s="197"/>
      <c r="BQ18035" s="197"/>
    </row>
    <row r="18036" spans="66:69" x14ac:dyDescent="0.2">
      <c r="BN18036" s="192"/>
      <c r="BO18036" s="197"/>
      <c r="BP18036" s="197"/>
      <c r="BQ18036" s="197"/>
    </row>
    <row r="18037" spans="66:69" x14ac:dyDescent="0.2">
      <c r="BN18037" s="192"/>
      <c r="BO18037" s="197"/>
      <c r="BP18037" s="197"/>
      <c r="BQ18037" s="197"/>
    </row>
    <row r="18038" spans="66:69" x14ac:dyDescent="0.2">
      <c r="BN18038" s="192"/>
      <c r="BO18038" s="197"/>
      <c r="BP18038" s="197"/>
      <c r="BQ18038" s="197"/>
    </row>
    <row r="18039" spans="66:69" x14ac:dyDescent="0.2">
      <c r="BN18039" s="192"/>
      <c r="BO18039" s="197"/>
      <c r="BP18039" s="197"/>
      <c r="BQ18039" s="197"/>
    </row>
    <row r="18040" spans="66:69" x14ac:dyDescent="0.2">
      <c r="BN18040" s="192"/>
      <c r="BO18040" s="197"/>
      <c r="BP18040" s="197"/>
      <c r="BQ18040" s="197"/>
    </row>
    <row r="18041" spans="66:69" x14ac:dyDescent="0.2">
      <c r="BN18041" s="192"/>
      <c r="BO18041" s="197"/>
      <c r="BP18041" s="197"/>
      <c r="BQ18041" s="197"/>
    </row>
    <row r="18042" spans="66:69" x14ac:dyDescent="0.2">
      <c r="BN18042" s="192"/>
      <c r="BO18042" s="197"/>
      <c r="BP18042" s="197"/>
      <c r="BQ18042" s="197"/>
    </row>
    <row r="18043" spans="66:69" x14ac:dyDescent="0.2">
      <c r="BN18043" s="192"/>
      <c r="BO18043" s="197"/>
      <c r="BP18043" s="197"/>
      <c r="BQ18043" s="197"/>
    </row>
    <row r="18044" spans="66:69" x14ac:dyDescent="0.2">
      <c r="BN18044" s="192"/>
      <c r="BO18044" s="197"/>
      <c r="BP18044" s="197"/>
      <c r="BQ18044" s="197"/>
    </row>
    <row r="18045" spans="66:69" x14ac:dyDescent="0.2">
      <c r="BN18045" s="192"/>
      <c r="BO18045" s="197"/>
      <c r="BP18045" s="197"/>
      <c r="BQ18045" s="197"/>
    </row>
    <row r="18046" spans="66:69" x14ac:dyDescent="0.2">
      <c r="BN18046" s="192"/>
      <c r="BO18046" s="197"/>
      <c r="BP18046" s="197"/>
      <c r="BQ18046" s="197"/>
    </row>
    <row r="18047" spans="66:69" x14ac:dyDescent="0.2">
      <c r="BN18047" s="192"/>
      <c r="BO18047" s="197"/>
      <c r="BP18047" s="197"/>
      <c r="BQ18047" s="197"/>
    </row>
    <row r="18048" spans="66:69" x14ac:dyDescent="0.2">
      <c r="BN18048" s="192"/>
      <c r="BO18048" s="197"/>
      <c r="BP18048" s="197"/>
      <c r="BQ18048" s="197"/>
    </row>
    <row r="18049" spans="66:69" x14ac:dyDescent="0.2">
      <c r="BN18049" s="192"/>
      <c r="BO18049" s="197"/>
      <c r="BP18049" s="197"/>
      <c r="BQ18049" s="197"/>
    </row>
    <row r="18050" spans="66:69" x14ac:dyDescent="0.2">
      <c r="BN18050" s="192"/>
      <c r="BO18050" s="197"/>
      <c r="BP18050" s="197"/>
      <c r="BQ18050" s="197"/>
    </row>
    <row r="18051" spans="66:69" x14ac:dyDescent="0.2">
      <c r="BN18051" s="192"/>
      <c r="BO18051" s="197"/>
      <c r="BP18051" s="197"/>
      <c r="BQ18051" s="197"/>
    </row>
    <row r="18052" spans="66:69" x14ac:dyDescent="0.2">
      <c r="BN18052" s="192"/>
      <c r="BO18052" s="197"/>
      <c r="BP18052" s="197"/>
      <c r="BQ18052" s="197"/>
    </row>
    <row r="18053" spans="66:69" x14ac:dyDescent="0.2">
      <c r="BN18053" s="192"/>
      <c r="BO18053" s="197"/>
      <c r="BP18053" s="197"/>
      <c r="BQ18053" s="197"/>
    </row>
    <row r="18054" spans="66:69" x14ac:dyDescent="0.2">
      <c r="BN18054" s="192"/>
      <c r="BO18054" s="197"/>
      <c r="BP18054" s="197"/>
      <c r="BQ18054" s="197"/>
    </row>
    <row r="18055" spans="66:69" x14ac:dyDescent="0.2">
      <c r="BN18055" s="192"/>
      <c r="BO18055" s="197"/>
      <c r="BP18055" s="197"/>
      <c r="BQ18055" s="197"/>
    </row>
    <row r="18056" spans="66:69" x14ac:dyDescent="0.2">
      <c r="BN18056" s="192"/>
      <c r="BO18056" s="197"/>
      <c r="BP18056" s="197"/>
      <c r="BQ18056" s="197"/>
    </row>
    <row r="18057" spans="66:69" x14ac:dyDescent="0.2">
      <c r="BN18057" s="192"/>
      <c r="BO18057" s="197"/>
      <c r="BP18057" s="197"/>
      <c r="BQ18057" s="197"/>
    </row>
    <row r="18058" spans="66:69" x14ac:dyDescent="0.2">
      <c r="BN18058" s="192"/>
      <c r="BO18058" s="197"/>
      <c r="BP18058" s="197"/>
      <c r="BQ18058" s="197"/>
    </row>
    <row r="18059" spans="66:69" x14ac:dyDescent="0.2">
      <c r="BN18059" s="192"/>
      <c r="BO18059" s="197"/>
      <c r="BP18059" s="197"/>
      <c r="BQ18059" s="197"/>
    </row>
    <row r="18060" spans="66:69" x14ac:dyDescent="0.2">
      <c r="BN18060" s="192"/>
      <c r="BO18060" s="197"/>
      <c r="BP18060" s="197"/>
      <c r="BQ18060" s="197"/>
    </row>
    <row r="18061" spans="66:69" x14ac:dyDescent="0.2">
      <c r="BN18061" s="192"/>
      <c r="BO18061" s="197"/>
      <c r="BP18061" s="197"/>
      <c r="BQ18061" s="197"/>
    </row>
    <row r="18062" spans="66:69" x14ac:dyDescent="0.2">
      <c r="BN18062" s="192"/>
      <c r="BO18062" s="197"/>
      <c r="BP18062" s="197"/>
      <c r="BQ18062" s="197"/>
    </row>
    <row r="18063" spans="66:69" x14ac:dyDescent="0.2">
      <c r="BN18063" s="192"/>
      <c r="BO18063" s="197"/>
      <c r="BP18063" s="197"/>
      <c r="BQ18063" s="197"/>
    </row>
    <row r="18064" spans="66:69" x14ac:dyDescent="0.2">
      <c r="BN18064" s="192"/>
      <c r="BO18064" s="197"/>
      <c r="BP18064" s="197"/>
      <c r="BQ18064" s="197"/>
    </row>
    <row r="18065" spans="66:69" x14ac:dyDescent="0.2">
      <c r="BN18065" s="192"/>
      <c r="BO18065" s="197"/>
      <c r="BP18065" s="197"/>
      <c r="BQ18065" s="197"/>
    </row>
    <row r="18066" spans="66:69" x14ac:dyDescent="0.2">
      <c r="BN18066" s="192"/>
      <c r="BO18066" s="197"/>
      <c r="BP18066" s="197"/>
      <c r="BQ18066" s="197"/>
    </row>
    <row r="18067" spans="66:69" x14ac:dyDescent="0.2">
      <c r="BN18067" s="192"/>
      <c r="BO18067" s="197"/>
      <c r="BP18067" s="197"/>
      <c r="BQ18067" s="197"/>
    </row>
    <row r="18068" spans="66:69" x14ac:dyDescent="0.2">
      <c r="BN18068" s="192"/>
      <c r="BO18068" s="197"/>
      <c r="BP18068" s="197"/>
      <c r="BQ18068" s="197"/>
    </row>
    <row r="18069" spans="66:69" x14ac:dyDescent="0.2">
      <c r="BN18069" s="192"/>
      <c r="BO18069" s="197"/>
      <c r="BP18069" s="197"/>
      <c r="BQ18069" s="197"/>
    </row>
    <row r="18070" spans="66:69" x14ac:dyDescent="0.2">
      <c r="BN18070" s="192"/>
      <c r="BO18070" s="197"/>
      <c r="BP18070" s="197"/>
      <c r="BQ18070" s="197"/>
    </row>
    <row r="18071" spans="66:69" x14ac:dyDescent="0.2">
      <c r="BN18071" s="192"/>
      <c r="BO18071" s="197"/>
      <c r="BP18071" s="197"/>
      <c r="BQ18071" s="197"/>
    </row>
    <row r="18072" spans="66:69" x14ac:dyDescent="0.2">
      <c r="BN18072" s="192"/>
      <c r="BO18072" s="197"/>
      <c r="BP18072" s="197"/>
      <c r="BQ18072" s="197"/>
    </row>
    <row r="18073" spans="66:69" x14ac:dyDescent="0.2">
      <c r="BN18073" s="192"/>
      <c r="BO18073" s="197"/>
      <c r="BP18073" s="197"/>
      <c r="BQ18073" s="197"/>
    </row>
    <row r="18074" spans="66:69" x14ac:dyDescent="0.2">
      <c r="BN18074" s="192"/>
      <c r="BO18074" s="197"/>
      <c r="BP18074" s="197"/>
      <c r="BQ18074" s="197"/>
    </row>
    <row r="18075" spans="66:69" x14ac:dyDescent="0.2">
      <c r="BN18075" s="192"/>
      <c r="BO18075" s="197"/>
      <c r="BP18075" s="197"/>
      <c r="BQ18075" s="197"/>
    </row>
    <row r="18076" spans="66:69" x14ac:dyDescent="0.2">
      <c r="BN18076" s="192"/>
      <c r="BO18076" s="197"/>
      <c r="BP18076" s="197"/>
      <c r="BQ18076" s="197"/>
    </row>
    <row r="18077" spans="66:69" x14ac:dyDescent="0.2">
      <c r="BN18077" s="192"/>
      <c r="BO18077" s="197"/>
      <c r="BP18077" s="197"/>
      <c r="BQ18077" s="197"/>
    </row>
    <row r="18078" spans="66:69" x14ac:dyDescent="0.2">
      <c r="BN18078" s="192"/>
      <c r="BO18078" s="197"/>
      <c r="BP18078" s="197"/>
      <c r="BQ18078" s="197"/>
    </row>
    <row r="18079" spans="66:69" x14ac:dyDescent="0.2">
      <c r="BN18079" s="192"/>
      <c r="BO18079" s="197"/>
      <c r="BP18079" s="197"/>
      <c r="BQ18079" s="197"/>
    </row>
    <row r="18080" spans="66:69" x14ac:dyDescent="0.2">
      <c r="BN18080" s="192"/>
      <c r="BO18080" s="197"/>
      <c r="BP18080" s="197"/>
      <c r="BQ18080" s="197"/>
    </row>
    <row r="18081" spans="66:69" x14ac:dyDescent="0.2">
      <c r="BN18081" s="192"/>
      <c r="BO18081" s="197"/>
      <c r="BP18081" s="197"/>
      <c r="BQ18081" s="197"/>
    </row>
    <row r="18082" spans="66:69" x14ac:dyDescent="0.2">
      <c r="BN18082" s="192"/>
      <c r="BO18082" s="197"/>
      <c r="BP18082" s="197"/>
      <c r="BQ18082" s="197"/>
    </row>
    <row r="18083" spans="66:69" x14ac:dyDescent="0.2">
      <c r="BN18083" s="192"/>
      <c r="BO18083" s="197"/>
      <c r="BP18083" s="197"/>
      <c r="BQ18083" s="197"/>
    </row>
    <row r="18084" spans="66:69" x14ac:dyDescent="0.2">
      <c r="BN18084" s="192"/>
      <c r="BO18084" s="197"/>
      <c r="BP18084" s="197"/>
      <c r="BQ18084" s="197"/>
    </row>
    <row r="18085" spans="66:69" x14ac:dyDescent="0.2">
      <c r="BN18085" s="192"/>
      <c r="BO18085" s="197"/>
      <c r="BP18085" s="197"/>
      <c r="BQ18085" s="197"/>
    </row>
    <row r="18086" spans="66:69" x14ac:dyDescent="0.2">
      <c r="BN18086" s="192"/>
      <c r="BO18086" s="197"/>
      <c r="BP18086" s="197"/>
      <c r="BQ18086" s="197"/>
    </row>
    <row r="18087" spans="66:69" x14ac:dyDescent="0.2">
      <c r="BN18087" s="192"/>
      <c r="BO18087" s="197"/>
      <c r="BP18087" s="197"/>
      <c r="BQ18087" s="197"/>
    </row>
    <row r="18088" spans="66:69" x14ac:dyDescent="0.2">
      <c r="BN18088" s="192"/>
      <c r="BO18088" s="197"/>
      <c r="BP18088" s="197"/>
      <c r="BQ18088" s="197"/>
    </row>
    <row r="18089" spans="66:69" x14ac:dyDescent="0.2">
      <c r="BN18089" s="192"/>
      <c r="BO18089" s="197"/>
      <c r="BP18089" s="197"/>
      <c r="BQ18089" s="197"/>
    </row>
    <row r="18090" spans="66:69" x14ac:dyDescent="0.2">
      <c r="BN18090" s="192"/>
      <c r="BO18090" s="197"/>
      <c r="BP18090" s="197"/>
      <c r="BQ18090" s="197"/>
    </row>
    <row r="18091" spans="66:69" x14ac:dyDescent="0.2">
      <c r="BN18091" s="192"/>
      <c r="BO18091" s="197"/>
      <c r="BP18091" s="197"/>
      <c r="BQ18091" s="197"/>
    </row>
    <row r="18092" spans="66:69" x14ac:dyDescent="0.2">
      <c r="BN18092" s="192"/>
      <c r="BO18092" s="197"/>
      <c r="BP18092" s="197"/>
      <c r="BQ18092" s="197"/>
    </row>
    <row r="18093" spans="66:69" x14ac:dyDescent="0.2">
      <c r="BN18093" s="192"/>
      <c r="BO18093" s="197"/>
      <c r="BP18093" s="197"/>
      <c r="BQ18093" s="197"/>
    </row>
    <row r="18094" spans="66:69" x14ac:dyDescent="0.2">
      <c r="BN18094" s="192"/>
      <c r="BO18094" s="197"/>
      <c r="BP18094" s="197"/>
      <c r="BQ18094" s="197"/>
    </row>
    <row r="18095" spans="66:69" x14ac:dyDescent="0.2">
      <c r="BN18095" s="192"/>
      <c r="BO18095" s="197"/>
      <c r="BP18095" s="197"/>
      <c r="BQ18095" s="197"/>
    </row>
    <row r="18096" spans="66:69" x14ac:dyDescent="0.2">
      <c r="BN18096" s="192"/>
      <c r="BO18096" s="197"/>
      <c r="BP18096" s="197"/>
      <c r="BQ18096" s="197"/>
    </row>
    <row r="18097" spans="66:69" x14ac:dyDescent="0.2">
      <c r="BN18097" s="192"/>
      <c r="BO18097" s="197"/>
      <c r="BP18097" s="197"/>
      <c r="BQ18097" s="197"/>
    </row>
    <row r="18098" spans="66:69" x14ac:dyDescent="0.2">
      <c r="BN18098" s="192"/>
      <c r="BO18098" s="197"/>
      <c r="BP18098" s="197"/>
      <c r="BQ18098" s="197"/>
    </row>
    <row r="18099" spans="66:69" x14ac:dyDescent="0.2">
      <c r="BN18099" s="192"/>
      <c r="BO18099" s="197"/>
      <c r="BP18099" s="197"/>
      <c r="BQ18099" s="197"/>
    </row>
    <row r="18100" spans="66:69" x14ac:dyDescent="0.2">
      <c r="BN18100" s="192"/>
      <c r="BO18100" s="197"/>
      <c r="BP18100" s="197"/>
      <c r="BQ18100" s="197"/>
    </row>
    <row r="18101" spans="66:69" x14ac:dyDescent="0.2">
      <c r="BN18101" s="192"/>
      <c r="BO18101" s="197"/>
      <c r="BP18101" s="197"/>
      <c r="BQ18101" s="197"/>
    </row>
    <row r="18102" spans="66:69" x14ac:dyDescent="0.2">
      <c r="BN18102" s="192"/>
      <c r="BO18102" s="197"/>
      <c r="BP18102" s="197"/>
      <c r="BQ18102" s="197"/>
    </row>
    <row r="18103" spans="66:69" x14ac:dyDescent="0.2">
      <c r="BN18103" s="192"/>
      <c r="BO18103" s="197"/>
      <c r="BP18103" s="197"/>
      <c r="BQ18103" s="197"/>
    </row>
    <row r="18104" spans="66:69" x14ac:dyDescent="0.2">
      <c r="BN18104" s="192"/>
      <c r="BO18104" s="197"/>
      <c r="BP18104" s="197"/>
      <c r="BQ18104" s="197"/>
    </row>
    <row r="18105" spans="66:69" x14ac:dyDescent="0.2">
      <c r="BN18105" s="192"/>
      <c r="BO18105" s="197"/>
      <c r="BP18105" s="197"/>
      <c r="BQ18105" s="197"/>
    </row>
    <row r="18106" spans="66:69" x14ac:dyDescent="0.2">
      <c r="BN18106" s="192"/>
      <c r="BO18106" s="197"/>
      <c r="BP18106" s="197"/>
      <c r="BQ18106" s="197"/>
    </row>
    <row r="18107" spans="66:69" x14ac:dyDescent="0.2">
      <c r="BN18107" s="192"/>
      <c r="BO18107" s="197"/>
      <c r="BP18107" s="197"/>
      <c r="BQ18107" s="197"/>
    </row>
    <row r="18108" spans="66:69" x14ac:dyDescent="0.2">
      <c r="BN18108" s="192"/>
      <c r="BO18108" s="197"/>
      <c r="BP18108" s="197"/>
      <c r="BQ18108" s="197"/>
    </row>
    <row r="18109" spans="66:69" x14ac:dyDescent="0.2">
      <c r="BN18109" s="192"/>
      <c r="BO18109" s="197"/>
      <c r="BP18109" s="197"/>
      <c r="BQ18109" s="197"/>
    </row>
    <row r="18110" spans="66:69" x14ac:dyDescent="0.2">
      <c r="BN18110" s="192"/>
      <c r="BO18110" s="197"/>
      <c r="BP18110" s="197"/>
      <c r="BQ18110" s="197"/>
    </row>
    <row r="18111" spans="66:69" x14ac:dyDescent="0.2">
      <c r="BN18111" s="192"/>
      <c r="BO18111" s="197"/>
      <c r="BP18111" s="197"/>
      <c r="BQ18111" s="197"/>
    </row>
    <row r="18112" spans="66:69" x14ac:dyDescent="0.2">
      <c r="BN18112" s="192"/>
      <c r="BO18112" s="197"/>
      <c r="BP18112" s="197"/>
      <c r="BQ18112" s="197"/>
    </row>
    <row r="18113" spans="66:69" x14ac:dyDescent="0.2">
      <c r="BN18113" s="192"/>
      <c r="BO18113" s="197"/>
      <c r="BP18113" s="197"/>
      <c r="BQ18113" s="197"/>
    </row>
    <row r="18114" spans="66:69" x14ac:dyDescent="0.2">
      <c r="BN18114" s="192"/>
      <c r="BO18114" s="197"/>
      <c r="BP18114" s="197"/>
      <c r="BQ18114" s="197"/>
    </row>
    <row r="18115" spans="66:69" x14ac:dyDescent="0.2">
      <c r="BN18115" s="192"/>
      <c r="BO18115" s="197"/>
      <c r="BP18115" s="197"/>
      <c r="BQ18115" s="197"/>
    </row>
    <row r="18116" spans="66:69" x14ac:dyDescent="0.2">
      <c r="BN18116" s="192"/>
      <c r="BO18116" s="197"/>
      <c r="BP18116" s="197"/>
      <c r="BQ18116" s="197"/>
    </row>
    <row r="18117" spans="66:69" x14ac:dyDescent="0.2">
      <c r="BN18117" s="192"/>
      <c r="BO18117" s="197"/>
      <c r="BP18117" s="197"/>
      <c r="BQ18117" s="197"/>
    </row>
    <row r="18118" spans="66:69" x14ac:dyDescent="0.2">
      <c r="BN18118" s="192"/>
      <c r="BO18118" s="197"/>
      <c r="BP18118" s="197"/>
      <c r="BQ18118" s="197"/>
    </row>
    <row r="18119" spans="66:69" x14ac:dyDescent="0.2">
      <c r="BN18119" s="192"/>
      <c r="BO18119" s="197"/>
      <c r="BP18119" s="197"/>
      <c r="BQ18119" s="197"/>
    </row>
    <row r="18120" spans="66:69" x14ac:dyDescent="0.2">
      <c r="BN18120" s="192"/>
      <c r="BO18120" s="197"/>
      <c r="BP18120" s="197"/>
      <c r="BQ18120" s="197"/>
    </row>
    <row r="18121" spans="66:69" x14ac:dyDescent="0.2">
      <c r="BN18121" s="192"/>
      <c r="BO18121" s="197"/>
      <c r="BP18121" s="197"/>
      <c r="BQ18121" s="197"/>
    </row>
    <row r="18122" spans="66:69" x14ac:dyDescent="0.2">
      <c r="BN18122" s="192"/>
      <c r="BO18122" s="197"/>
      <c r="BP18122" s="197"/>
      <c r="BQ18122" s="197"/>
    </row>
    <row r="18123" spans="66:69" x14ac:dyDescent="0.2">
      <c r="BN18123" s="192"/>
      <c r="BO18123" s="197"/>
      <c r="BP18123" s="197"/>
      <c r="BQ18123" s="197"/>
    </row>
    <row r="18124" spans="66:69" x14ac:dyDescent="0.2">
      <c r="BN18124" s="192"/>
      <c r="BO18124" s="197"/>
      <c r="BP18124" s="197"/>
      <c r="BQ18124" s="197"/>
    </row>
    <row r="18125" spans="66:69" x14ac:dyDescent="0.2">
      <c r="BN18125" s="192"/>
      <c r="BO18125" s="197"/>
      <c r="BP18125" s="197"/>
      <c r="BQ18125" s="197"/>
    </row>
    <row r="18126" spans="66:69" x14ac:dyDescent="0.2">
      <c r="BN18126" s="192"/>
      <c r="BO18126" s="197"/>
      <c r="BP18126" s="197"/>
      <c r="BQ18126" s="197"/>
    </row>
    <row r="18127" spans="66:69" x14ac:dyDescent="0.2">
      <c r="BN18127" s="192"/>
      <c r="BO18127" s="197"/>
      <c r="BP18127" s="197"/>
      <c r="BQ18127" s="197"/>
    </row>
    <row r="18128" spans="66:69" x14ac:dyDescent="0.2">
      <c r="BN18128" s="192"/>
      <c r="BO18128" s="197"/>
      <c r="BP18128" s="197"/>
      <c r="BQ18128" s="197"/>
    </row>
    <row r="18129" spans="66:69" x14ac:dyDescent="0.2">
      <c r="BN18129" s="192"/>
      <c r="BO18129" s="197"/>
      <c r="BP18129" s="197"/>
      <c r="BQ18129" s="197"/>
    </row>
    <row r="18130" spans="66:69" x14ac:dyDescent="0.2">
      <c r="BN18130" s="192"/>
      <c r="BO18130" s="197"/>
      <c r="BP18130" s="197"/>
      <c r="BQ18130" s="197"/>
    </row>
    <row r="18131" spans="66:69" x14ac:dyDescent="0.2">
      <c r="BN18131" s="192"/>
      <c r="BO18131" s="197"/>
      <c r="BP18131" s="197"/>
      <c r="BQ18131" s="197"/>
    </row>
    <row r="18132" spans="66:69" x14ac:dyDescent="0.2">
      <c r="BN18132" s="192"/>
      <c r="BO18132" s="197"/>
      <c r="BP18132" s="197"/>
      <c r="BQ18132" s="197"/>
    </row>
    <row r="18133" spans="66:69" x14ac:dyDescent="0.2">
      <c r="BN18133" s="192"/>
      <c r="BO18133" s="197"/>
      <c r="BP18133" s="197"/>
      <c r="BQ18133" s="197"/>
    </row>
    <row r="18134" spans="66:69" x14ac:dyDescent="0.2">
      <c r="BN18134" s="192"/>
      <c r="BO18134" s="197"/>
      <c r="BP18134" s="197"/>
      <c r="BQ18134" s="197"/>
    </row>
    <row r="18135" spans="66:69" x14ac:dyDescent="0.2">
      <c r="BN18135" s="192"/>
      <c r="BO18135" s="197"/>
      <c r="BP18135" s="197"/>
      <c r="BQ18135" s="197"/>
    </row>
    <row r="18136" spans="66:69" x14ac:dyDescent="0.2">
      <c r="BN18136" s="192"/>
      <c r="BO18136" s="197"/>
      <c r="BP18136" s="197"/>
      <c r="BQ18136" s="197"/>
    </row>
    <row r="18137" spans="66:69" x14ac:dyDescent="0.2">
      <c r="BN18137" s="192"/>
      <c r="BO18137" s="197"/>
      <c r="BP18137" s="197"/>
      <c r="BQ18137" s="197"/>
    </row>
    <row r="18138" spans="66:69" x14ac:dyDescent="0.2">
      <c r="BN18138" s="192"/>
      <c r="BO18138" s="197"/>
      <c r="BP18138" s="197"/>
      <c r="BQ18138" s="197"/>
    </row>
    <row r="18139" spans="66:69" x14ac:dyDescent="0.2">
      <c r="BN18139" s="192"/>
      <c r="BO18139" s="197"/>
      <c r="BP18139" s="197"/>
      <c r="BQ18139" s="197"/>
    </row>
    <row r="18140" spans="66:69" x14ac:dyDescent="0.2">
      <c r="BN18140" s="192"/>
      <c r="BO18140" s="197"/>
      <c r="BP18140" s="197"/>
      <c r="BQ18140" s="197"/>
    </row>
    <row r="18141" spans="66:69" x14ac:dyDescent="0.2">
      <c r="BN18141" s="192"/>
      <c r="BO18141" s="197"/>
      <c r="BP18141" s="197"/>
      <c r="BQ18141" s="197"/>
    </row>
    <row r="18142" spans="66:69" x14ac:dyDescent="0.2">
      <c r="BN18142" s="192"/>
      <c r="BO18142" s="197"/>
      <c r="BP18142" s="197"/>
      <c r="BQ18142" s="197"/>
    </row>
    <row r="18143" spans="66:69" x14ac:dyDescent="0.2">
      <c r="BN18143" s="192"/>
      <c r="BO18143" s="197"/>
      <c r="BP18143" s="197"/>
      <c r="BQ18143" s="197"/>
    </row>
    <row r="18144" spans="66:69" x14ac:dyDescent="0.2">
      <c r="BN18144" s="192"/>
      <c r="BO18144" s="197"/>
      <c r="BP18144" s="197"/>
      <c r="BQ18144" s="197"/>
    </row>
    <row r="18145" spans="66:69" x14ac:dyDescent="0.2">
      <c r="BN18145" s="192"/>
      <c r="BO18145" s="197"/>
      <c r="BP18145" s="197"/>
      <c r="BQ18145" s="197"/>
    </row>
    <row r="18146" spans="66:69" x14ac:dyDescent="0.2">
      <c r="BN18146" s="192"/>
      <c r="BO18146" s="197"/>
      <c r="BP18146" s="197"/>
      <c r="BQ18146" s="197"/>
    </row>
    <row r="18147" spans="66:69" x14ac:dyDescent="0.2">
      <c r="BN18147" s="192"/>
      <c r="BO18147" s="197"/>
      <c r="BP18147" s="197"/>
      <c r="BQ18147" s="197"/>
    </row>
    <row r="18148" spans="66:69" x14ac:dyDescent="0.2">
      <c r="BN18148" s="192"/>
      <c r="BO18148" s="197"/>
      <c r="BP18148" s="197"/>
      <c r="BQ18148" s="197"/>
    </row>
    <row r="18149" spans="66:69" x14ac:dyDescent="0.2">
      <c r="BN18149" s="192"/>
      <c r="BO18149" s="197"/>
      <c r="BP18149" s="197"/>
      <c r="BQ18149" s="197"/>
    </row>
    <row r="18150" spans="66:69" x14ac:dyDescent="0.2">
      <c r="BN18150" s="192"/>
      <c r="BO18150" s="197"/>
      <c r="BP18150" s="197"/>
      <c r="BQ18150" s="197"/>
    </row>
    <row r="18151" spans="66:69" x14ac:dyDescent="0.2">
      <c r="BN18151" s="192"/>
      <c r="BO18151" s="197"/>
      <c r="BP18151" s="197"/>
      <c r="BQ18151" s="197"/>
    </row>
    <row r="18152" spans="66:69" x14ac:dyDescent="0.2">
      <c r="BN18152" s="192"/>
      <c r="BO18152" s="197"/>
      <c r="BP18152" s="197"/>
      <c r="BQ18152" s="197"/>
    </row>
    <row r="18153" spans="66:69" x14ac:dyDescent="0.2">
      <c r="BN18153" s="192"/>
      <c r="BO18153" s="197"/>
      <c r="BP18153" s="197"/>
      <c r="BQ18153" s="197"/>
    </row>
    <row r="18154" spans="66:69" x14ac:dyDescent="0.2">
      <c r="BN18154" s="192"/>
      <c r="BO18154" s="197"/>
      <c r="BP18154" s="197"/>
      <c r="BQ18154" s="197"/>
    </row>
    <row r="18155" spans="66:69" x14ac:dyDescent="0.2">
      <c r="BN18155" s="192"/>
      <c r="BO18155" s="197"/>
      <c r="BP18155" s="197"/>
      <c r="BQ18155" s="197"/>
    </row>
    <row r="18156" spans="66:69" x14ac:dyDescent="0.2">
      <c r="BN18156" s="192"/>
      <c r="BO18156" s="197"/>
      <c r="BP18156" s="197"/>
      <c r="BQ18156" s="197"/>
    </row>
    <row r="18157" spans="66:69" x14ac:dyDescent="0.2">
      <c r="BN18157" s="192"/>
      <c r="BO18157" s="197"/>
      <c r="BP18157" s="197"/>
      <c r="BQ18157" s="197"/>
    </row>
    <row r="18158" spans="66:69" x14ac:dyDescent="0.2">
      <c r="BN18158" s="192"/>
      <c r="BO18158" s="197"/>
      <c r="BP18158" s="197"/>
      <c r="BQ18158" s="197"/>
    </row>
    <row r="18159" spans="66:69" x14ac:dyDescent="0.2">
      <c r="BN18159" s="192"/>
      <c r="BO18159" s="197"/>
      <c r="BP18159" s="197"/>
      <c r="BQ18159" s="197"/>
    </row>
    <row r="18160" spans="66:69" x14ac:dyDescent="0.2">
      <c r="BN18160" s="192"/>
      <c r="BO18160" s="197"/>
      <c r="BP18160" s="197"/>
      <c r="BQ18160" s="197"/>
    </row>
    <row r="18161" spans="66:69" x14ac:dyDescent="0.2">
      <c r="BN18161" s="192"/>
      <c r="BO18161" s="197"/>
      <c r="BP18161" s="197"/>
      <c r="BQ18161" s="197"/>
    </row>
    <row r="18162" spans="66:69" x14ac:dyDescent="0.2">
      <c r="BN18162" s="192"/>
      <c r="BO18162" s="197"/>
      <c r="BP18162" s="197"/>
      <c r="BQ18162" s="197"/>
    </row>
    <row r="18163" spans="66:69" x14ac:dyDescent="0.2">
      <c r="BN18163" s="192"/>
      <c r="BO18163" s="197"/>
      <c r="BP18163" s="197"/>
      <c r="BQ18163" s="197"/>
    </row>
    <row r="18164" spans="66:69" x14ac:dyDescent="0.2">
      <c r="BN18164" s="192"/>
      <c r="BO18164" s="197"/>
      <c r="BP18164" s="197"/>
      <c r="BQ18164" s="197"/>
    </row>
    <row r="18165" spans="66:69" x14ac:dyDescent="0.2">
      <c r="BN18165" s="192"/>
      <c r="BO18165" s="197"/>
      <c r="BP18165" s="197"/>
      <c r="BQ18165" s="197"/>
    </row>
    <row r="18166" spans="66:69" x14ac:dyDescent="0.2">
      <c r="BN18166" s="192"/>
      <c r="BO18166" s="197"/>
      <c r="BP18166" s="197"/>
      <c r="BQ18166" s="197"/>
    </row>
    <row r="18167" spans="66:69" x14ac:dyDescent="0.2">
      <c r="BN18167" s="192"/>
      <c r="BO18167" s="197"/>
      <c r="BP18167" s="197"/>
      <c r="BQ18167" s="197"/>
    </row>
    <row r="18168" spans="66:69" x14ac:dyDescent="0.2">
      <c r="BN18168" s="192"/>
      <c r="BO18168" s="197"/>
      <c r="BP18168" s="197"/>
      <c r="BQ18168" s="197"/>
    </row>
    <row r="18169" spans="66:69" x14ac:dyDescent="0.2">
      <c r="BN18169" s="192"/>
      <c r="BO18169" s="197"/>
      <c r="BP18169" s="197"/>
      <c r="BQ18169" s="197"/>
    </row>
    <row r="18170" spans="66:69" x14ac:dyDescent="0.2">
      <c r="BN18170" s="192"/>
      <c r="BO18170" s="197"/>
      <c r="BP18170" s="197"/>
      <c r="BQ18170" s="197"/>
    </row>
    <row r="18171" spans="66:69" x14ac:dyDescent="0.2">
      <c r="BN18171" s="192"/>
      <c r="BO18171" s="197"/>
      <c r="BP18171" s="197"/>
      <c r="BQ18171" s="197"/>
    </row>
    <row r="18172" spans="66:69" x14ac:dyDescent="0.2">
      <c r="BN18172" s="192"/>
      <c r="BO18172" s="197"/>
      <c r="BP18172" s="197"/>
      <c r="BQ18172" s="197"/>
    </row>
    <row r="18173" spans="66:69" x14ac:dyDescent="0.2">
      <c r="BN18173" s="192"/>
      <c r="BO18173" s="197"/>
      <c r="BP18173" s="197"/>
      <c r="BQ18173" s="197"/>
    </row>
    <row r="18174" spans="66:69" x14ac:dyDescent="0.2">
      <c r="BN18174" s="192"/>
      <c r="BO18174" s="197"/>
      <c r="BP18174" s="197"/>
      <c r="BQ18174" s="197"/>
    </row>
    <row r="18175" spans="66:69" x14ac:dyDescent="0.2">
      <c r="BN18175" s="192"/>
      <c r="BO18175" s="197"/>
      <c r="BP18175" s="197"/>
      <c r="BQ18175" s="197"/>
    </row>
    <row r="18176" spans="66:69" x14ac:dyDescent="0.2">
      <c r="BN18176" s="192"/>
      <c r="BO18176" s="197"/>
      <c r="BP18176" s="197"/>
      <c r="BQ18176" s="197"/>
    </row>
    <row r="18177" spans="66:69" x14ac:dyDescent="0.2">
      <c r="BN18177" s="192"/>
      <c r="BO18177" s="197"/>
      <c r="BP18177" s="197"/>
      <c r="BQ18177" s="197"/>
    </row>
    <row r="18178" spans="66:69" x14ac:dyDescent="0.2">
      <c r="BN18178" s="192"/>
      <c r="BO18178" s="197"/>
      <c r="BP18178" s="197"/>
      <c r="BQ18178" s="197"/>
    </row>
    <row r="18179" spans="66:69" x14ac:dyDescent="0.2">
      <c r="BN18179" s="192"/>
      <c r="BO18179" s="197"/>
      <c r="BP18179" s="197"/>
      <c r="BQ18179" s="197"/>
    </row>
    <row r="18180" spans="66:69" x14ac:dyDescent="0.2">
      <c r="BN18180" s="192"/>
      <c r="BO18180" s="197"/>
      <c r="BP18180" s="197"/>
      <c r="BQ18180" s="197"/>
    </row>
    <row r="18181" spans="66:69" x14ac:dyDescent="0.2">
      <c r="BN18181" s="192"/>
      <c r="BO18181" s="197"/>
      <c r="BP18181" s="197"/>
      <c r="BQ18181" s="197"/>
    </row>
    <row r="18182" spans="66:69" x14ac:dyDescent="0.2">
      <c r="BN18182" s="192"/>
      <c r="BO18182" s="197"/>
      <c r="BP18182" s="197"/>
      <c r="BQ18182" s="197"/>
    </row>
    <row r="18183" spans="66:69" x14ac:dyDescent="0.2">
      <c r="BN18183" s="192"/>
      <c r="BO18183" s="197"/>
      <c r="BP18183" s="197"/>
      <c r="BQ18183" s="197"/>
    </row>
    <row r="18184" spans="66:69" x14ac:dyDescent="0.2">
      <c r="BN18184" s="192"/>
      <c r="BO18184" s="197"/>
      <c r="BP18184" s="197"/>
      <c r="BQ18184" s="197"/>
    </row>
    <row r="18185" spans="66:69" x14ac:dyDescent="0.2">
      <c r="BN18185" s="192"/>
      <c r="BO18185" s="197"/>
      <c r="BP18185" s="197"/>
      <c r="BQ18185" s="197"/>
    </row>
    <row r="18186" spans="66:69" x14ac:dyDescent="0.2">
      <c r="BN18186" s="192"/>
      <c r="BO18186" s="197"/>
      <c r="BP18186" s="197"/>
      <c r="BQ18186" s="197"/>
    </row>
    <row r="18187" spans="66:69" x14ac:dyDescent="0.2">
      <c r="BN18187" s="192"/>
      <c r="BO18187" s="197"/>
      <c r="BP18187" s="197"/>
      <c r="BQ18187" s="197"/>
    </row>
    <row r="18188" spans="66:69" x14ac:dyDescent="0.2">
      <c r="BN18188" s="192"/>
      <c r="BO18188" s="197"/>
      <c r="BP18188" s="197"/>
      <c r="BQ18188" s="197"/>
    </row>
    <row r="18189" spans="66:69" x14ac:dyDescent="0.2">
      <c r="BN18189" s="192"/>
      <c r="BO18189" s="197"/>
      <c r="BP18189" s="197"/>
      <c r="BQ18189" s="197"/>
    </row>
    <row r="18190" spans="66:69" x14ac:dyDescent="0.2">
      <c r="BN18190" s="192"/>
      <c r="BO18190" s="197"/>
      <c r="BP18190" s="197"/>
      <c r="BQ18190" s="197"/>
    </row>
    <row r="18191" spans="66:69" x14ac:dyDescent="0.2">
      <c r="BN18191" s="192"/>
      <c r="BO18191" s="197"/>
      <c r="BP18191" s="197"/>
      <c r="BQ18191" s="197"/>
    </row>
    <row r="18192" spans="66:69" x14ac:dyDescent="0.2">
      <c r="BN18192" s="192"/>
      <c r="BO18192" s="197"/>
      <c r="BP18192" s="197"/>
      <c r="BQ18192" s="197"/>
    </row>
    <row r="18193" spans="66:69" x14ac:dyDescent="0.2">
      <c r="BN18193" s="192"/>
      <c r="BO18193" s="197"/>
      <c r="BP18193" s="197"/>
      <c r="BQ18193" s="197"/>
    </row>
    <row r="18194" spans="66:69" x14ac:dyDescent="0.2">
      <c r="BN18194" s="192"/>
      <c r="BO18194" s="197"/>
      <c r="BP18194" s="197"/>
      <c r="BQ18194" s="197"/>
    </row>
    <row r="18195" spans="66:69" x14ac:dyDescent="0.2">
      <c r="BN18195" s="192"/>
      <c r="BO18195" s="197"/>
      <c r="BP18195" s="197"/>
      <c r="BQ18195" s="197"/>
    </row>
    <row r="18196" spans="66:69" x14ac:dyDescent="0.2">
      <c r="BN18196" s="192"/>
      <c r="BO18196" s="197"/>
      <c r="BP18196" s="197"/>
      <c r="BQ18196" s="197"/>
    </row>
    <row r="18197" spans="66:69" x14ac:dyDescent="0.2">
      <c r="BN18197" s="192"/>
      <c r="BO18197" s="197"/>
      <c r="BP18197" s="197"/>
      <c r="BQ18197" s="197"/>
    </row>
    <row r="18198" spans="66:69" x14ac:dyDescent="0.2">
      <c r="BN18198" s="192"/>
      <c r="BO18198" s="197"/>
      <c r="BP18198" s="197"/>
      <c r="BQ18198" s="197"/>
    </row>
    <row r="18199" spans="66:69" x14ac:dyDescent="0.2">
      <c r="BN18199" s="192"/>
      <c r="BO18199" s="197"/>
      <c r="BP18199" s="197"/>
      <c r="BQ18199" s="197"/>
    </row>
    <row r="18200" spans="66:69" x14ac:dyDescent="0.2">
      <c r="BN18200" s="192"/>
      <c r="BO18200" s="197"/>
      <c r="BP18200" s="197"/>
      <c r="BQ18200" s="197"/>
    </row>
    <row r="18201" spans="66:69" x14ac:dyDescent="0.2">
      <c r="BN18201" s="192"/>
      <c r="BO18201" s="197"/>
      <c r="BP18201" s="197"/>
      <c r="BQ18201" s="197"/>
    </row>
    <row r="18202" spans="66:69" x14ac:dyDescent="0.2">
      <c r="BN18202" s="192"/>
      <c r="BO18202" s="197"/>
      <c r="BP18202" s="197"/>
      <c r="BQ18202" s="197"/>
    </row>
    <row r="18203" spans="66:69" x14ac:dyDescent="0.2">
      <c r="BN18203" s="192"/>
      <c r="BO18203" s="197"/>
      <c r="BP18203" s="197"/>
      <c r="BQ18203" s="197"/>
    </row>
    <row r="18204" spans="66:69" x14ac:dyDescent="0.2">
      <c r="BN18204" s="192"/>
      <c r="BO18204" s="197"/>
      <c r="BP18204" s="197"/>
      <c r="BQ18204" s="197"/>
    </row>
    <row r="18205" spans="66:69" x14ac:dyDescent="0.2">
      <c r="BN18205" s="192"/>
      <c r="BO18205" s="197"/>
      <c r="BP18205" s="197"/>
      <c r="BQ18205" s="197"/>
    </row>
    <row r="18206" spans="66:69" x14ac:dyDescent="0.2">
      <c r="BN18206" s="192"/>
      <c r="BO18206" s="197"/>
      <c r="BP18206" s="197"/>
      <c r="BQ18206" s="197"/>
    </row>
    <row r="18207" spans="66:69" x14ac:dyDescent="0.2">
      <c r="BN18207" s="192"/>
      <c r="BO18207" s="197"/>
      <c r="BP18207" s="197"/>
      <c r="BQ18207" s="197"/>
    </row>
    <row r="18208" spans="66:69" x14ac:dyDescent="0.2">
      <c r="BN18208" s="192"/>
      <c r="BO18208" s="197"/>
      <c r="BP18208" s="197"/>
      <c r="BQ18208" s="197"/>
    </row>
    <row r="18209" spans="66:69" x14ac:dyDescent="0.2">
      <c r="BN18209" s="192"/>
      <c r="BO18209" s="197"/>
      <c r="BP18209" s="197"/>
      <c r="BQ18209" s="197"/>
    </row>
    <row r="18210" spans="66:69" x14ac:dyDescent="0.2">
      <c r="BN18210" s="192"/>
      <c r="BO18210" s="197"/>
      <c r="BP18210" s="197"/>
      <c r="BQ18210" s="197"/>
    </row>
    <row r="18211" spans="66:69" x14ac:dyDescent="0.2">
      <c r="BN18211" s="192"/>
      <c r="BO18211" s="197"/>
      <c r="BP18211" s="197"/>
      <c r="BQ18211" s="197"/>
    </row>
    <row r="18212" spans="66:69" x14ac:dyDescent="0.2">
      <c r="BN18212" s="192"/>
      <c r="BO18212" s="197"/>
      <c r="BP18212" s="197"/>
      <c r="BQ18212" s="197"/>
    </row>
    <row r="18213" spans="66:69" x14ac:dyDescent="0.2">
      <c r="BN18213" s="192"/>
      <c r="BO18213" s="197"/>
      <c r="BP18213" s="197"/>
      <c r="BQ18213" s="197"/>
    </row>
    <row r="18214" spans="66:69" x14ac:dyDescent="0.2">
      <c r="BN18214" s="192"/>
      <c r="BO18214" s="197"/>
      <c r="BP18214" s="197"/>
      <c r="BQ18214" s="197"/>
    </row>
    <row r="18215" spans="66:69" x14ac:dyDescent="0.2">
      <c r="BN18215" s="192"/>
      <c r="BO18215" s="197"/>
      <c r="BP18215" s="197"/>
      <c r="BQ18215" s="197"/>
    </row>
    <row r="18216" spans="66:69" x14ac:dyDescent="0.2">
      <c r="BN18216" s="192"/>
      <c r="BO18216" s="197"/>
      <c r="BP18216" s="197"/>
      <c r="BQ18216" s="197"/>
    </row>
    <row r="18217" spans="66:69" x14ac:dyDescent="0.2">
      <c r="BN18217" s="192"/>
      <c r="BO18217" s="197"/>
      <c r="BP18217" s="197"/>
      <c r="BQ18217" s="197"/>
    </row>
    <row r="18218" spans="66:69" x14ac:dyDescent="0.2">
      <c r="BN18218" s="192"/>
      <c r="BO18218" s="197"/>
      <c r="BP18218" s="197"/>
      <c r="BQ18218" s="197"/>
    </row>
    <row r="18219" spans="66:69" x14ac:dyDescent="0.2">
      <c r="BN18219" s="192"/>
      <c r="BO18219" s="197"/>
      <c r="BP18219" s="197"/>
      <c r="BQ18219" s="197"/>
    </row>
    <row r="18220" spans="66:69" x14ac:dyDescent="0.2">
      <c r="BN18220" s="192"/>
      <c r="BO18220" s="197"/>
      <c r="BP18220" s="197"/>
      <c r="BQ18220" s="197"/>
    </row>
    <row r="18221" spans="66:69" x14ac:dyDescent="0.2">
      <c r="BN18221" s="192"/>
      <c r="BO18221" s="197"/>
      <c r="BP18221" s="197"/>
      <c r="BQ18221" s="197"/>
    </row>
    <row r="18222" spans="66:69" x14ac:dyDescent="0.2">
      <c r="BN18222" s="192"/>
      <c r="BO18222" s="197"/>
      <c r="BP18222" s="197"/>
      <c r="BQ18222" s="197"/>
    </row>
    <row r="18223" spans="66:69" x14ac:dyDescent="0.2">
      <c r="BN18223" s="192"/>
      <c r="BO18223" s="197"/>
      <c r="BP18223" s="197"/>
      <c r="BQ18223" s="197"/>
    </row>
    <row r="18224" spans="66:69" x14ac:dyDescent="0.2">
      <c r="BN18224" s="192"/>
      <c r="BO18224" s="197"/>
      <c r="BP18224" s="197"/>
      <c r="BQ18224" s="197"/>
    </row>
    <row r="18225" spans="66:69" x14ac:dyDescent="0.2">
      <c r="BN18225" s="192"/>
      <c r="BO18225" s="197"/>
      <c r="BP18225" s="197"/>
      <c r="BQ18225" s="197"/>
    </row>
    <row r="18226" spans="66:69" x14ac:dyDescent="0.2">
      <c r="BN18226" s="192"/>
      <c r="BO18226" s="197"/>
      <c r="BP18226" s="197"/>
      <c r="BQ18226" s="197"/>
    </row>
    <row r="18227" spans="66:69" x14ac:dyDescent="0.2">
      <c r="BN18227" s="192"/>
      <c r="BO18227" s="197"/>
      <c r="BP18227" s="197"/>
      <c r="BQ18227" s="197"/>
    </row>
    <row r="18228" spans="66:69" x14ac:dyDescent="0.2">
      <c r="BN18228" s="192"/>
      <c r="BO18228" s="197"/>
      <c r="BP18228" s="197"/>
      <c r="BQ18228" s="197"/>
    </row>
    <row r="18229" spans="66:69" x14ac:dyDescent="0.2">
      <c r="BN18229" s="192"/>
      <c r="BO18229" s="197"/>
      <c r="BP18229" s="197"/>
      <c r="BQ18229" s="197"/>
    </row>
    <row r="18230" spans="66:69" x14ac:dyDescent="0.2">
      <c r="BN18230" s="192"/>
      <c r="BO18230" s="197"/>
      <c r="BP18230" s="197"/>
      <c r="BQ18230" s="197"/>
    </row>
    <row r="18231" spans="66:69" x14ac:dyDescent="0.2">
      <c r="BN18231" s="192"/>
      <c r="BO18231" s="197"/>
      <c r="BP18231" s="197"/>
      <c r="BQ18231" s="197"/>
    </row>
    <row r="18232" spans="66:69" x14ac:dyDescent="0.2">
      <c r="BN18232" s="192"/>
      <c r="BO18232" s="197"/>
      <c r="BP18232" s="197"/>
      <c r="BQ18232" s="197"/>
    </row>
    <row r="18233" spans="66:69" x14ac:dyDescent="0.2">
      <c r="BN18233" s="192"/>
      <c r="BO18233" s="197"/>
      <c r="BP18233" s="197"/>
      <c r="BQ18233" s="197"/>
    </row>
    <row r="18234" spans="66:69" x14ac:dyDescent="0.2">
      <c r="BN18234" s="192"/>
      <c r="BO18234" s="197"/>
      <c r="BP18234" s="197"/>
      <c r="BQ18234" s="197"/>
    </row>
    <row r="18235" spans="66:69" x14ac:dyDescent="0.2">
      <c r="BN18235" s="192"/>
      <c r="BO18235" s="197"/>
      <c r="BP18235" s="197"/>
      <c r="BQ18235" s="197"/>
    </row>
    <row r="18236" spans="66:69" x14ac:dyDescent="0.2">
      <c r="BN18236" s="192"/>
      <c r="BO18236" s="197"/>
      <c r="BP18236" s="197"/>
      <c r="BQ18236" s="197"/>
    </row>
    <row r="18237" spans="66:69" x14ac:dyDescent="0.2">
      <c r="BN18237" s="192"/>
      <c r="BO18237" s="197"/>
      <c r="BP18237" s="197"/>
      <c r="BQ18237" s="197"/>
    </row>
    <row r="18238" spans="66:69" x14ac:dyDescent="0.2">
      <c r="BN18238" s="192"/>
      <c r="BO18238" s="197"/>
      <c r="BP18238" s="197"/>
      <c r="BQ18238" s="197"/>
    </row>
    <row r="18239" spans="66:69" x14ac:dyDescent="0.2">
      <c r="BN18239" s="192"/>
      <c r="BO18239" s="197"/>
      <c r="BP18239" s="197"/>
      <c r="BQ18239" s="197"/>
    </row>
    <row r="18240" spans="66:69" x14ac:dyDescent="0.2">
      <c r="BN18240" s="192"/>
      <c r="BO18240" s="197"/>
      <c r="BP18240" s="197"/>
      <c r="BQ18240" s="197"/>
    </row>
    <row r="18241" spans="66:69" x14ac:dyDescent="0.2">
      <c r="BN18241" s="192"/>
      <c r="BO18241" s="197"/>
      <c r="BP18241" s="197"/>
      <c r="BQ18241" s="197"/>
    </row>
    <row r="18242" spans="66:69" x14ac:dyDescent="0.2">
      <c r="BN18242" s="192"/>
      <c r="BO18242" s="197"/>
      <c r="BP18242" s="197"/>
      <c r="BQ18242" s="197"/>
    </row>
    <row r="18243" spans="66:69" x14ac:dyDescent="0.2">
      <c r="BN18243" s="192"/>
      <c r="BO18243" s="197"/>
      <c r="BP18243" s="197"/>
      <c r="BQ18243" s="197"/>
    </row>
    <row r="18244" spans="66:69" x14ac:dyDescent="0.2">
      <c r="BN18244" s="192"/>
      <c r="BO18244" s="197"/>
      <c r="BP18244" s="197"/>
      <c r="BQ18244" s="197"/>
    </row>
    <row r="18245" spans="66:69" x14ac:dyDescent="0.2">
      <c r="BN18245" s="192"/>
      <c r="BO18245" s="197"/>
      <c r="BP18245" s="197"/>
      <c r="BQ18245" s="197"/>
    </row>
    <row r="18246" spans="66:69" x14ac:dyDescent="0.2">
      <c r="BN18246" s="192"/>
      <c r="BO18246" s="197"/>
      <c r="BP18246" s="197"/>
      <c r="BQ18246" s="197"/>
    </row>
    <row r="18247" spans="66:69" x14ac:dyDescent="0.2">
      <c r="BN18247" s="192"/>
      <c r="BO18247" s="197"/>
      <c r="BP18247" s="197"/>
      <c r="BQ18247" s="197"/>
    </row>
    <row r="18248" spans="66:69" x14ac:dyDescent="0.2">
      <c r="BN18248" s="192"/>
      <c r="BO18248" s="197"/>
      <c r="BP18248" s="197"/>
      <c r="BQ18248" s="197"/>
    </row>
    <row r="18249" spans="66:69" x14ac:dyDescent="0.2">
      <c r="BN18249" s="192"/>
      <c r="BO18249" s="197"/>
      <c r="BP18249" s="197"/>
      <c r="BQ18249" s="197"/>
    </row>
    <row r="18250" spans="66:69" x14ac:dyDescent="0.2">
      <c r="BN18250" s="192"/>
      <c r="BO18250" s="197"/>
      <c r="BP18250" s="197"/>
      <c r="BQ18250" s="197"/>
    </row>
    <row r="18251" spans="66:69" x14ac:dyDescent="0.2">
      <c r="BN18251" s="192"/>
      <c r="BO18251" s="197"/>
      <c r="BP18251" s="197"/>
      <c r="BQ18251" s="197"/>
    </row>
    <row r="18252" spans="66:69" x14ac:dyDescent="0.2">
      <c r="BN18252" s="192"/>
      <c r="BO18252" s="197"/>
      <c r="BP18252" s="197"/>
      <c r="BQ18252" s="197"/>
    </row>
    <row r="18253" spans="66:69" x14ac:dyDescent="0.2">
      <c r="BN18253" s="192"/>
      <c r="BO18253" s="197"/>
      <c r="BP18253" s="197"/>
      <c r="BQ18253" s="197"/>
    </row>
    <row r="18254" spans="66:69" x14ac:dyDescent="0.2">
      <c r="BN18254" s="192"/>
      <c r="BO18254" s="197"/>
      <c r="BP18254" s="197"/>
      <c r="BQ18254" s="197"/>
    </row>
    <row r="18255" spans="66:69" x14ac:dyDescent="0.2">
      <c r="BN18255" s="192"/>
      <c r="BO18255" s="197"/>
      <c r="BP18255" s="197"/>
      <c r="BQ18255" s="197"/>
    </row>
    <row r="18256" spans="66:69" x14ac:dyDescent="0.2">
      <c r="BN18256" s="192"/>
      <c r="BO18256" s="197"/>
      <c r="BP18256" s="197"/>
      <c r="BQ18256" s="197"/>
    </row>
    <row r="18257" spans="66:69" x14ac:dyDescent="0.2">
      <c r="BN18257" s="192"/>
      <c r="BO18257" s="197"/>
      <c r="BP18257" s="197"/>
      <c r="BQ18257" s="197"/>
    </row>
    <row r="18258" spans="66:69" x14ac:dyDescent="0.2">
      <c r="BN18258" s="192"/>
      <c r="BO18258" s="197"/>
      <c r="BP18258" s="197"/>
      <c r="BQ18258" s="197"/>
    </row>
    <row r="18259" spans="66:69" x14ac:dyDescent="0.2">
      <c r="BN18259" s="192"/>
      <c r="BO18259" s="197"/>
      <c r="BP18259" s="197"/>
      <c r="BQ18259" s="197"/>
    </row>
    <row r="18260" spans="66:69" x14ac:dyDescent="0.2">
      <c r="BN18260" s="192"/>
      <c r="BO18260" s="197"/>
      <c r="BP18260" s="197"/>
      <c r="BQ18260" s="197"/>
    </row>
    <row r="18261" spans="66:69" x14ac:dyDescent="0.2">
      <c r="BN18261" s="192"/>
      <c r="BO18261" s="197"/>
      <c r="BP18261" s="197"/>
      <c r="BQ18261" s="197"/>
    </row>
    <row r="18262" spans="66:69" x14ac:dyDescent="0.2">
      <c r="BN18262" s="192"/>
      <c r="BO18262" s="197"/>
      <c r="BP18262" s="197"/>
      <c r="BQ18262" s="197"/>
    </row>
    <row r="18263" spans="66:69" x14ac:dyDescent="0.2">
      <c r="BN18263" s="192"/>
      <c r="BO18263" s="197"/>
      <c r="BP18263" s="197"/>
      <c r="BQ18263" s="197"/>
    </row>
    <row r="18264" spans="66:69" x14ac:dyDescent="0.2">
      <c r="BN18264" s="192"/>
      <c r="BO18264" s="197"/>
      <c r="BP18264" s="197"/>
      <c r="BQ18264" s="197"/>
    </row>
    <row r="18265" spans="66:69" x14ac:dyDescent="0.2">
      <c r="BN18265" s="192"/>
      <c r="BO18265" s="197"/>
      <c r="BP18265" s="197"/>
      <c r="BQ18265" s="197"/>
    </row>
    <row r="18266" spans="66:69" x14ac:dyDescent="0.2">
      <c r="BN18266" s="192"/>
      <c r="BO18266" s="197"/>
      <c r="BP18266" s="197"/>
      <c r="BQ18266" s="197"/>
    </row>
    <row r="18267" spans="66:69" x14ac:dyDescent="0.2">
      <c r="BN18267" s="192"/>
      <c r="BO18267" s="197"/>
      <c r="BP18267" s="197"/>
      <c r="BQ18267" s="197"/>
    </row>
    <row r="18268" spans="66:69" x14ac:dyDescent="0.2">
      <c r="BN18268" s="192"/>
      <c r="BO18268" s="197"/>
      <c r="BP18268" s="197"/>
      <c r="BQ18268" s="197"/>
    </row>
    <row r="18269" spans="66:69" x14ac:dyDescent="0.2">
      <c r="BN18269" s="192"/>
      <c r="BO18269" s="197"/>
      <c r="BP18269" s="197"/>
      <c r="BQ18269" s="197"/>
    </row>
    <row r="18270" spans="66:69" x14ac:dyDescent="0.2">
      <c r="BN18270" s="192"/>
      <c r="BO18270" s="197"/>
      <c r="BP18270" s="197"/>
      <c r="BQ18270" s="197"/>
    </row>
    <row r="18271" spans="66:69" x14ac:dyDescent="0.2">
      <c r="BN18271" s="192"/>
      <c r="BO18271" s="197"/>
      <c r="BP18271" s="197"/>
      <c r="BQ18271" s="197"/>
    </row>
    <row r="18272" spans="66:69" x14ac:dyDescent="0.2">
      <c r="BN18272" s="192"/>
      <c r="BO18272" s="197"/>
      <c r="BP18272" s="197"/>
      <c r="BQ18272" s="197"/>
    </row>
    <row r="18273" spans="66:69" x14ac:dyDescent="0.2">
      <c r="BN18273" s="192"/>
      <c r="BO18273" s="197"/>
      <c r="BP18273" s="197"/>
      <c r="BQ18273" s="197"/>
    </row>
    <row r="18274" spans="66:69" x14ac:dyDescent="0.2">
      <c r="BN18274" s="192"/>
      <c r="BO18274" s="197"/>
      <c r="BP18274" s="197"/>
      <c r="BQ18274" s="197"/>
    </row>
    <row r="18275" spans="66:69" x14ac:dyDescent="0.2">
      <c r="BN18275" s="192"/>
      <c r="BO18275" s="197"/>
      <c r="BP18275" s="197"/>
      <c r="BQ18275" s="197"/>
    </row>
    <row r="18276" spans="66:69" x14ac:dyDescent="0.2">
      <c r="BN18276" s="192"/>
      <c r="BO18276" s="197"/>
      <c r="BP18276" s="197"/>
      <c r="BQ18276" s="197"/>
    </row>
    <row r="18277" spans="66:69" x14ac:dyDescent="0.2">
      <c r="BN18277" s="192"/>
      <c r="BO18277" s="197"/>
      <c r="BP18277" s="197"/>
      <c r="BQ18277" s="197"/>
    </row>
    <row r="18278" spans="66:69" x14ac:dyDescent="0.2">
      <c r="BN18278" s="192"/>
      <c r="BO18278" s="197"/>
      <c r="BP18278" s="197"/>
      <c r="BQ18278" s="197"/>
    </row>
    <row r="18279" spans="66:69" x14ac:dyDescent="0.2">
      <c r="BN18279" s="192"/>
      <c r="BO18279" s="197"/>
      <c r="BP18279" s="197"/>
      <c r="BQ18279" s="197"/>
    </row>
    <row r="18280" spans="66:69" x14ac:dyDescent="0.2">
      <c r="BN18280" s="192"/>
      <c r="BO18280" s="197"/>
      <c r="BP18280" s="197"/>
      <c r="BQ18280" s="197"/>
    </row>
    <row r="18281" spans="66:69" x14ac:dyDescent="0.2">
      <c r="BN18281" s="192"/>
      <c r="BO18281" s="197"/>
      <c r="BP18281" s="197"/>
      <c r="BQ18281" s="197"/>
    </row>
    <row r="18282" spans="66:69" x14ac:dyDescent="0.2">
      <c r="BN18282" s="192"/>
      <c r="BO18282" s="197"/>
      <c r="BP18282" s="197"/>
      <c r="BQ18282" s="197"/>
    </row>
    <row r="18283" spans="66:69" x14ac:dyDescent="0.2">
      <c r="BN18283" s="192"/>
      <c r="BO18283" s="197"/>
      <c r="BP18283" s="197"/>
      <c r="BQ18283" s="197"/>
    </row>
    <row r="18284" spans="66:69" x14ac:dyDescent="0.2">
      <c r="BN18284" s="192"/>
      <c r="BO18284" s="197"/>
      <c r="BP18284" s="197"/>
      <c r="BQ18284" s="197"/>
    </row>
    <row r="18285" spans="66:69" x14ac:dyDescent="0.2">
      <c r="BN18285" s="192"/>
      <c r="BO18285" s="197"/>
      <c r="BP18285" s="197"/>
      <c r="BQ18285" s="197"/>
    </row>
    <row r="18286" spans="66:69" x14ac:dyDescent="0.2">
      <c r="BN18286" s="192"/>
      <c r="BO18286" s="197"/>
      <c r="BP18286" s="197"/>
      <c r="BQ18286" s="197"/>
    </row>
    <row r="18287" spans="66:69" x14ac:dyDescent="0.2">
      <c r="BN18287" s="192"/>
      <c r="BO18287" s="197"/>
      <c r="BP18287" s="197"/>
      <c r="BQ18287" s="197"/>
    </row>
    <row r="18288" spans="66:69" x14ac:dyDescent="0.2">
      <c r="BN18288" s="192"/>
      <c r="BO18288" s="197"/>
      <c r="BP18288" s="197"/>
      <c r="BQ18288" s="197"/>
    </row>
    <row r="18289" spans="66:69" x14ac:dyDescent="0.2">
      <c r="BN18289" s="192"/>
      <c r="BO18289" s="197"/>
      <c r="BP18289" s="197"/>
      <c r="BQ18289" s="197"/>
    </row>
    <row r="18290" spans="66:69" x14ac:dyDescent="0.2">
      <c r="BN18290" s="192"/>
      <c r="BO18290" s="197"/>
      <c r="BP18290" s="197"/>
      <c r="BQ18290" s="197"/>
    </row>
    <row r="18291" spans="66:69" x14ac:dyDescent="0.2">
      <c r="BN18291" s="192"/>
      <c r="BO18291" s="197"/>
      <c r="BP18291" s="197"/>
      <c r="BQ18291" s="197"/>
    </row>
    <row r="18292" spans="66:69" x14ac:dyDescent="0.2">
      <c r="BN18292" s="192"/>
      <c r="BO18292" s="197"/>
      <c r="BP18292" s="197"/>
      <c r="BQ18292" s="197"/>
    </row>
    <row r="18293" spans="66:69" x14ac:dyDescent="0.2">
      <c r="BN18293" s="192"/>
      <c r="BO18293" s="197"/>
      <c r="BP18293" s="197"/>
      <c r="BQ18293" s="197"/>
    </row>
    <row r="18294" spans="66:69" x14ac:dyDescent="0.2">
      <c r="BN18294" s="192"/>
      <c r="BO18294" s="197"/>
      <c r="BP18294" s="197"/>
      <c r="BQ18294" s="197"/>
    </row>
    <row r="18295" spans="66:69" x14ac:dyDescent="0.2">
      <c r="BN18295" s="192"/>
      <c r="BO18295" s="197"/>
      <c r="BP18295" s="197"/>
      <c r="BQ18295" s="197"/>
    </row>
    <row r="18296" spans="66:69" x14ac:dyDescent="0.2">
      <c r="BN18296" s="192"/>
      <c r="BO18296" s="197"/>
      <c r="BP18296" s="197"/>
      <c r="BQ18296" s="197"/>
    </row>
    <row r="18297" spans="66:69" x14ac:dyDescent="0.2">
      <c r="BN18297" s="192"/>
      <c r="BO18297" s="197"/>
      <c r="BP18297" s="197"/>
      <c r="BQ18297" s="197"/>
    </row>
    <row r="18298" spans="66:69" x14ac:dyDescent="0.2">
      <c r="BN18298" s="192"/>
      <c r="BO18298" s="197"/>
      <c r="BP18298" s="197"/>
      <c r="BQ18298" s="197"/>
    </row>
    <row r="18299" spans="66:69" x14ac:dyDescent="0.2">
      <c r="BN18299" s="192"/>
      <c r="BO18299" s="197"/>
      <c r="BP18299" s="197"/>
      <c r="BQ18299" s="197"/>
    </row>
    <row r="18300" spans="66:69" x14ac:dyDescent="0.2">
      <c r="BN18300" s="192"/>
      <c r="BO18300" s="197"/>
      <c r="BP18300" s="197"/>
      <c r="BQ18300" s="197"/>
    </row>
    <row r="18301" spans="66:69" x14ac:dyDescent="0.2">
      <c r="BN18301" s="192"/>
      <c r="BO18301" s="197"/>
      <c r="BP18301" s="197"/>
      <c r="BQ18301" s="197"/>
    </row>
    <row r="18302" spans="66:69" x14ac:dyDescent="0.2">
      <c r="BN18302" s="192"/>
      <c r="BO18302" s="197"/>
      <c r="BP18302" s="197"/>
      <c r="BQ18302" s="197"/>
    </row>
    <row r="18303" spans="66:69" x14ac:dyDescent="0.2">
      <c r="BN18303" s="192"/>
      <c r="BO18303" s="197"/>
      <c r="BP18303" s="197"/>
      <c r="BQ18303" s="197"/>
    </row>
    <row r="18304" spans="66:69" x14ac:dyDescent="0.2">
      <c r="BN18304" s="192"/>
      <c r="BO18304" s="197"/>
      <c r="BP18304" s="197"/>
      <c r="BQ18304" s="197"/>
    </row>
    <row r="18305" spans="66:69" x14ac:dyDescent="0.2">
      <c r="BN18305" s="192"/>
      <c r="BO18305" s="197"/>
      <c r="BP18305" s="197"/>
      <c r="BQ18305" s="197"/>
    </row>
    <row r="18306" spans="66:69" x14ac:dyDescent="0.2">
      <c r="BN18306" s="192"/>
      <c r="BO18306" s="197"/>
      <c r="BP18306" s="197"/>
      <c r="BQ18306" s="197"/>
    </row>
    <row r="18307" spans="66:69" x14ac:dyDescent="0.2">
      <c r="BN18307" s="192"/>
      <c r="BO18307" s="197"/>
      <c r="BP18307" s="197"/>
      <c r="BQ18307" s="197"/>
    </row>
    <row r="18308" spans="66:69" x14ac:dyDescent="0.2">
      <c r="BN18308" s="192"/>
      <c r="BO18308" s="197"/>
      <c r="BP18308" s="197"/>
      <c r="BQ18308" s="197"/>
    </row>
    <row r="18309" spans="66:69" x14ac:dyDescent="0.2">
      <c r="BN18309" s="192"/>
      <c r="BO18309" s="197"/>
      <c r="BP18309" s="197"/>
      <c r="BQ18309" s="197"/>
    </row>
    <row r="18310" spans="66:69" x14ac:dyDescent="0.2">
      <c r="BN18310" s="192"/>
      <c r="BO18310" s="197"/>
      <c r="BP18310" s="197"/>
      <c r="BQ18310" s="197"/>
    </row>
    <row r="18311" spans="66:69" x14ac:dyDescent="0.2">
      <c r="BN18311" s="192"/>
      <c r="BO18311" s="197"/>
      <c r="BP18311" s="197"/>
      <c r="BQ18311" s="197"/>
    </row>
    <row r="18312" spans="66:69" x14ac:dyDescent="0.2">
      <c r="BN18312" s="192"/>
      <c r="BO18312" s="197"/>
      <c r="BP18312" s="197"/>
      <c r="BQ18312" s="197"/>
    </row>
    <row r="18313" spans="66:69" x14ac:dyDescent="0.2">
      <c r="BN18313" s="192"/>
      <c r="BO18313" s="197"/>
      <c r="BP18313" s="197"/>
      <c r="BQ18313" s="197"/>
    </row>
    <row r="18314" spans="66:69" x14ac:dyDescent="0.2">
      <c r="BN18314" s="192"/>
      <c r="BO18314" s="197"/>
      <c r="BP18314" s="197"/>
      <c r="BQ18314" s="197"/>
    </row>
    <row r="18315" spans="66:69" x14ac:dyDescent="0.2">
      <c r="BN18315" s="192"/>
      <c r="BO18315" s="197"/>
      <c r="BP18315" s="197"/>
      <c r="BQ18315" s="197"/>
    </row>
    <row r="18316" spans="66:69" x14ac:dyDescent="0.2">
      <c r="BN18316" s="192"/>
      <c r="BO18316" s="197"/>
      <c r="BP18316" s="197"/>
      <c r="BQ18316" s="197"/>
    </row>
    <row r="18317" spans="66:69" x14ac:dyDescent="0.2">
      <c r="BN18317" s="192"/>
      <c r="BO18317" s="197"/>
      <c r="BP18317" s="197"/>
      <c r="BQ18317" s="197"/>
    </row>
    <row r="18318" spans="66:69" x14ac:dyDescent="0.2">
      <c r="BN18318" s="192"/>
      <c r="BO18318" s="197"/>
      <c r="BP18318" s="197"/>
      <c r="BQ18318" s="197"/>
    </row>
    <row r="18319" spans="66:69" x14ac:dyDescent="0.2">
      <c r="BN18319" s="192"/>
      <c r="BO18319" s="197"/>
      <c r="BP18319" s="197"/>
      <c r="BQ18319" s="197"/>
    </row>
    <row r="18320" spans="66:69" x14ac:dyDescent="0.2">
      <c r="BN18320" s="192"/>
      <c r="BO18320" s="197"/>
      <c r="BP18320" s="197"/>
      <c r="BQ18320" s="197"/>
    </row>
    <row r="18321" spans="66:69" x14ac:dyDescent="0.2">
      <c r="BN18321" s="192"/>
      <c r="BO18321" s="197"/>
      <c r="BP18321" s="197"/>
      <c r="BQ18321" s="197"/>
    </row>
    <row r="18322" spans="66:69" x14ac:dyDescent="0.2">
      <c r="BN18322" s="192"/>
      <c r="BO18322" s="197"/>
      <c r="BP18322" s="197"/>
      <c r="BQ18322" s="197"/>
    </row>
    <row r="18323" spans="66:69" x14ac:dyDescent="0.2">
      <c r="BN18323" s="192"/>
      <c r="BO18323" s="197"/>
      <c r="BP18323" s="197"/>
      <c r="BQ18323" s="197"/>
    </row>
    <row r="18324" spans="66:69" x14ac:dyDescent="0.2">
      <c r="BN18324" s="192"/>
      <c r="BO18324" s="197"/>
      <c r="BP18324" s="197"/>
      <c r="BQ18324" s="197"/>
    </row>
    <row r="18325" spans="66:69" x14ac:dyDescent="0.2">
      <c r="BN18325" s="192"/>
      <c r="BO18325" s="197"/>
      <c r="BP18325" s="197"/>
      <c r="BQ18325" s="197"/>
    </row>
    <row r="18326" spans="66:69" x14ac:dyDescent="0.2">
      <c r="BN18326" s="192"/>
      <c r="BO18326" s="197"/>
      <c r="BP18326" s="197"/>
      <c r="BQ18326" s="197"/>
    </row>
    <row r="18327" spans="66:69" x14ac:dyDescent="0.2">
      <c r="BN18327" s="192"/>
      <c r="BO18327" s="197"/>
      <c r="BP18327" s="197"/>
      <c r="BQ18327" s="197"/>
    </row>
    <row r="18328" spans="66:69" x14ac:dyDescent="0.2">
      <c r="BN18328" s="192"/>
      <c r="BO18328" s="197"/>
      <c r="BP18328" s="197"/>
      <c r="BQ18328" s="197"/>
    </row>
    <row r="18329" spans="66:69" x14ac:dyDescent="0.2">
      <c r="BN18329" s="192"/>
      <c r="BO18329" s="197"/>
      <c r="BP18329" s="197"/>
      <c r="BQ18329" s="197"/>
    </row>
    <row r="18330" spans="66:69" x14ac:dyDescent="0.2">
      <c r="BN18330" s="192"/>
      <c r="BO18330" s="197"/>
      <c r="BP18330" s="197"/>
      <c r="BQ18330" s="197"/>
    </row>
    <row r="18331" spans="66:69" x14ac:dyDescent="0.2">
      <c r="BN18331" s="192"/>
      <c r="BO18331" s="197"/>
      <c r="BP18331" s="197"/>
      <c r="BQ18331" s="197"/>
    </row>
    <row r="18332" spans="66:69" x14ac:dyDescent="0.2">
      <c r="BN18332" s="192"/>
      <c r="BO18332" s="197"/>
      <c r="BP18332" s="197"/>
      <c r="BQ18332" s="197"/>
    </row>
    <row r="18333" spans="66:69" x14ac:dyDescent="0.2">
      <c r="BN18333" s="192"/>
      <c r="BO18333" s="197"/>
      <c r="BP18333" s="197"/>
      <c r="BQ18333" s="197"/>
    </row>
    <row r="18334" spans="66:69" x14ac:dyDescent="0.2">
      <c r="BN18334" s="192"/>
      <c r="BO18334" s="197"/>
      <c r="BP18334" s="197"/>
      <c r="BQ18334" s="197"/>
    </row>
    <row r="18335" spans="66:69" x14ac:dyDescent="0.2">
      <c r="BN18335" s="192"/>
      <c r="BO18335" s="197"/>
      <c r="BP18335" s="197"/>
      <c r="BQ18335" s="197"/>
    </row>
    <row r="18336" spans="66:69" x14ac:dyDescent="0.2">
      <c r="BN18336" s="192"/>
      <c r="BO18336" s="197"/>
      <c r="BP18336" s="197"/>
      <c r="BQ18336" s="197"/>
    </row>
    <row r="18337" spans="66:69" x14ac:dyDescent="0.2">
      <c r="BN18337" s="192"/>
      <c r="BO18337" s="197"/>
      <c r="BP18337" s="197"/>
      <c r="BQ18337" s="197"/>
    </row>
    <row r="18338" spans="66:69" x14ac:dyDescent="0.2">
      <c r="BN18338" s="192"/>
      <c r="BO18338" s="197"/>
      <c r="BP18338" s="197"/>
      <c r="BQ18338" s="197"/>
    </row>
    <row r="18339" spans="66:69" x14ac:dyDescent="0.2">
      <c r="BN18339" s="192"/>
      <c r="BO18339" s="197"/>
      <c r="BP18339" s="197"/>
      <c r="BQ18339" s="197"/>
    </row>
    <row r="18340" spans="66:69" x14ac:dyDescent="0.2">
      <c r="BN18340" s="192"/>
      <c r="BO18340" s="197"/>
      <c r="BP18340" s="197"/>
      <c r="BQ18340" s="197"/>
    </row>
    <row r="18341" spans="66:69" x14ac:dyDescent="0.2">
      <c r="BN18341" s="192"/>
      <c r="BO18341" s="197"/>
      <c r="BP18341" s="197"/>
      <c r="BQ18341" s="197"/>
    </row>
    <row r="18342" spans="66:69" x14ac:dyDescent="0.2">
      <c r="BN18342" s="192"/>
      <c r="BO18342" s="197"/>
      <c r="BP18342" s="197"/>
      <c r="BQ18342" s="197"/>
    </row>
    <row r="18343" spans="66:69" x14ac:dyDescent="0.2">
      <c r="BN18343" s="192"/>
      <c r="BO18343" s="197"/>
      <c r="BP18343" s="197"/>
      <c r="BQ18343" s="197"/>
    </row>
    <row r="18344" spans="66:69" x14ac:dyDescent="0.2">
      <c r="BN18344" s="192"/>
      <c r="BO18344" s="197"/>
      <c r="BP18344" s="197"/>
      <c r="BQ18344" s="197"/>
    </row>
    <row r="18345" spans="66:69" x14ac:dyDescent="0.2">
      <c r="BN18345" s="192"/>
      <c r="BO18345" s="197"/>
      <c r="BP18345" s="197"/>
      <c r="BQ18345" s="197"/>
    </row>
    <row r="18346" spans="66:69" x14ac:dyDescent="0.2">
      <c r="BN18346" s="192"/>
      <c r="BO18346" s="197"/>
      <c r="BP18346" s="197"/>
      <c r="BQ18346" s="197"/>
    </row>
    <row r="18347" spans="66:69" x14ac:dyDescent="0.2">
      <c r="BN18347" s="192"/>
      <c r="BO18347" s="197"/>
      <c r="BP18347" s="197"/>
      <c r="BQ18347" s="197"/>
    </row>
    <row r="18348" spans="66:69" x14ac:dyDescent="0.2">
      <c r="BN18348" s="192"/>
      <c r="BO18348" s="197"/>
      <c r="BP18348" s="197"/>
      <c r="BQ18348" s="197"/>
    </row>
    <row r="18349" spans="66:69" x14ac:dyDescent="0.2">
      <c r="BN18349" s="192"/>
      <c r="BO18349" s="197"/>
      <c r="BP18349" s="197"/>
      <c r="BQ18349" s="197"/>
    </row>
    <row r="18350" spans="66:69" x14ac:dyDescent="0.2">
      <c r="BN18350" s="192"/>
      <c r="BO18350" s="197"/>
      <c r="BP18350" s="197"/>
      <c r="BQ18350" s="197"/>
    </row>
    <row r="18351" spans="66:69" x14ac:dyDescent="0.2">
      <c r="BN18351" s="192"/>
      <c r="BO18351" s="197"/>
      <c r="BP18351" s="197"/>
      <c r="BQ18351" s="197"/>
    </row>
    <row r="18352" spans="66:69" x14ac:dyDescent="0.2">
      <c r="BN18352" s="192"/>
      <c r="BO18352" s="197"/>
      <c r="BP18352" s="197"/>
      <c r="BQ18352" s="197"/>
    </row>
    <row r="18353" spans="66:69" x14ac:dyDescent="0.2">
      <c r="BN18353" s="192"/>
      <c r="BO18353" s="197"/>
      <c r="BP18353" s="197"/>
      <c r="BQ18353" s="197"/>
    </row>
    <row r="18354" spans="66:69" x14ac:dyDescent="0.2">
      <c r="BN18354" s="192"/>
      <c r="BO18354" s="197"/>
      <c r="BP18354" s="197"/>
      <c r="BQ18354" s="197"/>
    </row>
    <row r="18355" spans="66:69" x14ac:dyDescent="0.2">
      <c r="BN18355" s="192"/>
      <c r="BO18355" s="197"/>
      <c r="BP18355" s="197"/>
      <c r="BQ18355" s="197"/>
    </row>
    <row r="18356" spans="66:69" x14ac:dyDescent="0.2">
      <c r="BN18356" s="192"/>
      <c r="BO18356" s="197"/>
      <c r="BP18356" s="197"/>
      <c r="BQ18356" s="197"/>
    </row>
    <row r="18357" spans="66:69" x14ac:dyDescent="0.2">
      <c r="BN18357" s="192"/>
      <c r="BO18357" s="197"/>
      <c r="BP18357" s="197"/>
      <c r="BQ18357" s="197"/>
    </row>
    <row r="18358" spans="66:69" x14ac:dyDescent="0.2">
      <c r="BN18358" s="192"/>
      <c r="BO18358" s="197"/>
      <c r="BP18358" s="197"/>
      <c r="BQ18358" s="197"/>
    </row>
    <row r="18359" spans="66:69" x14ac:dyDescent="0.2">
      <c r="BN18359" s="192"/>
      <c r="BO18359" s="197"/>
      <c r="BP18359" s="197"/>
      <c r="BQ18359" s="197"/>
    </row>
    <row r="18360" spans="66:69" x14ac:dyDescent="0.2">
      <c r="BN18360" s="192"/>
      <c r="BO18360" s="197"/>
      <c r="BP18360" s="197"/>
      <c r="BQ18360" s="197"/>
    </row>
    <row r="18361" spans="66:69" x14ac:dyDescent="0.2">
      <c r="BN18361" s="192"/>
      <c r="BO18361" s="197"/>
      <c r="BP18361" s="197"/>
      <c r="BQ18361" s="197"/>
    </row>
    <row r="18362" spans="66:69" x14ac:dyDescent="0.2">
      <c r="BN18362" s="192"/>
      <c r="BO18362" s="197"/>
      <c r="BP18362" s="197"/>
      <c r="BQ18362" s="197"/>
    </row>
    <row r="18363" spans="66:69" x14ac:dyDescent="0.2">
      <c r="BN18363" s="192"/>
      <c r="BO18363" s="197"/>
      <c r="BP18363" s="197"/>
      <c r="BQ18363" s="197"/>
    </row>
    <row r="18364" spans="66:69" x14ac:dyDescent="0.2">
      <c r="BN18364" s="192"/>
      <c r="BO18364" s="197"/>
      <c r="BP18364" s="197"/>
      <c r="BQ18364" s="197"/>
    </row>
    <row r="18365" spans="66:69" x14ac:dyDescent="0.2">
      <c r="BN18365" s="192"/>
      <c r="BO18365" s="197"/>
      <c r="BP18365" s="197"/>
      <c r="BQ18365" s="197"/>
    </row>
    <row r="18366" spans="66:69" x14ac:dyDescent="0.2">
      <c r="BN18366" s="192"/>
      <c r="BO18366" s="197"/>
      <c r="BP18366" s="197"/>
      <c r="BQ18366" s="197"/>
    </row>
    <row r="18367" spans="66:69" x14ac:dyDescent="0.2">
      <c r="BN18367" s="192"/>
      <c r="BO18367" s="197"/>
      <c r="BP18367" s="197"/>
      <c r="BQ18367" s="197"/>
    </row>
    <row r="18368" spans="66:69" x14ac:dyDescent="0.2">
      <c r="BN18368" s="192"/>
      <c r="BO18368" s="197"/>
      <c r="BP18368" s="197"/>
      <c r="BQ18368" s="197"/>
    </row>
    <row r="18369" spans="66:69" x14ac:dyDescent="0.2">
      <c r="BN18369" s="192"/>
      <c r="BO18369" s="197"/>
      <c r="BP18369" s="197"/>
      <c r="BQ18369" s="197"/>
    </row>
    <row r="18370" spans="66:69" x14ac:dyDescent="0.2">
      <c r="BN18370" s="192"/>
      <c r="BO18370" s="197"/>
      <c r="BP18370" s="197"/>
      <c r="BQ18370" s="197"/>
    </row>
    <row r="18371" spans="66:69" x14ac:dyDescent="0.2">
      <c r="BN18371" s="192"/>
      <c r="BO18371" s="197"/>
      <c r="BP18371" s="197"/>
      <c r="BQ18371" s="197"/>
    </row>
    <row r="18372" spans="66:69" x14ac:dyDescent="0.2">
      <c r="BN18372" s="192"/>
      <c r="BO18372" s="197"/>
      <c r="BP18372" s="197"/>
      <c r="BQ18372" s="197"/>
    </row>
    <row r="18373" spans="66:69" x14ac:dyDescent="0.2">
      <c r="BN18373" s="192"/>
      <c r="BO18373" s="197"/>
      <c r="BP18373" s="197"/>
      <c r="BQ18373" s="197"/>
    </row>
    <row r="18374" spans="66:69" x14ac:dyDescent="0.2">
      <c r="BN18374" s="192"/>
      <c r="BO18374" s="197"/>
      <c r="BP18374" s="197"/>
      <c r="BQ18374" s="197"/>
    </row>
    <row r="18375" spans="66:69" x14ac:dyDescent="0.2">
      <c r="BN18375" s="192"/>
      <c r="BO18375" s="197"/>
      <c r="BP18375" s="197"/>
      <c r="BQ18375" s="197"/>
    </row>
    <row r="18376" spans="66:69" x14ac:dyDescent="0.2">
      <c r="BN18376" s="192"/>
      <c r="BO18376" s="197"/>
      <c r="BP18376" s="197"/>
      <c r="BQ18376" s="197"/>
    </row>
    <row r="18377" spans="66:69" x14ac:dyDescent="0.2">
      <c r="BN18377" s="192"/>
      <c r="BO18377" s="197"/>
      <c r="BP18377" s="197"/>
      <c r="BQ18377" s="197"/>
    </row>
    <row r="18378" spans="66:69" x14ac:dyDescent="0.2">
      <c r="BN18378" s="192"/>
      <c r="BO18378" s="197"/>
      <c r="BP18378" s="197"/>
      <c r="BQ18378" s="197"/>
    </row>
    <row r="18379" spans="66:69" x14ac:dyDescent="0.2">
      <c r="BN18379" s="192"/>
      <c r="BO18379" s="197"/>
      <c r="BP18379" s="197"/>
      <c r="BQ18379" s="197"/>
    </row>
    <row r="18380" spans="66:69" x14ac:dyDescent="0.2">
      <c r="BN18380" s="192"/>
      <c r="BO18380" s="197"/>
      <c r="BP18380" s="197"/>
      <c r="BQ18380" s="197"/>
    </row>
    <row r="18381" spans="66:69" x14ac:dyDescent="0.2">
      <c r="BN18381" s="192"/>
      <c r="BO18381" s="197"/>
      <c r="BP18381" s="197"/>
      <c r="BQ18381" s="197"/>
    </row>
    <row r="18382" spans="66:69" x14ac:dyDescent="0.2">
      <c r="BN18382" s="192"/>
      <c r="BO18382" s="197"/>
      <c r="BP18382" s="197"/>
      <c r="BQ18382" s="197"/>
    </row>
    <row r="18383" spans="66:69" x14ac:dyDescent="0.2">
      <c r="BN18383" s="192"/>
      <c r="BO18383" s="197"/>
      <c r="BP18383" s="197"/>
      <c r="BQ18383" s="197"/>
    </row>
    <row r="18384" spans="66:69" x14ac:dyDescent="0.2">
      <c r="BN18384" s="192"/>
      <c r="BO18384" s="197"/>
      <c r="BP18384" s="197"/>
      <c r="BQ18384" s="197"/>
    </row>
    <row r="18385" spans="66:69" x14ac:dyDescent="0.2">
      <c r="BN18385" s="192"/>
      <c r="BO18385" s="197"/>
      <c r="BP18385" s="197"/>
      <c r="BQ18385" s="197"/>
    </row>
    <row r="18386" spans="66:69" x14ac:dyDescent="0.2">
      <c r="BN18386" s="192"/>
      <c r="BO18386" s="197"/>
      <c r="BP18386" s="197"/>
      <c r="BQ18386" s="197"/>
    </row>
    <row r="18387" spans="66:69" x14ac:dyDescent="0.2">
      <c r="BN18387" s="192"/>
      <c r="BO18387" s="197"/>
      <c r="BP18387" s="197"/>
      <c r="BQ18387" s="197"/>
    </row>
    <row r="18388" spans="66:69" x14ac:dyDescent="0.2">
      <c r="BN18388" s="192"/>
      <c r="BO18388" s="197"/>
      <c r="BP18388" s="197"/>
      <c r="BQ18388" s="197"/>
    </row>
    <row r="18389" spans="66:69" x14ac:dyDescent="0.2">
      <c r="BN18389" s="192"/>
      <c r="BO18389" s="197"/>
      <c r="BP18389" s="197"/>
      <c r="BQ18389" s="197"/>
    </row>
    <row r="18390" spans="66:69" x14ac:dyDescent="0.2">
      <c r="BN18390" s="192"/>
      <c r="BO18390" s="197"/>
      <c r="BP18390" s="197"/>
      <c r="BQ18390" s="197"/>
    </row>
    <row r="18391" spans="66:69" x14ac:dyDescent="0.2">
      <c r="BN18391" s="192"/>
      <c r="BO18391" s="197"/>
      <c r="BP18391" s="197"/>
      <c r="BQ18391" s="197"/>
    </row>
    <row r="18392" spans="66:69" x14ac:dyDescent="0.2">
      <c r="BN18392" s="192"/>
      <c r="BO18392" s="197"/>
      <c r="BP18392" s="197"/>
      <c r="BQ18392" s="197"/>
    </row>
    <row r="18393" spans="66:69" x14ac:dyDescent="0.2">
      <c r="BN18393" s="192"/>
      <c r="BO18393" s="197"/>
      <c r="BP18393" s="197"/>
      <c r="BQ18393" s="197"/>
    </row>
    <row r="18394" spans="66:69" x14ac:dyDescent="0.2">
      <c r="BN18394" s="192"/>
      <c r="BO18394" s="197"/>
      <c r="BP18394" s="197"/>
      <c r="BQ18394" s="197"/>
    </row>
    <row r="18395" spans="66:69" x14ac:dyDescent="0.2">
      <c r="BN18395" s="192"/>
      <c r="BO18395" s="197"/>
      <c r="BP18395" s="197"/>
      <c r="BQ18395" s="197"/>
    </row>
    <row r="18396" spans="66:69" x14ac:dyDescent="0.2">
      <c r="BN18396" s="192"/>
      <c r="BO18396" s="197"/>
      <c r="BP18396" s="197"/>
      <c r="BQ18396" s="197"/>
    </row>
    <row r="18397" spans="66:69" x14ac:dyDescent="0.2">
      <c r="BN18397" s="192"/>
      <c r="BO18397" s="197"/>
      <c r="BP18397" s="197"/>
      <c r="BQ18397" s="197"/>
    </row>
    <row r="18398" spans="66:69" x14ac:dyDescent="0.2">
      <c r="BN18398" s="192"/>
      <c r="BO18398" s="197"/>
      <c r="BP18398" s="197"/>
      <c r="BQ18398" s="197"/>
    </row>
    <row r="18399" spans="66:69" x14ac:dyDescent="0.2">
      <c r="BN18399" s="192"/>
      <c r="BO18399" s="197"/>
      <c r="BP18399" s="197"/>
      <c r="BQ18399" s="197"/>
    </row>
    <row r="18400" spans="66:69" x14ac:dyDescent="0.2">
      <c r="BN18400" s="192"/>
      <c r="BO18400" s="197"/>
      <c r="BP18400" s="197"/>
      <c r="BQ18400" s="197"/>
    </row>
    <row r="18401" spans="66:69" x14ac:dyDescent="0.2">
      <c r="BN18401" s="192"/>
      <c r="BO18401" s="197"/>
      <c r="BP18401" s="197"/>
      <c r="BQ18401" s="197"/>
    </row>
    <row r="18402" spans="66:69" x14ac:dyDescent="0.2">
      <c r="BN18402" s="192"/>
      <c r="BO18402" s="197"/>
      <c r="BP18402" s="197"/>
      <c r="BQ18402" s="197"/>
    </row>
    <row r="18403" spans="66:69" x14ac:dyDescent="0.2">
      <c r="BN18403" s="192"/>
      <c r="BO18403" s="197"/>
      <c r="BP18403" s="197"/>
      <c r="BQ18403" s="197"/>
    </row>
    <row r="18404" spans="66:69" x14ac:dyDescent="0.2">
      <c r="BN18404" s="192"/>
      <c r="BO18404" s="197"/>
      <c r="BP18404" s="197"/>
      <c r="BQ18404" s="197"/>
    </row>
    <row r="18405" spans="66:69" x14ac:dyDescent="0.2">
      <c r="BN18405" s="192"/>
      <c r="BO18405" s="197"/>
      <c r="BP18405" s="197"/>
      <c r="BQ18405" s="197"/>
    </row>
    <row r="18406" spans="66:69" x14ac:dyDescent="0.2">
      <c r="BN18406" s="192"/>
      <c r="BO18406" s="197"/>
      <c r="BP18406" s="197"/>
      <c r="BQ18406" s="197"/>
    </row>
    <row r="18407" spans="66:69" x14ac:dyDescent="0.2">
      <c r="BN18407" s="192"/>
      <c r="BO18407" s="197"/>
      <c r="BP18407" s="197"/>
      <c r="BQ18407" s="197"/>
    </row>
    <row r="18408" spans="66:69" x14ac:dyDescent="0.2">
      <c r="BN18408" s="192"/>
      <c r="BO18408" s="197"/>
      <c r="BP18408" s="197"/>
      <c r="BQ18408" s="197"/>
    </row>
    <row r="18409" spans="66:69" x14ac:dyDescent="0.2">
      <c r="BN18409" s="192"/>
      <c r="BO18409" s="197"/>
      <c r="BP18409" s="197"/>
      <c r="BQ18409" s="197"/>
    </row>
    <row r="18410" spans="66:69" x14ac:dyDescent="0.2">
      <c r="BN18410" s="192"/>
      <c r="BO18410" s="197"/>
      <c r="BP18410" s="197"/>
      <c r="BQ18410" s="197"/>
    </row>
    <row r="18411" spans="66:69" x14ac:dyDescent="0.2">
      <c r="BN18411" s="192"/>
      <c r="BO18411" s="197"/>
      <c r="BP18411" s="197"/>
      <c r="BQ18411" s="197"/>
    </row>
    <row r="18412" spans="66:69" x14ac:dyDescent="0.2">
      <c r="BN18412" s="192"/>
      <c r="BO18412" s="197"/>
      <c r="BP18412" s="197"/>
      <c r="BQ18412" s="197"/>
    </row>
    <row r="18413" spans="66:69" x14ac:dyDescent="0.2">
      <c r="BN18413" s="192"/>
      <c r="BO18413" s="197"/>
      <c r="BP18413" s="197"/>
      <c r="BQ18413" s="197"/>
    </row>
    <row r="18414" spans="66:69" x14ac:dyDescent="0.2">
      <c r="BN18414" s="192"/>
      <c r="BO18414" s="197"/>
      <c r="BP18414" s="197"/>
      <c r="BQ18414" s="197"/>
    </row>
    <row r="18415" spans="66:69" x14ac:dyDescent="0.2">
      <c r="BN18415" s="192"/>
      <c r="BO18415" s="197"/>
      <c r="BP18415" s="197"/>
      <c r="BQ18415" s="197"/>
    </row>
    <row r="18416" spans="66:69" x14ac:dyDescent="0.2">
      <c r="BN18416" s="192"/>
      <c r="BO18416" s="197"/>
      <c r="BP18416" s="197"/>
      <c r="BQ18416" s="197"/>
    </row>
    <row r="18417" spans="66:69" x14ac:dyDescent="0.2">
      <c r="BN18417" s="192"/>
      <c r="BO18417" s="197"/>
      <c r="BP18417" s="197"/>
      <c r="BQ18417" s="197"/>
    </row>
    <row r="18418" spans="66:69" x14ac:dyDescent="0.2">
      <c r="BN18418" s="192"/>
      <c r="BO18418" s="197"/>
      <c r="BP18418" s="197"/>
      <c r="BQ18418" s="197"/>
    </row>
    <row r="18419" spans="66:69" x14ac:dyDescent="0.2">
      <c r="BN18419" s="192"/>
      <c r="BO18419" s="197"/>
      <c r="BP18419" s="197"/>
      <c r="BQ18419" s="197"/>
    </row>
    <row r="18420" spans="66:69" x14ac:dyDescent="0.2">
      <c r="BN18420" s="192"/>
      <c r="BO18420" s="197"/>
      <c r="BP18420" s="197"/>
      <c r="BQ18420" s="197"/>
    </row>
    <row r="18421" spans="66:69" x14ac:dyDescent="0.2">
      <c r="BN18421" s="192"/>
      <c r="BO18421" s="197"/>
      <c r="BP18421" s="197"/>
      <c r="BQ18421" s="197"/>
    </row>
    <row r="18422" spans="66:69" x14ac:dyDescent="0.2">
      <c r="BN18422" s="192"/>
      <c r="BO18422" s="197"/>
      <c r="BP18422" s="197"/>
      <c r="BQ18422" s="197"/>
    </row>
    <row r="18423" spans="66:69" x14ac:dyDescent="0.2">
      <c r="BN18423" s="192"/>
      <c r="BO18423" s="197"/>
      <c r="BP18423" s="197"/>
      <c r="BQ18423" s="197"/>
    </row>
    <row r="18424" spans="66:69" x14ac:dyDescent="0.2">
      <c r="BN18424" s="192"/>
      <c r="BO18424" s="197"/>
      <c r="BP18424" s="197"/>
      <c r="BQ18424" s="197"/>
    </row>
    <row r="18425" spans="66:69" x14ac:dyDescent="0.2">
      <c r="BN18425" s="192"/>
      <c r="BO18425" s="197"/>
      <c r="BP18425" s="197"/>
      <c r="BQ18425" s="197"/>
    </row>
    <row r="18426" spans="66:69" x14ac:dyDescent="0.2">
      <c r="BN18426" s="192"/>
      <c r="BO18426" s="197"/>
      <c r="BP18426" s="197"/>
      <c r="BQ18426" s="197"/>
    </row>
    <row r="18427" spans="66:69" x14ac:dyDescent="0.2">
      <c r="BN18427" s="192"/>
      <c r="BO18427" s="197"/>
      <c r="BP18427" s="197"/>
      <c r="BQ18427" s="197"/>
    </row>
    <row r="18428" spans="66:69" x14ac:dyDescent="0.2">
      <c r="BN18428" s="192"/>
      <c r="BO18428" s="197"/>
      <c r="BP18428" s="197"/>
      <c r="BQ18428" s="197"/>
    </row>
    <row r="18429" spans="66:69" x14ac:dyDescent="0.2">
      <c r="BN18429" s="192"/>
      <c r="BO18429" s="197"/>
      <c r="BP18429" s="197"/>
      <c r="BQ18429" s="197"/>
    </row>
    <row r="18430" spans="66:69" x14ac:dyDescent="0.2">
      <c r="BN18430" s="192"/>
      <c r="BO18430" s="197"/>
      <c r="BP18430" s="197"/>
      <c r="BQ18430" s="197"/>
    </row>
    <row r="18431" spans="66:69" x14ac:dyDescent="0.2">
      <c r="BN18431" s="192"/>
      <c r="BO18431" s="197"/>
      <c r="BP18431" s="197"/>
      <c r="BQ18431" s="197"/>
    </row>
    <row r="18432" spans="66:69" x14ac:dyDescent="0.2">
      <c r="BN18432" s="192"/>
      <c r="BO18432" s="197"/>
      <c r="BP18432" s="197"/>
      <c r="BQ18432" s="197"/>
    </row>
    <row r="18433" spans="66:69" x14ac:dyDescent="0.2">
      <c r="BN18433" s="192"/>
      <c r="BO18433" s="197"/>
      <c r="BP18433" s="197"/>
      <c r="BQ18433" s="197"/>
    </row>
    <row r="18434" spans="66:69" x14ac:dyDescent="0.2">
      <c r="BN18434" s="192"/>
      <c r="BO18434" s="197"/>
      <c r="BP18434" s="197"/>
      <c r="BQ18434" s="197"/>
    </row>
    <row r="18435" spans="66:69" x14ac:dyDescent="0.2">
      <c r="BN18435" s="192"/>
      <c r="BO18435" s="197"/>
      <c r="BP18435" s="197"/>
      <c r="BQ18435" s="197"/>
    </row>
    <row r="18436" spans="66:69" x14ac:dyDescent="0.2">
      <c r="BN18436" s="192"/>
      <c r="BO18436" s="197"/>
      <c r="BP18436" s="197"/>
      <c r="BQ18436" s="197"/>
    </row>
    <row r="18437" spans="66:69" x14ac:dyDescent="0.2">
      <c r="BN18437" s="192"/>
      <c r="BO18437" s="197"/>
      <c r="BP18437" s="197"/>
      <c r="BQ18437" s="197"/>
    </row>
    <row r="18438" spans="66:69" x14ac:dyDescent="0.2">
      <c r="BN18438" s="192"/>
      <c r="BO18438" s="197"/>
      <c r="BP18438" s="197"/>
      <c r="BQ18438" s="197"/>
    </row>
    <row r="18439" spans="66:69" x14ac:dyDescent="0.2">
      <c r="BN18439" s="192"/>
      <c r="BO18439" s="197"/>
      <c r="BP18439" s="197"/>
      <c r="BQ18439" s="197"/>
    </row>
    <row r="18440" spans="66:69" x14ac:dyDescent="0.2">
      <c r="BN18440" s="192"/>
      <c r="BO18440" s="197"/>
      <c r="BP18440" s="197"/>
      <c r="BQ18440" s="197"/>
    </row>
    <row r="18441" spans="66:69" x14ac:dyDescent="0.2">
      <c r="BN18441" s="192"/>
      <c r="BO18441" s="197"/>
      <c r="BP18441" s="197"/>
      <c r="BQ18441" s="197"/>
    </row>
    <row r="18442" spans="66:69" x14ac:dyDescent="0.2">
      <c r="BN18442" s="192"/>
      <c r="BO18442" s="197"/>
      <c r="BP18442" s="197"/>
      <c r="BQ18442" s="197"/>
    </row>
    <row r="18443" spans="66:69" x14ac:dyDescent="0.2">
      <c r="BN18443" s="192"/>
      <c r="BO18443" s="197"/>
      <c r="BP18443" s="197"/>
      <c r="BQ18443" s="197"/>
    </row>
    <row r="18444" spans="66:69" x14ac:dyDescent="0.2">
      <c r="BN18444" s="192"/>
      <c r="BO18444" s="197"/>
      <c r="BP18444" s="197"/>
      <c r="BQ18444" s="197"/>
    </row>
    <row r="18445" spans="66:69" x14ac:dyDescent="0.2">
      <c r="BN18445" s="192"/>
      <c r="BO18445" s="197"/>
      <c r="BP18445" s="197"/>
      <c r="BQ18445" s="197"/>
    </row>
    <row r="18446" spans="66:69" x14ac:dyDescent="0.2">
      <c r="BN18446" s="192"/>
      <c r="BO18446" s="197"/>
      <c r="BP18446" s="197"/>
      <c r="BQ18446" s="197"/>
    </row>
    <row r="18447" spans="66:69" x14ac:dyDescent="0.2">
      <c r="BN18447" s="192"/>
      <c r="BO18447" s="197"/>
      <c r="BP18447" s="197"/>
      <c r="BQ18447" s="197"/>
    </row>
    <row r="18448" spans="66:69" x14ac:dyDescent="0.2">
      <c r="BN18448" s="192"/>
      <c r="BO18448" s="197"/>
      <c r="BP18448" s="197"/>
      <c r="BQ18448" s="197"/>
    </row>
    <row r="18449" spans="66:69" x14ac:dyDescent="0.2">
      <c r="BN18449" s="192"/>
      <c r="BO18449" s="197"/>
      <c r="BP18449" s="197"/>
      <c r="BQ18449" s="197"/>
    </row>
    <row r="18450" spans="66:69" x14ac:dyDescent="0.2">
      <c r="BN18450" s="192"/>
      <c r="BO18450" s="197"/>
      <c r="BP18450" s="197"/>
      <c r="BQ18450" s="197"/>
    </row>
    <row r="18451" spans="66:69" x14ac:dyDescent="0.2">
      <c r="BN18451" s="192"/>
      <c r="BO18451" s="197"/>
      <c r="BP18451" s="197"/>
      <c r="BQ18451" s="197"/>
    </row>
    <row r="18452" spans="66:69" x14ac:dyDescent="0.2">
      <c r="BN18452" s="192"/>
      <c r="BO18452" s="197"/>
      <c r="BP18452" s="197"/>
      <c r="BQ18452" s="197"/>
    </row>
    <row r="18453" spans="66:69" x14ac:dyDescent="0.2">
      <c r="BN18453" s="192"/>
      <c r="BO18453" s="197"/>
      <c r="BP18453" s="197"/>
      <c r="BQ18453" s="197"/>
    </row>
    <row r="18454" spans="66:69" x14ac:dyDescent="0.2">
      <c r="BN18454" s="192"/>
      <c r="BO18454" s="197"/>
      <c r="BP18454" s="197"/>
      <c r="BQ18454" s="197"/>
    </row>
    <row r="18455" spans="66:69" x14ac:dyDescent="0.2">
      <c r="BN18455" s="192"/>
      <c r="BO18455" s="197"/>
      <c r="BP18455" s="197"/>
      <c r="BQ18455" s="197"/>
    </row>
    <row r="18456" spans="66:69" x14ac:dyDescent="0.2">
      <c r="BN18456" s="192"/>
      <c r="BO18456" s="197"/>
      <c r="BP18456" s="197"/>
      <c r="BQ18456" s="197"/>
    </row>
    <row r="18457" spans="66:69" x14ac:dyDescent="0.2">
      <c r="BN18457" s="192"/>
      <c r="BO18457" s="197"/>
      <c r="BP18457" s="197"/>
      <c r="BQ18457" s="197"/>
    </row>
    <row r="18458" spans="66:69" x14ac:dyDescent="0.2">
      <c r="BN18458" s="192"/>
      <c r="BO18458" s="197"/>
      <c r="BP18458" s="197"/>
      <c r="BQ18458" s="197"/>
    </row>
    <row r="18459" spans="66:69" x14ac:dyDescent="0.2">
      <c r="BN18459" s="192"/>
      <c r="BO18459" s="197"/>
      <c r="BP18459" s="197"/>
      <c r="BQ18459" s="197"/>
    </row>
    <row r="18460" spans="66:69" x14ac:dyDescent="0.2">
      <c r="BN18460" s="192"/>
      <c r="BO18460" s="197"/>
      <c r="BP18460" s="197"/>
      <c r="BQ18460" s="197"/>
    </row>
    <row r="18461" spans="66:69" x14ac:dyDescent="0.2">
      <c r="BN18461" s="192"/>
      <c r="BO18461" s="197"/>
      <c r="BP18461" s="197"/>
      <c r="BQ18461" s="197"/>
    </row>
    <row r="18462" spans="66:69" x14ac:dyDescent="0.2">
      <c r="BN18462" s="192"/>
      <c r="BO18462" s="197"/>
      <c r="BP18462" s="197"/>
      <c r="BQ18462" s="197"/>
    </row>
    <row r="18463" spans="66:69" x14ac:dyDescent="0.2">
      <c r="BN18463" s="192"/>
      <c r="BO18463" s="197"/>
      <c r="BP18463" s="197"/>
      <c r="BQ18463" s="197"/>
    </row>
    <row r="18464" spans="66:69" x14ac:dyDescent="0.2">
      <c r="BN18464" s="192"/>
      <c r="BO18464" s="197"/>
      <c r="BP18464" s="197"/>
      <c r="BQ18464" s="197"/>
    </row>
    <row r="18465" spans="66:69" x14ac:dyDescent="0.2">
      <c r="BN18465" s="192"/>
      <c r="BO18465" s="197"/>
      <c r="BP18465" s="197"/>
      <c r="BQ18465" s="197"/>
    </row>
    <row r="18466" spans="66:69" x14ac:dyDescent="0.2">
      <c r="BN18466" s="192"/>
      <c r="BO18466" s="197"/>
      <c r="BP18466" s="197"/>
      <c r="BQ18466" s="197"/>
    </row>
    <row r="18467" spans="66:69" x14ac:dyDescent="0.2">
      <c r="BN18467" s="192"/>
      <c r="BO18467" s="197"/>
      <c r="BP18467" s="197"/>
      <c r="BQ18467" s="197"/>
    </row>
    <row r="18468" spans="66:69" x14ac:dyDescent="0.2">
      <c r="BN18468" s="192"/>
      <c r="BO18468" s="197"/>
      <c r="BP18468" s="197"/>
      <c r="BQ18468" s="197"/>
    </row>
    <row r="18469" spans="66:69" x14ac:dyDescent="0.2">
      <c r="BN18469" s="192"/>
      <c r="BO18469" s="197"/>
      <c r="BP18469" s="197"/>
      <c r="BQ18469" s="197"/>
    </row>
    <row r="18470" spans="66:69" x14ac:dyDescent="0.2">
      <c r="BN18470" s="192"/>
      <c r="BO18470" s="197"/>
      <c r="BP18470" s="197"/>
      <c r="BQ18470" s="197"/>
    </row>
    <row r="18471" spans="66:69" x14ac:dyDescent="0.2">
      <c r="BN18471" s="192"/>
      <c r="BO18471" s="197"/>
      <c r="BP18471" s="197"/>
      <c r="BQ18471" s="197"/>
    </row>
    <row r="18472" spans="66:69" x14ac:dyDescent="0.2">
      <c r="BN18472" s="192"/>
      <c r="BO18472" s="197"/>
      <c r="BP18472" s="197"/>
      <c r="BQ18472" s="197"/>
    </row>
    <row r="18473" spans="66:69" x14ac:dyDescent="0.2">
      <c r="BN18473" s="192"/>
      <c r="BO18473" s="197"/>
      <c r="BP18473" s="197"/>
      <c r="BQ18473" s="197"/>
    </row>
    <row r="18474" spans="66:69" x14ac:dyDescent="0.2">
      <c r="BN18474" s="192"/>
      <c r="BO18474" s="197"/>
      <c r="BP18474" s="197"/>
      <c r="BQ18474" s="197"/>
    </row>
    <row r="18475" spans="66:69" x14ac:dyDescent="0.2">
      <c r="BN18475" s="192"/>
      <c r="BO18475" s="197"/>
      <c r="BP18475" s="197"/>
      <c r="BQ18475" s="197"/>
    </row>
    <row r="18476" spans="66:69" x14ac:dyDescent="0.2">
      <c r="BN18476" s="192"/>
      <c r="BO18476" s="197"/>
      <c r="BP18476" s="197"/>
      <c r="BQ18476" s="197"/>
    </row>
    <row r="18477" spans="66:69" x14ac:dyDescent="0.2">
      <c r="BN18477" s="192"/>
      <c r="BO18477" s="197"/>
      <c r="BP18477" s="197"/>
      <c r="BQ18477" s="197"/>
    </row>
    <row r="18478" spans="66:69" x14ac:dyDescent="0.2">
      <c r="BN18478" s="192"/>
      <c r="BO18478" s="197"/>
      <c r="BP18478" s="197"/>
      <c r="BQ18478" s="197"/>
    </row>
    <row r="18479" spans="66:69" x14ac:dyDescent="0.2">
      <c r="BN18479" s="192"/>
      <c r="BO18479" s="197"/>
      <c r="BP18479" s="197"/>
      <c r="BQ18479" s="197"/>
    </row>
    <row r="18480" spans="66:69" x14ac:dyDescent="0.2">
      <c r="BN18480" s="192"/>
      <c r="BO18480" s="197"/>
      <c r="BP18480" s="197"/>
      <c r="BQ18480" s="197"/>
    </row>
    <row r="18481" spans="66:69" x14ac:dyDescent="0.2">
      <c r="BN18481" s="192"/>
      <c r="BO18481" s="197"/>
      <c r="BP18481" s="197"/>
      <c r="BQ18481" s="197"/>
    </row>
    <row r="18482" spans="66:69" x14ac:dyDescent="0.2">
      <c r="BN18482" s="192"/>
      <c r="BO18482" s="197"/>
      <c r="BP18482" s="197"/>
      <c r="BQ18482" s="197"/>
    </row>
    <row r="18483" spans="66:69" x14ac:dyDescent="0.2">
      <c r="BN18483" s="192"/>
      <c r="BO18483" s="197"/>
      <c r="BP18483" s="197"/>
      <c r="BQ18483" s="197"/>
    </row>
    <row r="18484" spans="66:69" x14ac:dyDescent="0.2">
      <c r="BN18484" s="192"/>
      <c r="BO18484" s="197"/>
      <c r="BP18484" s="197"/>
      <c r="BQ18484" s="197"/>
    </row>
    <row r="18485" spans="66:69" x14ac:dyDescent="0.2">
      <c r="BN18485" s="192"/>
      <c r="BO18485" s="197"/>
      <c r="BP18485" s="197"/>
      <c r="BQ18485" s="197"/>
    </row>
    <row r="18486" spans="66:69" x14ac:dyDescent="0.2">
      <c r="BN18486" s="192"/>
      <c r="BO18486" s="197"/>
      <c r="BP18486" s="197"/>
      <c r="BQ18486" s="197"/>
    </row>
    <row r="18487" spans="66:69" x14ac:dyDescent="0.2">
      <c r="BN18487" s="192"/>
      <c r="BO18487" s="197"/>
      <c r="BP18487" s="197"/>
      <c r="BQ18487" s="197"/>
    </row>
    <row r="18488" spans="66:69" x14ac:dyDescent="0.2">
      <c r="BN18488" s="192"/>
      <c r="BO18488" s="197"/>
      <c r="BP18488" s="197"/>
      <c r="BQ18488" s="197"/>
    </row>
    <row r="18489" spans="66:69" x14ac:dyDescent="0.2">
      <c r="BN18489" s="192"/>
      <c r="BO18489" s="197"/>
      <c r="BP18489" s="197"/>
      <c r="BQ18489" s="197"/>
    </row>
    <row r="18490" spans="66:69" x14ac:dyDescent="0.2">
      <c r="BN18490" s="192"/>
      <c r="BO18490" s="197"/>
      <c r="BP18490" s="197"/>
      <c r="BQ18490" s="197"/>
    </row>
    <row r="18491" spans="66:69" x14ac:dyDescent="0.2">
      <c r="BN18491" s="192"/>
      <c r="BO18491" s="197"/>
      <c r="BP18491" s="197"/>
      <c r="BQ18491" s="197"/>
    </row>
    <row r="18492" spans="66:69" x14ac:dyDescent="0.2">
      <c r="BN18492" s="192"/>
      <c r="BO18492" s="197"/>
      <c r="BP18492" s="197"/>
      <c r="BQ18492" s="197"/>
    </row>
    <row r="18493" spans="66:69" x14ac:dyDescent="0.2">
      <c r="BN18493" s="192"/>
      <c r="BO18493" s="197"/>
      <c r="BP18493" s="197"/>
      <c r="BQ18493" s="197"/>
    </row>
    <row r="18494" spans="66:69" x14ac:dyDescent="0.2">
      <c r="BN18494" s="192"/>
      <c r="BO18494" s="197"/>
      <c r="BP18494" s="197"/>
      <c r="BQ18494" s="197"/>
    </row>
    <row r="18495" spans="66:69" x14ac:dyDescent="0.2">
      <c r="BN18495" s="192"/>
      <c r="BO18495" s="197"/>
      <c r="BP18495" s="197"/>
      <c r="BQ18495" s="197"/>
    </row>
    <row r="18496" spans="66:69" x14ac:dyDescent="0.2">
      <c r="BN18496" s="192"/>
      <c r="BO18496" s="197"/>
      <c r="BP18496" s="197"/>
      <c r="BQ18496" s="197"/>
    </row>
    <row r="18497" spans="66:69" x14ac:dyDescent="0.2">
      <c r="BN18497" s="192"/>
      <c r="BO18497" s="197"/>
      <c r="BP18497" s="197"/>
      <c r="BQ18497" s="197"/>
    </row>
    <row r="18498" spans="66:69" x14ac:dyDescent="0.2">
      <c r="BN18498" s="192"/>
      <c r="BO18498" s="197"/>
      <c r="BP18498" s="197"/>
      <c r="BQ18498" s="197"/>
    </row>
    <row r="18499" spans="66:69" x14ac:dyDescent="0.2">
      <c r="BN18499" s="192"/>
      <c r="BO18499" s="197"/>
      <c r="BP18499" s="197"/>
      <c r="BQ18499" s="197"/>
    </row>
    <row r="18500" spans="66:69" x14ac:dyDescent="0.2">
      <c r="BN18500" s="192"/>
      <c r="BO18500" s="197"/>
      <c r="BP18500" s="197"/>
      <c r="BQ18500" s="197"/>
    </row>
    <row r="18501" spans="66:69" x14ac:dyDescent="0.2">
      <c r="BN18501" s="192"/>
      <c r="BO18501" s="197"/>
      <c r="BP18501" s="197"/>
      <c r="BQ18501" s="197"/>
    </row>
    <row r="18502" spans="66:69" x14ac:dyDescent="0.2">
      <c r="BN18502" s="192"/>
      <c r="BO18502" s="197"/>
      <c r="BP18502" s="197"/>
      <c r="BQ18502" s="197"/>
    </row>
    <row r="18503" spans="66:69" x14ac:dyDescent="0.2">
      <c r="BN18503" s="192"/>
      <c r="BO18503" s="197"/>
      <c r="BP18503" s="197"/>
      <c r="BQ18503" s="197"/>
    </row>
    <row r="18504" spans="66:69" x14ac:dyDescent="0.2">
      <c r="BN18504" s="192"/>
      <c r="BO18504" s="197"/>
      <c r="BP18504" s="197"/>
      <c r="BQ18504" s="197"/>
    </row>
    <row r="18505" spans="66:69" x14ac:dyDescent="0.2">
      <c r="BN18505" s="192"/>
      <c r="BO18505" s="197"/>
      <c r="BP18505" s="197"/>
      <c r="BQ18505" s="197"/>
    </row>
    <row r="18506" spans="66:69" x14ac:dyDescent="0.2">
      <c r="BN18506" s="192"/>
      <c r="BO18506" s="197"/>
      <c r="BP18506" s="197"/>
      <c r="BQ18506" s="197"/>
    </row>
    <row r="18507" spans="66:69" x14ac:dyDescent="0.2">
      <c r="BN18507" s="192"/>
      <c r="BO18507" s="197"/>
      <c r="BP18507" s="197"/>
      <c r="BQ18507" s="197"/>
    </row>
    <row r="18508" spans="66:69" x14ac:dyDescent="0.2">
      <c r="BN18508" s="192"/>
      <c r="BO18508" s="197"/>
      <c r="BP18508" s="197"/>
      <c r="BQ18508" s="197"/>
    </row>
    <row r="18509" spans="66:69" x14ac:dyDescent="0.2">
      <c r="BN18509" s="192"/>
      <c r="BO18509" s="197"/>
      <c r="BP18509" s="197"/>
      <c r="BQ18509" s="197"/>
    </row>
    <row r="18510" spans="66:69" x14ac:dyDescent="0.2">
      <c r="BN18510" s="192"/>
      <c r="BO18510" s="197"/>
      <c r="BP18510" s="197"/>
      <c r="BQ18510" s="197"/>
    </row>
    <row r="18511" spans="66:69" x14ac:dyDescent="0.2">
      <c r="BN18511" s="192"/>
      <c r="BO18511" s="197"/>
      <c r="BP18511" s="197"/>
      <c r="BQ18511" s="197"/>
    </row>
    <row r="18512" spans="66:69" x14ac:dyDescent="0.2">
      <c r="BN18512" s="192"/>
      <c r="BO18512" s="197"/>
      <c r="BP18512" s="197"/>
      <c r="BQ18512" s="197"/>
    </row>
    <row r="18513" spans="66:69" x14ac:dyDescent="0.2">
      <c r="BN18513" s="192"/>
      <c r="BO18513" s="197"/>
      <c r="BP18513" s="197"/>
      <c r="BQ18513" s="197"/>
    </row>
    <row r="18514" spans="66:69" x14ac:dyDescent="0.2">
      <c r="BN18514" s="192"/>
      <c r="BO18514" s="197"/>
      <c r="BP18514" s="197"/>
      <c r="BQ18514" s="197"/>
    </row>
    <row r="18515" spans="66:69" x14ac:dyDescent="0.2">
      <c r="BN18515" s="192"/>
      <c r="BO18515" s="197"/>
      <c r="BP18515" s="197"/>
      <c r="BQ18515" s="197"/>
    </row>
    <row r="18516" spans="66:69" x14ac:dyDescent="0.2">
      <c r="BN18516" s="192"/>
      <c r="BO18516" s="197"/>
      <c r="BP18516" s="197"/>
      <c r="BQ18516" s="197"/>
    </row>
    <row r="18517" spans="66:69" x14ac:dyDescent="0.2">
      <c r="BN18517" s="192"/>
      <c r="BO18517" s="197"/>
      <c r="BP18517" s="197"/>
      <c r="BQ18517" s="197"/>
    </row>
    <row r="18518" spans="66:69" x14ac:dyDescent="0.2">
      <c r="BN18518" s="192"/>
      <c r="BO18518" s="197"/>
      <c r="BP18518" s="197"/>
      <c r="BQ18518" s="197"/>
    </row>
    <row r="18519" spans="66:69" x14ac:dyDescent="0.2">
      <c r="BN18519" s="192"/>
      <c r="BO18519" s="197"/>
      <c r="BP18519" s="197"/>
      <c r="BQ18519" s="197"/>
    </row>
    <row r="18520" spans="66:69" x14ac:dyDescent="0.2">
      <c r="BN18520" s="192"/>
      <c r="BO18520" s="197"/>
      <c r="BP18520" s="197"/>
      <c r="BQ18520" s="197"/>
    </row>
    <row r="18521" spans="66:69" x14ac:dyDescent="0.2">
      <c r="BN18521" s="192"/>
      <c r="BO18521" s="197"/>
      <c r="BP18521" s="197"/>
      <c r="BQ18521" s="197"/>
    </row>
    <row r="18522" spans="66:69" x14ac:dyDescent="0.2">
      <c r="BN18522" s="192"/>
      <c r="BO18522" s="197"/>
      <c r="BP18522" s="197"/>
      <c r="BQ18522" s="197"/>
    </row>
    <row r="18523" spans="66:69" x14ac:dyDescent="0.2">
      <c r="BN18523" s="192"/>
      <c r="BO18523" s="197"/>
      <c r="BP18523" s="197"/>
      <c r="BQ18523" s="197"/>
    </row>
    <row r="18524" spans="66:69" x14ac:dyDescent="0.2">
      <c r="BN18524" s="192"/>
      <c r="BO18524" s="197"/>
      <c r="BP18524" s="197"/>
      <c r="BQ18524" s="197"/>
    </row>
    <row r="18525" spans="66:69" x14ac:dyDescent="0.2">
      <c r="BN18525" s="192"/>
      <c r="BO18525" s="197"/>
      <c r="BP18525" s="197"/>
      <c r="BQ18525" s="197"/>
    </row>
    <row r="18526" spans="66:69" x14ac:dyDescent="0.2">
      <c r="BN18526" s="192"/>
      <c r="BO18526" s="197"/>
      <c r="BP18526" s="197"/>
      <c r="BQ18526" s="197"/>
    </row>
    <row r="18527" spans="66:69" x14ac:dyDescent="0.2">
      <c r="BN18527" s="192"/>
      <c r="BO18527" s="197"/>
      <c r="BP18527" s="197"/>
      <c r="BQ18527" s="197"/>
    </row>
    <row r="18528" spans="66:69" x14ac:dyDescent="0.2">
      <c r="BN18528" s="192"/>
      <c r="BO18528" s="197"/>
      <c r="BP18528" s="197"/>
      <c r="BQ18528" s="197"/>
    </row>
    <row r="18529" spans="66:69" x14ac:dyDescent="0.2">
      <c r="BN18529" s="192"/>
      <c r="BO18529" s="197"/>
      <c r="BP18529" s="197"/>
      <c r="BQ18529" s="197"/>
    </row>
    <row r="18530" spans="66:69" x14ac:dyDescent="0.2">
      <c r="BN18530" s="192"/>
      <c r="BO18530" s="197"/>
      <c r="BP18530" s="197"/>
      <c r="BQ18530" s="197"/>
    </row>
    <row r="18531" spans="66:69" x14ac:dyDescent="0.2">
      <c r="BN18531" s="192"/>
      <c r="BO18531" s="197"/>
      <c r="BP18531" s="197"/>
      <c r="BQ18531" s="197"/>
    </row>
    <row r="18532" spans="66:69" x14ac:dyDescent="0.2">
      <c r="BN18532" s="192"/>
      <c r="BO18532" s="197"/>
      <c r="BP18532" s="197"/>
      <c r="BQ18532" s="197"/>
    </row>
    <row r="18533" spans="66:69" x14ac:dyDescent="0.2">
      <c r="BN18533" s="192"/>
      <c r="BO18533" s="197"/>
      <c r="BP18533" s="197"/>
      <c r="BQ18533" s="197"/>
    </row>
    <row r="18534" spans="66:69" x14ac:dyDescent="0.2">
      <c r="BN18534" s="192"/>
      <c r="BO18534" s="197"/>
      <c r="BP18534" s="197"/>
      <c r="BQ18534" s="197"/>
    </row>
    <row r="18535" spans="66:69" x14ac:dyDescent="0.2">
      <c r="BN18535" s="192"/>
      <c r="BO18535" s="197"/>
      <c r="BP18535" s="197"/>
      <c r="BQ18535" s="197"/>
    </row>
    <row r="18536" spans="66:69" x14ac:dyDescent="0.2">
      <c r="BN18536" s="192"/>
      <c r="BO18536" s="197"/>
      <c r="BP18536" s="197"/>
      <c r="BQ18536" s="197"/>
    </row>
    <row r="18537" spans="66:69" x14ac:dyDescent="0.2">
      <c r="BN18537" s="192"/>
      <c r="BO18537" s="197"/>
      <c r="BP18537" s="197"/>
      <c r="BQ18537" s="197"/>
    </row>
    <row r="18538" spans="66:69" x14ac:dyDescent="0.2">
      <c r="BN18538" s="192"/>
      <c r="BO18538" s="197"/>
      <c r="BP18538" s="197"/>
      <c r="BQ18538" s="197"/>
    </row>
    <row r="18539" spans="66:69" x14ac:dyDescent="0.2">
      <c r="BN18539" s="192"/>
      <c r="BO18539" s="197"/>
      <c r="BP18539" s="197"/>
      <c r="BQ18539" s="197"/>
    </row>
    <row r="18540" spans="66:69" x14ac:dyDescent="0.2">
      <c r="BN18540" s="192"/>
      <c r="BO18540" s="197"/>
      <c r="BP18540" s="197"/>
      <c r="BQ18540" s="197"/>
    </row>
    <row r="18541" spans="66:69" x14ac:dyDescent="0.2">
      <c r="BN18541" s="192"/>
      <c r="BO18541" s="197"/>
      <c r="BP18541" s="197"/>
      <c r="BQ18541" s="197"/>
    </row>
    <row r="18542" spans="66:69" x14ac:dyDescent="0.2">
      <c r="BN18542" s="192"/>
      <c r="BO18542" s="197"/>
      <c r="BP18542" s="197"/>
      <c r="BQ18542" s="197"/>
    </row>
    <row r="18543" spans="66:69" x14ac:dyDescent="0.2">
      <c r="BN18543" s="192"/>
      <c r="BO18543" s="197"/>
      <c r="BP18543" s="197"/>
      <c r="BQ18543" s="197"/>
    </row>
    <row r="18544" spans="66:69" x14ac:dyDescent="0.2">
      <c r="BN18544" s="192"/>
      <c r="BO18544" s="197"/>
      <c r="BP18544" s="197"/>
      <c r="BQ18544" s="197"/>
    </row>
    <row r="18545" spans="66:69" x14ac:dyDescent="0.2">
      <c r="BN18545" s="192"/>
      <c r="BO18545" s="197"/>
      <c r="BP18545" s="197"/>
      <c r="BQ18545" s="197"/>
    </row>
    <row r="18546" spans="66:69" x14ac:dyDescent="0.2">
      <c r="BN18546" s="192"/>
      <c r="BO18546" s="197"/>
      <c r="BP18546" s="197"/>
      <c r="BQ18546" s="197"/>
    </row>
    <row r="18547" spans="66:69" x14ac:dyDescent="0.2">
      <c r="BN18547" s="192"/>
      <c r="BO18547" s="197"/>
      <c r="BP18547" s="197"/>
      <c r="BQ18547" s="197"/>
    </row>
    <row r="18548" spans="66:69" x14ac:dyDescent="0.2">
      <c r="BN18548" s="192"/>
      <c r="BO18548" s="197"/>
      <c r="BP18548" s="197"/>
      <c r="BQ18548" s="197"/>
    </row>
    <row r="18549" spans="66:69" x14ac:dyDescent="0.2">
      <c r="BN18549" s="192"/>
      <c r="BO18549" s="197"/>
      <c r="BP18549" s="197"/>
      <c r="BQ18549" s="197"/>
    </row>
    <row r="18550" spans="66:69" x14ac:dyDescent="0.2">
      <c r="BN18550" s="192"/>
      <c r="BO18550" s="197"/>
      <c r="BP18550" s="197"/>
      <c r="BQ18550" s="197"/>
    </row>
    <row r="18551" spans="66:69" x14ac:dyDescent="0.2">
      <c r="BN18551" s="192"/>
      <c r="BO18551" s="197"/>
      <c r="BP18551" s="197"/>
      <c r="BQ18551" s="197"/>
    </row>
    <row r="18552" spans="66:69" x14ac:dyDescent="0.2">
      <c r="BN18552" s="192"/>
      <c r="BO18552" s="197"/>
      <c r="BP18552" s="197"/>
      <c r="BQ18552" s="197"/>
    </row>
    <row r="18553" spans="66:69" x14ac:dyDescent="0.2">
      <c r="BN18553" s="192"/>
      <c r="BO18553" s="197"/>
      <c r="BP18553" s="197"/>
      <c r="BQ18553" s="197"/>
    </row>
    <row r="18554" spans="66:69" x14ac:dyDescent="0.2">
      <c r="BN18554" s="192"/>
      <c r="BO18554" s="197"/>
      <c r="BP18554" s="197"/>
      <c r="BQ18554" s="197"/>
    </row>
    <row r="18555" spans="66:69" x14ac:dyDescent="0.2">
      <c r="BN18555" s="192"/>
      <c r="BO18555" s="197"/>
      <c r="BP18555" s="197"/>
      <c r="BQ18555" s="197"/>
    </row>
    <row r="18556" spans="66:69" x14ac:dyDescent="0.2">
      <c r="BN18556" s="192"/>
      <c r="BO18556" s="197"/>
      <c r="BP18556" s="197"/>
      <c r="BQ18556" s="197"/>
    </row>
    <row r="18557" spans="66:69" x14ac:dyDescent="0.2">
      <c r="BN18557" s="192"/>
      <c r="BO18557" s="197"/>
      <c r="BP18557" s="197"/>
      <c r="BQ18557" s="197"/>
    </row>
    <row r="18558" spans="66:69" x14ac:dyDescent="0.2">
      <c r="BN18558" s="192"/>
      <c r="BO18558" s="197"/>
      <c r="BP18558" s="197"/>
      <c r="BQ18558" s="197"/>
    </row>
    <row r="18559" spans="66:69" x14ac:dyDescent="0.2">
      <c r="BN18559" s="192"/>
      <c r="BO18559" s="197"/>
      <c r="BP18559" s="197"/>
      <c r="BQ18559" s="197"/>
    </row>
    <row r="18560" spans="66:69" x14ac:dyDescent="0.2">
      <c r="BN18560" s="192"/>
      <c r="BO18560" s="197"/>
      <c r="BP18560" s="197"/>
      <c r="BQ18560" s="197"/>
    </row>
    <row r="18561" spans="66:69" x14ac:dyDescent="0.2">
      <c r="BN18561" s="192"/>
      <c r="BO18561" s="197"/>
      <c r="BP18561" s="197"/>
      <c r="BQ18561" s="197"/>
    </row>
    <row r="18562" spans="66:69" x14ac:dyDescent="0.2">
      <c r="BN18562" s="192"/>
      <c r="BO18562" s="197"/>
      <c r="BP18562" s="197"/>
      <c r="BQ18562" s="197"/>
    </row>
    <row r="18563" spans="66:69" x14ac:dyDescent="0.2">
      <c r="BN18563" s="192"/>
      <c r="BO18563" s="197"/>
      <c r="BP18563" s="197"/>
      <c r="BQ18563" s="197"/>
    </row>
    <row r="18564" spans="66:69" x14ac:dyDescent="0.2">
      <c r="BN18564" s="192"/>
      <c r="BO18564" s="197"/>
      <c r="BP18564" s="197"/>
      <c r="BQ18564" s="197"/>
    </row>
    <row r="18565" spans="66:69" x14ac:dyDescent="0.2">
      <c r="BN18565" s="192"/>
      <c r="BO18565" s="197"/>
      <c r="BP18565" s="197"/>
      <c r="BQ18565" s="197"/>
    </row>
    <row r="18566" spans="66:69" x14ac:dyDescent="0.2">
      <c r="BN18566" s="192"/>
      <c r="BO18566" s="197"/>
      <c r="BP18566" s="197"/>
      <c r="BQ18566" s="197"/>
    </row>
    <row r="18567" spans="66:69" x14ac:dyDescent="0.2">
      <c r="BN18567" s="192"/>
      <c r="BO18567" s="197"/>
      <c r="BP18567" s="197"/>
      <c r="BQ18567" s="197"/>
    </row>
    <row r="18568" spans="66:69" x14ac:dyDescent="0.2">
      <c r="BN18568" s="192"/>
      <c r="BO18568" s="197"/>
      <c r="BP18568" s="197"/>
      <c r="BQ18568" s="197"/>
    </row>
    <row r="18569" spans="66:69" x14ac:dyDescent="0.2">
      <c r="BN18569" s="192"/>
      <c r="BO18569" s="197"/>
      <c r="BP18569" s="197"/>
      <c r="BQ18569" s="197"/>
    </row>
    <row r="18570" spans="66:69" x14ac:dyDescent="0.2">
      <c r="BN18570" s="192"/>
      <c r="BO18570" s="197"/>
      <c r="BP18570" s="197"/>
      <c r="BQ18570" s="197"/>
    </row>
    <row r="18571" spans="66:69" x14ac:dyDescent="0.2">
      <c r="BN18571" s="192"/>
      <c r="BO18571" s="197"/>
      <c r="BP18571" s="197"/>
      <c r="BQ18571" s="197"/>
    </row>
    <row r="18572" spans="66:69" x14ac:dyDescent="0.2">
      <c r="BN18572" s="192"/>
      <c r="BO18572" s="197"/>
      <c r="BP18572" s="197"/>
      <c r="BQ18572" s="197"/>
    </row>
    <row r="18573" spans="66:69" x14ac:dyDescent="0.2">
      <c r="BN18573" s="192"/>
      <c r="BO18573" s="197"/>
      <c r="BP18573" s="197"/>
      <c r="BQ18573" s="197"/>
    </row>
    <row r="18574" spans="66:69" x14ac:dyDescent="0.2">
      <c r="BN18574" s="192"/>
      <c r="BO18574" s="197"/>
      <c r="BP18574" s="197"/>
      <c r="BQ18574" s="197"/>
    </row>
    <row r="18575" spans="66:69" x14ac:dyDescent="0.2">
      <c r="BN18575" s="192"/>
      <c r="BO18575" s="197"/>
      <c r="BP18575" s="197"/>
      <c r="BQ18575" s="197"/>
    </row>
    <row r="18576" spans="66:69" x14ac:dyDescent="0.2">
      <c r="BN18576" s="192"/>
      <c r="BO18576" s="197"/>
      <c r="BP18576" s="197"/>
      <c r="BQ18576" s="197"/>
    </row>
    <row r="18577" spans="66:69" x14ac:dyDescent="0.2">
      <c r="BN18577" s="192"/>
      <c r="BO18577" s="197"/>
      <c r="BP18577" s="197"/>
      <c r="BQ18577" s="197"/>
    </row>
    <row r="18578" spans="66:69" x14ac:dyDescent="0.2">
      <c r="BN18578" s="192"/>
      <c r="BO18578" s="197"/>
      <c r="BP18578" s="197"/>
      <c r="BQ18578" s="197"/>
    </row>
    <row r="18579" spans="66:69" x14ac:dyDescent="0.2">
      <c r="BN18579" s="192"/>
      <c r="BO18579" s="197"/>
      <c r="BP18579" s="197"/>
      <c r="BQ18579" s="197"/>
    </row>
    <row r="18580" spans="66:69" x14ac:dyDescent="0.2">
      <c r="BN18580" s="192"/>
      <c r="BO18580" s="197"/>
      <c r="BP18580" s="197"/>
      <c r="BQ18580" s="197"/>
    </row>
    <row r="18581" spans="66:69" x14ac:dyDescent="0.2">
      <c r="BN18581" s="192"/>
      <c r="BO18581" s="197"/>
      <c r="BP18581" s="197"/>
      <c r="BQ18581" s="197"/>
    </row>
    <row r="18582" spans="66:69" x14ac:dyDescent="0.2">
      <c r="BN18582" s="192"/>
      <c r="BO18582" s="197"/>
      <c r="BP18582" s="197"/>
      <c r="BQ18582" s="197"/>
    </row>
    <row r="18583" spans="66:69" x14ac:dyDescent="0.2">
      <c r="BN18583" s="192"/>
      <c r="BO18583" s="197"/>
      <c r="BP18583" s="197"/>
      <c r="BQ18583" s="197"/>
    </row>
    <row r="18584" spans="66:69" x14ac:dyDescent="0.2">
      <c r="BN18584" s="192"/>
      <c r="BO18584" s="197"/>
      <c r="BP18584" s="197"/>
      <c r="BQ18584" s="197"/>
    </row>
    <row r="18585" spans="66:69" x14ac:dyDescent="0.2">
      <c r="BN18585" s="192"/>
      <c r="BO18585" s="197"/>
      <c r="BP18585" s="197"/>
      <c r="BQ18585" s="197"/>
    </row>
    <row r="18586" spans="66:69" x14ac:dyDescent="0.2">
      <c r="BN18586" s="192"/>
      <c r="BO18586" s="197"/>
      <c r="BP18586" s="197"/>
      <c r="BQ18586" s="197"/>
    </row>
    <row r="18587" spans="66:69" x14ac:dyDescent="0.2">
      <c r="BN18587" s="192"/>
      <c r="BO18587" s="197"/>
      <c r="BP18587" s="197"/>
      <c r="BQ18587" s="197"/>
    </row>
    <row r="18588" spans="66:69" x14ac:dyDescent="0.2">
      <c r="BN18588" s="192"/>
      <c r="BO18588" s="197"/>
      <c r="BP18588" s="197"/>
      <c r="BQ18588" s="197"/>
    </row>
    <row r="18589" spans="66:69" x14ac:dyDescent="0.2">
      <c r="BN18589" s="192"/>
      <c r="BO18589" s="197"/>
      <c r="BP18589" s="197"/>
      <c r="BQ18589" s="197"/>
    </row>
    <row r="18590" spans="66:69" x14ac:dyDescent="0.2">
      <c r="BN18590" s="192"/>
      <c r="BO18590" s="197"/>
      <c r="BP18590" s="197"/>
      <c r="BQ18590" s="197"/>
    </row>
    <row r="18591" spans="66:69" x14ac:dyDescent="0.2">
      <c r="BN18591" s="192"/>
      <c r="BO18591" s="197"/>
      <c r="BP18591" s="197"/>
      <c r="BQ18591" s="197"/>
    </row>
    <row r="18592" spans="66:69" x14ac:dyDescent="0.2">
      <c r="BN18592" s="192"/>
      <c r="BO18592" s="197"/>
      <c r="BP18592" s="197"/>
      <c r="BQ18592" s="197"/>
    </row>
    <row r="18593" spans="66:69" x14ac:dyDescent="0.2">
      <c r="BN18593" s="192"/>
      <c r="BO18593" s="197"/>
      <c r="BP18593" s="197"/>
      <c r="BQ18593" s="197"/>
    </row>
    <row r="18594" spans="66:69" x14ac:dyDescent="0.2">
      <c r="BN18594" s="192"/>
      <c r="BO18594" s="197"/>
      <c r="BP18594" s="197"/>
      <c r="BQ18594" s="197"/>
    </row>
    <row r="18595" spans="66:69" x14ac:dyDescent="0.2">
      <c r="BN18595" s="192"/>
      <c r="BO18595" s="197"/>
      <c r="BP18595" s="197"/>
      <c r="BQ18595" s="197"/>
    </row>
    <row r="18596" spans="66:69" x14ac:dyDescent="0.2">
      <c r="BN18596" s="192"/>
      <c r="BO18596" s="197"/>
      <c r="BP18596" s="197"/>
      <c r="BQ18596" s="197"/>
    </row>
    <row r="18597" spans="66:69" x14ac:dyDescent="0.2">
      <c r="BN18597" s="192"/>
      <c r="BO18597" s="197"/>
      <c r="BP18597" s="197"/>
      <c r="BQ18597" s="197"/>
    </row>
    <row r="18598" spans="66:69" x14ac:dyDescent="0.2">
      <c r="BN18598" s="192"/>
      <c r="BO18598" s="197"/>
      <c r="BP18598" s="197"/>
      <c r="BQ18598" s="197"/>
    </row>
    <row r="18599" spans="66:69" x14ac:dyDescent="0.2">
      <c r="BN18599" s="192"/>
      <c r="BO18599" s="197"/>
      <c r="BP18599" s="197"/>
      <c r="BQ18599" s="197"/>
    </row>
    <row r="18600" spans="66:69" x14ac:dyDescent="0.2">
      <c r="BN18600" s="192"/>
      <c r="BO18600" s="197"/>
      <c r="BP18600" s="197"/>
      <c r="BQ18600" s="197"/>
    </row>
    <row r="18601" spans="66:69" x14ac:dyDescent="0.2">
      <c r="BN18601" s="192"/>
      <c r="BO18601" s="197"/>
      <c r="BP18601" s="197"/>
      <c r="BQ18601" s="197"/>
    </row>
    <row r="18602" spans="66:69" x14ac:dyDescent="0.2">
      <c r="BN18602" s="192"/>
      <c r="BO18602" s="197"/>
      <c r="BP18602" s="197"/>
      <c r="BQ18602" s="197"/>
    </row>
    <row r="18603" spans="66:69" x14ac:dyDescent="0.2">
      <c r="BN18603" s="192"/>
      <c r="BO18603" s="197"/>
      <c r="BP18603" s="197"/>
      <c r="BQ18603" s="197"/>
    </row>
    <row r="18604" spans="66:69" x14ac:dyDescent="0.2">
      <c r="BN18604" s="192"/>
      <c r="BO18604" s="197"/>
      <c r="BP18604" s="197"/>
      <c r="BQ18604" s="197"/>
    </row>
    <row r="18605" spans="66:69" x14ac:dyDescent="0.2">
      <c r="BN18605" s="192"/>
      <c r="BO18605" s="197"/>
      <c r="BP18605" s="197"/>
      <c r="BQ18605" s="197"/>
    </row>
    <row r="18606" spans="66:69" x14ac:dyDescent="0.2">
      <c r="BN18606" s="192"/>
      <c r="BO18606" s="197"/>
      <c r="BP18606" s="197"/>
      <c r="BQ18606" s="197"/>
    </row>
    <row r="18607" spans="66:69" x14ac:dyDescent="0.2">
      <c r="BN18607" s="192"/>
      <c r="BO18607" s="197"/>
      <c r="BP18607" s="197"/>
      <c r="BQ18607" s="197"/>
    </row>
    <row r="18608" spans="66:69" x14ac:dyDescent="0.2">
      <c r="BN18608" s="192"/>
      <c r="BO18608" s="197"/>
      <c r="BP18608" s="197"/>
      <c r="BQ18608" s="197"/>
    </row>
    <row r="18609" spans="66:69" x14ac:dyDescent="0.2">
      <c r="BN18609" s="192"/>
      <c r="BO18609" s="197"/>
      <c r="BP18609" s="197"/>
      <c r="BQ18609" s="197"/>
    </row>
    <row r="18610" spans="66:69" x14ac:dyDescent="0.2">
      <c r="BN18610" s="192"/>
      <c r="BO18610" s="197"/>
      <c r="BP18610" s="197"/>
      <c r="BQ18610" s="197"/>
    </row>
    <row r="18611" spans="66:69" x14ac:dyDescent="0.2">
      <c r="BN18611" s="192"/>
      <c r="BO18611" s="197"/>
      <c r="BP18611" s="197"/>
      <c r="BQ18611" s="197"/>
    </row>
    <row r="18612" spans="66:69" x14ac:dyDescent="0.2">
      <c r="BN18612" s="192"/>
      <c r="BO18612" s="197"/>
      <c r="BP18612" s="197"/>
      <c r="BQ18612" s="197"/>
    </row>
    <row r="18613" spans="66:69" x14ac:dyDescent="0.2">
      <c r="BN18613" s="192"/>
      <c r="BO18613" s="197"/>
      <c r="BP18613" s="197"/>
      <c r="BQ18613" s="197"/>
    </row>
    <row r="18614" spans="66:69" x14ac:dyDescent="0.2">
      <c r="BN18614" s="192"/>
      <c r="BO18614" s="197"/>
      <c r="BP18614" s="197"/>
      <c r="BQ18614" s="197"/>
    </row>
    <row r="18615" spans="66:69" x14ac:dyDescent="0.2">
      <c r="BN18615" s="192"/>
      <c r="BO18615" s="197"/>
      <c r="BP18615" s="197"/>
      <c r="BQ18615" s="197"/>
    </row>
    <row r="18616" spans="66:69" x14ac:dyDescent="0.2">
      <c r="BN18616" s="192"/>
      <c r="BO18616" s="197"/>
      <c r="BP18616" s="197"/>
      <c r="BQ18616" s="197"/>
    </row>
    <row r="18617" spans="66:69" x14ac:dyDescent="0.2">
      <c r="BN18617" s="192"/>
      <c r="BO18617" s="197"/>
      <c r="BP18617" s="197"/>
      <c r="BQ18617" s="197"/>
    </row>
    <row r="18618" spans="66:69" x14ac:dyDescent="0.2">
      <c r="BN18618" s="192"/>
      <c r="BO18618" s="197"/>
      <c r="BP18618" s="197"/>
      <c r="BQ18618" s="197"/>
    </row>
    <row r="18619" spans="66:69" x14ac:dyDescent="0.2">
      <c r="BN18619" s="192"/>
      <c r="BO18619" s="197"/>
      <c r="BP18619" s="197"/>
      <c r="BQ18619" s="197"/>
    </row>
    <row r="18620" spans="66:69" x14ac:dyDescent="0.2">
      <c r="BN18620" s="192"/>
      <c r="BO18620" s="197"/>
      <c r="BP18620" s="197"/>
      <c r="BQ18620" s="197"/>
    </row>
    <row r="18621" spans="66:69" x14ac:dyDescent="0.2">
      <c r="BN18621" s="192"/>
      <c r="BO18621" s="197"/>
      <c r="BP18621" s="197"/>
      <c r="BQ18621" s="197"/>
    </row>
    <row r="18622" spans="66:69" x14ac:dyDescent="0.2">
      <c r="BN18622" s="192"/>
      <c r="BO18622" s="197"/>
      <c r="BP18622" s="197"/>
      <c r="BQ18622" s="197"/>
    </row>
    <row r="18623" spans="66:69" x14ac:dyDescent="0.2">
      <c r="BN18623" s="192"/>
      <c r="BO18623" s="197"/>
      <c r="BP18623" s="197"/>
      <c r="BQ18623" s="197"/>
    </row>
    <row r="18624" spans="66:69" x14ac:dyDescent="0.2">
      <c r="BN18624" s="192"/>
      <c r="BO18624" s="197"/>
      <c r="BP18624" s="197"/>
      <c r="BQ18624" s="197"/>
    </row>
    <row r="18625" spans="66:69" x14ac:dyDescent="0.2">
      <c r="BN18625" s="192"/>
      <c r="BO18625" s="197"/>
      <c r="BP18625" s="197"/>
      <c r="BQ18625" s="197"/>
    </row>
    <row r="18626" spans="66:69" x14ac:dyDescent="0.2">
      <c r="BN18626" s="192"/>
      <c r="BO18626" s="197"/>
      <c r="BP18626" s="197"/>
      <c r="BQ18626" s="197"/>
    </row>
    <row r="18627" spans="66:69" x14ac:dyDescent="0.2">
      <c r="BN18627" s="192"/>
      <c r="BO18627" s="197"/>
      <c r="BP18627" s="197"/>
      <c r="BQ18627" s="197"/>
    </row>
    <row r="18628" spans="66:69" x14ac:dyDescent="0.2">
      <c r="BN18628" s="192"/>
      <c r="BO18628" s="197"/>
      <c r="BP18628" s="197"/>
      <c r="BQ18628" s="197"/>
    </row>
    <row r="18629" spans="66:69" x14ac:dyDescent="0.2">
      <c r="BN18629" s="192"/>
      <c r="BO18629" s="197"/>
      <c r="BP18629" s="197"/>
      <c r="BQ18629" s="197"/>
    </row>
    <row r="18630" spans="66:69" x14ac:dyDescent="0.2">
      <c r="BN18630" s="192"/>
      <c r="BO18630" s="197"/>
      <c r="BP18630" s="197"/>
      <c r="BQ18630" s="197"/>
    </row>
    <row r="18631" spans="66:69" x14ac:dyDescent="0.2">
      <c r="BN18631" s="192"/>
      <c r="BO18631" s="197"/>
      <c r="BP18631" s="197"/>
      <c r="BQ18631" s="197"/>
    </row>
    <row r="18632" spans="66:69" x14ac:dyDescent="0.2">
      <c r="BN18632" s="192"/>
      <c r="BO18632" s="197"/>
      <c r="BP18632" s="197"/>
      <c r="BQ18632" s="197"/>
    </row>
    <row r="18633" spans="66:69" x14ac:dyDescent="0.2">
      <c r="BN18633" s="192"/>
      <c r="BO18633" s="197"/>
      <c r="BP18633" s="197"/>
      <c r="BQ18633" s="197"/>
    </row>
    <row r="18634" spans="66:69" x14ac:dyDescent="0.2">
      <c r="BN18634" s="192"/>
      <c r="BO18634" s="197"/>
      <c r="BP18634" s="197"/>
      <c r="BQ18634" s="197"/>
    </row>
    <row r="18635" spans="66:69" x14ac:dyDescent="0.2">
      <c r="BN18635" s="192"/>
      <c r="BO18635" s="197"/>
      <c r="BP18635" s="197"/>
      <c r="BQ18635" s="197"/>
    </row>
    <row r="18636" spans="66:69" x14ac:dyDescent="0.2">
      <c r="BN18636" s="192"/>
      <c r="BO18636" s="197"/>
      <c r="BP18636" s="197"/>
      <c r="BQ18636" s="197"/>
    </row>
    <row r="18637" spans="66:69" x14ac:dyDescent="0.2">
      <c r="BN18637" s="192"/>
      <c r="BO18637" s="197"/>
      <c r="BP18637" s="197"/>
      <c r="BQ18637" s="197"/>
    </row>
    <row r="18638" spans="66:69" x14ac:dyDescent="0.2">
      <c r="BN18638" s="192"/>
      <c r="BO18638" s="197"/>
      <c r="BP18638" s="197"/>
      <c r="BQ18638" s="197"/>
    </row>
    <row r="18639" spans="66:69" x14ac:dyDescent="0.2">
      <c r="BN18639" s="192"/>
      <c r="BO18639" s="197"/>
      <c r="BP18639" s="197"/>
      <c r="BQ18639" s="197"/>
    </row>
    <row r="18640" spans="66:69" x14ac:dyDescent="0.2">
      <c r="BN18640" s="192"/>
      <c r="BO18640" s="197"/>
      <c r="BP18640" s="197"/>
      <c r="BQ18640" s="197"/>
    </row>
    <row r="18641" spans="66:69" x14ac:dyDescent="0.2">
      <c r="BN18641" s="192"/>
      <c r="BO18641" s="197"/>
      <c r="BP18641" s="197"/>
      <c r="BQ18641" s="197"/>
    </row>
    <row r="18642" spans="66:69" x14ac:dyDescent="0.2">
      <c r="BN18642" s="192"/>
      <c r="BO18642" s="197"/>
      <c r="BP18642" s="197"/>
      <c r="BQ18642" s="197"/>
    </row>
    <row r="18643" spans="66:69" x14ac:dyDescent="0.2">
      <c r="BN18643" s="192"/>
      <c r="BO18643" s="197"/>
      <c r="BP18643" s="197"/>
      <c r="BQ18643" s="197"/>
    </row>
    <row r="18644" spans="66:69" x14ac:dyDescent="0.2">
      <c r="BN18644" s="192"/>
      <c r="BO18644" s="197"/>
      <c r="BP18644" s="197"/>
      <c r="BQ18644" s="197"/>
    </row>
    <row r="18645" spans="66:69" x14ac:dyDescent="0.2">
      <c r="BN18645" s="192"/>
      <c r="BO18645" s="197"/>
      <c r="BP18645" s="197"/>
      <c r="BQ18645" s="197"/>
    </row>
    <row r="18646" spans="66:69" x14ac:dyDescent="0.2">
      <c r="BN18646" s="192"/>
      <c r="BO18646" s="197"/>
      <c r="BP18646" s="197"/>
      <c r="BQ18646" s="197"/>
    </row>
    <row r="18647" spans="66:69" x14ac:dyDescent="0.2">
      <c r="BN18647" s="192"/>
      <c r="BO18647" s="197"/>
      <c r="BP18647" s="197"/>
      <c r="BQ18647" s="197"/>
    </row>
    <row r="18648" spans="66:69" x14ac:dyDescent="0.2">
      <c r="BN18648" s="192"/>
      <c r="BO18648" s="197"/>
      <c r="BP18648" s="197"/>
      <c r="BQ18648" s="197"/>
    </row>
    <row r="18649" spans="66:69" x14ac:dyDescent="0.2">
      <c r="BN18649" s="192"/>
      <c r="BO18649" s="197"/>
      <c r="BP18649" s="197"/>
      <c r="BQ18649" s="197"/>
    </row>
    <row r="18650" spans="66:69" x14ac:dyDescent="0.2">
      <c r="BN18650" s="192"/>
      <c r="BO18650" s="197"/>
      <c r="BP18650" s="197"/>
      <c r="BQ18650" s="197"/>
    </row>
    <row r="18651" spans="66:69" x14ac:dyDescent="0.2">
      <c r="BN18651" s="192"/>
      <c r="BO18651" s="197"/>
      <c r="BP18651" s="197"/>
      <c r="BQ18651" s="197"/>
    </row>
    <row r="18652" spans="66:69" x14ac:dyDescent="0.2">
      <c r="BN18652" s="192"/>
      <c r="BO18652" s="197"/>
      <c r="BP18652" s="197"/>
      <c r="BQ18652" s="197"/>
    </row>
    <row r="18653" spans="66:69" x14ac:dyDescent="0.2">
      <c r="BN18653" s="192"/>
      <c r="BO18653" s="197"/>
      <c r="BP18653" s="197"/>
      <c r="BQ18653" s="197"/>
    </row>
    <row r="18654" spans="66:69" x14ac:dyDescent="0.2">
      <c r="BN18654" s="192"/>
      <c r="BO18654" s="197"/>
      <c r="BP18654" s="197"/>
      <c r="BQ18654" s="197"/>
    </row>
    <row r="18655" spans="66:69" x14ac:dyDescent="0.2">
      <c r="BN18655" s="192"/>
      <c r="BO18655" s="197"/>
      <c r="BP18655" s="197"/>
      <c r="BQ18655" s="197"/>
    </row>
    <row r="18656" spans="66:69" x14ac:dyDescent="0.2">
      <c r="BN18656" s="192"/>
      <c r="BO18656" s="197"/>
      <c r="BP18656" s="197"/>
      <c r="BQ18656" s="197"/>
    </row>
    <row r="18657" spans="66:69" x14ac:dyDescent="0.2">
      <c r="BN18657" s="192"/>
      <c r="BO18657" s="197"/>
      <c r="BP18657" s="197"/>
      <c r="BQ18657" s="197"/>
    </row>
    <row r="18658" spans="66:69" x14ac:dyDescent="0.2">
      <c r="BN18658" s="192"/>
      <c r="BO18658" s="197"/>
      <c r="BP18658" s="197"/>
      <c r="BQ18658" s="197"/>
    </row>
    <row r="18659" spans="66:69" x14ac:dyDescent="0.2">
      <c r="BN18659" s="192"/>
      <c r="BO18659" s="197"/>
      <c r="BP18659" s="197"/>
      <c r="BQ18659" s="197"/>
    </row>
    <row r="18660" spans="66:69" x14ac:dyDescent="0.2">
      <c r="BN18660" s="192"/>
      <c r="BO18660" s="197"/>
      <c r="BP18660" s="197"/>
      <c r="BQ18660" s="197"/>
    </row>
    <row r="18661" spans="66:69" x14ac:dyDescent="0.2">
      <c r="BN18661" s="192"/>
      <c r="BO18661" s="197"/>
      <c r="BP18661" s="197"/>
      <c r="BQ18661" s="197"/>
    </row>
    <row r="18662" spans="66:69" x14ac:dyDescent="0.2">
      <c r="BN18662" s="192"/>
      <c r="BO18662" s="197"/>
      <c r="BP18662" s="197"/>
      <c r="BQ18662" s="197"/>
    </row>
    <row r="18663" spans="66:69" x14ac:dyDescent="0.2">
      <c r="BN18663" s="192"/>
      <c r="BO18663" s="197"/>
      <c r="BP18663" s="197"/>
      <c r="BQ18663" s="197"/>
    </row>
    <row r="18664" spans="66:69" x14ac:dyDescent="0.2">
      <c r="BN18664" s="192"/>
      <c r="BO18664" s="197"/>
      <c r="BP18664" s="197"/>
      <c r="BQ18664" s="197"/>
    </row>
    <row r="18665" spans="66:69" x14ac:dyDescent="0.2">
      <c r="BN18665" s="192"/>
      <c r="BO18665" s="197"/>
      <c r="BP18665" s="197"/>
      <c r="BQ18665" s="197"/>
    </row>
    <row r="18666" spans="66:69" x14ac:dyDescent="0.2">
      <c r="BN18666" s="192"/>
      <c r="BO18666" s="197"/>
      <c r="BP18666" s="197"/>
      <c r="BQ18666" s="197"/>
    </row>
    <row r="18667" spans="66:69" x14ac:dyDescent="0.2">
      <c r="BN18667" s="192"/>
      <c r="BO18667" s="197"/>
      <c r="BP18667" s="197"/>
      <c r="BQ18667" s="197"/>
    </row>
    <row r="18668" spans="66:69" x14ac:dyDescent="0.2">
      <c r="BN18668" s="192"/>
      <c r="BO18668" s="197"/>
      <c r="BP18668" s="197"/>
      <c r="BQ18668" s="197"/>
    </row>
    <row r="18669" spans="66:69" x14ac:dyDescent="0.2">
      <c r="BN18669" s="192"/>
      <c r="BO18669" s="197"/>
      <c r="BP18669" s="197"/>
      <c r="BQ18669" s="197"/>
    </row>
    <row r="18670" spans="66:69" x14ac:dyDescent="0.2">
      <c r="BN18670" s="192"/>
      <c r="BO18670" s="197"/>
      <c r="BP18670" s="197"/>
      <c r="BQ18670" s="197"/>
    </row>
    <row r="18671" spans="66:69" x14ac:dyDescent="0.2">
      <c r="BN18671" s="192"/>
      <c r="BO18671" s="197"/>
      <c r="BP18671" s="197"/>
      <c r="BQ18671" s="197"/>
    </row>
    <row r="18672" spans="66:69" x14ac:dyDescent="0.2">
      <c r="BN18672" s="192"/>
      <c r="BO18672" s="197"/>
      <c r="BP18672" s="197"/>
      <c r="BQ18672" s="197"/>
    </row>
    <row r="18673" spans="66:69" x14ac:dyDescent="0.2">
      <c r="BN18673" s="192"/>
      <c r="BO18673" s="197"/>
      <c r="BP18673" s="197"/>
      <c r="BQ18673" s="197"/>
    </row>
    <row r="18674" spans="66:69" x14ac:dyDescent="0.2">
      <c r="BN18674" s="192"/>
      <c r="BO18674" s="197"/>
      <c r="BP18674" s="197"/>
      <c r="BQ18674" s="197"/>
    </row>
    <row r="18675" spans="66:69" x14ac:dyDescent="0.2">
      <c r="BN18675" s="192"/>
      <c r="BO18675" s="197"/>
      <c r="BP18675" s="197"/>
      <c r="BQ18675" s="197"/>
    </row>
    <row r="18676" spans="66:69" x14ac:dyDescent="0.2">
      <c r="BN18676" s="192"/>
      <c r="BO18676" s="197"/>
      <c r="BP18676" s="197"/>
      <c r="BQ18676" s="197"/>
    </row>
    <row r="18677" spans="66:69" x14ac:dyDescent="0.2">
      <c r="BN18677" s="192"/>
      <c r="BO18677" s="197"/>
      <c r="BP18677" s="197"/>
      <c r="BQ18677" s="197"/>
    </row>
    <row r="18678" spans="66:69" x14ac:dyDescent="0.2">
      <c r="BN18678" s="192"/>
      <c r="BO18678" s="197"/>
      <c r="BP18678" s="197"/>
      <c r="BQ18678" s="197"/>
    </row>
    <row r="18679" spans="66:69" x14ac:dyDescent="0.2">
      <c r="BN18679" s="192"/>
      <c r="BO18679" s="197"/>
      <c r="BP18679" s="197"/>
      <c r="BQ18679" s="197"/>
    </row>
    <row r="18680" spans="66:69" x14ac:dyDescent="0.2">
      <c r="BN18680" s="192"/>
      <c r="BO18680" s="197"/>
      <c r="BP18680" s="197"/>
      <c r="BQ18680" s="197"/>
    </row>
    <row r="18681" spans="66:69" x14ac:dyDescent="0.2">
      <c r="BN18681" s="192"/>
      <c r="BO18681" s="197"/>
      <c r="BP18681" s="197"/>
      <c r="BQ18681" s="197"/>
    </row>
    <row r="18682" spans="66:69" x14ac:dyDescent="0.2">
      <c r="BN18682" s="192"/>
      <c r="BO18682" s="197"/>
      <c r="BP18682" s="197"/>
      <c r="BQ18682" s="197"/>
    </row>
    <row r="18683" spans="66:69" x14ac:dyDescent="0.2">
      <c r="BN18683" s="192"/>
      <c r="BO18683" s="197"/>
      <c r="BP18683" s="197"/>
      <c r="BQ18683" s="197"/>
    </row>
    <row r="18684" spans="66:69" x14ac:dyDescent="0.2">
      <c r="BN18684" s="192"/>
      <c r="BO18684" s="197"/>
      <c r="BP18684" s="197"/>
      <c r="BQ18684" s="197"/>
    </row>
    <row r="18685" spans="66:69" x14ac:dyDescent="0.2">
      <c r="BN18685" s="192"/>
      <c r="BO18685" s="197"/>
      <c r="BP18685" s="197"/>
      <c r="BQ18685" s="197"/>
    </row>
    <row r="18686" spans="66:69" x14ac:dyDescent="0.2">
      <c r="BN18686" s="192"/>
      <c r="BO18686" s="197"/>
      <c r="BP18686" s="197"/>
      <c r="BQ18686" s="197"/>
    </row>
    <row r="18687" spans="66:69" x14ac:dyDescent="0.2">
      <c r="BN18687" s="192"/>
      <c r="BO18687" s="197"/>
      <c r="BP18687" s="197"/>
      <c r="BQ18687" s="197"/>
    </row>
    <row r="18688" spans="66:69" x14ac:dyDescent="0.2">
      <c r="BN18688" s="192"/>
      <c r="BO18688" s="197"/>
      <c r="BP18688" s="197"/>
      <c r="BQ18688" s="197"/>
    </row>
    <row r="18689" spans="66:69" x14ac:dyDescent="0.2">
      <c r="BN18689" s="192"/>
      <c r="BO18689" s="197"/>
      <c r="BP18689" s="197"/>
      <c r="BQ18689" s="197"/>
    </row>
    <row r="18690" spans="66:69" x14ac:dyDescent="0.2">
      <c r="BN18690" s="192"/>
      <c r="BO18690" s="197"/>
      <c r="BP18690" s="197"/>
      <c r="BQ18690" s="197"/>
    </row>
    <row r="18691" spans="66:69" x14ac:dyDescent="0.2">
      <c r="BN18691" s="192"/>
      <c r="BO18691" s="197"/>
      <c r="BP18691" s="197"/>
      <c r="BQ18691" s="197"/>
    </row>
    <row r="18692" spans="66:69" x14ac:dyDescent="0.2">
      <c r="BN18692" s="192"/>
      <c r="BO18692" s="197"/>
      <c r="BP18692" s="197"/>
      <c r="BQ18692" s="197"/>
    </row>
    <row r="18693" spans="66:69" x14ac:dyDescent="0.2">
      <c r="BN18693" s="192"/>
      <c r="BO18693" s="197"/>
      <c r="BP18693" s="197"/>
      <c r="BQ18693" s="197"/>
    </row>
    <row r="18694" spans="66:69" x14ac:dyDescent="0.2">
      <c r="BN18694" s="192"/>
      <c r="BO18694" s="197"/>
      <c r="BP18694" s="197"/>
      <c r="BQ18694" s="197"/>
    </row>
    <row r="18695" spans="66:69" x14ac:dyDescent="0.2">
      <c r="BN18695" s="192"/>
      <c r="BO18695" s="197"/>
      <c r="BP18695" s="197"/>
      <c r="BQ18695" s="197"/>
    </row>
    <row r="18696" spans="66:69" x14ac:dyDescent="0.2">
      <c r="BN18696" s="192"/>
      <c r="BO18696" s="197"/>
      <c r="BP18696" s="197"/>
      <c r="BQ18696" s="197"/>
    </row>
    <row r="18697" spans="66:69" x14ac:dyDescent="0.2">
      <c r="BN18697" s="192"/>
      <c r="BO18697" s="197"/>
      <c r="BP18697" s="197"/>
      <c r="BQ18697" s="197"/>
    </row>
    <row r="18698" spans="66:69" x14ac:dyDescent="0.2">
      <c r="BN18698" s="192"/>
      <c r="BO18698" s="197"/>
      <c r="BP18698" s="197"/>
      <c r="BQ18698" s="197"/>
    </row>
    <row r="18699" spans="66:69" x14ac:dyDescent="0.2">
      <c r="BN18699" s="192"/>
      <c r="BO18699" s="197"/>
      <c r="BP18699" s="197"/>
      <c r="BQ18699" s="197"/>
    </row>
    <row r="18700" spans="66:69" x14ac:dyDescent="0.2">
      <c r="BN18700" s="192"/>
      <c r="BO18700" s="197"/>
      <c r="BP18700" s="197"/>
      <c r="BQ18700" s="197"/>
    </row>
    <row r="18701" spans="66:69" x14ac:dyDescent="0.2">
      <c r="BN18701" s="192"/>
      <c r="BO18701" s="197"/>
      <c r="BP18701" s="197"/>
      <c r="BQ18701" s="197"/>
    </row>
    <row r="18702" spans="66:69" x14ac:dyDescent="0.2">
      <c r="BN18702" s="192"/>
      <c r="BO18702" s="197"/>
      <c r="BP18702" s="197"/>
      <c r="BQ18702" s="197"/>
    </row>
    <row r="18703" spans="66:69" x14ac:dyDescent="0.2">
      <c r="BN18703" s="192"/>
      <c r="BO18703" s="197"/>
      <c r="BP18703" s="197"/>
      <c r="BQ18703" s="197"/>
    </row>
    <row r="18704" spans="66:69" x14ac:dyDescent="0.2">
      <c r="BN18704" s="192"/>
      <c r="BO18704" s="197"/>
      <c r="BP18704" s="197"/>
      <c r="BQ18704" s="197"/>
    </row>
    <row r="18705" spans="66:69" x14ac:dyDescent="0.2">
      <c r="BN18705" s="192"/>
      <c r="BO18705" s="197"/>
      <c r="BP18705" s="197"/>
      <c r="BQ18705" s="197"/>
    </row>
    <row r="18706" spans="66:69" x14ac:dyDescent="0.2">
      <c r="BN18706" s="192"/>
      <c r="BO18706" s="197"/>
      <c r="BP18706" s="197"/>
      <c r="BQ18706" s="197"/>
    </row>
    <row r="18707" spans="66:69" x14ac:dyDescent="0.2">
      <c r="BN18707" s="192"/>
      <c r="BO18707" s="197"/>
      <c r="BP18707" s="197"/>
      <c r="BQ18707" s="197"/>
    </row>
    <row r="18708" spans="66:69" x14ac:dyDescent="0.2">
      <c r="BN18708" s="192"/>
      <c r="BO18708" s="197"/>
      <c r="BP18708" s="197"/>
      <c r="BQ18708" s="197"/>
    </row>
    <row r="18709" spans="66:69" x14ac:dyDescent="0.2">
      <c r="BN18709" s="192"/>
      <c r="BO18709" s="197"/>
      <c r="BP18709" s="197"/>
      <c r="BQ18709" s="197"/>
    </row>
    <row r="18710" spans="66:69" x14ac:dyDescent="0.2">
      <c r="BN18710" s="192"/>
      <c r="BO18710" s="197"/>
      <c r="BP18710" s="197"/>
      <c r="BQ18710" s="197"/>
    </row>
    <row r="18711" spans="66:69" x14ac:dyDescent="0.2">
      <c r="BN18711" s="192"/>
      <c r="BO18711" s="197"/>
      <c r="BP18711" s="197"/>
      <c r="BQ18711" s="197"/>
    </row>
    <row r="18712" spans="66:69" x14ac:dyDescent="0.2">
      <c r="BN18712" s="192"/>
      <c r="BO18712" s="197"/>
      <c r="BP18712" s="197"/>
      <c r="BQ18712" s="197"/>
    </row>
    <row r="18713" spans="66:69" x14ac:dyDescent="0.2">
      <c r="BN18713" s="192"/>
      <c r="BO18713" s="197"/>
      <c r="BP18713" s="197"/>
      <c r="BQ18713" s="197"/>
    </row>
    <row r="18714" spans="66:69" x14ac:dyDescent="0.2">
      <c r="BN18714" s="192"/>
      <c r="BO18714" s="197"/>
      <c r="BP18714" s="197"/>
      <c r="BQ18714" s="197"/>
    </row>
    <row r="18715" spans="66:69" x14ac:dyDescent="0.2">
      <c r="BN18715" s="192"/>
      <c r="BO18715" s="197"/>
      <c r="BP18715" s="197"/>
      <c r="BQ18715" s="197"/>
    </row>
    <row r="18716" spans="66:69" x14ac:dyDescent="0.2">
      <c r="BN18716" s="192"/>
      <c r="BO18716" s="197"/>
      <c r="BP18716" s="197"/>
      <c r="BQ18716" s="197"/>
    </row>
    <row r="18717" spans="66:69" x14ac:dyDescent="0.2">
      <c r="BN18717" s="192"/>
      <c r="BO18717" s="197"/>
      <c r="BP18717" s="197"/>
      <c r="BQ18717" s="197"/>
    </row>
    <row r="18718" spans="66:69" x14ac:dyDescent="0.2">
      <c r="BN18718" s="192"/>
      <c r="BO18718" s="197"/>
      <c r="BP18718" s="197"/>
      <c r="BQ18718" s="197"/>
    </row>
    <row r="18719" spans="66:69" x14ac:dyDescent="0.2">
      <c r="BN18719" s="192"/>
      <c r="BO18719" s="197"/>
      <c r="BP18719" s="197"/>
      <c r="BQ18719" s="197"/>
    </row>
    <row r="18720" spans="66:69" x14ac:dyDescent="0.2">
      <c r="BN18720" s="192"/>
      <c r="BO18720" s="197"/>
      <c r="BP18720" s="197"/>
      <c r="BQ18720" s="197"/>
    </row>
    <row r="18721" spans="66:69" x14ac:dyDescent="0.2">
      <c r="BN18721" s="192"/>
      <c r="BO18721" s="197"/>
      <c r="BP18721" s="197"/>
      <c r="BQ18721" s="197"/>
    </row>
    <row r="18722" spans="66:69" x14ac:dyDescent="0.2">
      <c r="BN18722" s="192"/>
      <c r="BO18722" s="197"/>
      <c r="BP18722" s="197"/>
      <c r="BQ18722" s="197"/>
    </row>
    <row r="18723" spans="66:69" x14ac:dyDescent="0.2">
      <c r="BN18723" s="192"/>
      <c r="BO18723" s="197"/>
      <c r="BP18723" s="197"/>
      <c r="BQ18723" s="197"/>
    </row>
    <row r="18724" spans="66:69" x14ac:dyDescent="0.2">
      <c r="BN18724" s="192"/>
      <c r="BO18724" s="197"/>
      <c r="BP18724" s="197"/>
      <c r="BQ18724" s="197"/>
    </row>
    <row r="18725" spans="66:69" x14ac:dyDescent="0.2">
      <c r="BN18725" s="192"/>
      <c r="BO18725" s="197"/>
      <c r="BP18725" s="197"/>
      <c r="BQ18725" s="197"/>
    </row>
    <row r="18726" spans="66:69" x14ac:dyDescent="0.2">
      <c r="BN18726" s="192"/>
      <c r="BO18726" s="197"/>
      <c r="BP18726" s="197"/>
      <c r="BQ18726" s="197"/>
    </row>
    <row r="18727" spans="66:69" x14ac:dyDescent="0.2">
      <c r="BN18727" s="192"/>
      <c r="BO18727" s="197"/>
      <c r="BP18727" s="197"/>
      <c r="BQ18727" s="197"/>
    </row>
    <row r="18728" spans="66:69" x14ac:dyDescent="0.2">
      <c r="BN18728" s="192"/>
      <c r="BO18728" s="197"/>
      <c r="BP18728" s="197"/>
      <c r="BQ18728" s="197"/>
    </row>
    <row r="18729" spans="66:69" x14ac:dyDescent="0.2">
      <c r="BN18729" s="192"/>
      <c r="BO18729" s="197"/>
      <c r="BP18729" s="197"/>
      <c r="BQ18729" s="197"/>
    </row>
    <row r="18730" spans="66:69" x14ac:dyDescent="0.2">
      <c r="BN18730" s="192"/>
      <c r="BO18730" s="197"/>
      <c r="BP18730" s="197"/>
      <c r="BQ18730" s="197"/>
    </row>
    <row r="18731" spans="66:69" x14ac:dyDescent="0.2">
      <c r="BN18731" s="192"/>
      <c r="BO18731" s="197"/>
      <c r="BP18731" s="197"/>
      <c r="BQ18731" s="197"/>
    </row>
    <row r="18732" spans="66:69" x14ac:dyDescent="0.2">
      <c r="BN18732" s="192"/>
      <c r="BO18732" s="197"/>
      <c r="BP18732" s="197"/>
      <c r="BQ18732" s="197"/>
    </row>
    <row r="18733" spans="66:69" x14ac:dyDescent="0.2">
      <c r="BN18733" s="192"/>
      <c r="BO18733" s="197"/>
      <c r="BP18733" s="197"/>
      <c r="BQ18733" s="197"/>
    </row>
    <row r="18734" spans="66:69" x14ac:dyDescent="0.2">
      <c r="BN18734" s="192"/>
      <c r="BO18734" s="197"/>
      <c r="BP18734" s="197"/>
      <c r="BQ18734" s="197"/>
    </row>
    <row r="18735" spans="66:69" x14ac:dyDescent="0.2">
      <c r="BN18735" s="192"/>
      <c r="BO18735" s="197"/>
      <c r="BP18735" s="197"/>
      <c r="BQ18735" s="197"/>
    </row>
    <row r="18736" spans="66:69" x14ac:dyDescent="0.2">
      <c r="BN18736" s="192"/>
      <c r="BO18736" s="197"/>
      <c r="BP18736" s="197"/>
      <c r="BQ18736" s="197"/>
    </row>
    <row r="18737" spans="66:69" x14ac:dyDescent="0.2">
      <c r="BN18737" s="192"/>
      <c r="BO18737" s="197"/>
      <c r="BP18737" s="197"/>
      <c r="BQ18737" s="197"/>
    </row>
    <row r="18738" spans="66:69" x14ac:dyDescent="0.2">
      <c r="BN18738" s="192"/>
      <c r="BO18738" s="197"/>
      <c r="BP18738" s="197"/>
      <c r="BQ18738" s="197"/>
    </row>
    <row r="18739" spans="66:69" x14ac:dyDescent="0.2">
      <c r="BN18739" s="192"/>
      <c r="BO18739" s="197"/>
      <c r="BP18739" s="197"/>
      <c r="BQ18739" s="197"/>
    </row>
    <row r="18740" spans="66:69" x14ac:dyDescent="0.2">
      <c r="BN18740" s="192"/>
      <c r="BO18740" s="197"/>
      <c r="BP18740" s="197"/>
      <c r="BQ18740" s="197"/>
    </row>
    <row r="18741" spans="66:69" x14ac:dyDescent="0.2">
      <c r="BN18741" s="192"/>
      <c r="BO18741" s="197"/>
      <c r="BP18741" s="197"/>
      <c r="BQ18741" s="197"/>
    </row>
    <row r="18742" spans="66:69" x14ac:dyDescent="0.2">
      <c r="BN18742" s="192"/>
      <c r="BO18742" s="197"/>
      <c r="BP18742" s="197"/>
      <c r="BQ18742" s="197"/>
    </row>
    <row r="18743" spans="66:69" x14ac:dyDescent="0.2">
      <c r="BN18743" s="192"/>
      <c r="BO18743" s="197"/>
      <c r="BP18743" s="197"/>
      <c r="BQ18743" s="197"/>
    </row>
    <row r="18744" spans="66:69" x14ac:dyDescent="0.2">
      <c r="BN18744" s="192"/>
      <c r="BO18744" s="197"/>
      <c r="BP18744" s="197"/>
      <c r="BQ18744" s="197"/>
    </row>
    <row r="18745" spans="66:69" x14ac:dyDescent="0.2">
      <c r="BN18745" s="192"/>
      <c r="BO18745" s="197"/>
      <c r="BP18745" s="197"/>
      <c r="BQ18745" s="197"/>
    </row>
    <row r="18746" spans="66:69" x14ac:dyDescent="0.2">
      <c r="BN18746" s="192"/>
      <c r="BO18746" s="197"/>
      <c r="BP18746" s="197"/>
      <c r="BQ18746" s="197"/>
    </row>
    <row r="18747" spans="66:69" x14ac:dyDescent="0.2">
      <c r="BN18747" s="192"/>
      <c r="BO18747" s="197"/>
      <c r="BP18747" s="197"/>
      <c r="BQ18747" s="197"/>
    </row>
    <row r="18748" spans="66:69" x14ac:dyDescent="0.2">
      <c r="BN18748" s="192"/>
      <c r="BO18748" s="197"/>
      <c r="BP18748" s="197"/>
      <c r="BQ18748" s="197"/>
    </row>
    <row r="18749" spans="66:69" x14ac:dyDescent="0.2">
      <c r="BN18749" s="192"/>
      <c r="BO18749" s="197"/>
      <c r="BP18749" s="197"/>
      <c r="BQ18749" s="197"/>
    </row>
    <row r="18750" spans="66:69" x14ac:dyDescent="0.2">
      <c r="BN18750" s="192"/>
      <c r="BO18750" s="197"/>
      <c r="BP18750" s="197"/>
      <c r="BQ18750" s="197"/>
    </row>
    <row r="18751" spans="66:69" x14ac:dyDescent="0.2">
      <c r="BN18751" s="192"/>
      <c r="BO18751" s="197"/>
      <c r="BP18751" s="197"/>
      <c r="BQ18751" s="197"/>
    </row>
    <row r="18752" spans="66:69" x14ac:dyDescent="0.2">
      <c r="BN18752" s="192"/>
      <c r="BO18752" s="197"/>
      <c r="BP18752" s="197"/>
      <c r="BQ18752" s="197"/>
    </row>
    <row r="18753" spans="66:69" x14ac:dyDescent="0.2">
      <c r="BN18753" s="192"/>
      <c r="BO18753" s="197"/>
      <c r="BP18753" s="197"/>
      <c r="BQ18753" s="197"/>
    </row>
    <row r="18754" spans="66:69" x14ac:dyDescent="0.2">
      <c r="BN18754" s="192"/>
      <c r="BO18754" s="197"/>
      <c r="BP18754" s="197"/>
      <c r="BQ18754" s="197"/>
    </row>
    <row r="18755" spans="66:69" x14ac:dyDescent="0.2">
      <c r="BN18755" s="192"/>
      <c r="BO18755" s="197"/>
      <c r="BP18755" s="197"/>
      <c r="BQ18755" s="197"/>
    </row>
    <row r="18756" spans="66:69" x14ac:dyDescent="0.2">
      <c r="BN18756" s="192"/>
      <c r="BO18756" s="197"/>
      <c r="BP18756" s="197"/>
      <c r="BQ18756" s="197"/>
    </row>
    <row r="18757" spans="66:69" x14ac:dyDescent="0.2">
      <c r="BN18757" s="192"/>
      <c r="BO18757" s="197"/>
      <c r="BP18757" s="197"/>
      <c r="BQ18757" s="197"/>
    </row>
    <row r="18758" spans="66:69" x14ac:dyDescent="0.2">
      <c r="BN18758" s="192"/>
      <c r="BO18758" s="197"/>
      <c r="BP18758" s="197"/>
      <c r="BQ18758" s="197"/>
    </row>
    <row r="18759" spans="66:69" x14ac:dyDescent="0.2">
      <c r="BN18759" s="192"/>
      <c r="BO18759" s="197"/>
      <c r="BP18759" s="197"/>
      <c r="BQ18759" s="197"/>
    </row>
    <row r="18760" spans="66:69" x14ac:dyDescent="0.2">
      <c r="BN18760" s="192"/>
      <c r="BO18760" s="197"/>
      <c r="BP18760" s="197"/>
      <c r="BQ18760" s="197"/>
    </row>
    <row r="18761" spans="66:69" x14ac:dyDescent="0.2">
      <c r="BN18761" s="192"/>
      <c r="BO18761" s="197"/>
      <c r="BP18761" s="197"/>
      <c r="BQ18761" s="197"/>
    </row>
    <row r="18762" spans="66:69" x14ac:dyDescent="0.2">
      <c r="BN18762" s="192"/>
      <c r="BO18762" s="197"/>
      <c r="BP18762" s="197"/>
      <c r="BQ18762" s="197"/>
    </row>
    <row r="18763" spans="66:69" x14ac:dyDescent="0.2">
      <c r="BN18763" s="192"/>
      <c r="BO18763" s="197"/>
      <c r="BP18763" s="197"/>
      <c r="BQ18763" s="197"/>
    </row>
    <row r="18764" spans="66:69" x14ac:dyDescent="0.2">
      <c r="BN18764" s="192"/>
      <c r="BO18764" s="197"/>
      <c r="BP18764" s="197"/>
      <c r="BQ18764" s="197"/>
    </row>
    <row r="18765" spans="66:69" x14ac:dyDescent="0.2">
      <c r="BN18765" s="192"/>
      <c r="BO18765" s="197"/>
      <c r="BP18765" s="197"/>
      <c r="BQ18765" s="197"/>
    </row>
    <row r="18766" spans="66:69" x14ac:dyDescent="0.2">
      <c r="BN18766" s="192"/>
      <c r="BO18766" s="197"/>
      <c r="BP18766" s="197"/>
      <c r="BQ18766" s="197"/>
    </row>
    <row r="18767" spans="66:69" x14ac:dyDescent="0.2">
      <c r="BN18767" s="192"/>
      <c r="BO18767" s="197"/>
      <c r="BP18767" s="197"/>
      <c r="BQ18767" s="197"/>
    </row>
    <row r="18768" spans="66:69" x14ac:dyDescent="0.2">
      <c r="BN18768" s="192"/>
      <c r="BO18768" s="197"/>
      <c r="BP18768" s="197"/>
      <c r="BQ18768" s="197"/>
    </row>
    <row r="18769" spans="66:69" x14ac:dyDescent="0.2">
      <c r="BN18769" s="192"/>
      <c r="BO18769" s="197"/>
      <c r="BP18769" s="197"/>
      <c r="BQ18769" s="197"/>
    </row>
    <row r="18770" spans="66:69" x14ac:dyDescent="0.2">
      <c r="BN18770" s="192"/>
      <c r="BO18770" s="197"/>
      <c r="BP18770" s="197"/>
      <c r="BQ18770" s="197"/>
    </row>
    <row r="18771" spans="66:69" x14ac:dyDescent="0.2">
      <c r="BN18771" s="192"/>
      <c r="BO18771" s="197"/>
      <c r="BP18771" s="197"/>
      <c r="BQ18771" s="197"/>
    </row>
    <row r="18772" spans="66:69" x14ac:dyDescent="0.2">
      <c r="BN18772" s="192"/>
      <c r="BO18772" s="197"/>
      <c r="BP18772" s="197"/>
      <c r="BQ18772" s="197"/>
    </row>
    <row r="18773" spans="66:69" x14ac:dyDescent="0.2">
      <c r="BN18773" s="192"/>
      <c r="BO18773" s="197"/>
      <c r="BP18773" s="197"/>
      <c r="BQ18773" s="197"/>
    </row>
    <row r="18774" spans="66:69" x14ac:dyDescent="0.2">
      <c r="BN18774" s="192"/>
      <c r="BO18774" s="197"/>
      <c r="BP18774" s="197"/>
      <c r="BQ18774" s="197"/>
    </row>
    <row r="18775" spans="66:69" x14ac:dyDescent="0.2">
      <c r="BN18775" s="192"/>
      <c r="BO18775" s="197"/>
      <c r="BP18775" s="197"/>
      <c r="BQ18775" s="197"/>
    </row>
    <row r="18776" spans="66:69" x14ac:dyDescent="0.2">
      <c r="BN18776" s="192"/>
      <c r="BO18776" s="197"/>
      <c r="BP18776" s="197"/>
      <c r="BQ18776" s="197"/>
    </row>
    <row r="18777" spans="66:69" x14ac:dyDescent="0.2">
      <c r="BN18777" s="192"/>
      <c r="BO18777" s="197"/>
      <c r="BP18777" s="197"/>
      <c r="BQ18777" s="197"/>
    </row>
    <row r="18778" spans="66:69" x14ac:dyDescent="0.2">
      <c r="BN18778" s="192"/>
      <c r="BO18778" s="197"/>
      <c r="BP18778" s="197"/>
      <c r="BQ18778" s="197"/>
    </row>
    <row r="18779" spans="66:69" x14ac:dyDescent="0.2">
      <c r="BN18779" s="192"/>
      <c r="BO18779" s="197"/>
      <c r="BP18779" s="197"/>
      <c r="BQ18779" s="197"/>
    </row>
    <row r="18780" spans="66:69" x14ac:dyDescent="0.2">
      <c r="BN18780" s="192"/>
      <c r="BO18780" s="197"/>
      <c r="BP18780" s="197"/>
      <c r="BQ18780" s="197"/>
    </row>
    <row r="18781" spans="66:69" x14ac:dyDescent="0.2">
      <c r="BN18781" s="192"/>
      <c r="BO18781" s="197"/>
      <c r="BP18781" s="197"/>
      <c r="BQ18781" s="197"/>
    </row>
    <row r="18782" spans="66:69" x14ac:dyDescent="0.2">
      <c r="BN18782" s="192"/>
      <c r="BO18782" s="197"/>
      <c r="BP18782" s="197"/>
      <c r="BQ18782" s="197"/>
    </row>
    <row r="18783" spans="66:69" x14ac:dyDescent="0.2">
      <c r="BN18783" s="192"/>
      <c r="BO18783" s="197"/>
      <c r="BP18783" s="197"/>
      <c r="BQ18783" s="197"/>
    </row>
    <row r="18784" spans="66:69" x14ac:dyDescent="0.2">
      <c r="BN18784" s="192"/>
      <c r="BO18784" s="197"/>
      <c r="BP18784" s="197"/>
      <c r="BQ18784" s="197"/>
    </row>
    <row r="18785" spans="66:69" x14ac:dyDescent="0.2">
      <c r="BN18785" s="192"/>
      <c r="BO18785" s="197"/>
      <c r="BP18785" s="197"/>
      <c r="BQ18785" s="197"/>
    </row>
    <row r="18786" spans="66:69" x14ac:dyDescent="0.2">
      <c r="BN18786" s="192"/>
      <c r="BO18786" s="197"/>
      <c r="BP18786" s="197"/>
      <c r="BQ18786" s="197"/>
    </row>
    <row r="18787" spans="66:69" x14ac:dyDescent="0.2">
      <c r="BN18787" s="192"/>
      <c r="BO18787" s="197"/>
      <c r="BP18787" s="197"/>
      <c r="BQ18787" s="197"/>
    </row>
    <row r="18788" spans="66:69" x14ac:dyDescent="0.2">
      <c r="BN18788" s="192"/>
      <c r="BO18788" s="197"/>
      <c r="BP18788" s="197"/>
      <c r="BQ18788" s="197"/>
    </row>
    <row r="18789" spans="66:69" x14ac:dyDescent="0.2">
      <c r="BN18789" s="192"/>
      <c r="BO18789" s="197"/>
      <c r="BP18789" s="197"/>
      <c r="BQ18789" s="197"/>
    </row>
    <row r="18790" spans="66:69" x14ac:dyDescent="0.2">
      <c r="BN18790" s="192"/>
      <c r="BO18790" s="197"/>
      <c r="BP18790" s="197"/>
      <c r="BQ18790" s="197"/>
    </row>
    <row r="18791" spans="66:69" x14ac:dyDescent="0.2">
      <c r="BN18791" s="192"/>
      <c r="BO18791" s="197"/>
      <c r="BP18791" s="197"/>
      <c r="BQ18791" s="197"/>
    </row>
    <row r="18792" spans="66:69" x14ac:dyDescent="0.2">
      <c r="BN18792" s="192"/>
      <c r="BO18792" s="197"/>
      <c r="BP18792" s="197"/>
      <c r="BQ18792" s="197"/>
    </row>
    <row r="18793" spans="66:69" x14ac:dyDescent="0.2">
      <c r="BN18793" s="192"/>
      <c r="BO18793" s="197"/>
      <c r="BP18793" s="197"/>
      <c r="BQ18793" s="197"/>
    </row>
    <row r="18794" spans="66:69" x14ac:dyDescent="0.2">
      <c r="BN18794" s="192"/>
      <c r="BO18794" s="197"/>
      <c r="BP18794" s="197"/>
      <c r="BQ18794" s="197"/>
    </row>
    <row r="18795" spans="66:69" x14ac:dyDescent="0.2">
      <c r="BN18795" s="192"/>
      <c r="BO18795" s="197"/>
      <c r="BP18795" s="197"/>
      <c r="BQ18795" s="197"/>
    </row>
    <row r="18796" spans="66:69" x14ac:dyDescent="0.2">
      <c r="BN18796" s="192"/>
      <c r="BO18796" s="197"/>
      <c r="BP18796" s="197"/>
      <c r="BQ18796" s="197"/>
    </row>
    <row r="18797" spans="66:69" x14ac:dyDescent="0.2">
      <c r="BN18797" s="192"/>
      <c r="BO18797" s="197"/>
      <c r="BP18797" s="197"/>
      <c r="BQ18797" s="197"/>
    </row>
    <row r="18798" spans="66:69" x14ac:dyDescent="0.2">
      <c r="BN18798" s="192"/>
      <c r="BO18798" s="197"/>
      <c r="BP18798" s="197"/>
      <c r="BQ18798" s="197"/>
    </row>
    <row r="18799" spans="66:69" x14ac:dyDescent="0.2">
      <c r="BN18799" s="192"/>
      <c r="BO18799" s="197"/>
      <c r="BP18799" s="197"/>
      <c r="BQ18799" s="197"/>
    </row>
    <row r="18800" spans="66:69" x14ac:dyDescent="0.2">
      <c r="BN18800" s="192"/>
      <c r="BO18800" s="197"/>
      <c r="BP18800" s="197"/>
      <c r="BQ18800" s="197"/>
    </row>
    <row r="18801" spans="66:69" x14ac:dyDescent="0.2">
      <c r="BN18801" s="192"/>
      <c r="BO18801" s="197"/>
      <c r="BP18801" s="197"/>
      <c r="BQ18801" s="197"/>
    </row>
    <row r="18802" spans="66:69" x14ac:dyDescent="0.2">
      <c r="BN18802" s="192"/>
      <c r="BO18802" s="197"/>
      <c r="BP18802" s="197"/>
      <c r="BQ18802" s="197"/>
    </row>
    <row r="18803" spans="66:69" x14ac:dyDescent="0.2">
      <c r="BN18803" s="192"/>
      <c r="BO18803" s="197"/>
      <c r="BP18803" s="197"/>
      <c r="BQ18803" s="197"/>
    </row>
    <row r="18804" spans="66:69" x14ac:dyDescent="0.2">
      <c r="BN18804" s="192"/>
      <c r="BO18804" s="197"/>
      <c r="BP18804" s="197"/>
      <c r="BQ18804" s="197"/>
    </row>
    <row r="18805" spans="66:69" x14ac:dyDescent="0.2">
      <c r="BN18805" s="192"/>
      <c r="BO18805" s="197"/>
      <c r="BP18805" s="197"/>
      <c r="BQ18805" s="197"/>
    </row>
    <row r="18806" spans="66:69" x14ac:dyDescent="0.2">
      <c r="BN18806" s="192"/>
      <c r="BO18806" s="197"/>
      <c r="BP18806" s="197"/>
      <c r="BQ18806" s="197"/>
    </row>
    <row r="18807" spans="66:69" x14ac:dyDescent="0.2">
      <c r="BN18807" s="192"/>
      <c r="BO18807" s="197"/>
      <c r="BP18807" s="197"/>
      <c r="BQ18807" s="197"/>
    </row>
    <row r="18808" spans="66:69" x14ac:dyDescent="0.2">
      <c r="BN18808" s="192"/>
      <c r="BO18808" s="197"/>
      <c r="BP18808" s="197"/>
      <c r="BQ18808" s="197"/>
    </row>
    <row r="18809" spans="66:69" x14ac:dyDescent="0.2">
      <c r="BN18809" s="192"/>
      <c r="BO18809" s="197"/>
      <c r="BP18809" s="197"/>
      <c r="BQ18809" s="197"/>
    </row>
    <row r="18810" spans="66:69" x14ac:dyDescent="0.2">
      <c r="BN18810" s="192"/>
      <c r="BO18810" s="197"/>
      <c r="BP18810" s="197"/>
      <c r="BQ18810" s="197"/>
    </row>
    <row r="18811" spans="66:69" x14ac:dyDescent="0.2">
      <c r="BN18811" s="192"/>
      <c r="BO18811" s="197"/>
      <c r="BP18811" s="197"/>
      <c r="BQ18811" s="197"/>
    </row>
    <row r="18812" spans="66:69" x14ac:dyDescent="0.2">
      <c r="BN18812" s="192"/>
      <c r="BO18812" s="197"/>
      <c r="BP18812" s="197"/>
      <c r="BQ18812" s="197"/>
    </row>
    <row r="18813" spans="66:69" x14ac:dyDescent="0.2">
      <c r="BN18813" s="192"/>
      <c r="BO18813" s="197"/>
      <c r="BP18813" s="197"/>
      <c r="BQ18813" s="197"/>
    </row>
    <row r="18814" spans="66:69" x14ac:dyDescent="0.2">
      <c r="BN18814" s="192"/>
      <c r="BO18814" s="197"/>
      <c r="BP18814" s="197"/>
      <c r="BQ18814" s="197"/>
    </row>
    <row r="18815" spans="66:69" x14ac:dyDescent="0.2">
      <c r="BN18815" s="192"/>
      <c r="BO18815" s="197"/>
      <c r="BP18815" s="197"/>
      <c r="BQ18815" s="197"/>
    </row>
    <row r="18816" spans="66:69" x14ac:dyDescent="0.2">
      <c r="BN18816" s="192"/>
      <c r="BO18816" s="197"/>
      <c r="BP18816" s="197"/>
      <c r="BQ18816" s="197"/>
    </row>
    <row r="18817" spans="66:69" x14ac:dyDescent="0.2">
      <c r="BN18817" s="192"/>
      <c r="BO18817" s="197"/>
      <c r="BP18817" s="197"/>
      <c r="BQ18817" s="197"/>
    </row>
    <row r="18818" spans="66:69" x14ac:dyDescent="0.2">
      <c r="BN18818" s="192"/>
      <c r="BO18818" s="197"/>
      <c r="BP18818" s="197"/>
      <c r="BQ18818" s="197"/>
    </row>
    <row r="18819" spans="66:69" x14ac:dyDescent="0.2">
      <c r="BN18819" s="192"/>
      <c r="BO18819" s="197"/>
      <c r="BP18819" s="197"/>
      <c r="BQ18819" s="197"/>
    </row>
    <row r="18820" spans="66:69" x14ac:dyDescent="0.2">
      <c r="BN18820" s="192"/>
      <c r="BO18820" s="197"/>
      <c r="BP18820" s="197"/>
      <c r="BQ18820" s="197"/>
    </row>
    <row r="18821" spans="66:69" x14ac:dyDescent="0.2">
      <c r="BN18821" s="192"/>
      <c r="BO18821" s="197"/>
      <c r="BP18821" s="197"/>
      <c r="BQ18821" s="197"/>
    </row>
    <row r="18822" spans="66:69" x14ac:dyDescent="0.2">
      <c r="BN18822" s="192"/>
      <c r="BO18822" s="197"/>
      <c r="BP18822" s="197"/>
      <c r="BQ18822" s="197"/>
    </row>
    <row r="18823" spans="66:69" x14ac:dyDescent="0.2">
      <c r="BN18823" s="192"/>
      <c r="BO18823" s="197"/>
      <c r="BP18823" s="197"/>
      <c r="BQ18823" s="197"/>
    </row>
    <row r="18824" spans="66:69" x14ac:dyDescent="0.2">
      <c r="BN18824" s="192"/>
      <c r="BO18824" s="197"/>
      <c r="BP18824" s="197"/>
      <c r="BQ18824" s="197"/>
    </row>
    <row r="18825" spans="66:69" x14ac:dyDescent="0.2">
      <c r="BN18825" s="192"/>
      <c r="BO18825" s="197"/>
      <c r="BP18825" s="197"/>
      <c r="BQ18825" s="197"/>
    </row>
    <row r="18826" spans="66:69" x14ac:dyDescent="0.2">
      <c r="BN18826" s="192"/>
      <c r="BO18826" s="197"/>
      <c r="BP18826" s="197"/>
      <c r="BQ18826" s="197"/>
    </row>
    <row r="18827" spans="66:69" x14ac:dyDescent="0.2">
      <c r="BN18827" s="192"/>
      <c r="BO18827" s="197"/>
      <c r="BP18827" s="197"/>
      <c r="BQ18827" s="197"/>
    </row>
    <row r="18828" spans="66:69" x14ac:dyDescent="0.2">
      <c r="BN18828" s="192"/>
      <c r="BO18828" s="197"/>
      <c r="BP18828" s="197"/>
      <c r="BQ18828" s="197"/>
    </row>
    <row r="18829" spans="66:69" x14ac:dyDescent="0.2">
      <c r="BN18829" s="192"/>
      <c r="BO18829" s="197"/>
      <c r="BP18829" s="197"/>
      <c r="BQ18829" s="197"/>
    </row>
    <row r="18830" spans="66:69" x14ac:dyDescent="0.2">
      <c r="BN18830" s="192"/>
      <c r="BO18830" s="197"/>
      <c r="BP18830" s="197"/>
      <c r="BQ18830" s="197"/>
    </row>
    <row r="18831" spans="66:69" x14ac:dyDescent="0.2">
      <c r="BN18831" s="192"/>
      <c r="BO18831" s="197"/>
      <c r="BP18831" s="197"/>
      <c r="BQ18831" s="197"/>
    </row>
    <row r="18832" spans="66:69" x14ac:dyDescent="0.2">
      <c r="BN18832" s="192"/>
      <c r="BO18832" s="197"/>
      <c r="BP18832" s="197"/>
      <c r="BQ18832" s="197"/>
    </row>
    <row r="18833" spans="66:69" x14ac:dyDescent="0.2">
      <c r="BN18833" s="192"/>
      <c r="BO18833" s="197"/>
      <c r="BP18833" s="197"/>
      <c r="BQ18833" s="197"/>
    </row>
    <row r="18834" spans="66:69" x14ac:dyDescent="0.2">
      <c r="BN18834" s="192"/>
      <c r="BO18834" s="197"/>
      <c r="BP18834" s="197"/>
      <c r="BQ18834" s="197"/>
    </row>
    <row r="18835" spans="66:69" x14ac:dyDescent="0.2">
      <c r="BN18835" s="192"/>
      <c r="BO18835" s="197"/>
      <c r="BP18835" s="197"/>
      <c r="BQ18835" s="197"/>
    </row>
    <row r="18836" spans="66:69" x14ac:dyDescent="0.2">
      <c r="BN18836" s="192"/>
      <c r="BO18836" s="197"/>
      <c r="BP18836" s="197"/>
      <c r="BQ18836" s="197"/>
    </row>
    <row r="18837" spans="66:69" x14ac:dyDescent="0.2">
      <c r="BN18837" s="192"/>
      <c r="BO18837" s="197"/>
      <c r="BP18837" s="197"/>
      <c r="BQ18837" s="197"/>
    </row>
    <row r="18838" spans="66:69" x14ac:dyDescent="0.2">
      <c r="BN18838" s="192"/>
      <c r="BO18838" s="197"/>
      <c r="BP18838" s="197"/>
      <c r="BQ18838" s="197"/>
    </row>
    <row r="18839" spans="66:69" x14ac:dyDescent="0.2">
      <c r="BN18839" s="192"/>
      <c r="BO18839" s="197"/>
      <c r="BP18839" s="197"/>
      <c r="BQ18839" s="197"/>
    </row>
    <row r="18840" spans="66:69" x14ac:dyDescent="0.2">
      <c r="BN18840" s="192"/>
      <c r="BO18840" s="197"/>
      <c r="BP18840" s="197"/>
      <c r="BQ18840" s="197"/>
    </row>
    <row r="18841" spans="66:69" x14ac:dyDescent="0.2">
      <c r="BN18841" s="192"/>
      <c r="BO18841" s="197"/>
      <c r="BP18841" s="197"/>
      <c r="BQ18841" s="197"/>
    </row>
    <row r="18842" spans="66:69" x14ac:dyDescent="0.2">
      <c r="BN18842" s="192"/>
      <c r="BO18842" s="197"/>
      <c r="BP18842" s="197"/>
      <c r="BQ18842" s="197"/>
    </row>
    <row r="18843" spans="66:69" x14ac:dyDescent="0.2">
      <c r="BN18843" s="192"/>
      <c r="BO18843" s="197"/>
      <c r="BP18843" s="197"/>
      <c r="BQ18843" s="197"/>
    </row>
    <row r="18844" spans="66:69" x14ac:dyDescent="0.2">
      <c r="BN18844" s="192"/>
      <c r="BO18844" s="197"/>
      <c r="BP18844" s="197"/>
      <c r="BQ18844" s="197"/>
    </row>
    <row r="18845" spans="66:69" x14ac:dyDescent="0.2">
      <c r="BN18845" s="192"/>
      <c r="BO18845" s="197"/>
      <c r="BP18845" s="197"/>
      <c r="BQ18845" s="197"/>
    </row>
    <row r="18846" spans="66:69" x14ac:dyDescent="0.2">
      <c r="BN18846" s="192"/>
      <c r="BO18846" s="197"/>
      <c r="BP18846" s="197"/>
      <c r="BQ18846" s="197"/>
    </row>
    <row r="18847" spans="66:69" x14ac:dyDescent="0.2">
      <c r="BN18847" s="192"/>
      <c r="BO18847" s="197"/>
      <c r="BP18847" s="197"/>
      <c r="BQ18847" s="197"/>
    </row>
    <row r="18848" spans="66:69" x14ac:dyDescent="0.2">
      <c r="BN18848" s="192"/>
      <c r="BO18848" s="197"/>
      <c r="BP18848" s="197"/>
      <c r="BQ18848" s="197"/>
    </row>
    <row r="18849" spans="66:69" x14ac:dyDescent="0.2">
      <c r="BN18849" s="192"/>
      <c r="BO18849" s="197"/>
      <c r="BP18849" s="197"/>
      <c r="BQ18849" s="197"/>
    </row>
    <row r="18850" spans="66:69" x14ac:dyDescent="0.2">
      <c r="BN18850" s="192"/>
      <c r="BO18850" s="197"/>
      <c r="BP18850" s="197"/>
      <c r="BQ18850" s="197"/>
    </row>
    <row r="18851" spans="66:69" x14ac:dyDescent="0.2">
      <c r="BN18851" s="192"/>
      <c r="BO18851" s="197"/>
      <c r="BP18851" s="197"/>
      <c r="BQ18851" s="197"/>
    </row>
    <row r="18852" spans="66:69" x14ac:dyDescent="0.2">
      <c r="BN18852" s="192"/>
      <c r="BO18852" s="197"/>
      <c r="BP18852" s="197"/>
      <c r="BQ18852" s="197"/>
    </row>
    <row r="18853" spans="66:69" x14ac:dyDescent="0.2">
      <c r="BN18853" s="192"/>
      <c r="BO18853" s="197"/>
      <c r="BP18853" s="197"/>
      <c r="BQ18853" s="197"/>
    </row>
    <row r="18854" spans="66:69" x14ac:dyDescent="0.2">
      <c r="BN18854" s="192"/>
      <c r="BO18854" s="197"/>
      <c r="BP18854" s="197"/>
      <c r="BQ18854" s="197"/>
    </row>
    <row r="18855" spans="66:69" x14ac:dyDescent="0.2">
      <c r="BN18855" s="192"/>
      <c r="BO18855" s="197"/>
      <c r="BP18855" s="197"/>
      <c r="BQ18855" s="197"/>
    </row>
    <row r="18856" spans="66:69" x14ac:dyDescent="0.2">
      <c r="BN18856" s="192"/>
      <c r="BO18856" s="197"/>
      <c r="BP18856" s="197"/>
      <c r="BQ18856" s="197"/>
    </row>
    <row r="18857" spans="66:69" x14ac:dyDescent="0.2">
      <c r="BN18857" s="192"/>
      <c r="BO18857" s="197"/>
      <c r="BP18857" s="197"/>
      <c r="BQ18857" s="197"/>
    </row>
    <row r="18858" spans="66:69" x14ac:dyDescent="0.2">
      <c r="BN18858" s="192"/>
      <c r="BO18858" s="197"/>
      <c r="BP18858" s="197"/>
      <c r="BQ18858" s="197"/>
    </row>
    <row r="18859" spans="66:69" x14ac:dyDescent="0.2">
      <c r="BN18859" s="192"/>
      <c r="BO18859" s="197"/>
      <c r="BP18859" s="197"/>
      <c r="BQ18859" s="197"/>
    </row>
    <row r="18860" spans="66:69" x14ac:dyDescent="0.2">
      <c r="BN18860" s="192"/>
      <c r="BO18860" s="197"/>
      <c r="BP18860" s="197"/>
      <c r="BQ18860" s="197"/>
    </row>
    <row r="18861" spans="66:69" x14ac:dyDescent="0.2">
      <c r="BN18861" s="192"/>
      <c r="BO18861" s="197"/>
      <c r="BP18861" s="197"/>
      <c r="BQ18861" s="197"/>
    </row>
    <row r="18862" spans="66:69" x14ac:dyDescent="0.2">
      <c r="BN18862" s="192"/>
      <c r="BO18862" s="197"/>
      <c r="BP18862" s="197"/>
      <c r="BQ18862" s="197"/>
    </row>
    <row r="18863" spans="66:69" x14ac:dyDescent="0.2">
      <c r="BN18863" s="192"/>
      <c r="BO18863" s="197"/>
      <c r="BP18863" s="197"/>
      <c r="BQ18863" s="197"/>
    </row>
    <row r="18864" spans="66:69" x14ac:dyDescent="0.2">
      <c r="BN18864" s="192"/>
      <c r="BO18864" s="197"/>
      <c r="BP18864" s="197"/>
      <c r="BQ18864" s="197"/>
    </row>
    <row r="18865" spans="66:69" x14ac:dyDescent="0.2">
      <c r="BN18865" s="192"/>
      <c r="BO18865" s="197"/>
      <c r="BP18865" s="197"/>
      <c r="BQ18865" s="197"/>
    </row>
    <row r="18866" spans="66:69" x14ac:dyDescent="0.2">
      <c r="BN18866" s="192"/>
      <c r="BO18866" s="197"/>
      <c r="BP18866" s="197"/>
      <c r="BQ18866" s="197"/>
    </row>
    <row r="18867" spans="66:69" x14ac:dyDescent="0.2">
      <c r="BN18867" s="192"/>
      <c r="BO18867" s="197"/>
      <c r="BP18867" s="197"/>
      <c r="BQ18867" s="197"/>
    </row>
    <row r="18868" spans="66:69" x14ac:dyDescent="0.2">
      <c r="BN18868" s="192"/>
      <c r="BO18868" s="197"/>
      <c r="BP18868" s="197"/>
      <c r="BQ18868" s="197"/>
    </row>
    <row r="18869" spans="66:69" x14ac:dyDescent="0.2">
      <c r="BN18869" s="192"/>
      <c r="BO18869" s="197"/>
      <c r="BP18869" s="197"/>
      <c r="BQ18869" s="197"/>
    </row>
    <row r="18870" spans="66:69" x14ac:dyDescent="0.2">
      <c r="BN18870" s="192"/>
      <c r="BO18870" s="197"/>
      <c r="BP18870" s="197"/>
      <c r="BQ18870" s="197"/>
    </row>
    <row r="18871" spans="66:69" x14ac:dyDescent="0.2">
      <c r="BN18871" s="192"/>
      <c r="BO18871" s="197"/>
      <c r="BP18871" s="197"/>
      <c r="BQ18871" s="197"/>
    </row>
    <row r="18872" spans="66:69" x14ac:dyDescent="0.2">
      <c r="BN18872" s="192"/>
      <c r="BO18872" s="197"/>
      <c r="BP18872" s="197"/>
      <c r="BQ18872" s="197"/>
    </row>
    <row r="18873" spans="66:69" x14ac:dyDescent="0.2">
      <c r="BN18873" s="192"/>
      <c r="BO18873" s="197"/>
      <c r="BP18873" s="197"/>
      <c r="BQ18873" s="197"/>
    </row>
    <row r="18874" spans="66:69" x14ac:dyDescent="0.2">
      <c r="BN18874" s="192"/>
      <c r="BO18874" s="197"/>
      <c r="BP18874" s="197"/>
      <c r="BQ18874" s="197"/>
    </row>
    <row r="18875" spans="66:69" x14ac:dyDescent="0.2">
      <c r="BN18875" s="192"/>
      <c r="BO18875" s="197"/>
      <c r="BP18875" s="197"/>
      <c r="BQ18875" s="197"/>
    </row>
    <row r="18876" spans="66:69" x14ac:dyDescent="0.2">
      <c r="BN18876" s="192"/>
      <c r="BO18876" s="197"/>
      <c r="BP18876" s="197"/>
      <c r="BQ18876" s="197"/>
    </row>
    <row r="18877" spans="66:69" x14ac:dyDescent="0.2">
      <c r="BN18877" s="192"/>
      <c r="BO18877" s="197"/>
      <c r="BP18877" s="197"/>
      <c r="BQ18877" s="197"/>
    </row>
    <row r="18878" spans="66:69" x14ac:dyDescent="0.2">
      <c r="BN18878" s="192"/>
      <c r="BO18878" s="197"/>
      <c r="BP18878" s="197"/>
      <c r="BQ18878" s="197"/>
    </row>
    <row r="18879" spans="66:69" x14ac:dyDescent="0.2">
      <c r="BN18879" s="192"/>
      <c r="BO18879" s="197"/>
      <c r="BP18879" s="197"/>
      <c r="BQ18879" s="197"/>
    </row>
    <row r="18880" spans="66:69" x14ac:dyDescent="0.2">
      <c r="BN18880" s="192"/>
      <c r="BO18880" s="197"/>
      <c r="BP18880" s="197"/>
      <c r="BQ18880" s="197"/>
    </row>
    <row r="18881" spans="66:69" x14ac:dyDescent="0.2">
      <c r="BN18881" s="192"/>
      <c r="BO18881" s="197"/>
      <c r="BP18881" s="197"/>
      <c r="BQ18881" s="197"/>
    </row>
    <row r="18882" spans="66:69" x14ac:dyDescent="0.2">
      <c r="BN18882" s="192"/>
      <c r="BO18882" s="197"/>
      <c r="BP18882" s="197"/>
      <c r="BQ18882" s="197"/>
    </row>
    <row r="18883" spans="66:69" x14ac:dyDescent="0.2">
      <c r="BN18883" s="192"/>
      <c r="BO18883" s="197"/>
      <c r="BP18883" s="197"/>
      <c r="BQ18883" s="197"/>
    </row>
    <row r="18884" spans="66:69" x14ac:dyDescent="0.2">
      <c r="BN18884" s="192"/>
      <c r="BO18884" s="197"/>
      <c r="BP18884" s="197"/>
      <c r="BQ18884" s="197"/>
    </row>
    <row r="18885" spans="66:69" x14ac:dyDescent="0.2">
      <c r="BN18885" s="192"/>
      <c r="BO18885" s="197"/>
      <c r="BP18885" s="197"/>
      <c r="BQ18885" s="197"/>
    </row>
    <row r="18886" spans="66:69" x14ac:dyDescent="0.2">
      <c r="BN18886" s="192"/>
      <c r="BO18886" s="197"/>
      <c r="BP18886" s="197"/>
      <c r="BQ18886" s="197"/>
    </row>
    <row r="18887" spans="66:69" x14ac:dyDescent="0.2">
      <c r="BN18887" s="192"/>
      <c r="BO18887" s="197"/>
      <c r="BP18887" s="197"/>
      <c r="BQ18887" s="197"/>
    </row>
    <row r="18888" spans="66:69" x14ac:dyDescent="0.2">
      <c r="BN18888" s="192"/>
      <c r="BO18888" s="197"/>
      <c r="BP18888" s="197"/>
      <c r="BQ18888" s="197"/>
    </row>
    <row r="18889" spans="66:69" x14ac:dyDescent="0.2">
      <c r="BN18889" s="192"/>
      <c r="BO18889" s="197"/>
      <c r="BP18889" s="197"/>
      <c r="BQ18889" s="197"/>
    </row>
    <row r="18890" spans="66:69" x14ac:dyDescent="0.2">
      <c r="BN18890" s="192"/>
      <c r="BO18890" s="197"/>
      <c r="BP18890" s="197"/>
      <c r="BQ18890" s="197"/>
    </row>
    <row r="18891" spans="66:69" x14ac:dyDescent="0.2">
      <c r="BN18891" s="192"/>
      <c r="BO18891" s="197"/>
      <c r="BP18891" s="197"/>
      <c r="BQ18891" s="197"/>
    </row>
    <row r="18892" spans="66:69" x14ac:dyDescent="0.2">
      <c r="BN18892" s="192"/>
      <c r="BO18892" s="197"/>
      <c r="BP18892" s="197"/>
      <c r="BQ18892" s="197"/>
    </row>
    <row r="18893" spans="66:69" x14ac:dyDescent="0.2">
      <c r="BN18893" s="192"/>
      <c r="BO18893" s="197"/>
      <c r="BP18893" s="197"/>
      <c r="BQ18893" s="197"/>
    </row>
    <row r="18894" spans="66:69" x14ac:dyDescent="0.2">
      <c r="BN18894" s="192"/>
      <c r="BO18894" s="197"/>
      <c r="BP18894" s="197"/>
      <c r="BQ18894" s="197"/>
    </row>
    <row r="18895" spans="66:69" x14ac:dyDescent="0.2">
      <c r="BN18895" s="192"/>
      <c r="BO18895" s="197"/>
      <c r="BP18895" s="197"/>
      <c r="BQ18895" s="197"/>
    </row>
    <row r="18896" spans="66:69" x14ac:dyDescent="0.2">
      <c r="BN18896" s="192"/>
      <c r="BO18896" s="197"/>
      <c r="BP18896" s="197"/>
      <c r="BQ18896" s="197"/>
    </row>
    <row r="18897" spans="66:69" x14ac:dyDescent="0.2">
      <c r="BN18897" s="192"/>
      <c r="BO18897" s="197"/>
      <c r="BP18897" s="197"/>
      <c r="BQ18897" s="197"/>
    </row>
    <row r="18898" spans="66:69" x14ac:dyDescent="0.2">
      <c r="BN18898" s="192"/>
      <c r="BO18898" s="197"/>
      <c r="BP18898" s="197"/>
      <c r="BQ18898" s="197"/>
    </row>
    <row r="18899" spans="66:69" x14ac:dyDescent="0.2">
      <c r="BN18899" s="192"/>
      <c r="BO18899" s="197"/>
      <c r="BP18899" s="197"/>
      <c r="BQ18899" s="197"/>
    </row>
    <row r="18900" spans="66:69" x14ac:dyDescent="0.2">
      <c r="BN18900" s="192"/>
      <c r="BO18900" s="197"/>
      <c r="BP18900" s="197"/>
      <c r="BQ18900" s="197"/>
    </row>
    <row r="18901" spans="66:69" x14ac:dyDescent="0.2">
      <c r="BN18901" s="192"/>
      <c r="BO18901" s="197"/>
      <c r="BP18901" s="197"/>
      <c r="BQ18901" s="197"/>
    </row>
    <row r="18902" spans="66:69" x14ac:dyDescent="0.2">
      <c r="BN18902" s="192"/>
      <c r="BO18902" s="197"/>
      <c r="BP18902" s="197"/>
      <c r="BQ18902" s="197"/>
    </row>
    <row r="18903" spans="66:69" x14ac:dyDescent="0.2">
      <c r="BN18903" s="192"/>
      <c r="BO18903" s="197"/>
      <c r="BP18903" s="197"/>
      <c r="BQ18903" s="197"/>
    </row>
    <row r="18904" spans="66:69" x14ac:dyDescent="0.2">
      <c r="BN18904" s="192"/>
      <c r="BO18904" s="197"/>
      <c r="BP18904" s="197"/>
      <c r="BQ18904" s="197"/>
    </row>
    <row r="18905" spans="66:69" x14ac:dyDescent="0.2">
      <c r="BN18905" s="192"/>
      <c r="BO18905" s="197"/>
      <c r="BP18905" s="197"/>
      <c r="BQ18905" s="197"/>
    </row>
    <row r="18906" spans="66:69" x14ac:dyDescent="0.2">
      <c r="BN18906" s="192"/>
      <c r="BO18906" s="197"/>
      <c r="BP18906" s="197"/>
      <c r="BQ18906" s="197"/>
    </row>
    <row r="18907" spans="66:69" x14ac:dyDescent="0.2">
      <c r="BN18907" s="192"/>
      <c r="BO18907" s="197"/>
      <c r="BP18907" s="197"/>
      <c r="BQ18907" s="197"/>
    </row>
    <row r="18908" spans="66:69" x14ac:dyDescent="0.2">
      <c r="BN18908" s="192"/>
      <c r="BO18908" s="197"/>
      <c r="BP18908" s="197"/>
      <c r="BQ18908" s="197"/>
    </row>
    <row r="18909" spans="66:69" x14ac:dyDescent="0.2">
      <c r="BN18909" s="192"/>
      <c r="BO18909" s="197"/>
      <c r="BP18909" s="197"/>
      <c r="BQ18909" s="197"/>
    </row>
    <row r="18910" spans="66:69" x14ac:dyDescent="0.2">
      <c r="BN18910" s="192"/>
      <c r="BO18910" s="197"/>
      <c r="BP18910" s="197"/>
      <c r="BQ18910" s="197"/>
    </row>
    <row r="18911" spans="66:69" x14ac:dyDescent="0.2">
      <c r="BN18911" s="192"/>
      <c r="BO18911" s="197"/>
      <c r="BP18911" s="197"/>
      <c r="BQ18911" s="197"/>
    </row>
    <row r="18912" spans="66:69" x14ac:dyDescent="0.2">
      <c r="BN18912" s="192"/>
      <c r="BO18912" s="197"/>
      <c r="BP18912" s="197"/>
      <c r="BQ18912" s="197"/>
    </row>
    <row r="18913" spans="66:69" x14ac:dyDescent="0.2">
      <c r="BN18913" s="192"/>
      <c r="BO18913" s="197"/>
      <c r="BP18913" s="197"/>
      <c r="BQ18913" s="197"/>
    </row>
    <row r="18914" spans="66:69" x14ac:dyDescent="0.2">
      <c r="BN18914" s="192"/>
      <c r="BO18914" s="197"/>
      <c r="BP18914" s="197"/>
      <c r="BQ18914" s="197"/>
    </row>
    <row r="18915" spans="66:69" x14ac:dyDescent="0.2">
      <c r="BN18915" s="192"/>
      <c r="BO18915" s="197"/>
      <c r="BP18915" s="197"/>
      <c r="BQ18915" s="197"/>
    </row>
    <row r="18916" spans="66:69" x14ac:dyDescent="0.2">
      <c r="BN18916" s="192"/>
      <c r="BO18916" s="197"/>
      <c r="BP18916" s="197"/>
      <c r="BQ18916" s="197"/>
    </row>
    <row r="18917" spans="66:69" x14ac:dyDescent="0.2">
      <c r="BN18917" s="192"/>
      <c r="BO18917" s="197"/>
      <c r="BP18917" s="197"/>
      <c r="BQ18917" s="197"/>
    </row>
    <row r="18918" spans="66:69" x14ac:dyDescent="0.2">
      <c r="BN18918" s="192"/>
      <c r="BO18918" s="197"/>
      <c r="BP18918" s="197"/>
      <c r="BQ18918" s="197"/>
    </row>
    <row r="18919" spans="66:69" x14ac:dyDescent="0.2">
      <c r="BN18919" s="192"/>
      <c r="BO18919" s="197"/>
      <c r="BP18919" s="197"/>
      <c r="BQ18919" s="197"/>
    </row>
    <row r="18920" spans="66:69" x14ac:dyDescent="0.2">
      <c r="BN18920" s="192"/>
      <c r="BO18920" s="197"/>
      <c r="BP18920" s="197"/>
      <c r="BQ18920" s="197"/>
    </row>
    <row r="18921" spans="66:69" x14ac:dyDescent="0.2">
      <c r="BN18921" s="192"/>
      <c r="BO18921" s="197"/>
      <c r="BP18921" s="197"/>
      <c r="BQ18921" s="197"/>
    </row>
    <row r="18922" spans="66:69" x14ac:dyDescent="0.2">
      <c r="BN18922" s="192"/>
      <c r="BO18922" s="197"/>
      <c r="BP18922" s="197"/>
      <c r="BQ18922" s="197"/>
    </row>
    <row r="18923" spans="66:69" x14ac:dyDescent="0.2">
      <c r="BN18923" s="192"/>
      <c r="BO18923" s="197"/>
      <c r="BP18923" s="197"/>
      <c r="BQ18923" s="197"/>
    </row>
    <row r="18924" spans="66:69" x14ac:dyDescent="0.2">
      <c r="BN18924" s="192"/>
      <c r="BO18924" s="197"/>
      <c r="BP18924" s="197"/>
      <c r="BQ18924" s="197"/>
    </row>
    <row r="18925" spans="66:69" x14ac:dyDescent="0.2">
      <c r="BN18925" s="192"/>
      <c r="BO18925" s="197"/>
      <c r="BP18925" s="197"/>
      <c r="BQ18925" s="197"/>
    </row>
    <row r="18926" spans="66:69" x14ac:dyDescent="0.2">
      <c r="BN18926" s="192"/>
      <c r="BO18926" s="197"/>
      <c r="BP18926" s="197"/>
      <c r="BQ18926" s="197"/>
    </row>
    <row r="18927" spans="66:69" x14ac:dyDescent="0.2">
      <c r="BN18927" s="192"/>
      <c r="BO18927" s="197"/>
      <c r="BP18927" s="197"/>
      <c r="BQ18927" s="197"/>
    </row>
    <row r="18928" spans="66:69" x14ac:dyDescent="0.2">
      <c r="BN18928" s="192"/>
      <c r="BO18928" s="197"/>
      <c r="BP18928" s="197"/>
      <c r="BQ18928" s="197"/>
    </row>
    <row r="18929" spans="66:69" x14ac:dyDescent="0.2">
      <c r="BN18929" s="192"/>
      <c r="BO18929" s="197"/>
      <c r="BP18929" s="197"/>
      <c r="BQ18929" s="197"/>
    </row>
    <row r="18930" spans="66:69" x14ac:dyDescent="0.2">
      <c r="BN18930" s="192"/>
      <c r="BO18930" s="197"/>
      <c r="BP18930" s="197"/>
      <c r="BQ18930" s="197"/>
    </row>
    <row r="18931" spans="66:69" x14ac:dyDescent="0.2">
      <c r="BN18931" s="192"/>
      <c r="BO18931" s="197"/>
      <c r="BP18931" s="197"/>
      <c r="BQ18931" s="197"/>
    </row>
    <row r="18932" spans="66:69" x14ac:dyDescent="0.2">
      <c r="BN18932" s="192"/>
      <c r="BO18932" s="197"/>
      <c r="BP18932" s="197"/>
      <c r="BQ18932" s="197"/>
    </row>
    <row r="18933" spans="66:69" x14ac:dyDescent="0.2">
      <c r="BN18933" s="192"/>
      <c r="BO18933" s="197"/>
      <c r="BP18933" s="197"/>
      <c r="BQ18933" s="197"/>
    </row>
    <row r="18934" spans="66:69" x14ac:dyDescent="0.2">
      <c r="BN18934" s="192"/>
      <c r="BO18934" s="197"/>
      <c r="BP18934" s="197"/>
      <c r="BQ18934" s="197"/>
    </row>
    <row r="18935" spans="66:69" x14ac:dyDescent="0.2">
      <c r="BN18935" s="192"/>
      <c r="BO18935" s="197"/>
      <c r="BP18935" s="197"/>
      <c r="BQ18935" s="197"/>
    </row>
    <row r="18936" spans="66:69" x14ac:dyDescent="0.2">
      <c r="BN18936" s="192"/>
      <c r="BO18936" s="197"/>
      <c r="BP18936" s="197"/>
      <c r="BQ18936" s="197"/>
    </row>
    <row r="18937" spans="66:69" x14ac:dyDescent="0.2">
      <c r="BN18937" s="192"/>
      <c r="BO18937" s="197"/>
      <c r="BP18937" s="197"/>
      <c r="BQ18937" s="197"/>
    </row>
    <row r="18938" spans="66:69" x14ac:dyDescent="0.2">
      <c r="BN18938" s="192"/>
      <c r="BO18938" s="197"/>
      <c r="BP18938" s="197"/>
      <c r="BQ18938" s="197"/>
    </row>
    <row r="18939" spans="66:69" x14ac:dyDescent="0.2">
      <c r="BN18939" s="192"/>
      <c r="BO18939" s="197"/>
      <c r="BP18939" s="197"/>
      <c r="BQ18939" s="197"/>
    </row>
    <row r="18940" spans="66:69" x14ac:dyDescent="0.2">
      <c r="BN18940" s="192"/>
      <c r="BO18940" s="197"/>
      <c r="BP18940" s="197"/>
      <c r="BQ18940" s="197"/>
    </row>
    <row r="18941" spans="66:69" x14ac:dyDescent="0.2">
      <c r="BN18941" s="192"/>
      <c r="BO18941" s="197"/>
      <c r="BP18941" s="197"/>
      <c r="BQ18941" s="197"/>
    </row>
    <row r="18942" spans="66:69" x14ac:dyDescent="0.2">
      <c r="BN18942" s="192"/>
      <c r="BO18942" s="197"/>
      <c r="BP18942" s="197"/>
      <c r="BQ18942" s="197"/>
    </row>
    <row r="18943" spans="66:69" x14ac:dyDescent="0.2">
      <c r="BN18943" s="192"/>
      <c r="BO18943" s="197"/>
      <c r="BP18943" s="197"/>
      <c r="BQ18943" s="197"/>
    </row>
    <row r="18944" spans="66:69" x14ac:dyDescent="0.2">
      <c r="BN18944" s="192"/>
      <c r="BO18944" s="197"/>
      <c r="BP18944" s="197"/>
      <c r="BQ18944" s="197"/>
    </row>
    <row r="18945" spans="66:69" x14ac:dyDescent="0.2">
      <c r="BN18945" s="192"/>
      <c r="BO18945" s="197"/>
      <c r="BP18945" s="197"/>
      <c r="BQ18945" s="197"/>
    </row>
    <row r="18946" spans="66:69" x14ac:dyDescent="0.2">
      <c r="BN18946" s="192"/>
      <c r="BO18946" s="197"/>
      <c r="BP18946" s="197"/>
      <c r="BQ18946" s="197"/>
    </row>
    <row r="18947" spans="66:69" x14ac:dyDescent="0.2">
      <c r="BN18947" s="192"/>
      <c r="BO18947" s="197"/>
      <c r="BP18947" s="197"/>
      <c r="BQ18947" s="197"/>
    </row>
    <row r="18948" spans="66:69" x14ac:dyDescent="0.2">
      <c r="BN18948" s="192"/>
      <c r="BO18948" s="197"/>
      <c r="BP18948" s="197"/>
      <c r="BQ18948" s="197"/>
    </row>
    <row r="18949" spans="66:69" x14ac:dyDescent="0.2">
      <c r="BN18949" s="192"/>
      <c r="BO18949" s="197"/>
      <c r="BP18949" s="197"/>
      <c r="BQ18949" s="197"/>
    </row>
    <row r="18950" spans="66:69" x14ac:dyDescent="0.2">
      <c r="BN18950" s="192"/>
      <c r="BO18950" s="197"/>
      <c r="BP18950" s="197"/>
      <c r="BQ18950" s="197"/>
    </row>
    <row r="18951" spans="66:69" x14ac:dyDescent="0.2">
      <c r="BN18951" s="192"/>
      <c r="BO18951" s="197"/>
      <c r="BP18951" s="197"/>
      <c r="BQ18951" s="197"/>
    </row>
    <row r="18952" spans="66:69" x14ac:dyDescent="0.2">
      <c r="BN18952" s="192"/>
      <c r="BO18952" s="197"/>
      <c r="BP18952" s="197"/>
      <c r="BQ18952" s="197"/>
    </row>
    <row r="18953" spans="66:69" x14ac:dyDescent="0.2">
      <c r="BN18953" s="192"/>
      <c r="BO18953" s="197"/>
      <c r="BP18953" s="197"/>
      <c r="BQ18953" s="197"/>
    </row>
    <row r="18954" spans="66:69" x14ac:dyDescent="0.2">
      <c r="BN18954" s="192"/>
      <c r="BO18954" s="197"/>
      <c r="BP18954" s="197"/>
      <c r="BQ18954" s="197"/>
    </row>
    <row r="18955" spans="66:69" x14ac:dyDescent="0.2">
      <c r="BN18955" s="192"/>
      <c r="BO18955" s="197"/>
      <c r="BP18955" s="197"/>
      <c r="BQ18955" s="197"/>
    </row>
    <row r="18956" spans="66:69" x14ac:dyDescent="0.2">
      <c r="BN18956" s="192"/>
      <c r="BO18956" s="197"/>
      <c r="BP18956" s="197"/>
      <c r="BQ18956" s="197"/>
    </row>
    <row r="18957" spans="66:69" x14ac:dyDescent="0.2">
      <c r="BN18957" s="192"/>
      <c r="BO18957" s="197"/>
      <c r="BP18957" s="197"/>
      <c r="BQ18957" s="197"/>
    </row>
    <row r="18958" spans="66:69" x14ac:dyDescent="0.2">
      <c r="BN18958" s="192"/>
      <c r="BO18958" s="197"/>
      <c r="BP18958" s="197"/>
      <c r="BQ18958" s="197"/>
    </row>
    <row r="18959" spans="66:69" x14ac:dyDescent="0.2">
      <c r="BN18959" s="192"/>
      <c r="BO18959" s="197"/>
      <c r="BP18959" s="197"/>
      <c r="BQ18959" s="197"/>
    </row>
    <row r="18960" spans="66:69" x14ac:dyDescent="0.2">
      <c r="BN18960" s="192"/>
      <c r="BO18960" s="197"/>
      <c r="BP18960" s="197"/>
      <c r="BQ18960" s="197"/>
    </row>
    <row r="18961" spans="66:69" x14ac:dyDescent="0.2">
      <c r="BN18961" s="192"/>
      <c r="BO18961" s="197"/>
      <c r="BP18961" s="197"/>
      <c r="BQ18961" s="197"/>
    </row>
    <row r="18962" spans="66:69" x14ac:dyDescent="0.2">
      <c r="BN18962" s="192"/>
      <c r="BO18962" s="197"/>
      <c r="BP18962" s="197"/>
      <c r="BQ18962" s="197"/>
    </row>
    <row r="18963" spans="66:69" x14ac:dyDescent="0.2">
      <c r="BN18963" s="192"/>
      <c r="BO18963" s="197"/>
      <c r="BP18963" s="197"/>
      <c r="BQ18963" s="197"/>
    </row>
    <row r="18964" spans="66:69" x14ac:dyDescent="0.2">
      <c r="BN18964" s="192"/>
      <c r="BO18964" s="197"/>
      <c r="BP18964" s="197"/>
      <c r="BQ18964" s="197"/>
    </row>
    <row r="18965" spans="66:69" x14ac:dyDescent="0.2">
      <c r="BN18965" s="192"/>
      <c r="BO18965" s="197"/>
      <c r="BP18965" s="197"/>
      <c r="BQ18965" s="197"/>
    </row>
    <row r="18966" spans="66:69" x14ac:dyDescent="0.2">
      <c r="BN18966" s="192"/>
      <c r="BO18966" s="197"/>
      <c r="BP18966" s="197"/>
      <c r="BQ18966" s="197"/>
    </row>
    <row r="18967" spans="66:69" x14ac:dyDescent="0.2">
      <c r="BN18967" s="192"/>
      <c r="BO18967" s="197"/>
      <c r="BP18967" s="197"/>
      <c r="BQ18967" s="197"/>
    </row>
    <row r="18968" spans="66:69" x14ac:dyDescent="0.2">
      <c r="BN18968" s="192"/>
      <c r="BO18968" s="197"/>
      <c r="BP18968" s="197"/>
      <c r="BQ18968" s="197"/>
    </row>
    <row r="18969" spans="66:69" x14ac:dyDescent="0.2">
      <c r="BN18969" s="192"/>
      <c r="BO18969" s="197"/>
      <c r="BP18969" s="197"/>
      <c r="BQ18969" s="197"/>
    </row>
    <row r="18970" spans="66:69" x14ac:dyDescent="0.2">
      <c r="BN18970" s="192"/>
      <c r="BO18970" s="197"/>
      <c r="BP18970" s="197"/>
      <c r="BQ18970" s="197"/>
    </row>
    <row r="18971" spans="66:69" x14ac:dyDescent="0.2">
      <c r="BN18971" s="192"/>
      <c r="BO18971" s="197"/>
      <c r="BP18971" s="197"/>
      <c r="BQ18971" s="197"/>
    </row>
    <row r="18972" spans="66:69" x14ac:dyDescent="0.2">
      <c r="BN18972" s="192"/>
      <c r="BO18972" s="197"/>
      <c r="BP18972" s="197"/>
      <c r="BQ18972" s="197"/>
    </row>
    <row r="18973" spans="66:69" x14ac:dyDescent="0.2">
      <c r="BN18973" s="192"/>
      <c r="BO18973" s="197"/>
      <c r="BP18973" s="197"/>
      <c r="BQ18973" s="197"/>
    </row>
    <row r="18974" spans="66:69" x14ac:dyDescent="0.2">
      <c r="BN18974" s="192"/>
      <c r="BO18974" s="197"/>
      <c r="BP18974" s="197"/>
      <c r="BQ18974" s="197"/>
    </row>
    <row r="18975" spans="66:69" x14ac:dyDescent="0.2">
      <c r="BN18975" s="192"/>
      <c r="BO18975" s="197"/>
      <c r="BP18975" s="197"/>
      <c r="BQ18975" s="197"/>
    </row>
    <row r="18976" spans="66:69" x14ac:dyDescent="0.2">
      <c r="BN18976" s="192"/>
      <c r="BO18976" s="197"/>
      <c r="BP18976" s="197"/>
      <c r="BQ18976" s="197"/>
    </row>
    <row r="18977" spans="66:69" x14ac:dyDescent="0.2">
      <c r="BN18977" s="192"/>
      <c r="BO18977" s="197"/>
      <c r="BP18977" s="197"/>
      <c r="BQ18977" s="197"/>
    </row>
    <row r="18978" spans="66:69" x14ac:dyDescent="0.2">
      <c r="BN18978" s="192"/>
      <c r="BO18978" s="197"/>
      <c r="BP18978" s="197"/>
      <c r="BQ18978" s="197"/>
    </row>
    <row r="18979" spans="66:69" x14ac:dyDescent="0.2">
      <c r="BN18979" s="192"/>
      <c r="BO18979" s="197"/>
      <c r="BP18979" s="197"/>
      <c r="BQ18979" s="197"/>
    </row>
    <row r="18980" spans="66:69" x14ac:dyDescent="0.2">
      <c r="BN18980" s="192"/>
      <c r="BO18980" s="197"/>
      <c r="BP18980" s="197"/>
      <c r="BQ18980" s="197"/>
    </row>
    <row r="18981" spans="66:69" x14ac:dyDescent="0.2">
      <c r="BN18981" s="192"/>
      <c r="BO18981" s="197"/>
      <c r="BP18981" s="197"/>
      <c r="BQ18981" s="197"/>
    </row>
    <row r="18982" spans="66:69" x14ac:dyDescent="0.2">
      <c r="BN18982" s="192"/>
      <c r="BO18982" s="197"/>
      <c r="BP18982" s="197"/>
      <c r="BQ18982" s="197"/>
    </row>
    <row r="18983" spans="66:69" x14ac:dyDescent="0.2">
      <c r="BN18983" s="192"/>
      <c r="BO18983" s="197"/>
      <c r="BP18983" s="197"/>
      <c r="BQ18983" s="197"/>
    </row>
    <row r="18984" spans="66:69" x14ac:dyDescent="0.2">
      <c r="BN18984" s="192"/>
      <c r="BO18984" s="197"/>
      <c r="BP18984" s="197"/>
      <c r="BQ18984" s="197"/>
    </row>
    <row r="18985" spans="66:69" x14ac:dyDescent="0.2">
      <c r="BN18985" s="192"/>
      <c r="BO18985" s="197"/>
      <c r="BP18985" s="197"/>
      <c r="BQ18985" s="197"/>
    </row>
    <row r="18986" spans="66:69" x14ac:dyDescent="0.2">
      <c r="BN18986" s="192"/>
      <c r="BO18986" s="197"/>
      <c r="BP18986" s="197"/>
      <c r="BQ18986" s="197"/>
    </row>
    <row r="18987" spans="66:69" x14ac:dyDescent="0.2">
      <c r="BN18987" s="192"/>
      <c r="BO18987" s="197"/>
      <c r="BP18987" s="197"/>
      <c r="BQ18987" s="197"/>
    </row>
    <row r="18988" spans="66:69" x14ac:dyDescent="0.2">
      <c r="BN18988" s="192"/>
      <c r="BO18988" s="197"/>
      <c r="BP18988" s="197"/>
      <c r="BQ18988" s="197"/>
    </row>
    <row r="18989" spans="66:69" x14ac:dyDescent="0.2">
      <c r="BN18989" s="192"/>
      <c r="BO18989" s="197"/>
      <c r="BP18989" s="197"/>
      <c r="BQ18989" s="197"/>
    </row>
    <row r="18990" spans="66:69" x14ac:dyDescent="0.2">
      <c r="BN18990" s="192"/>
      <c r="BO18990" s="197"/>
      <c r="BP18990" s="197"/>
      <c r="BQ18990" s="197"/>
    </row>
    <row r="18991" spans="66:69" x14ac:dyDescent="0.2">
      <c r="BN18991" s="192"/>
      <c r="BO18991" s="197"/>
      <c r="BP18991" s="197"/>
      <c r="BQ18991" s="197"/>
    </row>
    <row r="18992" spans="66:69" x14ac:dyDescent="0.2">
      <c r="BN18992" s="192"/>
      <c r="BO18992" s="197"/>
      <c r="BP18992" s="197"/>
      <c r="BQ18992" s="197"/>
    </row>
    <row r="18993" spans="66:69" x14ac:dyDescent="0.2">
      <c r="BN18993" s="192"/>
      <c r="BO18993" s="197"/>
      <c r="BP18993" s="197"/>
      <c r="BQ18993" s="197"/>
    </row>
    <row r="18994" spans="66:69" x14ac:dyDescent="0.2">
      <c r="BN18994" s="192"/>
      <c r="BO18994" s="197"/>
      <c r="BP18994" s="197"/>
      <c r="BQ18994" s="197"/>
    </row>
    <row r="18995" spans="66:69" x14ac:dyDescent="0.2">
      <c r="BN18995" s="192"/>
      <c r="BO18995" s="197"/>
      <c r="BP18995" s="197"/>
      <c r="BQ18995" s="197"/>
    </row>
    <row r="18996" spans="66:69" x14ac:dyDescent="0.2">
      <c r="BN18996" s="192"/>
      <c r="BO18996" s="197"/>
      <c r="BP18996" s="197"/>
      <c r="BQ18996" s="197"/>
    </row>
    <row r="18997" spans="66:69" x14ac:dyDescent="0.2">
      <c r="BN18997" s="192"/>
      <c r="BO18997" s="197"/>
      <c r="BP18997" s="197"/>
      <c r="BQ18997" s="197"/>
    </row>
    <row r="18998" spans="66:69" x14ac:dyDescent="0.2">
      <c r="BN18998" s="192"/>
      <c r="BO18998" s="197"/>
      <c r="BP18998" s="197"/>
      <c r="BQ18998" s="197"/>
    </row>
    <row r="18999" spans="66:69" x14ac:dyDescent="0.2">
      <c r="BN18999" s="192"/>
      <c r="BO18999" s="197"/>
      <c r="BP18999" s="197"/>
      <c r="BQ18999" s="197"/>
    </row>
    <row r="19000" spans="66:69" x14ac:dyDescent="0.2">
      <c r="BN19000" s="192"/>
      <c r="BO19000" s="197"/>
      <c r="BP19000" s="197"/>
      <c r="BQ19000" s="197"/>
    </row>
    <row r="19001" spans="66:69" x14ac:dyDescent="0.2">
      <c r="BN19001" s="192"/>
      <c r="BO19001" s="197"/>
      <c r="BP19001" s="197"/>
      <c r="BQ19001" s="197"/>
    </row>
    <row r="19002" spans="66:69" x14ac:dyDescent="0.2">
      <c r="BN19002" s="192"/>
      <c r="BO19002" s="197"/>
      <c r="BP19002" s="197"/>
      <c r="BQ19002" s="197"/>
    </row>
    <row r="19003" spans="66:69" x14ac:dyDescent="0.2">
      <c r="BN19003" s="192"/>
      <c r="BO19003" s="197"/>
      <c r="BP19003" s="197"/>
      <c r="BQ19003" s="197"/>
    </row>
    <row r="19004" spans="66:69" x14ac:dyDescent="0.2">
      <c r="BN19004" s="192"/>
      <c r="BO19004" s="197"/>
      <c r="BP19004" s="197"/>
      <c r="BQ19004" s="197"/>
    </row>
    <row r="19005" spans="66:69" x14ac:dyDescent="0.2">
      <c r="BN19005" s="192"/>
      <c r="BO19005" s="197"/>
      <c r="BP19005" s="197"/>
      <c r="BQ19005" s="197"/>
    </row>
    <row r="19006" spans="66:69" x14ac:dyDescent="0.2">
      <c r="BN19006" s="192"/>
      <c r="BO19006" s="197"/>
      <c r="BP19006" s="197"/>
      <c r="BQ19006" s="197"/>
    </row>
    <row r="19007" spans="66:69" x14ac:dyDescent="0.2">
      <c r="BN19007" s="192"/>
      <c r="BO19007" s="197"/>
      <c r="BP19007" s="197"/>
      <c r="BQ19007" s="197"/>
    </row>
    <row r="19008" spans="66:69" x14ac:dyDescent="0.2">
      <c r="BN19008" s="192"/>
      <c r="BO19008" s="197"/>
      <c r="BP19008" s="197"/>
      <c r="BQ19008" s="197"/>
    </row>
    <row r="19009" spans="66:69" x14ac:dyDescent="0.2">
      <c r="BN19009" s="192"/>
      <c r="BO19009" s="197"/>
      <c r="BP19009" s="197"/>
      <c r="BQ19009" s="197"/>
    </row>
    <row r="19010" spans="66:69" x14ac:dyDescent="0.2">
      <c r="BN19010" s="192"/>
      <c r="BO19010" s="197"/>
      <c r="BP19010" s="197"/>
      <c r="BQ19010" s="197"/>
    </row>
    <row r="19011" spans="66:69" x14ac:dyDescent="0.2">
      <c r="BN19011" s="192"/>
      <c r="BO19011" s="197"/>
      <c r="BP19011" s="197"/>
      <c r="BQ19011" s="197"/>
    </row>
    <row r="19012" spans="66:69" x14ac:dyDescent="0.2">
      <c r="BN19012" s="192"/>
      <c r="BO19012" s="197"/>
      <c r="BP19012" s="197"/>
      <c r="BQ19012" s="197"/>
    </row>
    <row r="19013" spans="66:69" x14ac:dyDescent="0.2">
      <c r="BN19013" s="192"/>
      <c r="BO19013" s="197"/>
      <c r="BP19013" s="197"/>
      <c r="BQ19013" s="197"/>
    </row>
    <row r="19014" spans="66:69" x14ac:dyDescent="0.2">
      <c r="BN19014" s="192"/>
      <c r="BO19014" s="197"/>
      <c r="BP19014" s="197"/>
      <c r="BQ19014" s="197"/>
    </row>
    <row r="19015" spans="66:69" x14ac:dyDescent="0.2">
      <c r="BN19015" s="192"/>
      <c r="BO19015" s="197"/>
      <c r="BP19015" s="197"/>
      <c r="BQ19015" s="197"/>
    </row>
    <row r="19016" spans="66:69" x14ac:dyDescent="0.2">
      <c r="BN19016" s="192"/>
      <c r="BO19016" s="197"/>
      <c r="BP19016" s="197"/>
      <c r="BQ19016" s="197"/>
    </row>
    <row r="19017" spans="66:69" x14ac:dyDescent="0.2">
      <c r="BN19017" s="192"/>
      <c r="BO19017" s="197"/>
      <c r="BP19017" s="197"/>
      <c r="BQ19017" s="197"/>
    </row>
    <row r="19018" spans="66:69" x14ac:dyDescent="0.2">
      <c r="BN19018" s="192"/>
      <c r="BO19018" s="197"/>
      <c r="BP19018" s="197"/>
      <c r="BQ19018" s="197"/>
    </row>
    <row r="19019" spans="66:69" x14ac:dyDescent="0.2">
      <c r="BN19019" s="192"/>
      <c r="BO19019" s="197"/>
      <c r="BP19019" s="197"/>
      <c r="BQ19019" s="197"/>
    </row>
    <row r="19020" spans="66:69" x14ac:dyDescent="0.2">
      <c r="BN19020" s="192"/>
      <c r="BO19020" s="197"/>
      <c r="BP19020" s="197"/>
      <c r="BQ19020" s="197"/>
    </row>
    <row r="19021" spans="66:69" x14ac:dyDescent="0.2">
      <c r="BN19021" s="192"/>
      <c r="BO19021" s="197"/>
      <c r="BP19021" s="197"/>
      <c r="BQ19021" s="197"/>
    </row>
    <row r="19022" spans="66:69" x14ac:dyDescent="0.2">
      <c r="BN19022" s="192"/>
      <c r="BO19022" s="197"/>
      <c r="BP19022" s="197"/>
      <c r="BQ19022" s="197"/>
    </row>
    <row r="19023" spans="66:69" x14ac:dyDescent="0.2">
      <c r="BN19023" s="192"/>
      <c r="BO19023" s="197"/>
      <c r="BP19023" s="197"/>
      <c r="BQ19023" s="197"/>
    </row>
    <row r="19024" spans="66:69" x14ac:dyDescent="0.2">
      <c r="BN19024" s="192"/>
      <c r="BO19024" s="197"/>
      <c r="BP19024" s="197"/>
      <c r="BQ19024" s="197"/>
    </row>
    <row r="19025" spans="66:69" x14ac:dyDescent="0.2">
      <c r="BN19025" s="192"/>
      <c r="BO19025" s="197"/>
      <c r="BP19025" s="197"/>
      <c r="BQ19025" s="197"/>
    </row>
    <row r="19026" spans="66:69" x14ac:dyDescent="0.2">
      <c r="BN19026" s="192"/>
      <c r="BO19026" s="197"/>
      <c r="BP19026" s="197"/>
      <c r="BQ19026" s="197"/>
    </row>
    <row r="19027" spans="66:69" x14ac:dyDescent="0.2">
      <c r="BN19027" s="192"/>
      <c r="BO19027" s="197"/>
      <c r="BP19027" s="197"/>
      <c r="BQ19027" s="197"/>
    </row>
    <row r="19028" spans="66:69" x14ac:dyDescent="0.2">
      <c r="BN19028" s="192"/>
      <c r="BO19028" s="197"/>
      <c r="BP19028" s="197"/>
      <c r="BQ19028" s="197"/>
    </row>
    <row r="19029" spans="66:69" x14ac:dyDescent="0.2">
      <c r="BN19029" s="192"/>
      <c r="BO19029" s="197"/>
      <c r="BP19029" s="197"/>
      <c r="BQ19029" s="197"/>
    </row>
    <row r="19030" spans="66:69" x14ac:dyDescent="0.2">
      <c r="BN19030" s="192"/>
      <c r="BO19030" s="197"/>
      <c r="BP19030" s="197"/>
      <c r="BQ19030" s="197"/>
    </row>
    <row r="19031" spans="66:69" x14ac:dyDescent="0.2">
      <c r="BN19031" s="192"/>
      <c r="BO19031" s="197"/>
      <c r="BP19031" s="197"/>
      <c r="BQ19031" s="197"/>
    </row>
    <row r="19032" spans="66:69" x14ac:dyDescent="0.2">
      <c r="BN19032" s="192"/>
      <c r="BO19032" s="197"/>
      <c r="BP19032" s="197"/>
      <c r="BQ19032" s="197"/>
    </row>
    <row r="19033" spans="66:69" x14ac:dyDescent="0.2">
      <c r="BN19033" s="192"/>
      <c r="BO19033" s="197"/>
      <c r="BP19033" s="197"/>
      <c r="BQ19033" s="197"/>
    </row>
    <row r="19034" spans="66:69" x14ac:dyDescent="0.2">
      <c r="BN19034" s="192"/>
      <c r="BO19034" s="197"/>
      <c r="BP19034" s="197"/>
      <c r="BQ19034" s="197"/>
    </row>
    <row r="19035" spans="66:69" x14ac:dyDescent="0.2">
      <c r="BN19035" s="192"/>
      <c r="BO19035" s="197"/>
      <c r="BP19035" s="197"/>
      <c r="BQ19035" s="197"/>
    </row>
    <row r="19036" spans="66:69" x14ac:dyDescent="0.2">
      <c r="BN19036" s="192"/>
      <c r="BO19036" s="197"/>
      <c r="BP19036" s="197"/>
      <c r="BQ19036" s="197"/>
    </row>
    <row r="19037" spans="66:69" x14ac:dyDescent="0.2">
      <c r="BN19037" s="192"/>
      <c r="BO19037" s="197"/>
      <c r="BP19037" s="197"/>
      <c r="BQ19037" s="197"/>
    </row>
    <row r="19038" spans="66:69" x14ac:dyDescent="0.2">
      <c r="BN19038" s="192"/>
      <c r="BO19038" s="197"/>
      <c r="BP19038" s="197"/>
      <c r="BQ19038" s="197"/>
    </row>
    <row r="19039" spans="66:69" x14ac:dyDescent="0.2">
      <c r="BN19039" s="192"/>
      <c r="BO19039" s="197"/>
      <c r="BP19039" s="197"/>
      <c r="BQ19039" s="197"/>
    </row>
    <row r="19040" spans="66:69" x14ac:dyDescent="0.2">
      <c r="BN19040" s="192"/>
      <c r="BO19040" s="197"/>
      <c r="BP19040" s="197"/>
      <c r="BQ19040" s="197"/>
    </row>
    <row r="19041" spans="66:69" x14ac:dyDescent="0.2">
      <c r="BN19041" s="192"/>
      <c r="BO19041" s="197"/>
      <c r="BP19041" s="197"/>
      <c r="BQ19041" s="197"/>
    </row>
    <row r="19042" spans="66:69" x14ac:dyDescent="0.2">
      <c r="BN19042" s="192"/>
      <c r="BO19042" s="197"/>
      <c r="BP19042" s="197"/>
      <c r="BQ19042" s="197"/>
    </row>
    <row r="19043" spans="66:69" x14ac:dyDescent="0.2">
      <c r="BN19043" s="192"/>
      <c r="BO19043" s="197"/>
      <c r="BP19043" s="197"/>
      <c r="BQ19043" s="197"/>
    </row>
    <row r="19044" spans="66:69" x14ac:dyDescent="0.2">
      <c r="BN19044" s="192"/>
      <c r="BO19044" s="197"/>
      <c r="BP19044" s="197"/>
      <c r="BQ19044" s="197"/>
    </row>
    <row r="19045" spans="66:69" x14ac:dyDescent="0.2">
      <c r="BN19045" s="192"/>
      <c r="BO19045" s="197"/>
      <c r="BP19045" s="197"/>
      <c r="BQ19045" s="197"/>
    </row>
    <row r="19046" spans="66:69" x14ac:dyDescent="0.2">
      <c r="BN19046" s="192"/>
      <c r="BO19046" s="197"/>
      <c r="BP19046" s="197"/>
      <c r="BQ19046" s="197"/>
    </row>
    <row r="19047" spans="66:69" x14ac:dyDescent="0.2">
      <c r="BN19047" s="192"/>
      <c r="BO19047" s="197"/>
      <c r="BP19047" s="197"/>
      <c r="BQ19047" s="197"/>
    </row>
    <row r="19048" spans="66:69" x14ac:dyDescent="0.2">
      <c r="BN19048" s="192"/>
      <c r="BO19048" s="197"/>
      <c r="BP19048" s="197"/>
      <c r="BQ19048" s="197"/>
    </row>
    <row r="19049" spans="66:69" x14ac:dyDescent="0.2">
      <c r="BN19049" s="192"/>
      <c r="BO19049" s="197"/>
      <c r="BP19049" s="197"/>
      <c r="BQ19049" s="197"/>
    </row>
    <row r="19050" spans="66:69" x14ac:dyDescent="0.2">
      <c r="BN19050" s="192"/>
      <c r="BO19050" s="197"/>
      <c r="BP19050" s="197"/>
      <c r="BQ19050" s="197"/>
    </row>
    <row r="19051" spans="66:69" x14ac:dyDescent="0.2">
      <c r="BN19051" s="192"/>
      <c r="BO19051" s="197"/>
      <c r="BP19051" s="197"/>
      <c r="BQ19051" s="197"/>
    </row>
    <row r="19052" spans="66:69" x14ac:dyDescent="0.2">
      <c r="BN19052" s="192"/>
      <c r="BO19052" s="197"/>
      <c r="BP19052" s="197"/>
      <c r="BQ19052" s="197"/>
    </row>
    <row r="19053" spans="66:69" x14ac:dyDescent="0.2">
      <c r="BN19053" s="192"/>
      <c r="BO19053" s="197"/>
      <c r="BP19053" s="197"/>
      <c r="BQ19053" s="197"/>
    </row>
    <row r="19054" spans="66:69" x14ac:dyDescent="0.2">
      <c r="BN19054" s="192"/>
      <c r="BO19054" s="197"/>
      <c r="BP19054" s="197"/>
      <c r="BQ19054" s="197"/>
    </row>
    <row r="19055" spans="66:69" x14ac:dyDescent="0.2">
      <c r="BN19055" s="192"/>
      <c r="BO19055" s="197"/>
      <c r="BP19055" s="197"/>
      <c r="BQ19055" s="197"/>
    </row>
    <row r="19056" spans="66:69" x14ac:dyDescent="0.2">
      <c r="BN19056" s="192"/>
      <c r="BO19056" s="197"/>
      <c r="BP19056" s="197"/>
      <c r="BQ19056" s="197"/>
    </row>
    <row r="19057" spans="66:69" x14ac:dyDescent="0.2">
      <c r="BN19057" s="192"/>
      <c r="BO19057" s="197"/>
      <c r="BP19057" s="197"/>
      <c r="BQ19057" s="197"/>
    </row>
    <row r="19058" spans="66:69" x14ac:dyDescent="0.2">
      <c r="BN19058" s="192"/>
      <c r="BO19058" s="197"/>
      <c r="BP19058" s="197"/>
      <c r="BQ19058" s="197"/>
    </row>
    <row r="19059" spans="66:69" x14ac:dyDescent="0.2">
      <c r="BN19059" s="192"/>
      <c r="BO19059" s="197"/>
      <c r="BP19059" s="197"/>
      <c r="BQ19059" s="197"/>
    </row>
    <row r="19060" spans="66:69" x14ac:dyDescent="0.2">
      <c r="BN19060" s="192"/>
      <c r="BO19060" s="197"/>
      <c r="BP19060" s="197"/>
      <c r="BQ19060" s="197"/>
    </row>
    <row r="19061" spans="66:69" x14ac:dyDescent="0.2">
      <c r="BN19061" s="192"/>
      <c r="BO19061" s="197"/>
      <c r="BP19061" s="197"/>
      <c r="BQ19061" s="197"/>
    </row>
    <row r="19062" spans="66:69" x14ac:dyDescent="0.2">
      <c r="BN19062" s="192"/>
      <c r="BO19062" s="197"/>
      <c r="BP19062" s="197"/>
      <c r="BQ19062" s="197"/>
    </row>
    <row r="19063" spans="66:69" x14ac:dyDescent="0.2">
      <c r="BN19063" s="192"/>
      <c r="BO19063" s="197"/>
      <c r="BP19063" s="197"/>
      <c r="BQ19063" s="197"/>
    </row>
    <row r="19064" spans="66:69" x14ac:dyDescent="0.2">
      <c r="BN19064" s="192"/>
      <c r="BO19064" s="197"/>
      <c r="BP19064" s="197"/>
      <c r="BQ19064" s="197"/>
    </row>
    <row r="19065" spans="66:69" x14ac:dyDescent="0.2">
      <c r="BN19065" s="192"/>
      <c r="BO19065" s="197"/>
      <c r="BP19065" s="197"/>
      <c r="BQ19065" s="197"/>
    </row>
    <row r="19066" spans="66:69" x14ac:dyDescent="0.2">
      <c r="BN19066" s="192"/>
      <c r="BO19066" s="197"/>
      <c r="BP19066" s="197"/>
      <c r="BQ19066" s="197"/>
    </row>
    <row r="19067" spans="66:69" x14ac:dyDescent="0.2">
      <c r="BN19067" s="192"/>
      <c r="BO19067" s="197"/>
      <c r="BP19067" s="197"/>
      <c r="BQ19067" s="197"/>
    </row>
    <row r="19068" spans="66:69" x14ac:dyDescent="0.2">
      <c r="BN19068" s="192"/>
      <c r="BO19068" s="197"/>
      <c r="BP19068" s="197"/>
      <c r="BQ19068" s="197"/>
    </row>
    <row r="19069" spans="66:69" x14ac:dyDescent="0.2">
      <c r="BN19069" s="192"/>
      <c r="BO19069" s="197"/>
      <c r="BP19069" s="197"/>
      <c r="BQ19069" s="197"/>
    </row>
    <row r="19070" spans="66:69" x14ac:dyDescent="0.2">
      <c r="BN19070" s="192"/>
      <c r="BO19070" s="197"/>
      <c r="BP19070" s="197"/>
      <c r="BQ19070" s="197"/>
    </row>
    <row r="19071" spans="66:69" x14ac:dyDescent="0.2">
      <c r="BN19071" s="192"/>
      <c r="BO19071" s="197"/>
      <c r="BP19071" s="197"/>
      <c r="BQ19071" s="197"/>
    </row>
    <row r="19072" spans="66:69" x14ac:dyDescent="0.2">
      <c r="BN19072" s="192"/>
      <c r="BO19072" s="197"/>
      <c r="BP19072" s="197"/>
      <c r="BQ19072" s="197"/>
    </row>
    <row r="19073" spans="66:69" x14ac:dyDescent="0.2">
      <c r="BN19073" s="192"/>
      <c r="BO19073" s="197"/>
      <c r="BP19073" s="197"/>
      <c r="BQ19073" s="197"/>
    </row>
    <row r="19074" spans="66:69" x14ac:dyDescent="0.2">
      <c r="BN19074" s="192"/>
      <c r="BO19074" s="197"/>
      <c r="BP19074" s="197"/>
      <c r="BQ19074" s="197"/>
    </row>
    <row r="19075" spans="66:69" x14ac:dyDescent="0.2">
      <c r="BN19075" s="192"/>
      <c r="BO19075" s="197"/>
      <c r="BP19075" s="197"/>
      <c r="BQ19075" s="197"/>
    </row>
    <row r="19076" spans="66:69" x14ac:dyDescent="0.2">
      <c r="BN19076" s="192"/>
      <c r="BO19076" s="197"/>
      <c r="BP19076" s="197"/>
      <c r="BQ19076" s="197"/>
    </row>
    <row r="19077" spans="66:69" x14ac:dyDescent="0.2">
      <c r="BN19077" s="192"/>
      <c r="BO19077" s="197"/>
      <c r="BP19077" s="197"/>
      <c r="BQ19077" s="197"/>
    </row>
    <row r="19078" spans="66:69" x14ac:dyDescent="0.2">
      <c r="BN19078" s="192"/>
      <c r="BO19078" s="197"/>
      <c r="BP19078" s="197"/>
      <c r="BQ19078" s="197"/>
    </row>
    <row r="19079" spans="66:69" x14ac:dyDescent="0.2">
      <c r="BN19079" s="192"/>
      <c r="BO19079" s="197"/>
      <c r="BP19079" s="197"/>
      <c r="BQ19079" s="197"/>
    </row>
    <row r="19080" spans="66:69" x14ac:dyDescent="0.2">
      <c r="BN19080" s="192"/>
      <c r="BO19080" s="197"/>
      <c r="BP19080" s="197"/>
      <c r="BQ19080" s="197"/>
    </row>
    <row r="19081" spans="66:69" x14ac:dyDescent="0.2">
      <c r="BN19081" s="192"/>
      <c r="BO19081" s="197"/>
      <c r="BP19081" s="197"/>
      <c r="BQ19081" s="197"/>
    </row>
    <row r="19082" spans="66:69" x14ac:dyDescent="0.2">
      <c r="BN19082" s="192"/>
      <c r="BO19082" s="197"/>
      <c r="BP19082" s="197"/>
      <c r="BQ19082" s="197"/>
    </row>
    <row r="19083" spans="66:69" x14ac:dyDescent="0.2">
      <c r="BN19083" s="192"/>
      <c r="BO19083" s="197"/>
      <c r="BP19083" s="197"/>
      <c r="BQ19083" s="197"/>
    </row>
    <row r="19084" spans="66:69" x14ac:dyDescent="0.2">
      <c r="BN19084" s="192"/>
      <c r="BO19084" s="197"/>
      <c r="BP19084" s="197"/>
      <c r="BQ19084" s="197"/>
    </row>
    <row r="19085" spans="66:69" x14ac:dyDescent="0.2">
      <c r="BN19085" s="192"/>
      <c r="BO19085" s="197"/>
      <c r="BP19085" s="197"/>
      <c r="BQ19085" s="197"/>
    </row>
    <row r="19086" spans="66:69" x14ac:dyDescent="0.2">
      <c r="BN19086" s="192"/>
      <c r="BO19086" s="197"/>
      <c r="BP19086" s="197"/>
      <c r="BQ19086" s="197"/>
    </row>
    <row r="19087" spans="66:69" x14ac:dyDescent="0.2">
      <c r="BN19087" s="192"/>
      <c r="BO19087" s="197"/>
      <c r="BP19087" s="197"/>
      <c r="BQ19087" s="197"/>
    </row>
    <row r="19088" spans="66:69" x14ac:dyDescent="0.2">
      <c r="BN19088" s="192"/>
      <c r="BO19088" s="197"/>
      <c r="BP19088" s="197"/>
      <c r="BQ19088" s="197"/>
    </row>
    <row r="19089" spans="66:69" x14ac:dyDescent="0.2">
      <c r="BN19089" s="192"/>
      <c r="BO19089" s="197"/>
      <c r="BP19089" s="197"/>
      <c r="BQ19089" s="197"/>
    </row>
    <row r="19090" spans="66:69" x14ac:dyDescent="0.2">
      <c r="BN19090" s="192"/>
      <c r="BO19090" s="197"/>
      <c r="BP19090" s="197"/>
      <c r="BQ19090" s="197"/>
    </row>
    <row r="19091" spans="66:69" x14ac:dyDescent="0.2">
      <c r="BN19091" s="192"/>
      <c r="BO19091" s="197"/>
      <c r="BP19091" s="197"/>
      <c r="BQ19091" s="197"/>
    </row>
    <row r="19092" spans="66:69" x14ac:dyDescent="0.2">
      <c r="BN19092" s="192"/>
      <c r="BO19092" s="197"/>
      <c r="BP19092" s="197"/>
      <c r="BQ19092" s="197"/>
    </row>
    <row r="19093" spans="66:69" x14ac:dyDescent="0.2">
      <c r="BN19093" s="192"/>
      <c r="BO19093" s="197"/>
      <c r="BP19093" s="197"/>
      <c r="BQ19093" s="197"/>
    </row>
    <row r="19094" spans="66:69" x14ac:dyDescent="0.2">
      <c r="BN19094" s="192"/>
      <c r="BO19094" s="197"/>
      <c r="BP19094" s="197"/>
      <c r="BQ19094" s="197"/>
    </row>
    <row r="19095" spans="66:69" x14ac:dyDescent="0.2">
      <c r="BN19095" s="192"/>
      <c r="BO19095" s="197"/>
      <c r="BP19095" s="197"/>
      <c r="BQ19095" s="197"/>
    </row>
    <row r="19096" spans="66:69" x14ac:dyDescent="0.2">
      <c r="BN19096" s="192"/>
      <c r="BO19096" s="197"/>
      <c r="BP19096" s="197"/>
      <c r="BQ19096" s="197"/>
    </row>
    <row r="19097" spans="66:69" x14ac:dyDescent="0.2">
      <c r="BN19097" s="192"/>
      <c r="BO19097" s="197"/>
      <c r="BP19097" s="197"/>
      <c r="BQ19097" s="197"/>
    </row>
    <row r="19098" spans="66:69" x14ac:dyDescent="0.2">
      <c r="BN19098" s="192"/>
      <c r="BO19098" s="197"/>
      <c r="BP19098" s="197"/>
      <c r="BQ19098" s="197"/>
    </row>
    <row r="19099" spans="66:69" x14ac:dyDescent="0.2">
      <c r="BN19099" s="192"/>
      <c r="BO19099" s="197"/>
      <c r="BP19099" s="197"/>
      <c r="BQ19099" s="197"/>
    </row>
    <row r="19100" spans="66:69" x14ac:dyDescent="0.2">
      <c r="BN19100" s="192"/>
      <c r="BO19100" s="197"/>
      <c r="BP19100" s="197"/>
      <c r="BQ19100" s="197"/>
    </row>
    <row r="19101" spans="66:69" x14ac:dyDescent="0.2">
      <c r="BN19101" s="192"/>
      <c r="BO19101" s="197"/>
      <c r="BP19101" s="197"/>
      <c r="BQ19101" s="197"/>
    </row>
    <row r="19102" spans="66:69" x14ac:dyDescent="0.2">
      <c r="BN19102" s="192"/>
      <c r="BO19102" s="197"/>
      <c r="BP19102" s="197"/>
      <c r="BQ19102" s="197"/>
    </row>
    <row r="19103" spans="66:69" x14ac:dyDescent="0.2">
      <c r="BN19103" s="192"/>
      <c r="BO19103" s="197"/>
      <c r="BP19103" s="197"/>
      <c r="BQ19103" s="197"/>
    </row>
    <row r="19104" spans="66:69" x14ac:dyDescent="0.2">
      <c r="BN19104" s="192"/>
      <c r="BO19104" s="197"/>
      <c r="BP19104" s="197"/>
      <c r="BQ19104" s="197"/>
    </row>
    <row r="19105" spans="66:69" x14ac:dyDescent="0.2">
      <c r="BN19105" s="192"/>
      <c r="BO19105" s="197"/>
      <c r="BP19105" s="197"/>
      <c r="BQ19105" s="197"/>
    </row>
    <row r="19106" spans="66:69" x14ac:dyDescent="0.2">
      <c r="BN19106" s="192"/>
      <c r="BO19106" s="197"/>
      <c r="BP19106" s="197"/>
      <c r="BQ19106" s="197"/>
    </row>
    <row r="19107" spans="66:69" x14ac:dyDescent="0.2">
      <c r="BN19107" s="192"/>
      <c r="BO19107" s="197"/>
      <c r="BP19107" s="197"/>
      <c r="BQ19107" s="197"/>
    </row>
    <row r="19108" spans="66:69" x14ac:dyDescent="0.2">
      <c r="BN19108" s="192"/>
      <c r="BO19108" s="197"/>
      <c r="BP19108" s="197"/>
      <c r="BQ19108" s="197"/>
    </row>
    <row r="19109" spans="66:69" x14ac:dyDescent="0.2">
      <c r="BN19109" s="192"/>
      <c r="BO19109" s="197"/>
      <c r="BP19109" s="197"/>
      <c r="BQ19109" s="197"/>
    </row>
    <row r="19110" spans="66:69" x14ac:dyDescent="0.2">
      <c r="BN19110" s="192"/>
      <c r="BO19110" s="197"/>
      <c r="BP19110" s="197"/>
      <c r="BQ19110" s="197"/>
    </row>
    <row r="19111" spans="66:69" x14ac:dyDescent="0.2">
      <c r="BN19111" s="192"/>
      <c r="BO19111" s="197"/>
      <c r="BP19111" s="197"/>
      <c r="BQ19111" s="197"/>
    </row>
    <row r="19112" spans="66:69" x14ac:dyDescent="0.2">
      <c r="BN19112" s="192"/>
      <c r="BO19112" s="197"/>
      <c r="BP19112" s="197"/>
      <c r="BQ19112" s="197"/>
    </row>
    <row r="19113" spans="66:69" x14ac:dyDescent="0.2">
      <c r="BN19113" s="192"/>
      <c r="BO19113" s="197"/>
      <c r="BP19113" s="197"/>
      <c r="BQ19113" s="197"/>
    </row>
    <row r="19114" spans="66:69" x14ac:dyDescent="0.2">
      <c r="BN19114" s="192"/>
      <c r="BO19114" s="197"/>
      <c r="BP19114" s="197"/>
      <c r="BQ19114" s="197"/>
    </row>
    <row r="19115" spans="66:69" x14ac:dyDescent="0.2">
      <c r="BN19115" s="192"/>
      <c r="BO19115" s="197"/>
      <c r="BP19115" s="197"/>
      <c r="BQ19115" s="197"/>
    </row>
    <row r="19116" spans="66:69" x14ac:dyDescent="0.2">
      <c r="BN19116" s="192"/>
      <c r="BO19116" s="197"/>
      <c r="BP19116" s="197"/>
      <c r="BQ19116" s="197"/>
    </row>
    <row r="19117" spans="66:69" x14ac:dyDescent="0.2">
      <c r="BN19117" s="192"/>
      <c r="BO19117" s="197"/>
      <c r="BP19117" s="197"/>
      <c r="BQ19117" s="197"/>
    </row>
    <row r="19118" spans="66:69" x14ac:dyDescent="0.2">
      <c r="BN19118" s="192"/>
      <c r="BO19118" s="197"/>
      <c r="BP19118" s="197"/>
      <c r="BQ19118" s="197"/>
    </row>
    <row r="19119" spans="66:69" x14ac:dyDescent="0.2">
      <c r="BN19119" s="192"/>
      <c r="BO19119" s="197"/>
      <c r="BP19119" s="197"/>
      <c r="BQ19119" s="197"/>
    </row>
    <row r="19120" spans="66:69" x14ac:dyDescent="0.2">
      <c r="BN19120" s="192"/>
      <c r="BO19120" s="197"/>
      <c r="BP19120" s="197"/>
      <c r="BQ19120" s="197"/>
    </row>
    <row r="19121" spans="66:69" x14ac:dyDescent="0.2">
      <c r="BN19121" s="192"/>
      <c r="BO19121" s="197"/>
      <c r="BP19121" s="197"/>
      <c r="BQ19121" s="197"/>
    </row>
    <row r="19122" spans="66:69" x14ac:dyDescent="0.2">
      <c r="BN19122" s="192"/>
      <c r="BO19122" s="197"/>
      <c r="BP19122" s="197"/>
      <c r="BQ19122" s="197"/>
    </row>
    <row r="19123" spans="66:69" x14ac:dyDescent="0.2">
      <c r="BN19123" s="192"/>
      <c r="BO19123" s="197"/>
      <c r="BP19123" s="197"/>
      <c r="BQ19123" s="197"/>
    </row>
    <row r="19124" spans="66:69" x14ac:dyDescent="0.2">
      <c r="BN19124" s="192"/>
      <c r="BO19124" s="197"/>
      <c r="BP19124" s="197"/>
      <c r="BQ19124" s="197"/>
    </row>
    <row r="19125" spans="66:69" x14ac:dyDescent="0.2">
      <c r="BN19125" s="192"/>
      <c r="BO19125" s="197"/>
      <c r="BP19125" s="197"/>
      <c r="BQ19125" s="197"/>
    </row>
    <row r="19126" spans="66:69" x14ac:dyDescent="0.2">
      <c r="BN19126" s="192"/>
      <c r="BO19126" s="197"/>
      <c r="BP19126" s="197"/>
      <c r="BQ19126" s="197"/>
    </row>
    <row r="19127" spans="66:69" x14ac:dyDescent="0.2">
      <c r="BN19127" s="192"/>
      <c r="BO19127" s="197"/>
      <c r="BP19127" s="197"/>
      <c r="BQ19127" s="197"/>
    </row>
    <row r="19128" spans="66:69" x14ac:dyDescent="0.2">
      <c r="BN19128" s="192"/>
      <c r="BO19128" s="197"/>
      <c r="BP19128" s="197"/>
      <c r="BQ19128" s="197"/>
    </row>
    <row r="19129" spans="66:69" x14ac:dyDescent="0.2">
      <c r="BN19129" s="192"/>
      <c r="BO19129" s="197"/>
      <c r="BP19129" s="197"/>
      <c r="BQ19129" s="197"/>
    </row>
    <row r="19130" spans="66:69" x14ac:dyDescent="0.2">
      <c r="BN19130" s="192"/>
      <c r="BO19130" s="197"/>
      <c r="BP19130" s="197"/>
      <c r="BQ19130" s="197"/>
    </row>
    <row r="19131" spans="66:69" x14ac:dyDescent="0.2">
      <c r="BN19131" s="192"/>
      <c r="BO19131" s="197"/>
      <c r="BP19131" s="197"/>
      <c r="BQ19131" s="197"/>
    </row>
    <row r="19132" spans="66:69" x14ac:dyDescent="0.2">
      <c r="BN19132" s="192"/>
      <c r="BO19132" s="197"/>
      <c r="BP19132" s="197"/>
      <c r="BQ19132" s="197"/>
    </row>
    <row r="19133" spans="66:69" x14ac:dyDescent="0.2">
      <c r="BN19133" s="192"/>
      <c r="BO19133" s="197"/>
      <c r="BP19133" s="197"/>
      <c r="BQ19133" s="197"/>
    </row>
    <row r="19134" spans="66:69" x14ac:dyDescent="0.2">
      <c r="BN19134" s="192"/>
      <c r="BO19134" s="197"/>
      <c r="BP19134" s="197"/>
      <c r="BQ19134" s="197"/>
    </row>
    <row r="19135" spans="66:69" x14ac:dyDescent="0.2">
      <c r="BN19135" s="192"/>
      <c r="BO19135" s="197"/>
      <c r="BP19135" s="197"/>
      <c r="BQ19135" s="197"/>
    </row>
    <row r="19136" spans="66:69" x14ac:dyDescent="0.2">
      <c r="BN19136" s="192"/>
      <c r="BO19136" s="197"/>
      <c r="BP19136" s="197"/>
      <c r="BQ19136" s="197"/>
    </row>
    <row r="19137" spans="66:69" x14ac:dyDescent="0.2">
      <c r="BN19137" s="192"/>
      <c r="BO19137" s="197"/>
      <c r="BP19137" s="197"/>
      <c r="BQ19137" s="197"/>
    </row>
    <row r="19138" spans="66:69" x14ac:dyDescent="0.2">
      <c r="BN19138" s="192"/>
      <c r="BO19138" s="197"/>
      <c r="BP19138" s="197"/>
      <c r="BQ19138" s="197"/>
    </row>
    <row r="19139" spans="66:69" x14ac:dyDescent="0.2">
      <c r="BN19139" s="192"/>
      <c r="BO19139" s="197"/>
      <c r="BP19139" s="197"/>
      <c r="BQ19139" s="197"/>
    </row>
    <row r="19140" spans="66:69" x14ac:dyDescent="0.2">
      <c r="BN19140" s="192"/>
      <c r="BO19140" s="197"/>
      <c r="BP19140" s="197"/>
      <c r="BQ19140" s="197"/>
    </row>
    <row r="19141" spans="66:69" x14ac:dyDescent="0.2">
      <c r="BN19141" s="192"/>
      <c r="BO19141" s="197"/>
      <c r="BP19141" s="197"/>
      <c r="BQ19141" s="197"/>
    </row>
    <row r="19142" spans="66:69" x14ac:dyDescent="0.2">
      <c r="BN19142" s="192"/>
      <c r="BO19142" s="197"/>
      <c r="BP19142" s="197"/>
      <c r="BQ19142" s="197"/>
    </row>
    <row r="19143" spans="66:69" x14ac:dyDescent="0.2">
      <c r="BN19143" s="192"/>
      <c r="BO19143" s="197"/>
      <c r="BP19143" s="197"/>
      <c r="BQ19143" s="197"/>
    </row>
    <row r="19144" spans="66:69" x14ac:dyDescent="0.2">
      <c r="BN19144" s="192"/>
      <c r="BO19144" s="197"/>
      <c r="BP19144" s="197"/>
      <c r="BQ19144" s="197"/>
    </row>
    <row r="19145" spans="66:69" x14ac:dyDescent="0.2">
      <c r="BN19145" s="192"/>
      <c r="BO19145" s="197"/>
      <c r="BP19145" s="197"/>
      <c r="BQ19145" s="197"/>
    </row>
    <row r="19146" spans="66:69" x14ac:dyDescent="0.2">
      <c r="BN19146" s="192"/>
      <c r="BO19146" s="197"/>
      <c r="BP19146" s="197"/>
      <c r="BQ19146" s="197"/>
    </row>
    <row r="19147" spans="66:69" x14ac:dyDescent="0.2">
      <c r="BN19147" s="192"/>
      <c r="BO19147" s="197"/>
      <c r="BP19147" s="197"/>
      <c r="BQ19147" s="197"/>
    </row>
    <row r="19148" spans="66:69" x14ac:dyDescent="0.2">
      <c r="BN19148" s="192"/>
      <c r="BO19148" s="197"/>
      <c r="BP19148" s="197"/>
      <c r="BQ19148" s="197"/>
    </row>
    <row r="19149" spans="66:69" x14ac:dyDescent="0.2">
      <c r="BN19149" s="192"/>
      <c r="BO19149" s="197"/>
      <c r="BP19149" s="197"/>
      <c r="BQ19149" s="197"/>
    </row>
    <row r="19150" spans="66:69" x14ac:dyDescent="0.2">
      <c r="BN19150" s="192"/>
      <c r="BO19150" s="197"/>
      <c r="BP19150" s="197"/>
      <c r="BQ19150" s="197"/>
    </row>
    <row r="19151" spans="66:69" x14ac:dyDescent="0.2">
      <c r="BN19151" s="192"/>
      <c r="BO19151" s="197"/>
      <c r="BP19151" s="197"/>
      <c r="BQ19151" s="197"/>
    </row>
    <row r="19152" spans="66:69" x14ac:dyDescent="0.2">
      <c r="BN19152" s="192"/>
      <c r="BO19152" s="197"/>
      <c r="BP19152" s="197"/>
      <c r="BQ19152" s="197"/>
    </row>
    <row r="19153" spans="66:69" x14ac:dyDescent="0.2">
      <c r="BN19153" s="192"/>
      <c r="BO19153" s="197"/>
      <c r="BP19153" s="197"/>
      <c r="BQ19153" s="197"/>
    </row>
    <row r="19154" spans="66:69" x14ac:dyDescent="0.2">
      <c r="BN19154" s="192"/>
      <c r="BO19154" s="197"/>
      <c r="BP19154" s="197"/>
      <c r="BQ19154" s="197"/>
    </row>
    <row r="19155" spans="66:69" x14ac:dyDescent="0.2">
      <c r="BN19155" s="192"/>
      <c r="BO19155" s="197"/>
      <c r="BP19155" s="197"/>
      <c r="BQ19155" s="197"/>
    </row>
    <row r="19156" spans="66:69" x14ac:dyDescent="0.2">
      <c r="BN19156" s="192"/>
      <c r="BO19156" s="197"/>
      <c r="BP19156" s="197"/>
      <c r="BQ19156" s="197"/>
    </row>
    <row r="19157" spans="66:69" x14ac:dyDescent="0.2">
      <c r="BN19157" s="192"/>
      <c r="BO19157" s="197"/>
      <c r="BP19157" s="197"/>
      <c r="BQ19157" s="197"/>
    </row>
    <row r="19158" spans="66:69" x14ac:dyDescent="0.2">
      <c r="BN19158" s="192"/>
      <c r="BO19158" s="197"/>
      <c r="BP19158" s="197"/>
      <c r="BQ19158" s="197"/>
    </row>
    <row r="19159" spans="66:69" x14ac:dyDescent="0.2">
      <c r="BN19159" s="192"/>
      <c r="BO19159" s="197"/>
      <c r="BP19159" s="197"/>
      <c r="BQ19159" s="197"/>
    </row>
    <row r="19160" spans="66:69" x14ac:dyDescent="0.2">
      <c r="BN19160" s="192"/>
      <c r="BO19160" s="197"/>
      <c r="BP19160" s="197"/>
      <c r="BQ19160" s="197"/>
    </row>
    <row r="19161" spans="66:69" x14ac:dyDescent="0.2">
      <c r="BN19161" s="192"/>
      <c r="BO19161" s="197"/>
      <c r="BP19161" s="197"/>
      <c r="BQ19161" s="197"/>
    </row>
    <row r="19162" spans="66:69" x14ac:dyDescent="0.2">
      <c r="BN19162" s="192"/>
      <c r="BO19162" s="197"/>
      <c r="BP19162" s="197"/>
      <c r="BQ19162" s="197"/>
    </row>
    <row r="19163" spans="66:69" x14ac:dyDescent="0.2">
      <c r="BN19163" s="192"/>
      <c r="BO19163" s="197"/>
      <c r="BP19163" s="197"/>
      <c r="BQ19163" s="197"/>
    </row>
    <row r="19164" spans="66:69" x14ac:dyDescent="0.2">
      <c r="BN19164" s="192"/>
      <c r="BO19164" s="197"/>
      <c r="BP19164" s="197"/>
      <c r="BQ19164" s="197"/>
    </row>
    <row r="19165" spans="66:69" x14ac:dyDescent="0.2">
      <c r="BN19165" s="192"/>
      <c r="BO19165" s="197"/>
      <c r="BP19165" s="197"/>
      <c r="BQ19165" s="197"/>
    </row>
    <row r="19166" spans="66:69" x14ac:dyDescent="0.2">
      <c r="BN19166" s="192"/>
      <c r="BO19166" s="197"/>
      <c r="BP19166" s="197"/>
      <c r="BQ19166" s="197"/>
    </row>
    <row r="19167" spans="66:69" x14ac:dyDescent="0.2">
      <c r="BN19167" s="192"/>
      <c r="BO19167" s="197"/>
      <c r="BP19167" s="197"/>
      <c r="BQ19167" s="197"/>
    </row>
    <row r="19168" spans="66:69" x14ac:dyDescent="0.2">
      <c r="BN19168" s="192"/>
      <c r="BO19168" s="197"/>
      <c r="BP19168" s="197"/>
      <c r="BQ19168" s="197"/>
    </row>
    <row r="19169" spans="66:69" x14ac:dyDescent="0.2">
      <c r="BN19169" s="192"/>
      <c r="BO19169" s="197"/>
      <c r="BP19169" s="197"/>
      <c r="BQ19169" s="197"/>
    </row>
    <row r="19170" spans="66:69" x14ac:dyDescent="0.2">
      <c r="BN19170" s="192"/>
      <c r="BO19170" s="197"/>
      <c r="BP19170" s="197"/>
      <c r="BQ19170" s="197"/>
    </row>
    <row r="19171" spans="66:69" x14ac:dyDescent="0.2">
      <c r="BN19171" s="192"/>
      <c r="BO19171" s="197"/>
      <c r="BP19171" s="197"/>
      <c r="BQ19171" s="197"/>
    </row>
    <row r="19172" spans="66:69" x14ac:dyDescent="0.2">
      <c r="BN19172" s="192"/>
      <c r="BO19172" s="197"/>
      <c r="BP19172" s="197"/>
      <c r="BQ19172" s="197"/>
    </row>
    <row r="19173" spans="66:69" x14ac:dyDescent="0.2">
      <c r="BN19173" s="192"/>
      <c r="BO19173" s="197"/>
      <c r="BP19173" s="197"/>
      <c r="BQ19173" s="197"/>
    </row>
    <row r="19174" spans="66:69" x14ac:dyDescent="0.2">
      <c r="BN19174" s="192"/>
      <c r="BO19174" s="197"/>
      <c r="BP19174" s="197"/>
      <c r="BQ19174" s="197"/>
    </row>
    <row r="19175" spans="66:69" x14ac:dyDescent="0.2">
      <c r="BN19175" s="192"/>
      <c r="BO19175" s="197"/>
      <c r="BP19175" s="197"/>
      <c r="BQ19175" s="197"/>
    </row>
    <row r="19176" spans="66:69" x14ac:dyDescent="0.2">
      <c r="BN19176" s="192"/>
      <c r="BO19176" s="197"/>
      <c r="BP19176" s="197"/>
      <c r="BQ19176" s="197"/>
    </row>
    <row r="19177" spans="66:69" x14ac:dyDescent="0.2">
      <c r="BN19177" s="192"/>
      <c r="BO19177" s="197"/>
      <c r="BP19177" s="197"/>
      <c r="BQ19177" s="197"/>
    </row>
    <row r="19178" spans="66:69" x14ac:dyDescent="0.2">
      <c r="BN19178" s="192"/>
      <c r="BO19178" s="197"/>
      <c r="BP19178" s="197"/>
      <c r="BQ19178" s="197"/>
    </row>
    <row r="19179" spans="66:69" x14ac:dyDescent="0.2">
      <c r="BN19179" s="192"/>
      <c r="BO19179" s="197"/>
      <c r="BP19179" s="197"/>
      <c r="BQ19179" s="197"/>
    </row>
    <row r="19180" spans="66:69" x14ac:dyDescent="0.2">
      <c r="BN19180" s="192"/>
      <c r="BO19180" s="197"/>
      <c r="BP19180" s="197"/>
      <c r="BQ19180" s="197"/>
    </row>
    <row r="19181" spans="66:69" x14ac:dyDescent="0.2">
      <c r="BN19181" s="192"/>
      <c r="BO19181" s="197"/>
      <c r="BP19181" s="197"/>
      <c r="BQ19181" s="197"/>
    </row>
    <row r="19182" spans="66:69" x14ac:dyDescent="0.2">
      <c r="BN19182" s="192"/>
      <c r="BO19182" s="197"/>
      <c r="BP19182" s="197"/>
      <c r="BQ19182" s="197"/>
    </row>
    <row r="19183" spans="66:69" x14ac:dyDescent="0.2">
      <c r="BN19183" s="192"/>
      <c r="BO19183" s="197"/>
      <c r="BP19183" s="197"/>
      <c r="BQ19183" s="197"/>
    </row>
    <row r="19184" spans="66:69" x14ac:dyDescent="0.2">
      <c r="BN19184" s="192"/>
      <c r="BO19184" s="197"/>
      <c r="BP19184" s="197"/>
      <c r="BQ19184" s="197"/>
    </row>
    <row r="19185" spans="66:69" x14ac:dyDescent="0.2">
      <c r="BN19185" s="192"/>
      <c r="BO19185" s="197"/>
      <c r="BP19185" s="197"/>
      <c r="BQ19185" s="197"/>
    </row>
    <row r="19186" spans="66:69" x14ac:dyDescent="0.2">
      <c r="BN19186" s="192"/>
      <c r="BO19186" s="197"/>
      <c r="BP19186" s="197"/>
      <c r="BQ19186" s="197"/>
    </row>
    <row r="19187" spans="66:69" x14ac:dyDescent="0.2">
      <c r="BN19187" s="192"/>
      <c r="BO19187" s="197"/>
      <c r="BP19187" s="197"/>
      <c r="BQ19187" s="197"/>
    </row>
    <row r="19188" spans="66:69" x14ac:dyDescent="0.2">
      <c r="BN19188" s="192"/>
      <c r="BO19188" s="197"/>
      <c r="BP19188" s="197"/>
      <c r="BQ19188" s="197"/>
    </row>
    <row r="19189" spans="66:69" x14ac:dyDescent="0.2">
      <c r="BN19189" s="192"/>
      <c r="BO19189" s="197"/>
      <c r="BP19189" s="197"/>
      <c r="BQ19189" s="197"/>
    </row>
    <row r="19190" spans="66:69" x14ac:dyDescent="0.2">
      <c r="BN19190" s="192"/>
      <c r="BO19190" s="197"/>
      <c r="BP19190" s="197"/>
      <c r="BQ19190" s="197"/>
    </row>
    <row r="19191" spans="66:69" x14ac:dyDescent="0.2">
      <c r="BN19191" s="192"/>
      <c r="BO19191" s="197"/>
      <c r="BP19191" s="197"/>
      <c r="BQ19191" s="197"/>
    </row>
    <row r="19192" spans="66:69" x14ac:dyDescent="0.2">
      <c r="BN19192" s="192"/>
      <c r="BO19192" s="197"/>
      <c r="BP19192" s="197"/>
      <c r="BQ19192" s="197"/>
    </row>
    <row r="19193" spans="66:69" x14ac:dyDescent="0.2">
      <c r="BN19193" s="192"/>
      <c r="BO19193" s="197"/>
      <c r="BP19193" s="197"/>
      <c r="BQ19193" s="197"/>
    </row>
    <row r="19194" spans="66:69" x14ac:dyDescent="0.2">
      <c r="BN19194" s="192"/>
      <c r="BO19194" s="197"/>
      <c r="BP19194" s="197"/>
      <c r="BQ19194" s="197"/>
    </row>
    <row r="19195" spans="66:69" x14ac:dyDescent="0.2">
      <c r="BN19195" s="192"/>
      <c r="BO19195" s="197"/>
      <c r="BP19195" s="197"/>
      <c r="BQ19195" s="197"/>
    </row>
    <row r="19196" spans="66:69" x14ac:dyDescent="0.2">
      <c r="BN19196" s="192"/>
      <c r="BO19196" s="197"/>
      <c r="BP19196" s="197"/>
      <c r="BQ19196" s="197"/>
    </row>
    <row r="19197" spans="66:69" x14ac:dyDescent="0.2">
      <c r="BN19197" s="192"/>
      <c r="BO19197" s="197"/>
      <c r="BP19197" s="197"/>
      <c r="BQ19197" s="197"/>
    </row>
    <row r="19198" spans="66:69" x14ac:dyDescent="0.2">
      <c r="BN19198" s="192"/>
      <c r="BO19198" s="197"/>
      <c r="BP19198" s="197"/>
      <c r="BQ19198" s="197"/>
    </row>
    <row r="19199" spans="66:69" x14ac:dyDescent="0.2">
      <c r="BN19199" s="192"/>
      <c r="BO19199" s="197"/>
      <c r="BP19199" s="197"/>
      <c r="BQ19199" s="197"/>
    </row>
    <row r="19200" spans="66:69" x14ac:dyDescent="0.2">
      <c r="BN19200" s="192"/>
      <c r="BO19200" s="197"/>
      <c r="BP19200" s="197"/>
      <c r="BQ19200" s="197"/>
    </row>
    <row r="19201" spans="66:69" x14ac:dyDescent="0.2">
      <c r="BN19201" s="192"/>
      <c r="BO19201" s="197"/>
      <c r="BP19201" s="197"/>
      <c r="BQ19201" s="197"/>
    </row>
    <row r="19202" spans="66:69" x14ac:dyDescent="0.2">
      <c r="BN19202" s="192"/>
      <c r="BO19202" s="197"/>
      <c r="BP19202" s="197"/>
      <c r="BQ19202" s="197"/>
    </row>
    <row r="19203" spans="66:69" x14ac:dyDescent="0.2">
      <c r="BN19203" s="192"/>
      <c r="BO19203" s="197"/>
      <c r="BP19203" s="197"/>
      <c r="BQ19203" s="197"/>
    </row>
    <row r="19204" spans="66:69" x14ac:dyDescent="0.2">
      <c r="BN19204" s="192"/>
      <c r="BO19204" s="197"/>
      <c r="BP19204" s="197"/>
      <c r="BQ19204" s="197"/>
    </row>
    <row r="19205" spans="66:69" x14ac:dyDescent="0.2">
      <c r="BN19205" s="192"/>
      <c r="BO19205" s="197"/>
      <c r="BP19205" s="197"/>
      <c r="BQ19205" s="197"/>
    </row>
    <row r="19206" spans="66:69" x14ac:dyDescent="0.2">
      <c r="BN19206" s="192"/>
      <c r="BO19206" s="197"/>
      <c r="BP19206" s="197"/>
      <c r="BQ19206" s="197"/>
    </row>
    <row r="19207" spans="66:69" x14ac:dyDescent="0.2">
      <c r="BN19207" s="192"/>
      <c r="BO19207" s="197"/>
      <c r="BP19207" s="197"/>
      <c r="BQ19207" s="197"/>
    </row>
    <row r="19208" spans="66:69" x14ac:dyDescent="0.2">
      <c r="BN19208" s="192"/>
      <c r="BO19208" s="197"/>
      <c r="BP19208" s="197"/>
      <c r="BQ19208" s="197"/>
    </row>
    <row r="19209" spans="66:69" x14ac:dyDescent="0.2">
      <c r="BN19209" s="192"/>
      <c r="BO19209" s="197"/>
      <c r="BP19209" s="197"/>
      <c r="BQ19209" s="197"/>
    </row>
    <row r="19210" spans="66:69" x14ac:dyDescent="0.2">
      <c r="BN19210" s="192"/>
      <c r="BO19210" s="197"/>
      <c r="BP19210" s="197"/>
      <c r="BQ19210" s="197"/>
    </row>
    <row r="19211" spans="66:69" x14ac:dyDescent="0.2">
      <c r="BN19211" s="192"/>
      <c r="BO19211" s="197"/>
      <c r="BP19211" s="197"/>
      <c r="BQ19211" s="197"/>
    </row>
    <row r="19212" spans="66:69" x14ac:dyDescent="0.2">
      <c r="BN19212" s="192"/>
      <c r="BO19212" s="197"/>
      <c r="BP19212" s="197"/>
      <c r="BQ19212" s="197"/>
    </row>
    <row r="19213" spans="66:69" x14ac:dyDescent="0.2">
      <c r="BN19213" s="192"/>
      <c r="BO19213" s="197"/>
      <c r="BP19213" s="197"/>
      <c r="BQ19213" s="197"/>
    </row>
    <row r="19214" spans="66:69" x14ac:dyDescent="0.2">
      <c r="BN19214" s="192"/>
      <c r="BO19214" s="197"/>
      <c r="BP19214" s="197"/>
      <c r="BQ19214" s="197"/>
    </row>
    <row r="19215" spans="66:69" x14ac:dyDescent="0.2">
      <c r="BN19215" s="192"/>
      <c r="BO19215" s="197"/>
      <c r="BP19215" s="197"/>
      <c r="BQ19215" s="197"/>
    </row>
    <row r="19216" spans="66:69" x14ac:dyDescent="0.2">
      <c r="BN19216" s="192"/>
      <c r="BO19216" s="197"/>
      <c r="BP19216" s="197"/>
      <c r="BQ19216" s="197"/>
    </row>
    <row r="19217" spans="66:69" x14ac:dyDescent="0.2">
      <c r="BN19217" s="192"/>
      <c r="BO19217" s="197"/>
      <c r="BP19217" s="197"/>
      <c r="BQ19217" s="197"/>
    </row>
    <row r="19218" spans="66:69" x14ac:dyDescent="0.2">
      <c r="BN19218" s="192"/>
      <c r="BO19218" s="197"/>
      <c r="BP19218" s="197"/>
      <c r="BQ19218" s="197"/>
    </row>
    <row r="19219" spans="66:69" x14ac:dyDescent="0.2">
      <c r="BN19219" s="192"/>
      <c r="BO19219" s="197"/>
      <c r="BP19219" s="197"/>
      <c r="BQ19219" s="197"/>
    </row>
    <row r="19220" spans="66:69" x14ac:dyDescent="0.2">
      <c r="BN19220" s="192"/>
      <c r="BO19220" s="197"/>
      <c r="BP19220" s="197"/>
      <c r="BQ19220" s="197"/>
    </row>
    <row r="19221" spans="66:69" x14ac:dyDescent="0.2">
      <c r="BN19221" s="192"/>
      <c r="BO19221" s="197"/>
      <c r="BP19221" s="197"/>
      <c r="BQ19221" s="197"/>
    </row>
    <row r="19222" spans="66:69" x14ac:dyDescent="0.2">
      <c r="BN19222" s="192"/>
      <c r="BO19222" s="197"/>
      <c r="BP19222" s="197"/>
      <c r="BQ19222" s="197"/>
    </row>
    <row r="19223" spans="66:69" x14ac:dyDescent="0.2">
      <c r="BN19223" s="192"/>
      <c r="BO19223" s="197"/>
      <c r="BP19223" s="197"/>
      <c r="BQ19223" s="197"/>
    </row>
    <row r="19224" spans="66:69" x14ac:dyDescent="0.2">
      <c r="BN19224" s="192"/>
      <c r="BO19224" s="197"/>
      <c r="BP19224" s="197"/>
      <c r="BQ19224" s="197"/>
    </row>
    <row r="19225" spans="66:69" x14ac:dyDescent="0.2">
      <c r="BN19225" s="192"/>
      <c r="BO19225" s="197"/>
      <c r="BP19225" s="197"/>
      <c r="BQ19225" s="197"/>
    </row>
    <row r="19226" spans="66:69" x14ac:dyDescent="0.2">
      <c r="BN19226" s="192"/>
      <c r="BO19226" s="197"/>
      <c r="BP19226" s="197"/>
      <c r="BQ19226" s="197"/>
    </row>
    <row r="19227" spans="66:69" x14ac:dyDescent="0.2">
      <c r="BN19227" s="192"/>
      <c r="BO19227" s="197"/>
      <c r="BP19227" s="197"/>
      <c r="BQ19227" s="197"/>
    </row>
    <row r="19228" spans="66:69" x14ac:dyDescent="0.2">
      <c r="BN19228" s="192"/>
      <c r="BO19228" s="197"/>
      <c r="BP19228" s="197"/>
      <c r="BQ19228" s="197"/>
    </row>
    <row r="19229" spans="66:69" x14ac:dyDescent="0.2">
      <c r="BN19229" s="192"/>
      <c r="BO19229" s="197"/>
      <c r="BP19229" s="197"/>
      <c r="BQ19229" s="197"/>
    </row>
    <row r="19230" spans="66:69" x14ac:dyDescent="0.2">
      <c r="BN19230" s="192"/>
      <c r="BO19230" s="197"/>
      <c r="BP19230" s="197"/>
      <c r="BQ19230" s="197"/>
    </row>
    <row r="19231" spans="66:69" x14ac:dyDescent="0.2">
      <c r="BN19231" s="192"/>
      <c r="BO19231" s="197"/>
      <c r="BP19231" s="197"/>
      <c r="BQ19231" s="197"/>
    </row>
    <row r="19232" spans="66:69" x14ac:dyDescent="0.2">
      <c r="BN19232" s="192"/>
      <c r="BO19232" s="197"/>
      <c r="BP19232" s="197"/>
      <c r="BQ19232" s="197"/>
    </row>
    <row r="19233" spans="66:69" x14ac:dyDescent="0.2">
      <c r="BN19233" s="192"/>
      <c r="BO19233" s="197"/>
      <c r="BP19233" s="197"/>
      <c r="BQ19233" s="197"/>
    </row>
    <row r="19234" spans="66:69" x14ac:dyDescent="0.2">
      <c r="BN19234" s="192"/>
      <c r="BO19234" s="197"/>
      <c r="BP19234" s="197"/>
      <c r="BQ19234" s="197"/>
    </row>
    <row r="19235" spans="66:69" x14ac:dyDescent="0.2">
      <c r="BN19235" s="192"/>
      <c r="BO19235" s="197"/>
      <c r="BP19235" s="197"/>
      <c r="BQ19235" s="197"/>
    </row>
    <row r="19236" spans="66:69" x14ac:dyDescent="0.2">
      <c r="BN19236" s="192"/>
      <c r="BO19236" s="197"/>
      <c r="BP19236" s="197"/>
      <c r="BQ19236" s="197"/>
    </row>
    <row r="19237" spans="66:69" x14ac:dyDescent="0.2">
      <c r="BN19237" s="192"/>
      <c r="BO19237" s="197"/>
      <c r="BP19237" s="197"/>
      <c r="BQ19237" s="197"/>
    </row>
    <row r="19238" spans="66:69" x14ac:dyDescent="0.2">
      <c r="BN19238" s="192"/>
      <c r="BO19238" s="197"/>
      <c r="BP19238" s="197"/>
      <c r="BQ19238" s="197"/>
    </row>
    <row r="19239" spans="66:69" x14ac:dyDescent="0.2">
      <c r="BN19239" s="192"/>
      <c r="BO19239" s="197"/>
      <c r="BP19239" s="197"/>
      <c r="BQ19239" s="197"/>
    </row>
    <row r="19240" spans="66:69" x14ac:dyDescent="0.2">
      <c r="BN19240" s="192"/>
      <c r="BO19240" s="197"/>
      <c r="BP19240" s="197"/>
      <c r="BQ19240" s="197"/>
    </row>
    <row r="19241" spans="66:69" x14ac:dyDescent="0.2">
      <c r="BN19241" s="192"/>
      <c r="BO19241" s="197"/>
      <c r="BP19241" s="197"/>
      <c r="BQ19241" s="197"/>
    </row>
    <row r="19242" spans="66:69" x14ac:dyDescent="0.2">
      <c r="BN19242" s="192"/>
      <c r="BO19242" s="197"/>
      <c r="BP19242" s="197"/>
      <c r="BQ19242" s="197"/>
    </row>
    <row r="19243" spans="66:69" x14ac:dyDescent="0.2">
      <c r="BN19243" s="192"/>
      <c r="BO19243" s="197"/>
      <c r="BP19243" s="197"/>
      <c r="BQ19243" s="197"/>
    </row>
    <row r="19244" spans="66:69" x14ac:dyDescent="0.2">
      <c r="BN19244" s="192"/>
      <c r="BO19244" s="197"/>
      <c r="BP19244" s="197"/>
      <c r="BQ19244" s="197"/>
    </row>
    <row r="19245" spans="66:69" x14ac:dyDescent="0.2">
      <c r="BN19245" s="192"/>
      <c r="BO19245" s="197"/>
      <c r="BP19245" s="197"/>
      <c r="BQ19245" s="197"/>
    </row>
    <row r="19246" spans="66:69" x14ac:dyDescent="0.2">
      <c r="BN19246" s="192"/>
      <c r="BO19246" s="197"/>
      <c r="BP19246" s="197"/>
      <c r="BQ19246" s="197"/>
    </row>
    <row r="19247" spans="66:69" x14ac:dyDescent="0.2">
      <c r="BN19247" s="192"/>
      <c r="BO19247" s="197"/>
      <c r="BP19247" s="197"/>
      <c r="BQ19247" s="197"/>
    </row>
    <row r="19248" spans="66:69" x14ac:dyDescent="0.2">
      <c r="BN19248" s="192"/>
      <c r="BO19248" s="197"/>
      <c r="BP19248" s="197"/>
      <c r="BQ19248" s="197"/>
    </row>
    <row r="19249" spans="66:69" x14ac:dyDescent="0.2">
      <c r="BN19249" s="192"/>
      <c r="BO19249" s="197"/>
      <c r="BP19249" s="197"/>
      <c r="BQ19249" s="197"/>
    </row>
    <row r="19250" spans="66:69" x14ac:dyDescent="0.2">
      <c r="BN19250" s="192"/>
      <c r="BO19250" s="197"/>
      <c r="BP19250" s="197"/>
      <c r="BQ19250" s="197"/>
    </row>
    <row r="19251" spans="66:69" x14ac:dyDescent="0.2">
      <c r="BN19251" s="192"/>
      <c r="BO19251" s="197"/>
      <c r="BP19251" s="197"/>
      <c r="BQ19251" s="197"/>
    </row>
    <row r="19252" spans="66:69" x14ac:dyDescent="0.2">
      <c r="BN19252" s="192"/>
      <c r="BO19252" s="197"/>
      <c r="BP19252" s="197"/>
      <c r="BQ19252" s="197"/>
    </row>
    <row r="19253" spans="66:69" x14ac:dyDescent="0.2">
      <c r="BN19253" s="192"/>
      <c r="BO19253" s="197"/>
      <c r="BP19253" s="197"/>
      <c r="BQ19253" s="197"/>
    </row>
    <row r="19254" spans="66:69" x14ac:dyDescent="0.2">
      <c r="BN19254" s="192"/>
      <c r="BO19254" s="197"/>
      <c r="BP19254" s="197"/>
      <c r="BQ19254" s="197"/>
    </row>
    <row r="19255" spans="66:69" x14ac:dyDescent="0.2">
      <c r="BN19255" s="192"/>
      <c r="BO19255" s="197"/>
      <c r="BP19255" s="197"/>
      <c r="BQ19255" s="197"/>
    </row>
    <row r="19256" spans="66:69" x14ac:dyDescent="0.2">
      <c r="BN19256" s="192"/>
      <c r="BO19256" s="197"/>
      <c r="BP19256" s="197"/>
      <c r="BQ19256" s="197"/>
    </row>
    <row r="19257" spans="66:69" x14ac:dyDescent="0.2">
      <c r="BN19257" s="192"/>
      <c r="BO19257" s="197"/>
      <c r="BP19257" s="197"/>
      <c r="BQ19257" s="197"/>
    </row>
    <row r="19258" spans="66:69" x14ac:dyDescent="0.2">
      <c r="BN19258" s="192"/>
      <c r="BO19258" s="197"/>
      <c r="BP19258" s="197"/>
      <c r="BQ19258" s="197"/>
    </row>
    <row r="19259" spans="66:69" x14ac:dyDescent="0.2">
      <c r="BN19259" s="192"/>
      <c r="BO19259" s="197"/>
      <c r="BP19259" s="197"/>
      <c r="BQ19259" s="197"/>
    </row>
    <row r="19260" spans="66:69" x14ac:dyDescent="0.2">
      <c r="BN19260" s="192"/>
      <c r="BO19260" s="197"/>
      <c r="BP19260" s="197"/>
      <c r="BQ19260" s="197"/>
    </row>
    <row r="19261" spans="66:69" x14ac:dyDescent="0.2">
      <c r="BN19261" s="192"/>
      <c r="BO19261" s="197"/>
      <c r="BP19261" s="197"/>
      <c r="BQ19261" s="197"/>
    </row>
    <row r="19262" spans="66:69" x14ac:dyDescent="0.2">
      <c r="BN19262" s="192"/>
      <c r="BO19262" s="197"/>
      <c r="BP19262" s="197"/>
      <c r="BQ19262" s="197"/>
    </row>
    <row r="19263" spans="66:69" x14ac:dyDescent="0.2">
      <c r="BN19263" s="192"/>
      <c r="BO19263" s="197"/>
      <c r="BP19263" s="197"/>
      <c r="BQ19263" s="197"/>
    </row>
    <row r="19264" spans="66:69" x14ac:dyDescent="0.2">
      <c r="BN19264" s="192"/>
      <c r="BO19264" s="197"/>
      <c r="BP19264" s="197"/>
      <c r="BQ19264" s="197"/>
    </row>
    <row r="19265" spans="66:69" x14ac:dyDescent="0.2">
      <c r="BN19265" s="192"/>
      <c r="BO19265" s="197"/>
      <c r="BP19265" s="197"/>
      <c r="BQ19265" s="197"/>
    </row>
    <row r="19266" spans="66:69" x14ac:dyDescent="0.2">
      <c r="BN19266" s="192"/>
      <c r="BO19266" s="197"/>
      <c r="BP19266" s="197"/>
      <c r="BQ19266" s="197"/>
    </row>
    <row r="19267" spans="66:69" x14ac:dyDescent="0.2">
      <c r="BN19267" s="192"/>
      <c r="BO19267" s="197"/>
      <c r="BP19267" s="197"/>
      <c r="BQ19267" s="197"/>
    </row>
    <row r="19268" spans="66:69" x14ac:dyDescent="0.2">
      <c r="BN19268" s="192"/>
      <c r="BO19268" s="197"/>
      <c r="BP19268" s="197"/>
      <c r="BQ19268" s="197"/>
    </row>
    <row r="19269" spans="66:69" x14ac:dyDescent="0.2">
      <c r="BN19269" s="192"/>
      <c r="BO19269" s="197"/>
      <c r="BP19269" s="197"/>
      <c r="BQ19269" s="197"/>
    </row>
    <row r="19270" spans="66:69" x14ac:dyDescent="0.2">
      <c r="BN19270" s="192"/>
      <c r="BO19270" s="197"/>
      <c r="BP19270" s="197"/>
      <c r="BQ19270" s="197"/>
    </row>
    <row r="19271" spans="66:69" x14ac:dyDescent="0.2">
      <c r="BN19271" s="192"/>
      <c r="BO19271" s="197"/>
      <c r="BP19271" s="197"/>
      <c r="BQ19271" s="197"/>
    </row>
    <row r="19272" spans="66:69" x14ac:dyDescent="0.2">
      <c r="BN19272" s="192"/>
      <c r="BO19272" s="197"/>
      <c r="BP19272" s="197"/>
      <c r="BQ19272" s="197"/>
    </row>
    <row r="19273" spans="66:69" x14ac:dyDescent="0.2">
      <c r="BN19273" s="192"/>
      <c r="BO19273" s="197"/>
      <c r="BP19273" s="197"/>
      <c r="BQ19273" s="197"/>
    </row>
    <row r="19274" spans="66:69" x14ac:dyDescent="0.2">
      <c r="BN19274" s="192"/>
      <c r="BO19274" s="197"/>
      <c r="BP19274" s="197"/>
      <c r="BQ19274" s="197"/>
    </row>
    <row r="19275" spans="66:69" x14ac:dyDescent="0.2">
      <c r="BN19275" s="192"/>
      <c r="BO19275" s="197"/>
      <c r="BP19275" s="197"/>
      <c r="BQ19275" s="197"/>
    </row>
    <row r="19276" spans="66:69" x14ac:dyDescent="0.2">
      <c r="BN19276" s="192"/>
      <c r="BO19276" s="197"/>
      <c r="BP19276" s="197"/>
      <c r="BQ19276" s="197"/>
    </row>
    <row r="19277" spans="66:69" x14ac:dyDescent="0.2">
      <c r="BN19277" s="192"/>
      <c r="BO19277" s="197"/>
      <c r="BP19277" s="197"/>
      <c r="BQ19277" s="197"/>
    </row>
    <row r="19278" spans="66:69" x14ac:dyDescent="0.2">
      <c r="BN19278" s="192"/>
      <c r="BO19278" s="197"/>
      <c r="BP19278" s="197"/>
      <c r="BQ19278" s="197"/>
    </row>
    <row r="19279" spans="66:69" x14ac:dyDescent="0.2">
      <c r="BN19279" s="192"/>
      <c r="BO19279" s="197"/>
      <c r="BP19279" s="197"/>
      <c r="BQ19279" s="197"/>
    </row>
    <row r="19280" spans="66:69" x14ac:dyDescent="0.2">
      <c r="BN19280" s="192"/>
      <c r="BO19280" s="197"/>
      <c r="BP19280" s="197"/>
      <c r="BQ19280" s="197"/>
    </row>
    <row r="19281" spans="66:69" x14ac:dyDescent="0.2">
      <c r="BN19281" s="192"/>
      <c r="BO19281" s="197"/>
      <c r="BP19281" s="197"/>
      <c r="BQ19281" s="197"/>
    </row>
    <row r="19282" spans="66:69" x14ac:dyDescent="0.2">
      <c r="BN19282" s="192"/>
      <c r="BO19282" s="197"/>
      <c r="BP19282" s="197"/>
      <c r="BQ19282" s="197"/>
    </row>
    <row r="19283" spans="66:69" x14ac:dyDescent="0.2">
      <c r="BN19283" s="192"/>
      <c r="BO19283" s="197"/>
      <c r="BP19283" s="197"/>
      <c r="BQ19283" s="197"/>
    </row>
    <row r="19284" spans="66:69" x14ac:dyDescent="0.2">
      <c r="BN19284" s="192"/>
      <c r="BO19284" s="197"/>
      <c r="BP19284" s="197"/>
      <c r="BQ19284" s="197"/>
    </row>
    <row r="19285" spans="66:69" x14ac:dyDescent="0.2">
      <c r="BN19285" s="192"/>
      <c r="BO19285" s="197"/>
      <c r="BP19285" s="197"/>
      <c r="BQ19285" s="197"/>
    </row>
    <row r="19286" spans="66:69" x14ac:dyDescent="0.2">
      <c r="BN19286" s="192"/>
      <c r="BO19286" s="197"/>
      <c r="BP19286" s="197"/>
      <c r="BQ19286" s="197"/>
    </row>
    <row r="19287" spans="66:69" x14ac:dyDescent="0.2">
      <c r="BN19287" s="192"/>
      <c r="BO19287" s="197"/>
      <c r="BP19287" s="197"/>
      <c r="BQ19287" s="197"/>
    </row>
    <row r="19288" spans="66:69" x14ac:dyDescent="0.2">
      <c r="BN19288" s="192"/>
      <c r="BO19288" s="197"/>
      <c r="BP19288" s="197"/>
      <c r="BQ19288" s="197"/>
    </row>
    <row r="19289" spans="66:69" x14ac:dyDescent="0.2">
      <c r="BN19289" s="192"/>
      <c r="BO19289" s="197"/>
      <c r="BP19289" s="197"/>
      <c r="BQ19289" s="197"/>
    </row>
    <row r="19290" spans="66:69" x14ac:dyDescent="0.2">
      <c r="BN19290" s="192"/>
      <c r="BO19290" s="197"/>
      <c r="BP19290" s="197"/>
      <c r="BQ19290" s="197"/>
    </row>
    <row r="19291" spans="66:69" x14ac:dyDescent="0.2">
      <c r="BN19291" s="192"/>
      <c r="BO19291" s="197"/>
      <c r="BP19291" s="197"/>
      <c r="BQ19291" s="197"/>
    </row>
    <row r="19292" spans="66:69" x14ac:dyDescent="0.2">
      <c r="BN19292" s="192"/>
      <c r="BO19292" s="197"/>
      <c r="BP19292" s="197"/>
      <c r="BQ19292" s="197"/>
    </row>
    <row r="19293" spans="66:69" x14ac:dyDescent="0.2">
      <c r="BN19293" s="192"/>
      <c r="BO19293" s="197"/>
      <c r="BP19293" s="197"/>
      <c r="BQ19293" s="197"/>
    </row>
    <row r="19294" spans="66:69" x14ac:dyDescent="0.2">
      <c r="BN19294" s="192"/>
      <c r="BO19294" s="197"/>
      <c r="BP19294" s="197"/>
      <c r="BQ19294" s="197"/>
    </row>
    <row r="19295" spans="66:69" x14ac:dyDescent="0.2">
      <c r="BN19295" s="192"/>
      <c r="BO19295" s="197"/>
      <c r="BP19295" s="197"/>
      <c r="BQ19295" s="197"/>
    </row>
    <row r="19296" spans="66:69" x14ac:dyDescent="0.2">
      <c r="BN19296" s="192"/>
      <c r="BO19296" s="197"/>
      <c r="BP19296" s="197"/>
      <c r="BQ19296" s="197"/>
    </row>
    <row r="19297" spans="66:69" x14ac:dyDescent="0.2">
      <c r="BN19297" s="192"/>
      <c r="BO19297" s="197"/>
      <c r="BP19297" s="197"/>
      <c r="BQ19297" s="197"/>
    </row>
    <row r="19298" spans="66:69" x14ac:dyDescent="0.2">
      <c r="BN19298" s="192"/>
      <c r="BO19298" s="197"/>
      <c r="BP19298" s="197"/>
      <c r="BQ19298" s="197"/>
    </row>
    <row r="19299" spans="66:69" x14ac:dyDescent="0.2">
      <c r="BN19299" s="192"/>
      <c r="BO19299" s="197"/>
      <c r="BP19299" s="197"/>
      <c r="BQ19299" s="197"/>
    </row>
    <row r="19300" spans="66:69" x14ac:dyDescent="0.2">
      <c r="BN19300" s="192"/>
      <c r="BO19300" s="197"/>
      <c r="BP19300" s="197"/>
      <c r="BQ19300" s="197"/>
    </row>
    <row r="19301" spans="66:69" x14ac:dyDescent="0.2">
      <c r="BN19301" s="192"/>
      <c r="BO19301" s="197"/>
      <c r="BP19301" s="197"/>
      <c r="BQ19301" s="197"/>
    </row>
    <row r="19302" spans="66:69" x14ac:dyDescent="0.2">
      <c r="BN19302" s="192"/>
      <c r="BO19302" s="197"/>
      <c r="BP19302" s="197"/>
      <c r="BQ19302" s="197"/>
    </row>
    <row r="19303" spans="66:69" x14ac:dyDescent="0.2">
      <c r="BN19303" s="192"/>
      <c r="BO19303" s="197"/>
      <c r="BP19303" s="197"/>
      <c r="BQ19303" s="197"/>
    </row>
    <row r="19304" spans="66:69" x14ac:dyDescent="0.2">
      <c r="BN19304" s="192"/>
      <c r="BO19304" s="197"/>
      <c r="BP19304" s="197"/>
      <c r="BQ19304" s="197"/>
    </row>
    <row r="19305" spans="66:69" x14ac:dyDescent="0.2">
      <c r="BN19305" s="192"/>
      <c r="BO19305" s="197"/>
      <c r="BP19305" s="197"/>
      <c r="BQ19305" s="197"/>
    </row>
    <row r="19306" spans="66:69" x14ac:dyDescent="0.2">
      <c r="BN19306" s="192"/>
      <c r="BO19306" s="197"/>
      <c r="BP19306" s="197"/>
      <c r="BQ19306" s="197"/>
    </row>
    <row r="19307" spans="66:69" x14ac:dyDescent="0.2">
      <c r="BN19307" s="192"/>
      <c r="BO19307" s="197"/>
      <c r="BP19307" s="197"/>
      <c r="BQ19307" s="197"/>
    </row>
    <row r="19308" spans="66:69" x14ac:dyDescent="0.2">
      <c r="BN19308" s="192"/>
      <c r="BO19308" s="197"/>
      <c r="BP19308" s="197"/>
      <c r="BQ19308" s="197"/>
    </row>
    <row r="19309" spans="66:69" x14ac:dyDescent="0.2">
      <c r="BN19309" s="192"/>
      <c r="BO19309" s="197"/>
      <c r="BP19309" s="197"/>
      <c r="BQ19309" s="197"/>
    </row>
    <row r="19310" spans="66:69" x14ac:dyDescent="0.2">
      <c r="BN19310" s="192"/>
      <c r="BO19310" s="197"/>
      <c r="BP19310" s="197"/>
      <c r="BQ19310" s="197"/>
    </row>
    <row r="19311" spans="66:69" x14ac:dyDescent="0.2">
      <c r="BN19311" s="192"/>
      <c r="BO19311" s="197"/>
      <c r="BP19311" s="197"/>
      <c r="BQ19311" s="197"/>
    </row>
    <row r="19312" spans="66:69" x14ac:dyDescent="0.2">
      <c r="BN19312" s="192"/>
      <c r="BO19312" s="197"/>
      <c r="BP19312" s="197"/>
      <c r="BQ19312" s="197"/>
    </row>
    <row r="19313" spans="66:69" x14ac:dyDescent="0.2">
      <c r="BN19313" s="192"/>
      <c r="BO19313" s="197"/>
      <c r="BP19313" s="197"/>
      <c r="BQ19313" s="197"/>
    </row>
    <row r="19314" spans="66:69" x14ac:dyDescent="0.2">
      <c r="BN19314" s="192"/>
      <c r="BO19314" s="197"/>
      <c r="BP19314" s="197"/>
      <c r="BQ19314" s="197"/>
    </row>
    <row r="19315" spans="66:69" x14ac:dyDescent="0.2">
      <c r="BN19315" s="192"/>
      <c r="BO19315" s="197"/>
      <c r="BP19315" s="197"/>
      <c r="BQ19315" s="197"/>
    </row>
    <row r="19316" spans="66:69" x14ac:dyDescent="0.2">
      <c r="BN19316" s="192"/>
      <c r="BO19316" s="197"/>
      <c r="BP19316" s="197"/>
      <c r="BQ19316" s="197"/>
    </row>
    <row r="19317" spans="66:69" x14ac:dyDescent="0.2">
      <c r="BN19317" s="192"/>
      <c r="BO19317" s="197"/>
      <c r="BP19317" s="197"/>
      <c r="BQ19317" s="197"/>
    </row>
    <row r="19318" spans="66:69" x14ac:dyDescent="0.2">
      <c r="BN19318" s="192"/>
      <c r="BO19318" s="197"/>
      <c r="BP19318" s="197"/>
      <c r="BQ19318" s="197"/>
    </row>
    <row r="19319" spans="66:69" x14ac:dyDescent="0.2">
      <c r="BN19319" s="192"/>
      <c r="BO19319" s="197"/>
      <c r="BP19319" s="197"/>
      <c r="BQ19319" s="197"/>
    </row>
    <row r="19320" spans="66:69" x14ac:dyDescent="0.2">
      <c r="BN19320" s="192"/>
      <c r="BO19320" s="197"/>
      <c r="BP19320" s="197"/>
      <c r="BQ19320" s="197"/>
    </row>
    <row r="19321" spans="66:69" x14ac:dyDescent="0.2">
      <c r="BN19321" s="192"/>
      <c r="BO19321" s="197"/>
      <c r="BP19321" s="197"/>
      <c r="BQ19321" s="197"/>
    </row>
    <row r="19322" spans="66:69" x14ac:dyDescent="0.2">
      <c r="BN19322" s="192"/>
      <c r="BO19322" s="197"/>
      <c r="BP19322" s="197"/>
      <c r="BQ19322" s="197"/>
    </row>
    <row r="19323" spans="66:69" x14ac:dyDescent="0.2">
      <c r="BN19323" s="192"/>
      <c r="BO19323" s="197"/>
      <c r="BP19323" s="197"/>
      <c r="BQ19323" s="197"/>
    </row>
    <row r="19324" spans="66:69" x14ac:dyDescent="0.2">
      <c r="BN19324" s="192"/>
      <c r="BO19324" s="197"/>
      <c r="BP19324" s="197"/>
      <c r="BQ19324" s="197"/>
    </row>
    <row r="19325" spans="66:69" x14ac:dyDescent="0.2">
      <c r="BN19325" s="192"/>
      <c r="BO19325" s="197"/>
      <c r="BP19325" s="197"/>
      <c r="BQ19325" s="197"/>
    </row>
    <row r="19326" spans="66:69" x14ac:dyDescent="0.2">
      <c r="BN19326" s="192"/>
      <c r="BO19326" s="197"/>
      <c r="BP19326" s="197"/>
      <c r="BQ19326" s="197"/>
    </row>
    <row r="19327" spans="66:69" x14ac:dyDescent="0.2">
      <c r="BN19327" s="192"/>
      <c r="BO19327" s="197"/>
      <c r="BP19327" s="197"/>
      <c r="BQ19327" s="197"/>
    </row>
    <row r="19328" spans="66:69" x14ac:dyDescent="0.2">
      <c r="BN19328" s="192"/>
      <c r="BO19328" s="197"/>
      <c r="BP19328" s="197"/>
      <c r="BQ19328" s="197"/>
    </row>
    <row r="19329" spans="66:69" x14ac:dyDescent="0.2">
      <c r="BN19329" s="192"/>
      <c r="BO19329" s="197"/>
      <c r="BP19329" s="197"/>
      <c r="BQ19329" s="197"/>
    </row>
    <row r="19330" spans="66:69" x14ac:dyDescent="0.2">
      <c r="BN19330" s="192"/>
      <c r="BO19330" s="197"/>
      <c r="BP19330" s="197"/>
      <c r="BQ19330" s="197"/>
    </row>
    <row r="19331" spans="66:69" x14ac:dyDescent="0.2">
      <c r="BN19331" s="192"/>
      <c r="BO19331" s="197"/>
      <c r="BP19331" s="197"/>
      <c r="BQ19331" s="197"/>
    </row>
    <row r="19332" spans="66:69" x14ac:dyDescent="0.2">
      <c r="BN19332" s="192"/>
      <c r="BO19332" s="197"/>
      <c r="BP19332" s="197"/>
      <c r="BQ19332" s="197"/>
    </row>
    <row r="19333" spans="66:69" x14ac:dyDescent="0.2">
      <c r="BN19333" s="192"/>
      <c r="BO19333" s="197"/>
      <c r="BP19333" s="197"/>
      <c r="BQ19333" s="197"/>
    </row>
    <row r="19334" spans="66:69" x14ac:dyDescent="0.2">
      <c r="BN19334" s="192"/>
      <c r="BO19334" s="197"/>
      <c r="BP19334" s="197"/>
      <c r="BQ19334" s="197"/>
    </row>
    <row r="19335" spans="66:69" x14ac:dyDescent="0.2">
      <c r="BN19335" s="192"/>
      <c r="BO19335" s="197"/>
      <c r="BP19335" s="197"/>
      <c r="BQ19335" s="197"/>
    </row>
    <row r="19336" spans="66:69" x14ac:dyDescent="0.2">
      <c r="BN19336" s="192"/>
      <c r="BO19336" s="197"/>
      <c r="BP19336" s="197"/>
      <c r="BQ19336" s="197"/>
    </row>
    <row r="19337" spans="66:69" x14ac:dyDescent="0.2">
      <c r="BN19337" s="192"/>
      <c r="BO19337" s="197"/>
      <c r="BP19337" s="197"/>
      <c r="BQ19337" s="197"/>
    </row>
    <row r="19338" spans="66:69" x14ac:dyDescent="0.2">
      <c r="BN19338" s="192"/>
      <c r="BO19338" s="197"/>
      <c r="BP19338" s="197"/>
      <c r="BQ19338" s="197"/>
    </row>
    <row r="19339" spans="66:69" x14ac:dyDescent="0.2">
      <c r="BN19339" s="192"/>
      <c r="BO19339" s="197"/>
      <c r="BP19339" s="197"/>
      <c r="BQ19339" s="197"/>
    </row>
    <row r="19340" spans="66:69" x14ac:dyDescent="0.2">
      <c r="BN19340" s="192"/>
      <c r="BO19340" s="197"/>
      <c r="BP19340" s="197"/>
      <c r="BQ19340" s="197"/>
    </row>
    <row r="19341" spans="66:69" x14ac:dyDescent="0.2">
      <c r="BN19341" s="192"/>
      <c r="BO19341" s="197"/>
      <c r="BP19341" s="197"/>
      <c r="BQ19341" s="197"/>
    </row>
    <row r="19342" spans="66:69" x14ac:dyDescent="0.2">
      <c r="BN19342" s="192"/>
      <c r="BO19342" s="197"/>
      <c r="BP19342" s="197"/>
      <c r="BQ19342" s="197"/>
    </row>
    <row r="19343" spans="66:69" x14ac:dyDescent="0.2">
      <c r="BN19343" s="192"/>
      <c r="BO19343" s="197"/>
      <c r="BP19343" s="197"/>
      <c r="BQ19343" s="197"/>
    </row>
    <row r="19344" spans="66:69" x14ac:dyDescent="0.2">
      <c r="BN19344" s="192"/>
      <c r="BO19344" s="197"/>
      <c r="BP19344" s="197"/>
      <c r="BQ19344" s="197"/>
    </row>
    <row r="19345" spans="66:69" x14ac:dyDescent="0.2">
      <c r="BN19345" s="192"/>
      <c r="BO19345" s="197"/>
      <c r="BP19345" s="197"/>
      <c r="BQ19345" s="197"/>
    </row>
    <row r="19346" spans="66:69" x14ac:dyDescent="0.2">
      <c r="BN19346" s="192"/>
      <c r="BO19346" s="197"/>
      <c r="BP19346" s="197"/>
      <c r="BQ19346" s="197"/>
    </row>
    <row r="19347" spans="66:69" x14ac:dyDescent="0.2">
      <c r="BN19347" s="192"/>
      <c r="BO19347" s="197"/>
      <c r="BP19347" s="197"/>
      <c r="BQ19347" s="197"/>
    </row>
    <row r="19348" spans="66:69" x14ac:dyDescent="0.2">
      <c r="BN19348" s="192"/>
      <c r="BO19348" s="197"/>
      <c r="BP19348" s="197"/>
      <c r="BQ19348" s="197"/>
    </row>
    <row r="19349" spans="66:69" x14ac:dyDescent="0.2">
      <c r="BN19349" s="192"/>
      <c r="BO19349" s="197"/>
      <c r="BP19349" s="197"/>
      <c r="BQ19349" s="197"/>
    </row>
    <row r="19350" spans="66:69" x14ac:dyDescent="0.2">
      <c r="BN19350" s="192"/>
      <c r="BO19350" s="197"/>
      <c r="BP19350" s="197"/>
      <c r="BQ19350" s="197"/>
    </row>
    <row r="19351" spans="66:69" x14ac:dyDescent="0.2">
      <c r="BN19351" s="192"/>
      <c r="BO19351" s="197"/>
      <c r="BP19351" s="197"/>
      <c r="BQ19351" s="197"/>
    </row>
    <row r="19352" spans="66:69" x14ac:dyDescent="0.2">
      <c r="BN19352" s="192"/>
      <c r="BO19352" s="197"/>
      <c r="BP19352" s="197"/>
      <c r="BQ19352" s="197"/>
    </row>
    <row r="19353" spans="66:69" x14ac:dyDescent="0.2">
      <c r="BN19353" s="192"/>
      <c r="BO19353" s="197"/>
      <c r="BP19353" s="197"/>
      <c r="BQ19353" s="197"/>
    </row>
    <row r="19354" spans="66:69" x14ac:dyDescent="0.2">
      <c r="BN19354" s="192"/>
      <c r="BO19354" s="197"/>
      <c r="BP19354" s="197"/>
      <c r="BQ19354" s="197"/>
    </row>
    <row r="19355" spans="66:69" x14ac:dyDescent="0.2">
      <c r="BN19355" s="192"/>
      <c r="BO19355" s="197"/>
      <c r="BP19355" s="197"/>
      <c r="BQ19355" s="197"/>
    </row>
    <row r="19356" spans="66:69" x14ac:dyDescent="0.2">
      <c r="BN19356" s="192"/>
      <c r="BO19356" s="197"/>
      <c r="BP19356" s="197"/>
      <c r="BQ19356" s="197"/>
    </row>
    <row r="19357" spans="66:69" x14ac:dyDescent="0.2">
      <c r="BN19357" s="192"/>
      <c r="BO19357" s="197"/>
      <c r="BP19357" s="197"/>
      <c r="BQ19357" s="197"/>
    </row>
    <row r="19358" spans="66:69" x14ac:dyDescent="0.2">
      <c r="BN19358" s="192"/>
      <c r="BO19358" s="197"/>
      <c r="BP19358" s="197"/>
      <c r="BQ19358" s="197"/>
    </row>
    <row r="19359" spans="66:69" x14ac:dyDescent="0.2">
      <c r="BN19359" s="192"/>
      <c r="BO19359" s="197"/>
      <c r="BP19359" s="197"/>
      <c r="BQ19359" s="197"/>
    </row>
    <row r="19360" spans="66:69" x14ac:dyDescent="0.2">
      <c r="BN19360" s="192"/>
      <c r="BO19360" s="197"/>
      <c r="BP19360" s="197"/>
      <c r="BQ19360" s="197"/>
    </row>
    <row r="19361" spans="66:69" x14ac:dyDescent="0.2">
      <c r="BN19361" s="192"/>
      <c r="BO19361" s="197"/>
      <c r="BP19361" s="197"/>
      <c r="BQ19361" s="197"/>
    </row>
    <row r="19362" spans="66:69" x14ac:dyDescent="0.2">
      <c r="BN19362" s="192"/>
      <c r="BO19362" s="197"/>
      <c r="BP19362" s="197"/>
      <c r="BQ19362" s="197"/>
    </row>
    <row r="19363" spans="66:69" x14ac:dyDescent="0.2">
      <c r="BN19363" s="192"/>
      <c r="BO19363" s="197"/>
      <c r="BP19363" s="197"/>
      <c r="BQ19363" s="197"/>
    </row>
    <row r="19364" spans="66:69" x14ac:dyDescent="0.2">
      <c r="BN19364" s="192"/>
      <c r="BO19364" s="197"/>
      <c r="BP19364" s="197"/>
      <c r="BQ19364" s="197"/>
    </row>
    <row r="19365" spans="66:69" x14ac:dyDescent="0.2">
      <c r="BN19365" s="192"/>
      <c r="BO19365" s="197"/>
      <c r="BP19365" s="197"/>
      <c r="BQ19365" s="197"/>
    </row>
    <row r="19366" spans="66:69" x14ac:dyDescent="0.2">
      <c r="BN19366" s="192"/>
      <c r="BO19366" s="197"/>
      <c r="BP19366" s="197"/>
      <c r="BQ19366" s="197"/>
    </row>
    <row r="19367" spans="66:69" x14ac:dyDescent="0.2">
      <c r="BN19367" s="192"/>
      <c r="BO19367" s="197"/>
      <c r="BP19367" s="197"/>
      <c r="BQ19367" s="197"/>
    </row>
    <row r="19368" spans="66:69" x14ac:dyDescent="0.2">
      <c r="BN19368" s="192"/>
      <c r="BO19368" s="197"/>
      <c r="BP19368" s="197"/>
      <c r="BQ19368" s="197"/>
    </row>
    <row r="19369" spans="66:69" x14ac:dyDescent="0.2">
      <c r="BN19369" s="192"/>
      <c r="BO19369" s="197"/>
      <c r="BP19369" s="197"/>
      <c r="BQ19369" s="197"/>
    </row>
    <row r="19370" spans="66:69" x14ac:dyDescent="0.2">
      <c r="BN19370" s="192"/>
      <c r="BO19370" s="197"/>
      <c r="BP19370" s="197"/>
      <c r="BQ19370" s="197"/>
    </row>
    <row r="19371" spans="66:69" x14ac:dyDescent="0.2">
      <c r="BN19371" s="192"/>
      <c r="BO19371" s="197"/>
      <c r="BP19371" s="197"/>
      <c r="BQ19371" s="197"/>
    </row>
    <row r="19372" spans="66:69" x14ac:dyDescent="0.2">
      <c r="BN19372" s="192"/>
      <c r="BO19372" s="197"/>
      <c r="BP19372" s="197"/>
      <c r="BQ19372" s="197"/>
    </row>
    <row r="19373" spans="66:69" x14ac:dyDescent="0.2">
      <c r="BN19373" s="192"/>
      <c r="BO19373" s="197"/>
      <c r="BP19373" s="197"/>
      <c r="BQ19373" s="197"/>
    </row>
    <row r="19374" spans="66:69" x14ac:dyDescent="0.2">
      <c r="BN19374" s="192"/>
      <c r="BO19374" s="197"/>
      <c r="BP19374" s="197"/>
      <c r="BQ19374" s="197"/>
    </row>
    <row r="19375" spans="66:69" x14ac:dyDescent="0.2">
      <c r="BN19375" s="192"/>
      <c r="BO19375" s="197"/>
      <c r="BP19375" s="197"/>
      <c r="BQ19375" s="197"/>
    </row>
    <row r="19376" spans="66:69" x14ac:dyDescent="0.2">
      <c r="BN19376" s="192"/>
      <c r="BO19376" s="197"/>
      <c r="BP19376" s="197"/>
      <c r="BQ19376" s="197"/>
    </row>
    <row r="19377" spans="66:69" x14ac:dyDescent="0.2">
      <c r="BN19377" s="192"/>
      <c r="BO19377" s="197"/>
      <c r="BP19377" s="197"/>
      <c r="BQ19377" s="197"/>
    </row>
    <row r="19378" spans="66:69" x14ac:dyDescent="0.2">
      <c r="BN19378" s="192"/>
      <c r="BO19378" s="197"/>
      <c r="BP19378" s="197"/>
      <c r="BQ19378" s="197"/>
    </row>
    <row r="19379" spans="66:69" x14ac:dyDescent="0.2">
      <c r="BN19379" s="192"/>
      <c r="BO19379" s="197"/>
      <c r="BP19379" s="197"/>
      <c r="BQ19379" s="197"/>
    </row>
    <row r="19380" spans="66:69" x14ac:dyDescent="0.2">
      <c r="BN19380" s="192"/>
      <c r="BO19380" s="197"/>
      <c r="BP19380" s="197"/>
      <c r="BQ19380" s="197"/>
    </row>
    <row r="19381" spans="66:69" x14ac:dyDescent="0.2">
      <c r="BN19381" s="192"/>
      <c r="BO19381" s="197"/>
      <c r="BP19381" s="197"/>
      <c r="BQ19381" s="197"/>
    </row>
    <row r="19382" spans="66:69" x14ac:dyDescent="0.2">
      <c r="BN19382" s="192"/>
      <c r="BO19382" s="197"/>
      <c r="BP19382" s="197"/>
      <c r="BQ19382" s="197"/>
    </row>
    <row r="19383" spans="66:69" x14ac:dyDescent="0.2">
      <c r="BN19383" s="192"/>
      <c r="BO19383" s="197"/>
      <c r="BP19383" s="197"/>
      <c r="BQ19383" s="197"/>
    </row>
    <row r="19384" spans="66:69" x14ac:dyDescent="0.2">
      <c r="BN19384" s="192"/>
      <c r="BO19384" s="197"/>
      <c r="BP19384" s="197"/>
      <c r="BQ19384" s="197"/>
    </row>
    <row r="19385" spans="66:69" x14ac:dyDescent="0.2">
      <c r="BN19385" s="192"/>
      <c r="BO19385" s="197"/>
      <c r="BP19385" s="197"/>
      <c r="BQ19385" s="197"/>
    </row>
    <row r="19386" spans="66:69" x14ac:dyDescent="0.2">
      <c r="BN19386" s="192"/>
      <c r="BO19386" s="197"/>
      <c r="BP19386" s="197"/>
      <c r="BQ19386" s="197"/>
    </row>
    <row r="19387" spans="66:69" x14ac:dyDescent="0.2">
      <c r="BN19387" s="192"/>
      <c r="BO19387" s="197"/>
      <c r="BP19387" s="197"/>
      <c r="BQ19387" s="197"/>
    </row>
    <row r="19388" spans="66:69" x14ac:dyDescent="0.2">
      <c r="BN19388" s="192"/>
      <c r="BO19388" s="197"/>
      <c r="BP19388" s="197"/>
      <c r="BQ19388" s="197"/>
    </row>
    <row r="19389" spans="66:69" x14ac:dyDescent="0.2">
      <c r="BN19389" s="192"/>
      <c r="BO19389" s="197"/>
      <c r="BP19389" s="197"/>
      <c r="BQ19389" s="197"/>
    </row>
    <row r="19390" spans="66:69" x14ac:dyDescent="0.2">
      <c r="BN19390" s="192"/>
      <c r="BO19390" s="197"/>
      <c r="BP19390" s="197"/>
      <c r="BQ19390" s="197"/>
    </row>
    <row r="19391" spans="66:69" x14ac:dyDescent="0.2">
      <c r="BN19391" s="192"/>
      <c r="BO19391" s="197"/>
      <c r="BP19391" s="197"/>
      <c r="BQ19391" s="197"/>
    </row>
    <row r="19392" spans="66:69" x14ac:dyDescent="0.2">
      <c r="BN19392" s="192"/>
      <c r="BO19392" s="197"/>
      <c r="BP19392" s="197"/>
      <c r="BQ19392" s="197"/>
    </row>
    <row r="19393" spans="66:69" x14ac:dyDescent="0.2">
      <c r="BN19393" s="192"/>
      <c r="BO19393" s="197"/>
      <c r="BP19393" s="197"/>
      <c r="BQ19393" s="197"/>
    </row>
    <row r="19394" spans="66:69" x14ac:dyDescent="0.2">
      <c r="BN19394" s="192"/>
      <c r="BO19394" s="197"/>
      <c r="BP19394" s="197"/>
      <c r="BQ19394" s="197"/>
    </row>
    <row r="19395" spans="66:69" x14ac:dyDescent="0.2">
      <c r="BN19395" s="192"/>
      <c r="BO19395" s="197"/>
      <c r="BP19395" s="197"/>
      <c r="BQ19395" s="197"/>
    </row>
    <row r="19396" spans="66:69" x14ac:dyDescent="0.2">
      <c r="BN19396" s="192"/>
      <c r="BO19396" s="197"/>
      <c r="BP19396" s="197"/>
      <c r="BQ19396" s="197"/>
    </row>
    <row r="19397" spans="66:69" x14ac:dyDescent="0.2">
      <c r="BN19397" s="192"/>
      <c r="BO19397" s="197"/>
      <c r="BP19397" s="197"/>
      <c r="BQ19397" s="197"/>
    </row>
    <row r="19398" spans="66:69" x14ac:dyDescent="0.2">
      <c r="BN19398" s="192"/>
      <c r="BO19398" s="197"/>
      <c r="BP19398" s="197"/>
      <c r="BQ19398" s="197"/>
    </row>
    <row r="19399" spans="66:69" x14ac:dyDescent="0.2">
      <c r="BN19399" s="192"/>
      <c r="BO19399" s="197"/>
      <c r="BP19399" s="197"/>
      <c r="BQ19399" s="197"/>
    </row>
    <row r="19400" spans="66:69" x14ac:dyDescent="0.2">
      <c r="BN19400" s="192"/>
      <c r="BO19400" s="197"/>
      <c r="BP19400" s="197"/>
      <c r="BQ19400" s="197"/>
    </row>
    <row r="19401" spans="66:69" x14ac:dyDescent="0.2">
      <c r="BN19401" s="192"/>
      <c r="BO19401" s="197"/>
      <c r="BP19401" s="197"/>
      <c r="BQ19401" s="197"/>
    </row>
    <row r="19402" spans="66:69" x14ac:dyDescent="0.2">
      <c r="BN19402" s="192"/>
      <c r="BO19402" s="197"/>
      <c r="BP19402" s="197"/>
      <c r="BQ19402" s="197"/>
    </row>
    <row r="19403" spans="66:69" x14ac:dyDescent="0.2">
      <c r="BN19403" s="192"/>
      <c r="BO19403" s="197"/>
      <c r="BP19403" s="197"/>
      <c r="BQ19403" s="197"/>
    </row>
    <row r="19404" spans="66:69" x14ac:dyDescent="0.2">
      <c r="BN19404" s="192"/>
      <c r="BO19404" s="197"/>
      <c r="BP19404" s="197"/>
      <c r="BQ19404" s="197"/>
    </row>
    <row r="19405" spans="66:69" x14ac:dyDescent="0.2">
      <c r="BN19405" s="192"/>
      <c r="BO19405" s="197"/>
      <c r="BP19405" s="197"/>
      <c r="BQ19405" s="197"/>
    </row>
    <row r="19406" spans="66:69" x14ac:dyDescent="0.2">
      <c r="BN19406" s="192"/>
      <c r="BO19406" s="197"/>
      <c r="BP19406" s="197"/>
      <c r="BQ19406" s="197"/>
    </row>
    <row r="19407" spans="66:69" x14ac:dyDescent="0.2">
      <c r="BN19407" s="192"/>
      <c r="BO19407" s="197"/>
      <c r="BP19407" s="197"/>
      <c r="BQ19407" s="197"/>
    </row>
    <row r="19408" spans="66:69" x14ac:dyDescent="0.2">
      <c r="BN19408" s="192"/>
      <c r="BO19408" s="197"/>
      <c r="BP19408" s="197"/>
      <c r="BQ19408" s="197"/>
    </row>
    <row r="19409" spans="66:69" x14ac:dyDescent="0.2">
      <c r="BN19409" s="192"/>
      <c r="BO19409" s="197"/>
      <c r="BP19409" s="197"/>
      <c r="BQ19409" s="197"/>
    </row>
    <row r="19410" spans="66:69" x14ac:dyDescent="0.2">
      <c r="BN19410" s="192"/>
      <c r="BO19410" s="197"/>
      <c r="BP19410" s="197"/>
      <c r="BQ19410" s="197"/>
    </row>
    <row r="19411" spans="66:69" x14ac:dyDescent="0.2">
      <c r="BN19411" s="192"/>
      <c r="BO19411" s="197"/>
      <c r="BP19411" s="197"/>
      <c r="BQ19411" s="197"/>
    </row>
    <row r="19412" spans="66:69" x14ac:dyDescent="0.2">
      <c r="BN19412" s="192"/>
      <c r="BO19412" s="197"/>
      <c r="BP19412" s="197"/>
      <c r="BQ19412" s="197"/>
    </row>
    <row r="19413" spans="66:69" x14ac:dyDescent="0.2">
      <c r="BN19413" s="192"/>
      <c r="BO19413" s="197"/>
      <c r="BP19413" s="197"/>
      <c r="BQ19413" s="197"/>
    </row>
    <row r="19414" spans="66:69" x14ac:dyDescent="0.2">
      <c r="BN19414" s="192"/>
      <c r="BO19414" s="197"/>
      <c r="BP19414" s="197"/>
      <c r="BQ19414" s="197"/>
    </row>
    <row r="19415" spans="66:69" x14ac:dyDescent="0.2">
      <c r="BN19415" s="192"/>
      <c r="BO19415" s="197"/>
      <c r="BP19415" s="197"/>
      <c r="BQ19415" s="197"/>
    </row>
    <row r="19416" spans="66:69" x14ac:dyDescent="0.2">
      <c r="BN19416" s="192"/>
      <c r="BO19416" s="197"/>
      <c r="BP19416" s="197"/>
      <c r="BQ19416" s="197"/>
    </row>
    <row r="19417" spans="66:69" x14ac:dyDescent="0.2">
      <c r="BN19417" s="192"/>
      <c r="BO19417" s="197"/>
      <c r="BP19417" s="197"/>
      <c r="BQ19417" s="197"/>
    </row>
    <row r="19418" spans="66:69" x14ac:dyDescent="0.2">
      <c r="BN19418" s="192"/>
      <c r="BO19418" s="197"/>
      <c r="BP19418" s="197"/>
      <c r="BQ19418" s="197"/>
    </row>
    <row r="19419" spans="66:69" x14ac:dyDescent="0.2">
      <c r="BN19419" s="192"/>
      <c r="BO19419" s="197"/>
      <c r="BP19419" s="197"/>
      <c r="BQ19419" s="197"/>
    </row>
    <row r="19420" spans="66:69" x14ac:dyDescent="0.2">
      <c r="BN19420" s="192"/>
      <c r="BO19420" s="197"/>
      <c r="BP19420" s="197"/>
      <c r="BQ19420" s="197"/>
    </row>
    <row r="19421" spans="66:69" x14ac:dyDescent="0.2">
      <c r="BN19421" s="192"/>
      <c r="BO19421" s="197"/>
      <c r="BP19421" s="197"/>
      <c r="BQ19421" s="197"/>
    </row>
    <row r="19422" spans="66:69" x14ac:dyDescent="0.2">
      <c r="BN19422" s="192"/>
      <c r="BO19422" s="197"/>
      <c r="BP19422" s="197"/>
      <c r="BQ19422" s="197"/>
    </row>
    <row r="19423" spans="66:69" x14ac:dyDescent="0.2">
      <c r="BN19423" s="192"/>
      <c r="BO19423" s="197"/>
      <c r="BP19423" s="197"/>
      <c r="BQ19423" s="197"/>
    </row>
    <row r="19424" spans="66:69" x14ac:dyDescent="0.2">
      <c r="BN19424" s="192"/>
      <c r="BO19424" s="197"/>
      <c r="BP19424" s="197"/>
      <c r="BQ19424" s="197"/>
    </row>
    <row r="19425" spans="66:69" x14ac:dyDescent="0.2">
      <c r="BN19425" s="192"/>
      <c r="BO19425" s="197"/>
      <c r="BP19425" s="197"/>
      <c r="BQ19425" s="197"/>
    </row>
    <row r="19426" spans="66:69" x14ac:dyDescent="0.2">
      <c r="BN19426" s="192"/>
      <c r="BO19426" s="197"/>
      <c r="BP19426" s="197"/>
      <c r="BQ19426" s="197"/>
    </row>
    <row r="19427" spans="66:69" x14ac:dyDescent="0.2">
      <c r="BN19427" s="192"/>
      <c r="BO19427" s="197"/>
      <c r="BP19427" s="197"/>
      <c r="BQ19427" s="197"/>
    </row>
    <row r="19428" spans="66:69" x14ac:dyDescent="0.2">
      <c r="BN19428" s="192"/>
      <c r="BO19428" s="197"/>
      <c r="BP19428" s="197"/>
      <c r="BQ19428" s="197"/>
    </row>
    <row r="19429" spans="66:69" x14ac:dyDescent="0.2">
      <c r="BN19429" s="192"/>
      <c r="BO19429" s="197"/>
      <c r="BP19429" s="197"/>
      <c r="BQ19429" s="197"/>
    </row>
    <row r="19430" spans="66:69" x14ac:dyDescent="0.2">
      <c r="BN19430" s="192"/>
      <c r="BO19430" s="197"/>
      <c r="BP19430" s="197"/>
      <c r="BQ19430" s="197"/>
    </row>
    <row r="19431" spans="66:69" x14ac:dyDescent="0.2">
      <c r="BN19431" s="192"/>
      <c r="BO19431" s="197"/>
      <c r="BP19431" s="197"/>
      <c r="BQ19431" s="197"/>
    </row>
    <row r="19432" spans="66:69" x14ac:dyDescent="0.2">
      <c r="BN19432" s="192"/>
      <c r="BO19432" s="197"/>
      <c r="BP19432" s="197"/>
      <c r="BQ19432" s="197"/>
    </row>
    <row r="19433" spans="66:69" x14ac:dyDescent="0.2">
      <c r="BN19433" s="192"/>
      <c r="BO19433" s="197"/>
      <c r="BP19433" s="197"/>
      <c r="BQ19433" s="197"/>
    </row>
    <row r="19434" spans="66:69" x14ac:dyDescent="0.2">
      <c r="BN19434" s="192"/>
      <c r="BO19434" s="197"/>
      <c r="BP19434" s="197"/>
      <c r="BQ19434" s="197"/>
    </row>
    <row r="19435" spans="66:69" x14ac:dyDescent="0.2">
      <c r="BN19435" s="192"/>
      <c r="BO19435" s="197"/>
      <c r="BP19435" s="197"/>
      <c r="BQ19435" s="197"/>
    </row>
    <row r="19436" spans="66:69" x14ac:dyDescent="0.2">
      <c r="BN19436" s="192"/>
      <c r="BO19436" s="197"/>
      <c r="BP19436" s="197"/>
      <c r="BQ19436" s="197"/>
    </row>
    <row r="19437" spans="66:69" x14ac:dyDescent="0.2">
      <c r="BN19437" s="192"/>
      <c r="BO19437" s="197"/>
      <c r="BP19437" s="197"/>
      <c r="BQ19437" s="197"/>
    </row>
    <row r="19438" spans="66:69" x14ac:dyDescent="0.2">
      <c r="BN19438" s="192"/>
      <c r="BO19438" s="197"/>
      <c r="BP19438" s="197"/>
      <c r="BQ19438" s="197"/>
    </row>
    <row r="19439" spans="66:69" x14ac:dyDescent="0.2">
      <c r="BN19439" s="192"/>
      <c r="BO19439" s="197"/>
      <c r="BP19439" s="197"/>
      <c r="BQ19439" s="197"/>
    </row>
    <row r="19440" spans="66:69" x14ac:dyDescent="0.2">
      <c r="BN19440" s="192"/>
      <c r="BO19440" s="197"/>
      <c r="BP19440" s="197"/>
      <c r="BQ19440" s="197"/>
    </row>
    <row r="19441" spans="66:69" x14ac:dyDescent="0.2">
      <c r="BN19441" s="192"/>
      <c r="BO19441" s="197"/>
      <c r="BP19441" s="197"/>
      <c r="BQ19441" s="197"/>
    </row>
    <row r="19442" spans="66:69" x14ac:dyDescent="0.2">
      <c r="BN19442" s="192"/>
      <c r="BO19442" s="197"/>
      <c r="BP19442" s="197"/>
      <c r="BQ19442" s="197"/>
    </row>
    <row r="19443" spans="66:69" x14ac:dyDescent="0.2">
      <c r="BN19443" s="192"/>
      <c r="BO19443" s="197"/>
      <c r="BP19443" s="197"/>
      <c r="BQ19443" s="197"/>
    </row>
    <row r="19444" spans="66:69" x14ac:dyDescent="0.2">
      <c r="BN19444" s="192"/>
      <c r="BO19444" s="197"/>
      <c r="BP19444" s="197"/>
      <c r="BQ19444" s="197"/>
    </row>
    <row r="19445" spans="66:69" x14ac:dyDescent="0.2">
      <c r="BN19445" s="192"/>
      <c r="BO19445" s="197"/>
      <c r="BP19445" s="197"/>
      <c r="BQ19445" s="197"/>
    </row>
    <row r="19446" spans="66:69" x14ac:dyDescent="0.2">
      <c r="BN19446" s="192"/>
      <c r="BO19446" s="197"/>
      <c r="BP19446" s="197"/>
      <c r="BQ19446" s="197"/>
    </row>
    <row r="19447" spans="66:69" x14ac:dyDescent="0.2">
      <c r="BN19447" s="192"/>
      <c r="BO19447" s="197"/>
      <c r="BP19447" s="197"/>
      <c r="BQ19447" s="197"/>
    </row>
    <row r="19448" spans="66:69" x14ac:dyDescent="0.2">
      <c r="BN19448" s="192"/>
      <c r="BO19448" s="197"/>
      <c r="BP19448" s="197"/>
      <c r="BQ19448" s="197"/>
    </row>
    <row r="19449" spans="66:69" x14ac:dyDescent="0.2">
      <c r="BN19449" s="192"/>
      <c r="BO19449" s="197"/>
      <c r="BP19449" s="197"/>
      <c r="BQ19449" s="197"/>
    </row>
    <row r="19450" spans="66:69" x14ac:dyDescent="0.2">
      <c r="BN19450" s="192"/>
      <c r="BO19450" s="197"/>
      <c r="BP19450" s="197"/>
      <c r="BQ19450" s="197"/>
    </row>
    <row r="19451" spans="66:69" x14ac:dyDescent="0.2">
      <c r="BN19451" s="192"/>
      <c r="BO19451" s="197"/>
      <c r="BP19451" s="197"/>
      <c r="BQ19451" s="197"/>
    </row>
    <row r="19452" spans="66:69" x14ac:dyDescent="0.2">
      <c r="BN19452" s="192"/>
      <c r="BO19452" s="197"/>
      <c r="BP19452" s="197"/>
      <c r="BQ19452" s="197"/>
    </row>
    <row r="19453" spans="66:69" x14ac:dyDescent="0.2">
      <c r="BN19453" s="192"/>
      <c r="BO19453" s="197"/>
      <c r="BP19453" s="197"/>
      <c r="BQ19453" s="197"/>
    </row>
    <row r="19454" spans="66:69" x14ac:dyDescent="0.2">
      <c r="BN19454" s="192"/>
      <c r="BO19454" s="197"/>
      <c r="BP19454" s="197"/>
      <c r="BQ19454" s="197"/>
    </row>
    <row r="19455" spans="66:69" x14ac:dyDescent="0.2">
      <c r="BN19455" s="192"/>
      <c r="BO19455" s="197"/>
      <c r="BP19455" s="197"/>
      <c r="BQ19455" s="197"/>
    </row>
    <row r="19456" spans="66:69" x14ac:dyDescent="0.2">
      <c r="BN19456" s="192"/>
      <c r="BO19456" s="197"/>
      <c r="BP19456" s="197"/>
      <c r="BQ19456" s="197"/>
    </row>
    <row r="19457" spans="66:69" x14ac:dyDescent="0.2">
      <c r="BN19457" s="192"/>
      <c r="BO19457" s="197"/>
      <c r="BP19457" s="197"/>
      <c r="BQ19457" s="197"/>
    </row>
    <row r="19458" spans="66:69" x14ac:dyDescent="0.2">
      <c r="BN19458" s="192"/>
      <c r="BO19458" s="197"/>
      <c r="BP19458" s="197"/>
      <c r="BQ19458" s="197"/>
    </row>
    <row r="19459" spans="66:69" x14ac:dyDescent="0.2">
      <c r="BN19459" s="192"/>
      <c r="BO19459" s="197"/>
      <c r="BP19459" s="197"/>
      <c r="BQ19459" s="197"/>
    </row>
    <row r="19460" spans="66:69" x14ac:dyDescent="0.2">
      <c r="BN19460" s="192"/>
      <c r="BO19460" s="197"/>
      <c r="BP19460" s="197"/>
      <c r="BQ19460" s="197"/>
    </row>
    <row r="19461" spans="66:69" x14ac:dyDescent="0.2">
      <c r="BN19461" s="192"/>
      <c r="BO19461" s="197"/>
      <c r="BP19461" s="197"/>
      <c r="BQ19461" s="197"/>
    </row>
    <row r="19462" spans="66:69" x14ac:dyDescent="0.2">
      <c r="BN19462" s="192"/>
      <c r="BO19462" s="197"/>
      <c r="BP19462" s="197"/>
      <c r="BQ19462" s="197"/>
    </row>
    <row r="19463" spans="66:69" x14ac:dyDescent="0.2">
      <c r="BN19463" s="192"/>
      <c r="BO19463" s="197"/>
      <c r="BP19463" s="197"/>
      <c r="BQ19463" s="197"/>
    </row>
    <row r="19464" spans="66:69" x14ac:dyDescent="0.2">
      <c r="BN19464" s="192"/>
      <c r="BO19464" s="197"/>
      <c r="BP19464" s="197"/>
      <c r="BQ19464" s="197"/>
    </row>
    <row r="19465" spans="66:69" x14ac:dyDescent="0.2">
      <c r="BN19465" s="192"/>
      <c r="BO19465" s="197"/>
      <c r="BP19465" s="197"/>
      <c r="BQ19465" s="197"/>
    </row>
    <row r="19466" spans="66:69" x14ac:dyDescent="0.2">
      <c r="BN19466" s="192"/>
      <c r="BO19466" s="197"/>
      <c r="BP19466" s="197"/>
      <c r="BQ19466" s="197"/>
    </row>
    <row r="19467" spans="66:69" x14ac:dyDescent="0.2">
      <c r="BN19467" s="192"/>
      <c r="BO19467" s="197"/>
      <c r="BP19467" s="197"/>
      <c r="BQ19467" s="197"/>
    </row>
    <row r="19468" spans="66:69" x14ac:dyDescent="0.2">
      <c r="BN19468" s="192"/>
      <c r="BO19468" s="197"/>
      <c r="BP19468" s="197"/>
      <c r="BQ19468" s="197"/>
    </row>
    <row r="19469" spans="66:69" x14ac:dyDescent="0.2">
      <c r="BN19469" s="192"/>
      <c r="BO19469" s="197"/>
      <c r="BP19469" s="197"/>
      <c r="BQ19469" s="197"/>
    </row>
    <row r="19470" spans="66:69" x14ac:dyDescent="0.2">
      <c r="BN19470" s="192"/>
      <c r="BO19470" s="197"/>
      <c r="BP19470" s="197"/>
      <c r="BQ19470" s="197"/>
    </row>
    <row r="19471" spans="66:69" x14ac:dyDescent="0.2">
      <c r="BN19471" s="192"/>
      <c r="BO19471" s="197"/>
      <c r="BP19471" s="197"/>
      <c r="BQ19471" s="197"/>
    </row>
    <row r="19472" spans="66:69" x14ac:dyDescent="0.2">
      <c r="BN19472" s="192"/>
      <c r="BO19472" s="197"/>
      <c r="BP19472" s="197"/>
      <c r="BQ19472" s="197"/>
    </row>
    <row r="19473" spans="66:69" x14ac:dyDescent="0.2">
      <c r="BN19473" s="192"/>
      <c r="BO19473" s="197"/>
      <c r="BP19473" s="197"/>
      <c r="BQ19473" s="197"/>
    </row>
    <row r="19474" spans="66:69" x14ac:dyDescent="0.2">
      <c r="BN19474" s="192"/>
      <c r="BO19474" s="197"/>
      <c r="BP19474" s="197"/>
      <c r="BQ19474" s="197"/>
    </row>
    <row r="19475" spans="66:69" x14ac:dyDescent="0.2">
      <c r="BN19475" s="192"/>
      <c r="BO19475" s="197"/>
      <c r="BP19475" s="197"/>
      <c r="BQ19475" s="197"/>
    </row>
    <row r="19476" spans="66:69" x14ac:dyDescent="0.2">
      <c r="BN19476" s="192"/>
      <c r="BO19476" s="197"/>
      <c r="BP19476" s="197"/>
      <c r="BQ19476" s="197"/>
    </row>
    <row r="19477" spans="66:69" x14ac:dyDescent="0.2">
      <c r="BN19477" s="192"/>
      <c r="BO19477" s="197"/>
      <c r="BP19477" s="197"/>
      <c r="BQ19477" s="197"/>
    </row>
    <row r="19478" spans="66:69" x14ac:dyDescent="0.2">
      <c r="BN19478" s="192"/>
      <c r="BO19478" s="197"/>
      <c r="BP19478" s="197"/>
      <c r="BQ19478" s="197"/>
    </row>
    <row r="19479" spans="66:69" x14ac:dyDescent="0.2">
      <c r="BN19479" s="192"/>
      <c r="BO19479" s="197"/>
      <c r="BP19479" s="197"/>
      <c r="BQ19479" s="197"/>
    </row>
    <row r="19480" spans="66:69" x14ac:dyDescent="0.2">
      <c r="BN19480" s="192"/>
      <c r="BO19480" s="197"/>
      <c r="BP19480" s="197"/>
      <c r="BQ19480" s="197"/>
    </row>
    <row r="19481" spans="66:69" x14ac:dyDescent="0.2">
      <c r="BN19481" s="192"/>
      <c r="BO19481" s="197"/>
      <c r="BP19481" s="197"/>
      <c r="BQ19481" s="197"/>
    </row>
    <row r="19482" spans="66:69" x14ac:dyDescent="0.2">
      <c r="BN19482" s="192"/>
      <c r="BO19482" s="197"/>
      <c r="BP19482" s="197"/>
      <c r="BQ19482" s="197"/>
    </row>
    <row r="19483" spans="66:69" x14ac:dyDescent="0.2">
      <c r="BN19483" s="192"/>
      <c r="BO19483" s="197"/>
      <c r="BP19483" s="197"/>
      <c r="BQ19483" s="197"/>
    </row>
    <row r="19484" spans="66:69" x14ac:dyDescent="0.2">
      <c r="BN19484" s="192"/>
      <c r="BO19484" s="197"/>
      <c r="BP19484" s="197"/>
      <c r="BQ19484" s="197"/>
    </row>
    <row r="19485" spans="66:69" x14ac:dyDescent="0.2">
      <c r="BN19485" s="192"/>
      <c r="BO19485" s="197"/>
      <c r="BP19485" s="197"/>
      <c r="BQ19485" s="197"/>
    </row>
    <row r="19486" spans="66:69" x14ac:dyDescent="0.2">
      <c r="BN19486" s="192"/>
      <c r="BO19486" s="197"/>
      <c r="BP19486" s="197"/>
      <c r="BQ19486" s="197"/>
    </row>
    <row r="19487" spans="66:69" x14ac:dyDescent="0.2">
      <c r="BN19487" s="192"/>
      <c r="BO19487" s="197"/>
      <c r="BP19487" s="197"/>
      <c r="BQ19487" s="197"/>
    </row>
    <row r="19488" spans="66:69" x14ac:dyDescent="0.2">
      <c r="BN19488" s="192"/>
      <c r="BO19488" s="197"/>
      <c r="BP19488" s="197"/>
      <c r="BQ19488" s="197"/>
    </row>
    <row r="19489" spans="66:69" x14ac:dyDescent="0.2">
      <c r="BN19489" s="192"/>
      <c r="BO19489" s="197"/>
      <c r="BP19489" s="197"/>
      <c r="BQ19489" s="197"/>
    </row>
    <row r="19490" spans="66:69" x14ac:dyDescent="0.2">
      <c r="BN19490" s="192"/>
      <c r="BO19490" s="197"/>
      <c r="BP19490" s="197"/>
      <c r="BQ19490" s="197"/>
    </row>
    <row r="19491" spans="66:69" x14ac:dyDescent="0.2">
      <c r="BN19491" s="192"/>
      <c r="BO19491" s="197"/>
      <c r="BP19491" s="197"/>
      <c r="BQ19491" s="197"/>
    </row>
    <row r="19492" spans="66:69" x14ac:dyDescent="0.2">
      <c r="BN19492" s="192"/>
      <c r="BO19492" s="197"/>
      <c r="BP19492" s="197"/>
      <c r="BQ19492" s="197"/>
    </row>
    <row r="19493" spans="66:69" x14ac:dyDescent="0.2">
      <c r="BN19493" s="192"/>
      <c r="BO19493" s="197"/>
      <c r="BP19493" s="197"/>
      <c r="BQ19493" s="197"/>
    </row>
    <row r="19494" spans="66:69" x14ac:dyDescent="0.2">
      <c r="BN19494" s="192"/>
      <c r="BO19494" s="197"/>
      <c r="BP19494" s="197"/>
      <c r="BQ19494" s="197"/>
    </row>
    <row r="19495" spans="66:69" x14ac:dyDescent="0.2">
      <c r="BN19495" s="192"/>
      <c r="BO19495" s="197"/>
      <c r="BP19495" s="197"/>
      <c r="BQ19495" s="197"/>
    </row>
    <row r="19496" spans="66:69" x14ac:dyDescent="0.2">
      <c r="BN19496" s="192"/>
      <c r="BO19496" s="197"/>
      <c r="BP19496" s="197"/>
      <c r="BQ19496" s="197"/>
    </row>
    <row r="19497" spans="66:69" x14ac:dyDescent="0.2">
      <c r="BN19497" s="192"/>
      <c r="BO19497" s="197"/>
      <c r="BP19497" s="197"/>
      <c r="BQ19497" s="197"/>
    </row>
    <row r="19498" spans="66:69" x14ac:dyDescent="0.2">
      <c r="BN19498" s="192"/>
      <c r="BO19498" s="197"/>
      <c r="BP19498" s="197"/>
      <c r="BQ19498" s="197"/>
    </row>
    <row r="19499" spans="66:69" x14ac:dyDescent="0.2">
      <c r="BN19499" s="192"/>
      <c r="BO19499" s="197"/>
      <c r="BP19499" s="197"/>
      <c r="BQ19499" s="197"/>
    </row>
    <row r="19500" spans="66:69" x14ac:dyDescent="0.2">
      <c r="BN19500" s="192"/>
      <c r="BO19500" s="197"/>
      <c r="BP19500" s="197"/>
      <c r="BQ19500" s="197"/>
    </row>
    <row r="19501" spans="66:69" x14ac:dyDescent="0.2">
      <c r="BN19501" s="192"/>
      <c r="BO19501" s="197"/>
      <c r="BP19501" s="197"/>
      <c r="BQ19501" s="197"/>
    </row>
    <row r="19502" spans="66:69" x14ac:dyDescent="0.2">
      <c r="BN19502" s="192"/>
      <c r="BO19502" s="197"/>
      <c r="BP19502" s="197"/>
      <c r="BQ19502" s="197"/>
    </row>
    <row r="19503" spans="66:69" x14ac:dyDescent="0.2">
      <c r="BN19503" s="192"/>
      <c r="BO19503" s="197"/>
      <c r="BP19503" s="197"/>
      <c r="BQ19503" s="197"/>
    </row>
    <row r="19504" spans="66:69" x14ac:dyDescent="0.2">
      <c r="BN19504" s="192"/>
      <c r="BO19504" s="197"/>
      <c r="BP19504" s="197"/>
      <c r="BQ19504" s="197"/>
    </row>
    <row r="19505" spans="66:69" x14ac:dyDescent="0.2">
      <c r="BN19505" s="192"/>
      <c r="BO19505" s="197"/>
      <c r="BP19505" s="197"/>
      <c r="BQ19505" s="197"/>
    </row>
    <row r="19506" spans="66:69" x14ac:dyDescent="0.2">
      <c r="BN19506" s="192"/>
      <c r="BO19506" s="197"/>
      <c r="BP19506" s="197"/>
      <c r="BQ19506" s="197"/>
    </row>
    <row r="19507" spans="66:69" x14ac:dyDescent="0.2">
      <c r="BN19507" s="192"/>
      <c r="BO19507" s="197"/>
      <c r="BP19507" s="197"/>
      <c r="BQ19507" s="197"/>
    </row>
    <row r="19508" spans="66:69" x14ac:dyDescent="0.2">
      <c r="BN19508" s="192"/>
      <c r="BO19508" s="197"/>
      <c r="BP19508" s="197"/>
      <c r="BQ19508" s="197"/>
    </row>
    <row r="19509" spans="66:69" x14ac:dyDescent="0.2">
      <c r="BN19509" s="192"/>
      <c r="BO19509" s="197"/>
      <c r="BP19509" s="197"/>
      <c r="BQ19509" s="197"/>
    </row>
    <row r="19510" spans="66:69" x14ac:dyDescent="0.2">
      <c r="BN19510" s="192"/>
      <c r="BO19510" s="197"/>
      <c r="BP19510" s="197"/>
      <c r="BQ19510" s="197"/>
    </row>
    <row r="19511" spans="66:69" x14ac:dyDescent="0.2">
      <c r="BN19511" s="192"/>
      <c r="BO19511" s="197"/>
      <c r="BP19511" s="197"/>
      <c r="BQ19511" s="197"/>
    </row>
    <row r="19512" spans="66:69" x14ac:dyDescent="0.2">
      <c r="BN19512" s="192"/>
      <c r="BO19512" s="197"/>
      <c r="BP19512" s="197"/>
      <c r="BQ19512" s="197"/>
    </row>
    <row r="19513" spans="66:69" x14ac:dyDescent="0.2">
      <c r="BN19513" s="192"/>
      <c r="BO19513" s="197"/>
      <c r="BP19513" s="197"/>
      <c r="BQ19513" s="197"/>
    </row>
    <row r="19514" spans="66:69" x14ac:dyDescent="0.2">
      <c r="BN19514" s="192"/>
      <c r="BO19514" s="197"/>
      <c r="BP19514" s="197"/>
      <c r="BQ19514" s="197"/>
    </row>
    <row r="19515" spans="66:69" x14ac:dyDescent="0.2">
      <c r="BN19515" s="192"/>
      <c r="BO19515" s="197"/>
      <c r="BP19515" s="197"/>
      <c r="BQ19515" s="197"/>
    </row>
    <row r="19516" spans="66:69" x14ac:dyDescent="0.2">
      <c r="BN19516" s="192"/>
      <c r="BO19516" s="197"/>
      <c r="BP19516" s="197"/>
      <c r="BQ19516" s="197"/>
    </row>
    <row r="19517" spans="66:69" x14ac:dyDescent="0.2">
      <c r="BN19517" s="192"/>
      <c r="BO19517" s="197"/>
      <c r="BP19517" s="197"/>
      <c r="BQ19517" s="197"/>
    </row>
    <row r="19518" spans="66:69" x14ac:dyDescent="0.2">
      <c r="BN19518" s="192"/>
      <c r="BO19518" s="197"/>
      <c r="BP19518" s="197"/>
      <c r="BQ19518" s="197"/>
    </row>
    <row r="19519" spans="66:69" x14ac:dyDescent="0.2">
      <c r="BN19519" s="192"/>
      <c r="BO19519" s="197"/>
      <c r="BP19519" s="197"/>
      <c r="BQ19519" s="197"/>
    </row>
    <row r="19520" spans="66:69" x14ac:dyDescent="0.2">
      <c r="BN19520" s="192"/>
      <c r="BO19520" s="197"/>
      <c r="BP19520" s="197"/>
      <c r="BQ19520" s="197"/>
    </row>
    <row r="19521" spans="66:69" x14ac:dyDescent="0.2">
      <c r="BN19521" s="192"/>
      <c r="BO19521" s="197"/>
      <c r="BP19521" s="197"/>
      <c r="BQ19521" s="197"/>
    </row>
    <row r="19522" spans="66:69" x14ac:dyDescent="0.2">
      <c r="BN19522" s="192"/>
      <c r="BO19522" s="197"/>
      <c r="BP19522" s="197"/>
      <c r="BQ19522" s="197"/>
    </row>
    <row r="19523" spans="66:69" x14ac:dyDescent="0.2">
      <c r="BN19523" s="192"/>
      <c r="BO19523" s="197"/>
      <c r="BP19523" s="197"/>
      <c r="BQ19523" s="197"/>
    </row>
    <row r="19524" spans="66:69" x14ac:dyDescent="0.2">
      <c r="BN19524" s="192"/>
      <c r="BO19524" s="197"/>
      <c r="BP19524" s="197"/>
      <c r="BQ19524" s="197"/>
    </row>
    <row r="19525" spans="66:69" x14ac:dyDescent="0.2">
      <c r="BN19525" s="192"/>
      <c r="BO19525" s="197"/>
      <c r="BP19525" s="197"/>
      <c r="BQ19525" s="197"/>
    </row>
    <row r="19526" spans="66:69" x14ac:dyDescent="0.2">
      <c r="BN19526" s="192"/>
      <c r="BO19526" s="197"/>
      <c r="BP19526" s="197"/>
      <c r="BQ19526" s="197"/>
    </row>
    <row r="19527" spans="66:69" x14ac:dyDescent="0.2">
      <c r="BN19527" s="192"/>
      <c r="BO19527" s="197"/>
      <c r="BP19527" s="197"/>
      <c r="BQ19527" s="197"/>
    </row>
    <row r="19528" spans="66:69" x14ac:dyDescent="0.2">
      <c r="BN19528" s="192"/>
      <c r="BO19528" s="197"/>
      <c r="BP19528" s="197"/>
      <c r="BQ19528" s="197"/>
    </row>
    <row r="19529" spans="66:69" x14ac:dyDescent="0.2">
      <c r="BN19529" s="192"/>
      <c r="BO19529" s="197"/>
      <c r="BP19529" s="197"/>
      <c r="BQ19529" s="197"/>
    </row>
    <row r="19530" spans="66:69" x14ac:dyDescent="0.2">
      <c r="BN19530" s="192"/>
      <c r="BO19530" s="197"/>
      <c r="BP19530" s="197"/>
      <c r="BQ19530" s="197"/>
    </row>
    <row r="19531" spans="66:69" x14ac:dyDescent="0.2">
      <c r="BN19531" s="192"/>
      <c r="BO19531" s="197"/>
      <c r="BP19531" s="197"/>
      <c r="BQ19531" s="197"/>
    </row>
    <row r="19532" spans="66:69" x14ac:dyDescent="0.2">
      <c r="BN19532" s="192"/>
      <c r="BO19532" s="197"/>
      <c r="BP19532" s="197"/>
      <c r="BQ19532" s="197"/>
    </row>
    <row r="19533" spans="66:69" x14ac:dyDescent="0.2">
      <c r="BN19533" s="192"/>
      <c r="BO19533" s="197"/>
      <c r="BP19533" s="197"/>
      <c r="BQ19533" s="197"/>
    </row>
    <row r="19534" spans="66:69" x14ac:dyDescent="0.2">
      <c r="BN19534" s="192"/>
      <c r="BO19534" s="197"/>
      <c r="BP19534" s="197"/>
      <c r="BQ19534" s="197"/>
    </row>
    <row r="19535" spans="66:69" x14ac:dyDescent="0.2">
      <c r="BN19535" s="192"/>
      <c r="BO19535" s="197"/>
      <c r="BP19535" s="197"/>
      <c r="BQ19535" s="197"/>
    </row>
    <row r="19536" spans="66:69" x14ac:dyDescent="0.2">
      <c r="BN19536" s="192"/>
      <c r="BO19536" s="197"/>
      <c r="BP19536" s="197"/>
      <c r="BQ19536" s="197"/>
    </row>
    <row r="19537" spans="66:69" x14ac:dyDescent="0.2">
      <c r="BN19537" s="192"/>
      <c r="BO19537" s="197"/>
      <c r="BP19537" s="197"/>
      <c r="BQ19537" s="197"/>
    </row>
    <row r="19538" spans="66:69" x14ac:dyDescent="0.2">
      <c r="BN19538" s="192"/>
      <c r="BO19538" s="197"/>
      <c r="BP19538" s="197"/>
      <c r="BQ19538" s="197"/>
    </row>
    <row r="19539" spans="66:69" x14ac:dyDescent="0.2">
      <c r="BN19539" s="192"/>
      <c r="BO19539" s="197"/>
      <c r="BP19539" s="197"/>
      <c r="BQ19539" s="197"/>
    </row>
    <row r="19540" spans="66:69" x14ac:dyDescent="0.2">
      <c r="BN19540" s="192"/>
      <c r="BO19540" s="197"/>
      <c r="BP19540" s="197"/>
      <c r="BQ19540" s="197"/>
    </row>
    <row r="19541" spans="66:69" x14ac:dyDescent="0.2">
      <c r="BN19541" s="192"/>
      <c r="BO19541" s="197"/>
      <c r="BP19541" s="197"/>
      <c r="BQ19541" s="197"/>
    </row>
    <row r="19542" spans="66:69" x14ac:dyDescent="0.2">
      <c r="BN19542" s="192"/>
      <c r="BO19542" s="197"/>
      <c r="BP19542" s="197"/>
      <c r="BQ19542" s="197"/>
    </row>
    <row r="19543" spans="66:69" x14ac:dyDescent="0.2">
      <c r="BN19543" s="192"/>
      <c r="BO19543" s="197"/>
      <c r="BP19543" s="197"/>
      <c r="BQ19543" s="197"/>
    </row>
    <row r="19544" spans="66:69" x14ac:dyDescent="0.2">
      <c r="BN19544" s="192"/>
      <c r="BO19544" s="197"/>
      <c r="BP19544" s="197"/>
      <c r="BQ19544" s="197"/>
    </row>
    <row r="19545" spans="66:69" x14ac:dyDescent="0.2">
      <c r="BN19545" s="192"/>
      <c r="BO19545" s="197"/>
      <c r="BP19545" s="197"/>
      <c r="BQ19545" s="197"/>
    </row>
    <row r="19546" spans="66:69" x14ac:dyDescent="0.2">
      <c r="BN19546" s="192"/>
      <c r="BO19546" s="197"/>
      <c r="BP19546" s="197"/>
      <c r="BQ19546" s="197"/>
    </row>
    <row r="19547" spans="66:69" x14ac:dyDescent="0.2">
      <c r="BN19547" s="192"/>
      <c r="BO19547" s="197"/>
      <c r="BP19547" s="197"/>
      <c r="BQ19547" s="197"/>
    </row>
    <row r="19548" spans="66:69" x14ac:dyDescent="0.2">
      <c r="BN19548" s="192"/>
      <c r="BO19548" s="197"/>
      <c r="BP19548" s="197"/>
      <c r="BQ19548" s="197"/>
    </row>
    <row r="19549" spans="66:69" x14ac:dyDescent="0.2">
      <c r="BN19549" s="192"/>
      <c r="BO19549" s="197"/>
      <c r="BP19549" s="197"/>
      <c r="BQ19549" s="197"/>
    </row>
    <row r="19550" spans="66:69" x14ac:dyDescent="0.2">
      <c r="BN19550" s="192"/>
      <c r="BO19550" s="197"/>
      <c r="BP19550" s="197"/>
      <c r="BQ19550" s="197"/>
    </row>
    <row r="19551" spans="66:69" x14ac:dyDescent="0.2">
      <c r="BN19551" s="192"/>
      <c r="BO19551" s="197"/>
      <c r="BP19551" s="197"/>
      <c r="BQ19551" s="197"/>
    </row>
    <row r="19552" spans="66:69" x14ac:dyDescent="0.2">
      <c r="BN19552" s="192"/>
      <c r="BO19552" s="197"/>
      <c r="BP19552" s="197"/>
      <c r="BQ19552" s="197"/>
    </row>
    <row r="19553" spans="66:69" x14ac:dyDescent="0.2">
      <c r="BN19553" s="192"/>
      <c r="BO19553" s="197"/>
      <c r="BP19553" s="197"/>
      <c r="BQ19553" s="197"/>
    </row>
    <row r="19554" spans="66:69" x14ac:dyDescent="0.2">
      <c r="BN19554" s="192"/>
      <c r="BO19554" s="197"/>
      <c r="BP19554" s="197"/>
      <c r="BQ19554" s="197"/>
    </row>
    <row r="19555" spans="66:69" x14ac:dyDescent="0.2">
      <c r="BN19555" s="192"/>
      <c r="BO19555" s="197"/>
      <c r="BP19555" s="197"/>
      <c r="BQ19555" s="197"/>
    </row>
    <row r="19556" spans="66:69" x14ac:dyDescent="0.2">
      <c r="BN19556" s="192"/>
      <c r="BO19556" s="197"/>
      <c r="BP19556" s="197"/>
      <c r="BQ19556" s="197"/>
    </row>
    <row r="19557" spans="66:69" x14ac:dyDescent="0.2">
      <c r="BN19557" s="192"/>
      <c r="BO19557" s="197"/>
      <c r="BP19557" s="197"/>
      <c r="BQ19557" s="197"/>
    </row>
    <row r="19558" spans="66:69" x14ac:dyDescent="0.2">
      <c r="BN19558" s="192"/>
      <c r="BO19558" s="197"/>
      <c r="BP19558" s="197"/>
      <c r="BQ19558" s="197"/>
    </row>
    <row r="19559" spans="66:69" x14ac:dyDescent="0.2">
      <c r="BN19559" s="192"/>
      <c r="BO19559" s="197"/>
      <c r="BP19559" s="197"/>
      <c r="BQ19559" s="197"/>
    </row>
    <row r="19560" spans="66:69" x14ac:dyDescent="0.2">
      <c r="BN19560" s="192"/>
      <c r="BO19560" s="197"/>
      <c r="BP19560" s="197"/>
      <c r="BQ19560" s="197"/>
    </row>
    <row r="19561" spans="66:69" x14ac:dyDescent="0.2">
      <c r="BN19561" s="192"/>
      <c r="BO19561" s="197"/>
      <c r="BP19561" s="197"/>
      <c r="BQ19561" s="197"/>
    </row>
    <row r="19562" spans="66:69" x14ac:dyDescent="0.2">
      <c r="BN19562" s="192"/>
      <c r="BO19562" s="197"/>
      <c r="BP19562" s="197"/>
      <c r="BQ19562" s="197"/>
    </row>
    <row r="19563" spans="66:69" x14ac:dyDescent="0.2">
      <c r="BN19563" s="192"/>
      <c r="BO19563" s="197"/>
      <c r="BP19563" s="197"/>
      <c r="BQ19563" s="197"/>
    </row>
    <row r="19564" spans="66:69" x14ac:dyDescent="0.2">
      <c r="BN19564" s="192"/>
      <c r="BO19564" s="197"/>
      <c r="BP19564" s="197"/>
      <c r="BQ19564" s="197"/>
    </row>
    <row r="19565" spans="66:69" x14ac:dyDescent="0.2">
      <c r="BN19565" s="192"/>
      <c r="BO19565" s="197"/>
      <c r="BP19565" s="197"/>
      <c r="BQ19565" s="197"/>
    </row>
    <row r="19566" spans="66:69" x14ac:dyDescent="0.2">
      <c r="BN19566" s="192"/>
      <c r="BO19566" s="197"/>
      <c r="BP19566" s="197"/>
      <c r="BQ19566" s="197"/>
    </row>
    <row r="19567" spans="66:69" x14ac:dyDescent="0.2">
      <c r="BN19567" s="192"/>
      <c r="BO19567" s="197"/>
      <c r="BP19567" s="197"/>
      <c r="BQ19567" s="197"/>
    </row>
    <row r="19568" spans="66:69" x14ac:dyDescent="0.2">
      <c r="BN19568" s="192"/>
      <c r="BO19568" s="197"/>
      <c r="BP19568" s="197"/>
      <c r="BQ19568" s="197"/>
    </row>
    <row r="19569" spans="66:69" x14ac:dyDescent="0.2">
      <c r="BN19569" s="192"/>
      <c r="BO19569" s="197"/>
      <c r="BP19569" s="197"/>
      <c r="BQ19569" s="197"/>
    </row>
    <row r="19570" spans="66:69" x14ac:dyDescent="0.2">
      <c r="BN19570" s="192"/>
      <c r="BO19570" s="197"/>
      <c r="BP19570" s="197"/>
      <c r="BQ19570" s="197"/>
    </row>
    <row r="19571" spans="66:69" x14ac:dyDescent="0.2">
      <c r="BN19571" s="192"/>
      <c r="BO19571" s="197"/>
      <c r="BP19571" s="197"/>
      <c r="BQ19571" s="197"/>
    </row>
    <row r="19572" spans="66:69" x14ac:dyDescent="0.2">
      <c r="BN19572" s="192"/>
      <c r="BO19572" s="197"/>
      <c r="BP19572" s="197"/>
      <c r="BQ19572" s="197"/>
    </row>
    <row r="19573" spans="66:69" x14ac:dyDescent="0.2">
      <c r="BN19573" s="192"/>
      <c r="BO19573" s="197"/>
      <c r="BP19573" s="197"/>
      <c r="BQ19573" s="197"/>
    </row>
    <row r="19574" spans="66:69" x14ac:dyDescent="0.2">
      <c r="BN19574" s="192"/>
      <c r="BO19574" s="197"/>
      <c r="BP19574" s="197"/>
      <c r="BQ19574" s="197"/>
    </row>
    <row r="19575" spans="66:69" x14ac:dyDescent="0.2">
      <c r="BN19575" s="192"/>
      <c r="BO19575" s="197"/>
      <c r="BP19575" s="197"/>
      <c r="BQ19575" s="197"/>
    </row>
    <row r="19576" spans="66:69" x14ac:dyDescent="0.2">
      <c r="BN19576" s="192"/>
      <c r="BO19576" s="197"/>
      <c r="BP19576" s="197"/>
      <c r="BQ19576" s="197"/>
    </row>
    <row r="19577" spans="66:69" x14ac:dyDescent="0.2">
      <c r="BN19577" s="192"/>
      <c r="BO19577" s="197"/>
      <c r="BP19577" s="197"/>
      <c r="BQ19577" s="197"/>
    </row>
    <row r="19578" spans="66:69" x14ac:dyDescent="0.2">
      <c r="BN19578" s="192"/>
      <c r="BO19578" s="197"/>
      <c r="BP19578" s="197"/>
      <c r="BQ19578" s="197"/>
    </row>
    <row r="19579" spans="66:69" x14ac:dyDescent="0.2">
      <c r="BN19579" s="192"/>
      <c r="BO19579" s="197"/>
      <c r="BP19579" s="197"/>
      <c r="BQ19579" s="197"/>
    </row>
    <row r="19580" spans="66:69" x14ac:dyDescent="0.2">
      <c r="BN19580" s="192"/>
      <c r="BO19580" s="197"/>
      <c r="BP19580" s="197"/>
      <c r="BQ19580" s="197"/>
    </row>
    <row r="19581" spans="66:69" x14ac:dyDescent="0.2">
      <c r="BN19581" s="192"/>
      <c r="BO19581" s="197"/>
      <c r="BP19581" s="197"/>
      <c r="BQ19581" s="197"/>
    </row>
    <row r="19582" spans="66:69" x14ac:dyDescent="0.2">
      <c r="BN19582" s="192"/>
      <c r="BO19582" s="197"/>
      <c r="BP19582" s="197"/>
      <c r="BQ19582" s="197"/>
    </row>
    <row r="19583" spans="66:69" x14ac:dyDescent="0.2">
      <c r="BN19583" s="192"/>
      <c r="BO19583" s="197"/>
      <c r="BP19583" s="197"/>
      <c r="BQ19583" s="197"/>
    </row>
    <row r="19584" spans="66:69" x14ac:dyDescent="0.2">
      <c r="BN19584" s="192"/>
      <c r="BO19584" s="197"/>
      <c r="BP19584" s="197"/>
      <c r="BQ19584" s="197"/>
    </row>
    <row r="19585" spans="66:69" x14ac:dyDescent="0.2">
      <c r="BN19585" s="192"/>
      <c r="BO19585" s="197"/>
      <c r="BP19585" s="197"/>
      <c r="BQ19585" s="197"/>
    </row>
    <row r="19586" spans="66:69" x14ac:dyDescent="0.2">
      <c r="BN19586" s="192"/>
      <c r="BO19586" s="197"/>
      <c r="BP19586" s="197"/>
      <c r="BQ19586" s="197"/>
    </row>
    <row r="19587" spans="66:69" x14ac:dyDescent="0.2">
      <c r="BN19587" s="192"/>
      <c r="BO19587" s="197"/>
      <c r="BP19587" s="197"/>
      <c r="BQ19587" s="197"/>
    </row>
    <row r="19588" spans="66:69" x14ac:dyDescent="0.2">
      <c r="BN19588" s="192"/>
      <c r="BO19588" s="197"/>
      <c r="BP19588" s="197"/>
      <c r="BQ19588" s="197"/>
    </row>
    <row r="19589" spans="66:69" x14ac:dyDescent="0.2">
      <c r="BN19589" s="192"/>
      <c r="BO19589" s="197"/>
      <c r="BP19589" s="197"/>
      <c r="BQ19589" s="197"/>
    </row>
    <row r="19590" spans="66:69" x14ac:dyDescent="0.2">
      <c r="BN19590" s="192"/>
      <c r="BO19590" s="197"/>
      <c r="BP19590" s="197"/>
      <c r="BQ19590" s="197"/>
    </row>
    <row r="19591" spans="66:69" x14ac:dyDescent="0.2">
      <c r="BN19591" s="192"/>
      <c r="BO19591" s="197"/>
      <c r="BP19591" s="197"/>
      <c r="BQ19591" s="197"/>
    </row>
    <row r="19592" spans="66:69" x14ac:dyDescent="0.2">
      <c r="BN19592" s="192"/>
      <c r="BO19592" s="197"/>
      <c r="BP19592" s="197"/>
      <c r="BQ19592" s="197"/>
    </row>
    <row r="19593" spans="66:69" x14ac:dyDescent="0.2">
      <c r="BN19593" s="192"/>
      <c r="BO19593" s="197"/>
      <c r="BP19593" s="197"/>
      <c r="BQ19593" s="197"/>
    </row>
    <row r="19594" spans="66:69" x14ac:dyDescent="0.2">
      <c r="BN19594" s="192"/>
      <c r="BO19594" s="197"/>
      <c r="BP19594" s="197"/>
      <c r="BQ19594" s="197"/>
    </row>
    <row r="19595" spans="66:69" x14ac:dyDescent="0.2">
      <c r="BN19595" s="192"/>
      <c r="BO19595" s="197"/>
      <c r="BP19595" s="197"/>
      <c r="BQ19595" s="197"/>
    </row>
    <row r="19596" spans="66:69" x14ac:dyDescent="0.2">
      <c r="BN19596" s="192"/>
      <c r="BO19596" s="197"/>
      <c r="BP19596" s="197"/>
      <c r="BQ19596" s="197"/>
    </row>
    <row r="19597" spans="66:69" x14ac:dyDescent="0.2">
      <c r="BN19597" s="192"/>
      <c r="BO19597" s="197"/>
      <c r="BP19597" s="197"/>
      <c r="BQ19597" s="197"/>
    </row>
    <row r="19598" spans="66:69" x14ac:dyDescent="0.2">
      <c r="BN19598" s="192"/>
      <c r="BO19598" s="197"/>
      <c r="BP19598" s="197"/>
      <c r="BQ19598" s="197"/>
    </row>
    <row r="19599" spans="66:69" x14ac:dyDescent="0.2">
      <c r="BN19599" s="192"/>
      <c r="BO19599" s="197"/>
      <c r="BP19599" s="197"/>
      <c r="BQ19599" s="197"/>
    </row>
    <row r="19600" spans="66:69" x14ac:dyDescent="0.2">
      <c r="BN19600" s="192"/>
      <c r="BO19600" s="197"/>
      <c r="BP19600" s="197"/>
      <c r="BQ19600" s="197"/>
    </row>
    <row r="19601" spans="66:69" x14ac:dyDescent="0.2">
      <c r="BN19601" s="192"/>
      <c r="BO19601" s="197"/>
      <c r="BP19601" s="197"/>
      <c r="BQ19601" s="197"/>
    </row>
    <row r="19602" spans="66:69" x14ac:dyDescent="0.2">
      <c r="BN19602" s="192"/>
      <c r="BO19602" s="197"/>
      <c r="BP19602" s="197"/>
      <c r="BQ19602" s="197"/>
    </row>
    <row r="19603" spans="66:69" x14ac:dyDescent="0.2">
      <c r="BN19603" s="192"/>
      <c r="BO19603" s="197"/>
      <c r="BP19603" s="197"/>
      <c r="BQ19603" s="197"/>
    </row>
    <row r="19604" spans="66:69" x14ac:dyDescent="0.2">
      <c r="BN19604" s="192"/>
      <c r="BO19604" s="197"/>
      <c r="BP19604" s="197"/>
      <c r="BQ19604" s="197"/>
    </row>
    <row r="19605" spans="66:69" x14ac:dyDescent="0.2">
      <c r="BN19605" s="192"/>
      <c r="BO19605" s="197"/>
      <c r="BP19605" s="197"/>
      <c r="BQ19605" s="197"/>
    </row>
    <row r="19606" spans="66:69" x14ac:dyDescent="0.2">
      <c r="BN19606" s="192"/>
      <c r="BO19606" s="197"/>
      <c r="BP19606" s="197"/>
      <c r="BQ19606" s="197"/>
    </row>
    <row r="19607" spans="66:69" x14ac:dyDescent="0.2">
      <c r="BN19607" s="192"/>
      <c r="BO19607" s="197"/>
      <c r="BP19607" s="197"/>
      <c r="BQ19607" s="197"/>
    </row>
    <row r="19608" spans="66:69" x14ac:dyDescent="0.2">
      <c r="BN19608" s="192"/>
      <c r="BO19608" s="197"/>
      <c r="BP19608" s="197"/>
      <c r="BQ19608" s="197"/>
    </row>
    <row r="19609" spans="66:69" x14ac:dyDescent="0.2">
      <c r="BN19609" s="192"/>
      <c r="BO19609" s="197"/>
      <c r="BP19609" s="197"/>
      <c r="BQ19609" s="197"/>
    </row>
    <row r="19610" spans="66:69" x14ac:dyDescent="0.2">
      <c r="BN19610" s="192"/>
      <c r="BO19610" s="197"/>
      <c r="BP19610" s="197"/>
      <c r="BQ19610" s="197"/>
    </row>
    <row r="19611" spans="66:69" x14ac:dyDescent="0.2">
      <c r="BN19611" s="192"/>
      <c r="BO19611" s="197"/>
      <c r="BP19611" s="197"/>
      <c r="BQ19611" s="197"/>
    </row>
    <row r="19612" spans="66:69" x14ac:dyDescent="0.2">
      <c r="BN19612" s="192"/>
      <c r="BO19612" s="197"/>
      <c r="BP19612" s="197"/>
      <c r="BQ19612" s="197"/>
    </row>
    <row r="19613" spans="66:69" x14ac:dyDescent="0.2">
      <c r="BN19613" s="192"/>
      <c r="BO19613" s="197"/>
      <c r="BP19613" s="197"/>
      <c r="BQ19613" s="197"/>
    </row>
    <row r="19614" spans="66:69" x14ac:dyDescent="0.2">
      <c r="BN19614" s="192"/>
      <c r="BO19614" s="197"/>
      <c r="BP19614" s="197"/>
      <c r="BQ19614" s="197"/>
    </row>
    <row r="19615" spans="66:69" x14ac:dyDescent="0.2">
      <c r="BN19615" s="192"/>
      <c r="BO19615" s="197"/>
      <c r="BP19615" s="197"/>
      <c r="BQ19615" s="197"/>
    </row>
    <row r="19616" spans="66:69" x14ac:dyDescent="0.2">
      <c r="BN19616" s="192"/>
      <c r="BO19616" s="197"/>
      <c r="BP19616" s="197"/>
      <c r="BQ19616" s="197"/>
    </row>
    <row r="19617" spans="66:69" x14ac:dyDescent="0.2">
      <c r="BN19617" s="192"/>
      <c r="BO19617" s="197"/>
      <c r="BP19617" s="197"/>
      <c r="BQ19617" s="197"/>
    </row>
    <row r="19618" spans="66:69" x14ac:dyDescent="0.2">
      <c r="BN19618" s="192"/>
      <c r="BO19618" s="197"/>
      <c r="BP19618" s="197"/>
      <c r="BQ19618" s="197"/>
    </row>
    <row r="19619" spans="66:69" x14ac:dyDescent="0.2">
      <c r="BN19619" s="192"/>
      <c r="BO19619" s="197"/>
      <c r="BP19619" s="197"/>
      <c r="BQ19619" s="197"/>
    </row>
    <row r="19620" spans="66:69" x14ac:dyDescent="0.2">
      <c r="BN19620" s="192"/>
      <c r="BO19620" s="197"/>
      <c r="BP19620" s="197"/>
      <c r="BQ19620" s="197"/>
    </row>
    <row r="19621" spans="66:69" x14ac:dyDescent="0.2">
      <c r="BN19621" s="192"/>
      <c r="BO19621" s="197"/>
      <c r="BP19621" s="197"/>
      <c r="BQ19621" s="197"/>
    </row>
    <row r="19622" spans="66:69" x14ac:dyDescent="0.2">
      <c r="BN19622" s="192"/>
      <c r="BO19622" s="197"/>
      <c r="BP19622" s="197"/>
      <c r="BQ19622" s="197"/>
    </row>
    <row r="19623" spans="66:69" x14ac:dyDescent="0.2">
      <c r="BN19623" s="192"/>
      <c r="BO19623" s="197"/>
      <c r="BP19623" s="197"/>
      <c r="BQ19623" s="197"/>
    </row>
    <row r="19624" spans="66:69" x14ac:dyDescent="0.2">
      <c r="BN19624" s="192"/>
      <c r="BO19624" s="197"/>
      <c r="BP19624" s="197"/>
      <c r="BQ19624" s="197"/>
    </row>
    <row r="19625" spans="66:69" x14ac:dyDescent="0.2">
      <c r="BN19625" s="192"/>
      <c r="BO19625" s="197"/>
      <c r="BP19625" s="197"/>
      <c r="BQ19625" s="197"/>
    </row>
    <row r="19626" spans="66:69" x14ac:dyDescent="0.2">
      <c r="BN19626" s="192"/>
      <c r="BO19626" s="197"/>
      <c r="BP19626" s="197"/>
      <c r="BQ19626" s="197"/>
    </row>
    <row r="19627" spans="66:69" x14ac:dyDescent="0.2">
      <c r="BN19627" s="192"/>
      <c r="BO19627" s="197"/>
      <c r="BP19627" s="197"/>
      <c r="BQ19627" s="197"/>
    </row>
    <row r="19628" spans="66:69" x14ac:dyDescent="0.2">
      <c r="BN19628" s="192"/>
      <c r="BO19628" s="197"/>
      <c r="BP19628" s="197"/>
      <c r="BQ19628" s="197"/>
    </row>
    <row r="19629" spans="66:69" x14ac:dyDescent="0.2">
      <c r="BN19629" s="192"/>
      <c r="BO19629" s="197"/>
      <c r="BP19629" s="197"/>
      <c r="BQ19629" s="197"/>
    </row>
    <row r="19630" spans="66:69" x14ac:dyDescent="0.2">
      <c r="BN19630" s="192"/>
      <c r="BO19630" s="197"/>
      <c r="BP19630" s="197"/>
      <c r="BQ19630" s="197"/>
    </row>
    <row r="19631" spans="66:69" x14ac:dyDescent="0.2">
      <c r="BN19631" s="192"/>
      <c r="BO19631" s="197"/>
      <c r="BP19631" s="197"/>
      <c r="BQ19631" s="197"/>
    </row>
    <row r="19632" spans="66:69" x14ac:dyDescent="0.2">
      <c r="BN19632" s="192"/>
      <c r="BO19632" s="197"/>
      <c r="BP19632" s="197"/>
      <c r="BQ19632" s="197"/>
    </row>
    <row r="19633" spans="66:69" x14ac:dyDescent="0.2">
      <c r="BN19633" s="192"/>
      <c r="BO19633" s="197"/>
      <c r="BP19633" s="197"/>
      <c r="BQ19633" s="197"/>
    </row>
    <row r="19634" spans="66:69" x14ac:dyDescent="0.2">
      <c r="BN19634" s="192"/>
      <c r="BO19634" s="197"/>
      <c r="BP19634" s="197"/>
      <c r="BQ19634" s="197"/>
    </row>
    <row r="19635" spans="66:69" x14ac:dyDescent="0.2">
      <c r="BN19635" s="192"/>
      <c r="BO19635" s="197"/>
      <c r="BP19635" s="197"/>
      <c r="BQ19635" s="197"/>
    </row>
    <row r="19636" spans="66:69" x14ac:dyDescent="0.2">
      <c r="BN19636" s="192"/>
      <c r="BO19636" s="197"/>
      <c r="BP19636" s="197"/>
      <c r="BQ19636" s="197"/>
    </row>
    <row r="19637" spans="66:69" x14ac:dyDescent="0.2">
      <c r="BN19637" s="192"/>
      <c r="BO19637" s="197"/>
      <c r="BP19637" s="197"/>
      <c r="BQ19637" s="197"/>
    </row>
    <row r="19638" spans="66:69" x14ac:dyDescent="0.2">
      <c r="BN19638" s="192"/>
      <c r="BO19638" s="197"/>
      <c r="BP19638" s="197"/>
      <c r="BQ19638" s="197"/>
    </row>
    <row r="19639" spans="66:69" x14ac:dyDescent="0.2">
      <c r="BN19639" s="192"/>
      <c r="BO19639" s="197"/>
      <c r="BP19639" s="197"/>
      <c r="BQ19639" s="197"/>
    </row>
    <row r="19640" spans="66:69" x14ac:dyDescent="0.2">
      <c r="BN19640" s="192"/>
      <c r="BO19640" s="197"/>
      <c r="BP19640" s="197"/>
      <c r="BQ19640" s="197"/>
    </row>
    <row r="19641" spans="66:69" x14ac:dyDescent="0.2">
      <c r="BN19641" s="192"/>
      <c r="BO19641" s="197"/>
      <c r="BP19641" s="197"/>
      <c r="BQ19641" s="197"/>
    </row>
    <row r="19642" spans="66:69" x14ac:dyDescent="0.2">
      <c r="BN19642" s="192"/>
      <c r="BO19642" s="197"/>
      <c r="BP19642" s="197"/>
      <c r="BQ19642" s="197"/>
    </row>
    <row r="19643" spans="66:69" x14ac:dyDescent="0.2">
      <c r="BN19643" s="192"/>
      <c r="BO19643" s="197"/>
      <c r="BP19643" s="197"/>
      <c r="BQ19643" s="197"/>
    </row>
    <row r="19644" spans="66:69" x14ac:dyDescent="0.2">
      <c r="BN19644" s="192"/>
      <c r="BO19644" s="197"/>
      <c r="BP19644" s="197"/>
      <c r="BQ19644" s="197"/>
    </row>
    <row r="19645" spans="66:69" x14ac:dyDescent="0.2">
      <c r="BN19645" s="192"/>
      <c r="BO19645" s="197"/>
      <c r="BP19645" s="197"/>
      <c r="BQ19645" s="197"/>
    </row>
    <row r="19646" spans="66:69" x14ac:dyDescent="0.2">
      <c r="BN19646" s="192"/>
      <c r="BO19646" s="197"/>
      <c r="BP19646" s="197"/>
      <c r="BQ19646" s="197"/>
    </row>
    <row r="19647" spans="66:69" x14ac:dyDescent="0.2">
      <c r="BN19647" s="192"/>
      <c r="BO19647" s="197"/>
      <c r="BP19647" s="197"/>
      <c r="BQ19647" s="197"/>
    </row>
    <row r="19648" spans="66:69" x14ac:dyDescent="0.2">
      <c r="BN19648" s="192"/>
      <c r="BO19648" s="197"/>
      <c r="BP19648" s="197"/>
      <c r="BQ19648" s="197"/>
    </row>
    <row r="19649" spans="66:69" x14ac:dyDescent="0.2">
      <c r="BN19649" s="192"/>
      <c r="BO19649" s="197"/>
      <c r="BP19649" s="197"/>
      <c r="BQ19649" s="197"/>
    </row>
    <row r="19650" spans="66:69" x14ac:dyDescent="0.2">
      <c r="BN19650" s="192"/>
      <c r="BO19650" s="197"/>
      <c r="BP19650" s="197"/>
      <c r="BQ19650" s="197"/>
    </row>
    <row r="19651" spans="66:69" x14ac:dyDescent="0.2">
      <c r="BN19651" s="192"/>
      <c r="BO19651" s="197"/>
      <c r="BP19651" s="197"/>
      <c r="BQ19651" s="197"/>
    </row>
    <row r="19652" spans="66:69" x14ac:dyDescent="0.2">
      <c r="BN19652" s="192"/>
      <c r="BO19652" s="197"/>
      <c r="BP19652" s="197"/>
      <c r="BQ19652" s="197"/>
    </row>
    <row r="19653" spans="66:69" x14ac:dyDescent="0.2">
      <c r="BN19653" s="192"/>
      <c r="BO19653" s="197"/>
      <c r="BP19653" s="197"/>
      <c r="BQ19653" s="197"/>
    </row>
    <row r="19654" spans="66:69" x14ac:dyDescent="0.2">
      <c r="BN19654" s="192"/>
      <c r="BO19654" s="197"/>
      <c r="BP19654" s="197"/>
      <c r="BQ19654" s="197"/>
    </row>
    <row r="19655" spans="66:69" x14ac:dyDescent="0.2">
      <c r="BN19655" s="192"/>
      <c r="BO19655" s="197"/>
      <c r="BP19655" s="197"/>
      <c r="BQ19655" s="197"/>
    </row>
    <row r="19656" spans="66:69" x14ac:dyDescent="0.2">
      <c r="BN19656" s="192"/>
      <c r="BO19656" s="197"/>
      <c r="BP19656" s="197"/>
      <c r="BQ19656" s="197"/>
    </row>
    <row r="19657" spans="66:69" x14ac:dyDescent="0.2">
      <c r="BN19657" s="192"/>
      <c r="BO19657" s="197"/>
      <c r="BP19657" s="197"/>
      <c r="BQ19657" s="197"/>
    </row>
    <row r="19658" spans="66:69" x14ac:dyDescent="0.2">
      <c r="BN19658" s="192"/>
      <c r="BO19658" s="197"/>
      <c r="BP19658" s="197"/>
      <c r="BQ19658" s="197"/>
    </row>
    <row r="19659" spans="66:69" x14ac:dyDescent="0.2">
      <c r="BN19659" s="192"/>
      <c r="BO19659" s="197"/>
      <c r="BP19659" s="197"/>
      <c r="BQ19659" s="197"/>
    </row>
    <row r="19660" spans="66:69" x14ac:dyDescent="0.2">
      <c r="BN19660" s="192"/>
      <c r="BO19660" s="197"/>
      <c r="BP19660" s="197"/>
      <c r="BQ19660" s="197"/>
    </row>
    <row r="19661" spans="66:69" x14ac:dyDescent="0.2">
      <c r="BN19661" s="192"/>
      <c r="BO19661" s="197"/>
      <c r="BP19661" s="197"/>
      <c r="BQ19661" s="197"/>
    </row>
    <row r="19662" spans="66:69" x14ac:dyDescent="0.2">
      <c r="BN19662" s="192"/>
      <c r="BO19662" s="197"/>
      <c r="BP19662" s="197"/>
      <c r="BQ19662" s="197"/>
    </row>
    <row r="19663" spans="66:69" x14ac:dyDescent="0.2">
      <c r="BN19663" s="192"/>
      <c r="BO19663" s="197"/>
      <c r="BP19663" s="197"/>
      <c r="BQ19663" s="197"/>
    </row>
    <row r="19664" spans="66:69" x14ac:dyDescent="0.2">
      <c r="BN19664" s="192"/>
      <c r="BO19664" s="197"/>
      <c r="BP19664" s="197"/>
      <c r="BQ19664" s="197"/>
    </row>
    <row r="19665" spans="66:69" x14ac:dyDescent="0.2">
      <c r="BN19665" s="192"/>
      <c r="BO19665" s="197"/>
      <c r="BP19665" s="197"/>
      <c r="BQ19665" s="197"/>
    </row>
    <row r="19666" spans="66:69" x14ac:dyDescent="0.2">
      <c r="BN19666" s="192"/>
      <c r="BO19666" s="197"/>
      <c r="BP19666" s="197"/>
      <c r="BQ19666" s="197"/>
    </row>
    <row r="19667" spans="66:69" x14ac:dyDescent="0.2">
      <c r="BN19667" s="192"/>
      <c r="BO19667" s="197"/>
      <c r="BP19667" s="197"/>
      <c r="BQ19667" s="197"/>
    </row>
    <row r="19668" spans="66:69" x14ac:dyDescent="0.2">
      <c r="BN19668" s="192"/>
      <c r="BO19668" s="197"/>
      <c r="BP19668" s="197"/>
      <c r="BQ19668" s="197"/>
    </row>
    <row r="19669" spans="66:69" x14ac:dyDescent="0.2">
      <c r="BN19669" s="192"/>
      <c r="BO19669" s="197"/>
      <c r="BP19669" s="197"/>
      <c r="BQ19669" s="197"/>
    </row>
    <row r="19670" spans="66:69" x14ac:dyDescent="0.2">
      <c r="BN19670" s="192"/>
      <c r="BO19670" s="197"/>
      <c r="BP19670" s="197"/>
      <c r="BQ19670" s="197"/>
    </row>
    <row r="19671" spans="66:69" x14ac:dyDescent="0.2">
      <c r="BN19671" s="192"/>
      <c r="BO19671" s="197"/>
      <c r="BP19671" s="197"/>
      <c r="BQ19671" s="197"/>
    </row>
    <row r="19672" spans="66:69" x14ac:dyDescent="0.2">
      <c r="BN19672" s="192"/>
      <c r="BO19672" s="197"/>
      <c r="BP19672" s="197"/>
      <c r="BQ19672" s="197"/>
    </row>
    <row r="19673" spans="66:69" x14ac:dyDescent="0.2">
      <c r="BN19673" s="192"/>
      <c r="BO19673" s="197"/>
      <c r="BP19673" s="197"/>
      <c r="BQ19673" s="197"/>
    </row>
    <row r="19674" spans="66:69" x14ac:dyDescent="0.2">
      <c r="BN19674" s="192"/>
      <c r="BO19674" s="197"/>
      <c r="BP19674" s="197"/>
      <c r="BQ19674" s="197"/>
    </row>
    <row r="19675" spans="66:69" x14ac:dyDescent="0.2">
      <c r="BN19675" s="192"/>
      <c r="BO19675" s="197"/>
      <c r="BP19675" s="197"/>
      <c r="BQ19675" s="197"/>
    </row>
    <row r="19676" spans="66:69" x14ac:dyDescent="0.2">
      <c r="BN19676" s="192"/>
      <c r="BO19676" s="197"/>
      <c r="BP19676" s="197"/>
      <c r="BQ19676" s="197"/>
    </row>
    <row r="19677" spans="66:69" x14ac:dyDescent="0.2">
      <c r="BN19677" s="192"/>
      <c r="BO19677" s="197"/>
      <c r="BP19677" s="197"/>
      <c r="BQ19677" s="197"/>
    </row>
    <row r="19678" spans="66:69" x14ac:dyDescent="0.2">
      <c r="BN19678" s="192"/>
      <c r="BO19678" s="197"/>
      <c r="BP19678" s="197"/>
      <c r="BQ19678" s="197"/>
    </row>
    <row r="19679" spans="66:69" x14ac:dyDescent="0.2">
      <c r="BN19679" s="192"/>
      <c r="BO19679" s="197"/>
      <c r="BP19679" s="197"/>
      <c r="BQ19679" s="197"/>
    </row>
    <row r="19680" spans="66:69" x14ac:dyDescent="0.2">
      <c r="BN19680" s="192"/>
      <c r="BO19680" s="197"/>
      <c r="BP19680" s="197"/>
      <c r="BQ19680" s="197"/>
    </row>
    <row r="19681" spans="66:69" x14ac:dyDescent="0.2">
      <c r="BN19681" s="192"/>
      <c r="BO19681" s="197"/>
      <c r="BP19681" s="197"/>
      <c r="BQ19681" s="197"/>
    </row>
    <row r="19682" spans="66:69" x14ac:dyDescent="0.2">
      <c r="BN19682" s="192"/>
      <c r="BO19682" s="197"/>
      <c r="BP19682" s="197"/>
      <c r="BQ19682" s="197"/>
    </row>
    <row r="19683" spans="66:69" x14ac:dyDescent="0.2">
      <c r="BN19683" s="192"/>
      <c r="BO19683" s="197"/>
      <c r="BP19683" s="197"/>
      <c r="BQ19683" s="197"/>
    </row>
    <row r="19684" spans="66:69" x14ac:dyDescent="0.2">
      <c r="BN19684" s="192"/>
      <c r="BO19684" s="197"/>
      <c r="BP19684" s="197"/>
      <c r="BQ19684" s="197"/>
    </row>
    <row r="19685" spans="66:69" x14ac:dyDescent="0.2">
      <c r="BN19685" s="192"/>
      <c r="BO19685" s="197"/>
      <c r="BP19685" s="197"/>
      <c r="BQ19685" s="197"/>
    </row>
    <row r="19686" spans="66:69" x14ac:dyDescent="0.2">
      <c r="BN19686" s="192"/>
      <c r="BO19686" s="197"/>
      <c r="BP19686" s="197"/>
      <c r="BQ19686" s="197"/>
    </row>
    <row r="19687" spans="66:69" x14ac:dyDescent="0.2">
      <c r="BN19687" s="192"/>
      <c r="BO19687" s="197"/>
      <c r="BP19687" s="197"/>
      <c r="BQ19687" s="197"/>
    </row>
    <row r="19688" spans="66:69" x14ac:dyDescent="0.2">
      <c r="BN19688" s="192"/>
      <c r="BO19688" s="197"/>
      <c r="BP19688" s="197"/>
      <c r="BQ19688" s="197"/>
    </row>
    <row r="19689" spans="66:69" x14ac:dyDescent="0.2">
      <c r="BN19689" s="192"/>
      <c r="BO19689" s="197"/>
      <c r="BP19689" s="197"/>
      <c r="BQ19689" s="197"/>
    </row>
    <row r="19690" spans="66:69" x14ac:dyDescent="0.2">
      <c r="BN19690" s="192"/>
      <c r="BO19690" s="197"/>
      <c r="BP19690" s="197"/>
      <c r="BQ19690" s="197"/>
    </row>
    <row r="19691" spans="66:69" x14ac:dyDescent="0.2">
      <c r="BN19691" s="192"/>
      <c r="BO19691" s="197"/>
      <c r="BP19691" s="197"/>
      <c r="BQ19691" s="197"/>
    </row>
    <row r="19692" spans="66:69" x14ac:dyDescent="0.2">
      <c r="BN19692" s="192"/>
      <c r="BO19692" s="197"/>
      <c r="BP19692" s="197"/>
      <c r="BQ19692" s="197"/>
    </row>
    <row r="19693" spans="66:69" x14ac:dyDescent="0.2">
      <c r="BN19693" s="192"/>
      <c r="BO19693" s="197"/>
      <c r="BP19693" s="197"/>
      <c r="BQ19693" s="197"/>
    </row>
    <row r="19694" spans="66:69" x14ac:dyDescent="0.2">
      <c r="BN19694" s="192"/>
      <c r="BO19694" s="197"/>
      <c r="BP19694" s="197"/>
      <c r="BQ19694" s="197"/>
    </row>
    <row r="19695" spans="66:69" x14ac:dyDescent="0.2">
      <c r="BN19695" s="192"/>
      <c r="BO19695" s="197"/>
      <c r="BP19695" s="197"/>
      <c r="BQ19695" s="197"/>
    </row>
    <row r="19696" spans="66:69" x14ac:dyDescent="0.2">
      <c r="BN19696" s="192"/>
      <c r="BO19696" s="197"/>
      <c r="BP19696" s="197"/>
      <c r="BQ19696" s="197"/>
    </row>
    <row r="19697" spans="66:69" x14ac:dyDescent="0.2">
      <c r="BN19697" s="192"/>
      <c r="BO19697" s="197"/>
      <c r="BP19697" s="197"/>
      <c r="BQ19697" s="197"/>
    </row>
    <row r="19698" spans="66:69" x14ac:dyDescent="0.2">
      <c r="BN19698" s="192"/>
      <c r="BO19698" s="197"/>
      <c r="BP19698" s="197"/>
      <c r="BQ19698" s="197"/>
    </row>
    <row r="19699" spans="66:69" x14ac:dyDescent="0.2">
      <c r="BN19699" s="192"/>
      <c r="BO19699" s="197"/>
      <c r="BP19699" s="197"/>
      <c r="BQ19699" s="197"/>
    </row>
    <row r="19700" spans="66:69" x14ac:dyDescent="0.2">
      <c r="BN19700" s="192"/>
      <c r="BO19700" s="197"/>
      <c r="BP19700" s="197"/>
      <c r="BQ19700" s="197"/>
    </row>
    <row r="19701" spans="66:69" x14ac:dyDescent="0.2">
      <c r="BN19701" s="192"/>
      <c r="BO19701" s="197"/>
      <c r="BP19701" s="197"/>
      <c r="BQ19701" s="197"/>
    </row>
    <row r="19702" spans="66:69" x14ac:dyDescent="0.2">
      <c r="BN19702" s="192"/>
      <c r="BO19702" s="197"/>
      <c r="BP19702" s="197"/>
      <c r="BQ19702" s="197"/>
    </row>
    <row r="19703" spans="66:69" x14ac:dyDescent="0.2">
      <c r="BN19703" s="192"/>
      <c r="BO19703" s="197"/>
      <c r="BP19703" s="197"/>
      <c r="BQ19703" s="197"/>
    </row>
    <row r="19704" spans="66:69" x14ac:dyDescent="0.2">
      <c r="BN19704" s="192"/>
      <c r="BO19704" s="197"/>
      <c r="BP19704" s="197"/>
      <c r="BQ19704" s="197"/>
    </row>
    <row r="19705" spans="66:69" x14ac:dyDescent="0.2">
      <c r="BN19705" s="192"/>
      <c r="BO19705" s="197"/>
      <c r="BP19705" s="197"/>
      <c r="BQ19705" s="197"/>
    </row>
    <row r="19706" spans="66:69" x14ac:dyDescent="0.2">
      <c r="BN19706" s="192"/>
      <c r="BO19706" s="197"/>
      <c r="BP19706" s="197"/>
      <c r="BQ19706" s="197"/>
    </row>
    <row r="19707" spans="66:69" x14ac:dyDescent="0.2">
      <c r="BN19707" s="192"/>
      <c r="BO19707" s="197"/>
      <c r="BP19707" s="197"/>
      <c r="BQ19707" s="197"/>
    </row>
    <row r="19708" spans="66:69" x14ac:dyDescent="0.2">
      <c r="BN19708" s="192"/>
      <c r="BO19708" s="197"/>
      <c r="BP19708" s="197"/>
      <c r="BQ19708" s="197"/>
    </row>
    <row r="19709" spans="66:69" x14ac:dyDescent="0.2">
      <c r="BN19709" s="192"/>
      <c r="BO19709" s="197"/>
      <c r="BP19709" s="197"/>
      <c r="BQ19709" s="197"/>
    </row>
    <row r="19710" spans="66:69" x14ac:dyDescent="0.2">
      <c r="BN19710" s="192"/>
      <c r="BO19710" s="197"/>
      <c r="BP19710" s="197"/>
      <c r="BQ19710" s="197"/>
    </row>
    <row r="19711" spans="66:69" x14ac:dyDescent="0.2">
      <c r="BN19711" s="192"/>
      <c r="BO19711" s="197"/>
      <c r="BP19711" s="197"/>
      <c r="BQ19711" s="197"/>
    </row>
    <row r="19712" spans="66:69" x14ac:dyDescent="0.2">
      <c r="BN19712" s="192"/>
      <c r="BO19712" s="197"/>
      <c r="BP19712" s="197"/>
      <c r="BQ19712" s="197"/>
    </row>
    <row r="19713" spans="66:69" x14ac:dyDescent="0.2">
      <c r="BN19713" s="192"/>
      <c r="BO19713" s="197"/>
      <c r="BP19713" s="197"/>
      <c r="BQ19713" s="197"/>
    </row>
    <row r="19714" spans="66:69" x14ac:dyDescent="0.2">
      <c r="BN19714" s="192"/>
      <c r="BO19714" s="197"/>
      <c r="BP19714" s="197"/>
      <c r="BQ19714" s="197"/>
    </row>
    <row r="19715" spans="66:69" x14ac:dyDescent="0.2">
      <c r="BN19715" s="192"/>
      <c r="BO19715" s="197"/>
      <c r="BP19715" s="197"/>
      <c r="BQ19715" s="197"/>
    </row>
    <row r="19716" spans="66:69" x14ac:dyDescent="0.2">
      <c r="BN19716" s="192"/>
      <c r="BO19716" s="197"/>
      <c r="BP19716" s="197"/>
      <c r="BQ19716" s="197"/>
    </row>
    <row r="19717" spans="66:69" x14ac:dyDescent="0.2">
      <c r="BN19717" s="192"/>
      <c r="BO19717" s="197"/>
      <c r="BP19717" s="197"/>
      <c r="BQ19717" s="197"/>
    </row>
    <row r="19718" spans="66:69" x14ac:dyDescent="0.2">
      <c r="BN19718" s="192"/>
      <c r="BO19718" s="197"/>
      <c r="BP19718" s="197"/>
      <c r="BQ19718" s="197"/>
    </row>
    <row r="19719" spans="66:69" x14ac:dyDescent="0.2">
      <c r="BN19719" s="192"/>
      <c r="BO19719" s="197"/>
      <c r="BP19719" s="197"/>
      <c r="BQ19719" s="197"/>
    </row>
    <row r="19720" spans="66:69" x14ac:dyDescent="0.2">
      <c r="BN19720" s="192"/>
      <c r="BO19720" s="197"/>
      <c r="BP19720" s="197"/>
      <c r="BQ19720" s="197"/>
    </row>
    <row r="19721" spans="66:69" x14ac:dyDescent="0.2">
      <c r="BN19721" s="192"/>
      <c r="BO19721" s="197"/>
      <c r="BP19721" s="197"/>
      <c r="BQ19721" s="197"/>
    </row>
    <row r="19722" spans="66:69" x14ac:dyDescent="0.2">
      <c r="BN19722" s="192"/>
      <c r="BO19722" s="197"/>
      <c r="BP19722" s="197"/>
      <c r="BQ19722" s="197"/>
    </row>
    <row r="19723" spans="66:69" x14ac:dyDescent="0.2">
      <c r="BN19723" s="192"/>
      <c r="BO19723" s="197"/>
      <c r="BP19723" s="197"/>
      <c r="BQ19723" s="197"/>
    </row>
    <row r="19724" spans="66:69" x14ac:dyDescent="0.2">
      <c r="BN19724" s="192"/>
      <c r="BO19724" s="197"/>
      <c r="BP19724" s="197"/>
      <c r="BQ19724" s="197"/>
    </row>
    <row r="19725" spans="66:69" x14ac:dyDescent="0.2">
      <c r="BN19725" s="192"/>
      <c r="BO19725" s="197"/>
      <c r="BP19725" s="197"/>
      <c r="BQ19725" s="197"/>
    </row>
    <row r="19726" spans="66:69" x14ac:dyDescent="0.2">
      <c r="BN19726" s="192"/>
      <c r="BO19726" s="197"/>
      <c r="BP19726" s="197"/>
      <c r="BQ19726" s="197"/>
    </row>
    <row r="19727" spans="66:69" x14ac:dyDescent="0.2">
      <c r="BN19727" s="192"/>
      <c r="BO19727" s="197"/>
      <c r="BP19727" s="197"/>
      <c r="BQ19727" s="197"/>
    </row>
    <row r="19728" spans="66:69" x14ac:dyDescent="0.2">
      <c r="BN19728" s="192"/>
      <c r="BO19728" s="197"/>
      <c r="BP19728" s="197"/>
      <c r="BQ19728" s="197"/>
    </row>
    <row r="19729" spans="66:69" x14ac:dyDescent="0.2">
      <c r="BN19729" s="192"/>
      <c r="BO19729" s="197"/>
      <c r="BP19729" s="197"/>
      <c r="BQ19729" s="197"/>
    </row>
    <row r="19730" spans="66:69" x14ac:dyDescent="0.2">
      <c r="BN19730" s="192"/>
      <c r="BO19730" s="197"/>
      <c r="BP19730" s="197"/>
      <c r="BQ19730" s="197"/>
    </row>
    <row r="19731" spans="66:69" x14ac:dyDescent="0.2">
      <c r="BN19731" s="192"/>
      <c r="BO19731" s="197"/>
      <c r="BP19731" s="197"/>
      <c r="BQ19731" s="197"/>
    </row>
    <row r="19732" spans="66:69" x14ac:dyDescent="0.2">
      <c r="BN19732" s="192"/>
      <c r="BO19732" s="197"/>
      <c r="BP19732" s="197"/>
      <c r="BQ19732" s="197"/>
    </row>
    <row r="19733" spans="66:69" x14ac:dyDescent="0.2">
      <c r="BN19733" s="192"/>
      <c r="BO19733" s="197"/>
      <c r="BP19733" s="197"/>
      <c r="BQ19733" s="197"/>
    </row>
    <row r="19734" spans="66:69" x14ac:dyDescent="0.2">
      <c r="BN19734" s="192"/>
      <c r="BO19734" s="197"/>
      <c r="BP19734" s="197"/>
      <c r="BQ19734" s="197"/>
    </row>
    <row r="19735" spans="66:69" x14ac:dyDescent="0.2">
      <c r="BN19735" s="192"/>
      <c r="BO19735" s="197"/>
      <c r="BP19735" s="197"/>
      <c r="BQ19735" s="197"/>
    </row>
    <row r="19736" spans="66:69" x14ac:dyDescent="0.2">
      <c r="BN19736" s="192"/>
      <c r="BO19736" s="197"/>
      <c r="BP19736" s="197"/>
      <c r="BQ19736" s="197"/>
    </row>
    <row r="19737" spans="66:69" x14ac:dyDescent="0.2">
      <c r="BN19737" s="192"/>
      <c r="BO19737" s="197"/>
      <c r="BP19737" s="197"/>
      <c r="BQ19737" s="197"/>
    </row>
    <row r="19738" spans="66:69" x14ac:dyDescent="0.2">
      <c r="BN19738" s="192"/>
      <c r="BO19738" s="197"/>
      <c r="BP19738" s="197"/>
      <c r="BQ19738" s="197"/>
    </row>
    <row r="19739" spans="66:69" x14ac:dyDescent="0.2">
      <c r="BN19739" s="192"/>
      <c r="BO19739" s="197"/>
      <c r="BP19739" s="197"/>
      <c r="BQ19739" s="197"/>
    </row>
    <row r="19740" spans="66:69" x14ac:dyDescent="0.2">
      <c r="BN19740" s="192"/>
      <c r="BO19740" s="197"/>
      <c r="BP19740" s="197"/>
      <c r="BQ19740" s="197"/>
    </row>
    <row r="19741" spans="66:69" x14ac:dyDescent="0.2">
      <c r="BN19741" s="192"/>
      <c r="BO19741" s="197"/>
      <c r="BP19741" s="197"/>
      <c r="BQ19741" s="197"/>
    </row>
    <row r="19742" spans="66:69" x14ac:dyDescent="0.2">
      <c r="BN19742" s="192"/>
      <c r="BO19742" s="197"/>
      <c r="BP19742" s="197"/>
      <c r="BQ19742" s="197"/>
    </row>
    <row r="19743" spans="66:69" x14ac:dyDescent="0.2">
      <c r="BN19743" s="192"/>
      <c r="BO19743" s="197"/>
      <c r="BP19743" s="197"/>
      <c r="BQ19743" s="197"/>
    </row>
    <row r="19744" spans="66:69" x14ac:dyDescent="0.2">
      <c r="BN19744" s="192"/>
      <c r="BO19744" s="197"/>
      <c r="BP19744" s="197"/>
      <c r="BQ19744" s="197"/>
    </row>
    <row r="19745" spans="66:69" x14ac:dyDescent="0.2">
      <c r="BN19745" s="192"/>
      <c r="BO19745" s="197"/>
      <c r="BP19745" s="197"/>
      <c r="BQ19745" s="197"/>
    </row>
    <row r="19746" spans="66:69" x14ac:dyDescent="0.2">
      <c r="BN19746" s="192"/>
      <c r="BO19746" s="197"/>
      <c r="BP19746" s="197"/>
      <c r="BQ19746" s="197"/>
    </row>
    <row r="19747" spans="66:69" x14ac:dyDescent="0.2">
      <c r="BN19747" s="192"/>
      <c r="BO19747" s="197"/>
      <c r="BP19747" s="197"/>
      <c r="BQ19747" s="197"/>
    </row>
    <row r="19748" spans="66:69" x14ac:dyDescent="0.2">
      <c r="BN19748" s="192"/>
      <c r="BO19748" s="197"/>
      <c r="BP19748" s="197"/>
      <c r="BQ19748" s="197"/>
    </row>
    <row r="19749" spans="66:69" x14ac:dyDescent="0.2">
      <c r="BN19749" s="192"/>
      <c r="BO19749" s="197"/>
      <c r="BP19749" s="197"/>
      <c r="BQ19749" s="197"/>
    </row>
    <row r="19750" spans="66:69" x14ac:dyDescent="0.2">
      <c r="BN19750" s="192"/>
      <c r="BO19750" s="197"/>
      <c r="BP19750" s="197"/>
      <c r="BQ19750" s="197"/>
    </row>
    <row r="19751" spans="66:69" x14ac:dyDescent="0.2">
      <c r="BN19751" s="192"/>
      <c r="BO19751" s="197"/>
      <c r="BP19751" s="197"/>
      <c r="BQ19751" s="197"/>
    </row>
    <row r="19752" spans="66:69" x14ac:dyDescent="0.2">
      <c r="BN19752" s="192"/>
      <c r="BO19752" s="197"/>
      <c r="BP19752" s="197"/>
      <c r="BQ19752" s="197"/>
    </row>
    <row r="19753" spans="66:69" x14ac:dyDescent="0.2">
      <c r="BN19753" s="192"/>
      <c r="BO19753" s="197"/>
      <c r="BP19753" s="197"/>
      <c r="BQ19753" s="197"/>
    </row>
    <row r="19754" spans="66:69" x14ac:dyDescent="0.2">
      <c r="BN19754" s="192"/>
      <c r="BO19754" s="197"/>
      <c r="BP19754" s="197"/>
      <c r="BQ19754" s="197"/>
    </row>
    <row r="19755" spans="66:69" x14ac:dyDescent="0.2">
      <c r="BN19755" s="192"/>
      <c r="BO19755" s="197"/>
      <c r="BP19755" s="197"/>
      <c r="BQ19755" s="197"/>
    </row>
    <row r="19756" spans="66:69" x14ac:dyDescent="0.2">
      <c r="BN19756" s="192"/>
      <c r="BO19756" s="197"/>
      <c r="BP19756" s="197"/>
      <c r="BQ19756" s="197"/>
    </row>
    <row r="19757" spans="66:69" x14ac:dyDescent="0.2">
      <c r="BN19757" s="192"/>
      <c r="BO19757" s="197"/>
      <c r="BP19757" s="197"/>
      <c r="BQ19757" s="197"/>
    </row>
    <row r="19758" spans="66:69" x14ac:dyDescent="0.2">
      <c r="BN19758" s="192"/>
      <c r="BO19758" s="197"/>
      <c r="BP19758" s="197"/>
      <c r="BQ19758" s="197"/>
    </row>
    <row r="19759" spans="66:69" x14ac:dyDescent="0.2">
      <c r="BN19759" s="192"/>
      <c r="BO19759" s="197"/>
      <c r="BP19759" s="197"/>
      <c r="BQ19759" s="197"/>
    </row>
    <row r="19760" spans="66:69" x14ac:dyDescent="0.2">
      <c r="BN19760" s="192"/>
      <c r="BO19760" s="197"/>
      <c r="BP19760" s="197"/>
      <c r="BQ19760" s="197"/>
    </row>
    <row r="19761" spans="66:69" x14ac:dyDescent="0.2">
      <c r="BN19761" s="192"/>
      <c r="BO19761" s="197"/>
      <c r="BP19761" s="197"/>
      <c r="BQ19761" s="197"/>
    </row>
    <row r="19762" spans="66:69" x14ac:dyDescent="0.2">
      <c r="BN19762" s="192"/>
      <c r="BO19762" s="197"/>
      <c r="BP19762" s="197"/>
      <c r="BQ19762" s="197"/>
    </row>
    <row r="19763" spans="66:69" x14ac:dyDescent="0.2">
      <c r="BN19763" s="192"/>
      <c r="BO19763" s="197"/>
      <c r="BP19763" s="197"/>
      <c r="BQ19763" s="197"/>
    </row>
    <row r="19764" spans="66:69" x14ac:dyDescent="0.2">
      <c r="BN19764" s="192"/>
      <c r="BO19764" s="197"/>
      <c r="BP19764" s="197"/>
      <c r="BQ19764" s="197"/>
    </row>
    <row r="19765" spans="66:69" x14ac:dyDescent="0.2">
      <c r="BN19765" s="192"/>
      <c r="BO19765" s="197"/>
      <c r="BP19765" s="197"/>
      <c r="BQ19765" s="197"/>
    </row>
    <row r="19766" spans="66:69" x14ac:dyDescent="0.2">
      <c r="BN19766" s="192"/>
      <c r="BO19766" s="197"/>
      <c r="BP19766" s="197"/>
      <c r="BQ19766" s="197"/>
    </row>
    <row r="19767" spans="66:69" x14ac:dyDescent="0.2">
      <c r="BN19767" s="192"/>
      <c r="BO19767" s="197"/>
      <c r="BP19767" s="197"/>
      <c r="BQ19767" s="197"/>
    </row>
    <row r="19768" spans="66:69" x14ac:dyDescent="0.2">
      <c r="BN19768" s="192"/>
      <c r="BO19768" s="197"/>
      <c r="BP19768" s="197"/>
      <c r="BQ19768" s="197"/>
    </row>
    <row r="19769" spans="66:69" x14ac:dyDescent="0.2">
      <c r="BN19769" s="192"/>
      <c r="BO19769" s="197"/>
      <c r="BP19769" s="197"/>
      <c r="BQ19769" s="197"/>
    </row>
    <row r="19770" spans="66:69" x14ac:dyDescent="0.2">
      <c r="BN19770" s="192"/>
      <c r="BO19770" s="197"/>
      <c r="BP19770" s="197"/>
      <c r="BQ19770" s="197"/>
    </row>
    <row r="19771" spans="66:69" x14ac:dyDescent="0.2">
      <c r="BN19771" s="192"/>
      <c r="BO19771" s="197"/>
      <c r="BP19771" s="197"/>
      <c r="BQ19771" s="197"/>
    </row>
    <row r="19772" spans="66:69" x14ac:dyDescent="0.2">
      <c r="BN19772" s="192"/>
      <c r="BO19772" s="197"/>
      <c r="BP19772" s="197"/>
      <c r="BQ19772" s="197"/>
    </row>
    <row r="19773" spans="66:69" x14ac:dyDescent="0.2">
      <c r="BN19773" s="192"/>
      <c r="BO19773" s="197"/>
      <c r="BP19773" s="197"/>
      <c r="BQ19773" s="197"/>
    </row>
    <row r="19774" spans="66:69" x14ac:dyDescent="0.2">
      <c r="BN19774" s="192"/>
      <c r="BO19774" s="197"/>
      <c r="BP19774" s="197"/>
      <c r="BQ19774" s="197"/>
    </row>
    <row r="19775" spans="66:69" x14ac:dyDescent="0.2">
      <c r="BN19775" s="192"/>
      <c r="BO19775" s="197"/>
      <c r="BP19775" s="197"/>
      <c r="BQ19775" s="197"/>
    </row>
    <row r="19776" spans="66:69" x14ac:dyDescent="0.2">
      <c r="BN19776" s="192"/>
      <c r="BO19776" s="197"/>
      <c r="BP19776" s="197"/>
      <c r="BQ19776" s="197"/>
    </row>
    <row r="19777" spans="66:69" x14ac:dyDescent="0.2">
      <c r="BN19777" s="192"/>
      <c r="BO19777" s="197"/>
      <c r="BP19777" s="197"/>
      <c r="BQ19777" s="197"/>
    </row>
    <row r="19778" spans="66:69" x14ac:dyDescent="0.2">
      <c r="BN19778" s="192"/>
      <c r="BO19778" s="197"/>
      <c r="BP19778" s="197"/>
      <c r="BQ19778" s="197"/>
    </row>
    <row r="19779" spans="66:69" x14ac:dyDescent="0.2">
      <c r="BN19779" s="192"/>
      <c r="BO19779" s="197"/>
      <c r="BP19779" s="197"/>
      <c r="BQ19779" s="197"/>
    </row>
    <row r="19780" spans="66:69" x14ac:dyDescent="0.2">
      <c r="BN19780" s="192"/>
      <c r="BO19780" s="197"/>
      <c r="BP19780" s="197"/>
      <c r="BQ19780" s="197"/>
    </row>
    <row r="19781" spans="66:69" x14ac:dyDescent="0.2">
      <c r="BN19781" s="192"/>
      <c r="BO19781" s="197"/>
      <c r="BP19781" s="197"/>
      <c r="BQ19781" s="197"/>
    </row>
    <row r="19782" spans="66:69" x14ac:dyDescent="0.2">
      <c r="BN19782" s="192"/>
      <c r="BO19782" s="197"/>
      <c r="BP19782" s="197"/>
      <c r="BQ19782" s="197"/>
    </row>
    <row r="19783" spans="66:69" x14ac:dyDescent="0.2">
      <c r="BN19783" s="192"/>
      <c r="BO19783" s="197"/>
      <c r="BP19783" s="197"/>
      <c r="BQ19783" s="197"/>
    </row>
    <row r="19784" spans="66:69" x14ac:dyDescent="0.2">
      <c r="BN19784" s="192"/>
      <c r="BO19784" s="197"/>
      <c r="BP19784" s="197"/>
      <c r="BQ19784" s="197"/>
    </row>
    <row r="19785" spans="66:69" x14ac:dyDescent="0.2">
      <c r="BN19785" s="192"/>
      <c r="BO19785" s="197"/>
      <c r="BP19785" s="197"/>
      <c r="BQ19785" s="197"/>
    </row>
    <row r="19786" spans="66:69" x14ac:dyDescent="0.2">
      <c r="BN19786" s="192"/>
      <c r="BO19786" s="197"/>
      <c r="BP19786" s="197"/>
      <c r="BQ19786" s="197"/>
    </row>
    <row r="19787" spans="66:69" x14ac:dyDescent="0.2">
      <c r="BN19787" s="192"/>
      <c r="BO19787" s="197"/>
      <c r="BP19787" s="197"/>
      <c r="BQ19787" s="197"/>
    </row>
    <row r="19788" spans="66:69" x14ac:dyDescent="0.2">
      <c r="BN19788" s="192"/>
      <c r="BO19788" s="197"/>
      <c r="BP19788" s="197"/>
      <c r="BQ19788" s="197"/>
    </row>
    <row r="19789" spans="66:69" x14ac:dyDescent="0.2">
      <c r="BN19789" s="192"/>
      <c r="BO19789" s="197"/>
      <c r="BP19789" s="197"/>
      <c r="BQ19789" s="197"/>
    </row>
    <row r="19790" spans="66:69" x14ac:dyDescent="0.2">
      <c r="BN19790" s="192"/>
      <c r="BO19790" s="197"/>
      <c r="BP19790" s="197"/>
      <c r="BQ19790" s="197"/>
    </row>
    <row r="19791" spans="66:69" x14ac:dyDescent="0.2">
      <c r="BN19791" s="192"/>
      <c r="BO19791" s="197"/>
      <c r="BP19791" s="197"/>
      <c r="BQ19791" s="197"/>
    </row>
    <row r="19792" spans="66:69" x14ac:dyDescent="0.2">
      <c r="BN19792" s="192"/>
      <c r="BO19792" s="197"/>
      <c r="BP19792" s="197"/>
      <c r="BQ19792" s="197"/>
    </row>
    <row r="19793" spans="66:69" x14ac:dyDescent="0.2">
      <c r="BN19793" s="192"/>
      <c r="BO19793" s="197"/>
      <c r="BP19793" s="197"/>
      <c r="BQ19793" s="197"/>
    </row>
    <row r="19794" spans="66:69" x14ac:dyDescent="0.2">
      <c r="BN19794" s="192"/>
      <c r="BO19794" s="197"/>
      <c r="BP19794" s="197"/>
      <c r="BQ19794" s="197"/>
    </row>
    <row r="19795" spans="66:69" x14ac:dyDescent="0.2">
      <c r="BN19795" s="192"/>
      <c r="BO19795" s="197"/>
      <c r="BP19795" s="197"/>
      <c r="BQ19795" s="197"/>
    </row>
    <row r="19796" spans="66:69" x14ac:dyDescent="0.2">
      <c r="BN19796" s="192"/>
      <c r="BO19796" s="197"/>
      <c r="BP19796" s="197"/>
      <c r="BQ19796" s="197"/>
    </row>
    <row r="19797" spans="66:69" x14ac:dyDescent="0.2">
      <c r="BN19797" s="192"/>
      <c r="BO19797" s="197"/>
      <c r="BP19797" s="197"/>
      <c r="BQ19797" s="197"/>
    </row>
    <row r="19798" spans="66:69" x14ac:dyDescent="0.2">
      <c r="BN19798" s="192"/>
      <c r="BO19798" s="197"/>
      <c r="BP19798" s="197"/>
      <c r="BQ19798" s="197"/>
    </row>
    <row r="19799" spans="66:69" x14ac:dyDescent="0.2">
      <c r="BN19799" s="192"/>
      <c r="BO19799" s="197"/>
      <c r="BP19799" s="197"/>
      <c r="BQ19799" s="197"/>
    </row>
    <row r="19800" spans="66:69" x14ac:dyDescent="0.2">
      <c r="BN19800" s="192"/>
      <c r="BO19800" s="197"/>
      <c r="BP19800" s="197"/>
      <c r="BQ19800" s="197"/>
    </row>
    <row r="19801" spans="66:69" x14ac:dyDescent="0.2">
      <c r="BN19801" s="192"/>
      <c r="BO19801" s="197"/>
      <c r="BP19801" s="197"/>
      <c r="BQ19801" s="197"/>
    </row>
    <row r="19802" spans="66:69" x14ac:dyDescent="0.2">
      <c r="BN19802" s="192"/>
      <c r="BO19802" s="197"/>
      <c r="BP19802" s="197"/>
      <c r="BQ19802" s="197"/>
    </row>
    <row r="19803" spans="66:69" x14ac:dyDescent="0.2">
      <c r="BN19803" s="192"/>
      <c r="BO19803" s="197"/>
      <c r="BP19803" s="197"/>
      <c r="BQ19803" s="197"/>
    </row>
    <row r="19804" spans="66:69" x14ac:dyDescent="0.2">
      <c r="BN19804" s="192"/>
      <c r="BO19804" s="197"/>
      <c r="BP19804" s="197"/>
      <c r="BQ19804" s="197"/>
    </row>
    <row r="19805" spans="66:69" x14ac:dyDescent="0.2">
      <c r="BN19805" s="192"/>
      <c r="BO19805" s="197"/>
      <c r="BP19805" s="197"/>
      <c r="BQ19805" s="197"/>
    </row>
    <row r="19806" spans="66:69" x14ac:dyDescent="0.2">
      <c r="BN19806" s="192"/>
      <c r="BO19806" s="197"/>
      <c r="BP19806" s="197"/>
      <c r="BQ19806" s="197"/>
    </row>
    <row r="19807" spans="66:69" x14ac:dyDescent="0.2">
      <c r="BN19807" s="192"/>
      <c r="BO19807" s="197"/>
      <c r="BP19807" s="197"/>
      <c r="BQ19807" s="197"/>
    </row>
    <row r="19808" spans="66:69" x14ac:dyDescent="0.2">
      <c r="BN19808" s="192"/>
      <c r="BO19808" s="197"/>
      <c r="BP19808" s="197"/>
      <c r="BQ19808" s="197"/>
    </row>
    <row r="19809" spans="66:69" x14ac:dyDescent="0.2">
      <c r="BN19809" s="192"/>
      <c r="BO19809" s="197"/>
      <c r="BP19809" s="197"/>
      <c r="BQ19809" s="197"/>
    </row>
    <row r="19810" spans="66:69" x14ac:dyDescent="0.2">
      <c r="BN19810" s="192"/>
      <c r="BO19810" s="197"/>
      <c r="BP19810" s="197"/>
      <c r="BQ19810" s="197"/>
    </row>
    <row r="19811" spans="66:69" x14ac:dyDescent="0.2">
      <c r="BN19811" s="192"/>
      <c r="BO19811" s="197"/>
      <c r="BP19811" s="197"/>
      <c r="BQ19811" s="197"/>
    </row>
    <row r="19812" spans="66:69" x14ac:dyDescent="0.2">
      <c r="BN19812" s="192"/>
      <c r="BO19812" s="197"/>
      <c r="BP19812" s="197"/>
      <c r="BQ19812" s="197"/>
    </row>
    <row r="19813" spans="66:69" x14ac:dyDescent="0.2">
      <c r="BN19813" s="192"/>
      <c r="BO19813" s="197"/>
      <c r="BP19813" s="197"/>
      <c r="BQ19813" s="197"/>
    </row>
    <row r="19814" spans="66:69" x14ac:dyDescent="0.2">
      <c r="BN19814" s="192"/>
      <c r="BO19814" s="197"/>
      <c r="BP19814" s="197"/>
      <c r="BQ19814" s="197"/>
    </row>
    <row r="19815" spans="66:69" x14ac:dyDescent="0.2">
      <c r="BN19815" s="192"/>
      <c r="BO19815" s="197"/>
      <c r="BP19815" s="197"/>
      <c r="BQ19815" s="197"/>
    </row>
    <row r="19816" spans="66:69" x14ac:dyDescent="0.2">
      <c r="BN19816" s="192"/>
      <c r="BO19816" s="197"/>
      <c r="BP19816" s="197"/>
      <c r="BQ19816" s="197"/>
    </row>
    <row r="19817" spans="66:69" x14ac:dyDescent="0.2">
      <c r="BN19817" s="192"/>
      <c r="BO19817" s="197"/>
      <c r="BP19817" s="197"/>
      <c r="BQ19817" s="197"/>
    </row>
    <row r="19818" spans="66:69" x14ac:dyDescent="0.2">
      <c r="BN19818" s="192"/>
      <c r="BO19818" s="197"/>
      <c r="BP19818" s="197"/>
      <c r="BQ19818" s="197"/>
    </row>
    <row r="19819" spans="66:69" x14ac:dyDescent="0.2">
      <c r="BN19819" s="192"/>
      <c r="BO19819" s="197"/>
      <c r="BP19819" s="197"/>
      <c r="BQ19819" s="197"/>
    </row>
    <row r="19820" spans="66:69" x14ac:dyDescent="0.2">
      <c r="BN19820" s="192"/>
      <c r="BO19820" s="197"/>
      <c r="BP19820" s="197"/>
      <c r="BQ19820" s="197"/>
    </row>
    <row r="19821" spans="66:69" x14ac:dyDescent="0.2">
      <c r="BN19821" s="192"/>
      <c r="BO19821" s="197"/>
      <c r="BP19821" s="197"/>
      <c r="BQ19821" s="197"/>
    </row>
    <row r="19822" spans="66:69" x14ac:dyDescent="0.2">
      <c r="BN19822" s="192"/>
      <c r="BO19822" s="197"/>
      <c r="BP19822" s="197"/>
      <c r="BQ19822" s="197"/>
    </row>
    <row r="19823" spans="66:69" x14ac:dyDescent="0.2">
      <c r="BN19823" s="192"/>
      <c r="BO19823" s="197"/>
      <c r="BP19823" s="197"/>
      <c r="BQ19823" s="197"/>
    </row>
    <row r="19824" spans="66:69" x14ac:dyDescent="0.2">
      <c r="BN19824" s="192"/>
      <c r="BO19824" s="197"/>
      <c r="BP19824" s="197"/>
      <c r="BQ19824" s="197"/>
    </row>
    <row r="19825" spans="66:69" x14ac:dyDescent="0.2">
      <c r="BN19825" s="192"/>
      <c r="BO19825" s="197"/>
      <c r="BP19825" s="197"/>
      <c r="BQ19825" s="197"/>
    </row>
    <row r="19826" spans="66:69" x14ac:dyDescent="0.2">
      <c r="BN19826" s="192"/>
      <c r="BO19826" s="197"/>
      <c r="BP19826" s="197"/>
      <c r="BQ19826" s="197"/>
    </row>
    <row r="19827" spans="66:69" x14ac:dyDescent="0.2">
      <c r="BN19827" s="192"/>
      <c r="BO19827" s="197"/>
      <c r="BP19827" s="197"/>
      <c r="BQ19827" s="197"/>
    </row>
    <row r="19828" spans="66:69" x14ac:dyDescent="0.2">
      <c r="BN19828" s="192"/>
      <c r="BO19828" s="197"/>
      <c r="BP19828" s="197"/>
      <c r="BQ19828" s="197"/>
    </row>
    <row r="19829" spans="66:69" x14ac:dyDescent="0.2">
      <c r="BN19829" s="192"/>
      <c r="BO19829" s="197"/>
      <c r="BP19829" s="197"/>
      <c r="BQ19829" s="197"/>
    </row>
    <row r="19830" spans="66:69" x14ac:dyDescent="0.2">
      <c r="BN19830" s="192"/>
      <c r="BO19830" s="197"/>
      <c r="BP19830" s="197"/>
      <c r="BQ19830" s="197"/>
    </row>
    <row r="19831" spans="66:69" x14ac:dyDescent="0.2">
      <c r="BN19831" s="192"/>
      <c r="BO19831" s="197"/>
      <c r="BP19831" s="197"/>
      <c r="BQ19831" s="197"/>
    </row>
    <row r="19832" spans="66:69" x14ac:dyDescent="0.2">
      <c r="BN19832" s="192"/>
      <c r="BO19832" s="197"/>
      <c r="BP19832" s="197"/>
      <c r="BQ19832" s="197"/>
    </row>
    <row r="19833" spans="66:69" x14ac:dyDescent="0.2">
      <c r="BN19833" s="192"/>
      <c r="BO19833" s="197"/>
      <c r="BP19833" s="197"/>
      <c r="BQ19833" s="197"/>
    </row>
    <row r="19834" spans="66:69" x14ac:dyDescent="0.2">
      <c r="BN19834" s="192"/>
      <c r="BO19834" s="197"/>
      <c r="BP19834" s="197"/>
      <c r="BQ19834" s="197"/>
    </row>
    <row r="19835" spans="66:69" x14ac:dyDescent="0.2">
      <c r="BN19835" s="192"/>
      <c r="BO19835" s="197"/>
      <c r="BP19835" s="197"/>
      <c r="BQ19835" s="197"/>
    </row>
    <row r="19836" spans="66:69" x14ac:dyDescent="0.2">
      <c r="BN19836" s="192"/>
      <c r="BO19836" s="197"/>
      <c r="BP19836" s="197"/>
      <c r="BQ19836" s="197"/>
    </row>
    <row r="19837" spans="66:69" x14ac:dyDescent="0.2">
      <c r="BN19837" s="192"/>
      <c r="BO19837" s="197"/>
      <c r="BP19837" s="197"/>
      <c r="BQ19837" s="197"/>
    </row>
    <row r="19838" spans="66:69" x14ac:dyDescent="0.2">
      <c r="BN19838" s="192"/>
      <c r="BO19838" s="197"/>
      <c r="BP19838" s="197"/>
      <c r="BQ19838" s="197"/>
    </row>
    <row r="19839" spans="66:69" x14ac:dyDescent="0.2">
      <c r="BN19839" s="192"/>
      <c r="BO19839" s="197"/>
      <c r="BP19839" s="197"/>
      <c r="BQ19839" s="197"/>
    </row>
    <row r="19840" spans="66:69" x14ac:dyDescent="0.2">
      <c r="BN19840" s="192"/>
      <c r="BO19840" s="197"/>
      <c r="BP19840" s="197"/>
      <c r="BQ19840" s="197"/>
    </row>
    <row r="19841" spans="66:69" x14ac:dyDescent="0.2">
      <c r="BN19841" s="192"/>
      <c r="BO19841" s="197"/>
      <c r="BP19841" s="197"/>
      <c r="BQ19841" s="197"/>
    </row>
    <row r="19842" spans="66:69" x14ac:dyDescent="0.2">
      <c r="BN19842" s="192"/>
      <c r="BO19842" s="197"/>
      <c r="BP19842" s="197"/>
      <c r="BQ19842" s="197"/>
    </row>
    <row r="19843" spans="66:69" x14ac:dyDescent="0.2">
      <c r="BN19843" s="192"/>
      <c r="BO19843" s="197"/>
      <c r="BP19843" s="197"/>
      <c r="BQ19843" s="197"/>
    </row>
    <row r="19844" spans="66:69" x14ac:dyDescent="0.2">
      <c r="BN19844" s="192"/>
      <c r="BO19844" s="197"/>
      <c r="BP19844" s="197"/>
      <c r="BQ19844" s="197"/>
    </row>
    <row r="19845" spans="66:69" x14ac:dyDescent="0.2">
      <c r="BN19845" s="192"/>
      <c r="BO19845" s="197"/>
      <c r="BP19845" s="197"/>
      <c r="BQ19845" s="197"/>
    </row>
    <row r="19846" spans="66:69" x14ac:dyDescent="0.2">
      <c r="BN19846" s="192"/>
      <c r="BO19846" s="197"/>
      <c r="BP19846" s="197"/>
      <c r="BQ19846" s="197"/>
    </row>
    <row r="19847" spans="66:69" x14ac:dyDescent="0.2">
      <c r="BN19847" s="192"/>
      <c r="BO19847" s="197"/>
      <c r="BP19847" s="197"/>
      <c r="BQ19847" s="197"/>
    </row>
    <row r="19848" spans="66:69" x14ac:dyDescent="0.2">
      <c r="BN19848" s="192"/>
      <c r="BO19848" s="197"/>
      <c r="BP19848" s="197"/>
      <c r="BQ19848" s="197"/>
    </row>
    <row r="19849" spans="66:69" x14ac:dyDescent="0.2">
      <c r="BN19849" s="192"/>
      <c r="BO19849" s="197"/>
      <c r="BP19849" s="197"/>
      <c r="BQ19849" s="197"/>
    </row>
    <row r="19850" spans="66:69" x14ac:dyDescent="0.2">
      <c r="BN19850" s="192"/>
      <c r="BO19850" s="197"/>
      <c r="BP19850" s="197"/>
      <c r="BQ19850" s="197"/>
    </row>
    <row r="19851" spans="66:69" x14ac:dyDescent="0.2">
      <c r="BN19851" s="192"/>
      <c r="BO19851" s="197"/>
      <c r="BP19851" s="197"/>
      <c r="BQ19851" s="197"/>
    </row>
    <row r="19852" spans="66:69" x14ac:dyDescent="0.2">
      <c r="BN19852" s="192"/>
      <c r="BO19852" s="197"/>
      <c r="BP19852" s="197"/>
      <c r="BQ19852" s="197"/>
    </row>
    <row r="19853" spans="66:69" x14ac:dyDescent="0.2">
      <c r="BN19853" s="192"/>
      <c r="BO19853" s="197"/>
      <c r="BP19853" s="197"/>
      <c r="BQ19853" s="197"/>
    </row>
    <row r="19854" spans="66:69" x14ac:dyDescent="0.2">
      <c r="BN19854" s="192"/>
      <c r="BO19854" s="197"/>
      <c r="BP19854" s="197"/>
      <c r="BQ19854" s="197"/>
    </row>
    <row r="19855" spans="66:69" x14ac:dyDescent="0.2">
      <c r="BN19855" s="192"/>
      <c r="BO19855" s="197"/>
      <c r="BP19855" s="197"/>
      <c r="BQ19855" s="197"/>
    </row>
    <row r="19856" spans="66:69" x14ac:dyDescent="0.2">
      <c r="BN19856" s="192"/>
      <c r="BO19856" s="197"/>
      <c r="BP19856" s="197"/>
      <c r="BQ19856" s="197"/>
    </row>
    <row r="19857" spans="66:69" x14ac:dyDescent="0.2">
      <c r="BN19857" s="192"/>
      <c r="BO19857" s="197"/>
      <c r="BP19857" s="197"/>
      <c r="BQ19857" s="197"/>
    </row>
    <row r="19858" spans="66:69" x14ac:dyDescent="0.2">
      <c r="BN19858" s="192"/>
      <c r="BO19858" s="197"/>
      <c r="BP19858" s="197"/>
      <c r="BQ19858" s="197"/>
    </row>
    <row r="19859" spans="66:69" x14ac:dyDescent="0.2">
      <c r="BN19859" s="192"/>
      <c r="BO19859" s="197"/>
      <c r="BP19859" s="197"/>
      <c r="BQ19859" s="197"/>
    </row>
    <row r="19860" spans="66:69" x14ac:dyDescent="0.2">
      <c r="BN19860" s="192"/>
      <c r="BO19860" s="197"/>
      <c r="BP19860" s="197"/>
      <c r="BQ19860" s="197"/>
    </row>
    <row r="19861" spans="66:69" x14ac:dyDescent="0.2">
      <c r="BN19861" s="192"/>
      <c r="BO19861" s="197"/>
      <c r="BP19861" s="197"/>
      <c r="BQ19861" s="197"/>
    </row>
    <row r="19862" spans="66:69" x14ac:dyDescent="0.2">
      <c r="BN19862" s="192"/>
      <c r="BO19862" s="197"/>
      <c r="BP19862" s="197"/>
      <c r="BQ19862" s="197"/>
    </row>
    <row r="19863" spans="66:69" x14ac:dyDescent="0.2">
      <c r="BN19863" s="192"/>
      <c r="BO19863" s="197"/>
      <c r="BP19863" s="197"/>
      <c r="BQ19863" s="197"/>
    </row>
    <row r="19864" spans="66:69" x14ac:dyDescent="0.2">
      <c r="BN19864" s="192"/>
      <c r="BO19864" s="197"/>
      <c r="BP19864" s="197"/>
      <c r="BQ19864" s="197"/>
    </row>
    <row r="19865" spans="66:69" x14ac:dyDescent="0.2">
      <c r="BN19865" s="192"/>
      <c r="BO19865" s="197"/>
      <c r="BP19865" s="197"/>
      <c r="BQ19865" s="197"/>
    </row>
    <row r="19866" spans="66:69" x14ac:dyDescent="0.2">
      <c r="BN19866" s="192"/>
      <c r="BO19866" s="197"/>
      <c r="BP19866" s="197"/>
      <c r="BQ19866" s="197"/>
    </row>
    <row r="19867" spans="66:69" x14ac:dyDescent="0.2">
      <c r="BN19867" s="192"/>
      <c r="BO19867" s="197"/>
      <c r="BP19867" s="197"/>
      <c r="BQ19867" s="197"/>
    </row>
    <row r="19868" spans="66:69" x14ac:dyDescent="0.2">
      <c r="BN19868" s="192"/>
      <c r="BO19868" s="197"/>
      <c r="BP19868" s="197"/>
      <c r="BQ19868" s="197"/>
    </row>
    <row r="19869" spans="66:69" x14ac:dyDescent="0.2">
      <c r="BN19869" s="192"/>
      <c r="BO19869" s="197"/>
      <c r="BP19869" s="197"/>
      <c r="BQ19869" s="197"/>
    </row>
    <row r="19870" spans="66:69" x14ac:dyDescent="0.2">
      <c r="BN19870" s="192"/>
      <c r="BO19870" s="197"/>
      <c r="BP19870" s="197"/>
      <c r="BQ19870" s="197"/>
    </row>
    <row r="19871" spans="66:69" x14ac:dyDescent="0.2">
      <c r="BN19871" s="192"/>
      <c r="BO19871" s="197"/>
      <c r="BP19871" s="197"/>
      <c r="BQ19871" s="197"/>
    </row>
    <row r="19872" spans="66:69" x14ac:dyDescent="0.2">
      <c r="BN19872" s="192"/>
      <c r="BO19872" s="197"/>
      <c r="BP19872" s="197"/>
      <c r="BQ19872" s="197"/>
    </row>
    <row r="19873" spans="66:69" x14ac:dyDescent="0.2">
      <c r="BN19873" s="192"/>
      <c r="BO19873" s="197"/>
      <c r="BP19873" s="197"/>
      <c r="BQ19873" s="197"/>
    </row>
    <row r="19874" spans="66:69" x14ac:dyDescent="0.2">
      <c r="BN19874" s="192"/>
      <c r="BO19874" s="197"/>
      <c r="BP19874" s="197"/>
      <c r="BQ19874" s="197"/>
    </row>
    <row r="19875" spans="66:69" x14ac:dyDescent="0.2">
      <c r="BN19875" s="192"/>
      <c r="BO19875" s="197"/>
      <c r="BP19875" s="197"/>
      <c r="BQ19875" s="197"/>
    </row>
    <row r="19876" spans="66:69" x14ac:dyDescent="0.2">
      <c r="BN19876" s="192"/>
      <c r="BO19876" s="197"/>
      <c r="BP19876" s="197"/>
      <c r="BQ19876" s="197"/>
    </row>
    <row r="19877" spans="66:69" x14ac:dyDescent="0.2">
      <c r="BN19877" s="192"/>
      <c r="BO19877" s="197"/>
      <c r="BP19877" s="197"/>
      <c r="BQ19877" s="197"/>
    </row>
    <row r="19878" spans="66:69" x14ac:dyDescent="0.2">
      <c r="BN19878" s="192"/>
      <c r="BO19878" s="197"/>
      <c r="BP19878" s="197"/>
      <c r="BQ19878" s="197"/>
    </row>
    <row r="19879" spans="66:69" x14ac:dyDescent="0.2">
      <c r="BN19879" s="192"/>
      <c r="BO19879" s="197"/>
      <c r="BP19879" s="197"/>
      <c r="BQ19879" s="197"/>
    </row>
    <row r="19880" spans="66:69" x14ac:dyDescent="0.2">
      <c r="BN19880" s="192"/>
      <c r="BO19880" s="197"/>
      <c r="BP19880" s="197"/>
      <c r="BQ19880" s="197"/>
    </row>
    <row r="19881" spans="66:69" x14ac:dyDescent="0.2">
      <c r="BN19881" s="192"/>
      <c r="BO19881" s="197"/>
      <c r="BP19881" s="197"/>
      <c r="BQ19881" s="197"/>
    </row>
    <row r="19882" spans="66:69" x14ac:dyDescent="0.2">
      <c r="BN19882" s="192"/>
      <c r="BO19882" s="197"/>
      <c r="BP19882" s="197"/>
      <c r="BQ19882" s="197"/>
    </row>
    <row r="19883" spans="66:69" x14ac:dyDescent="0.2">
      <c r="BN19883" s="192"/>
      <c r="BO19883" s="197"/>
      <c r="BP19883" s="197"/>
      <c r="BQ19883" s="197"/>
    </row>
    <row r="19884" spans="66:69" x14ac:dyDescent="0.2">
      <c r="BN19884" s="192"/>
      <c r="BO19884" s="197"/>
      <c r="BP19884" s="197"/>
      <c r="BQ19884" s="197"/>
    </row>
    <row r="19885" spans="66:69" x14ac:dyDescent="0.2">
      <c r="BN19885" s="192"/>
      <c r="BO19885" s="197"/>
      <c r="BP19885" s="197"/>
      <c r="BQ19885" s="197"/>
    </row>
    <row r="19886" spans="66:69" x14ac:dyDescent="0.2">
      <c r="BN19886" s="192"/>
      <c r="BO19886" s="197"/>
      <c r="BP19886" s="197"/>
      <c r="BQ19886" s="197"/>
    </row>
    <row r="19887" spans="66:69" x14ac:dyDescent="0.2">
      <c r="BN19887" s="192"/>
      <c r="BO19887" s="197"/>
      <c r="BP19887" s="197"/>
      <c r="BQ19887" s="197"/>
    </row>
    <row r="19888" spans="66:69" x14ac:dyDescent="0.2">
      <c r="BN19888" s="192"/>
      <c r="BO19888" s="197"/>
      <c r="BP19888" s="197"/>
      <c r="BQ19888" s="197"/>
    </row>
    <row r="19889" spans="66:69" x14ac:dyDescent="0.2">
      <c r="BN19889" s="192"/>
      <c r="BO19889" s="197"/>
      <c r="BP19889" s="197"/>
      <c r="BQ19889" s="197"/>
    </row>
    <row r="19890" spans="66:69" x14ac:dyDescent="0.2">
      <c r="BN19890" s="192"/>
      <c r="BO19890" s="197"/>
      <c r="BP19890" s="197"/>
      <c r="BQ19890" s="197"/>
    </row>
    <row r="19891" spans="66:69" x14ac:dyDescent="0.2">
      <c r="BN19891" s="192"/>
      <c r="BO19891" s="197"/>
      <c r="BP19891" s="197"/>
      <c r="BQ19891" s="197"/>
    </row>
    <row r="19892" spans="66:69" x14ac:dyDescent="0.2">
      <c r="BN19892" s="192"/>
      <c r="BO19892" s="197"/>
      <c r="BP19892" s="197"/>
      <c r="BQ19892" s="197"/>
    </row>
    <row r="19893" spans="66:69" x14ac:dyDescent="0.2">
      <c r="BN19893" s="192"/>
      <c r="BO19893" s="197"/>
      <c r="BP19893" s="197"/>
      <c r="BQ19893" s="197"/>
    </row>
    <row r="19894" spans="66:69" x14ac:dyDescent="0.2">
      <c r="BN19894" s="192"/>
      <c r="BO19894" s="197"/>
      <c r="BP19894" s="197"/>
      <c r="BQ19894" s="197"/>
    </row>
    <row r="19895" spans="66:69" x14ac:dyDescent="0.2">
      <c r="BN19895" s="192"/>
      <c r="BO19895" s="197"/>
      <c r="BP19895" s="197"/>
      <c r="BQ19895" s="197"/>
    </row>
    <row r="19896" spans="66:69" x14ac:dyDescent="0.2">
      <c r="BN19896" s="192"/>
      <c r="BO19896" s="197"/>
      <c r="BP19896" s="197"/>
      <c r="BQ19896" s="197"/>
    </row>
    <row r="19897" spans="66:69" x14ac:dyDescent="0.2">
      <c r="BN19897" s="192"/>
      <c r="BO19897" s="197"/>
      <c r="BP19897" s="197"/>
      <c r="BQ19897" s="197"/>
    </row>
    <row r="19898" spans="66:69" x14ac:dyDescent="0.2">
      <c r="BN19898" s="192"/>
      <c r="BO19898" s="197"/>
      <c r="BP19898" s="197"/>
      <c r="BQ19898" s="197"/>
    </row>
    <row r="19899" spans="66:69" x14ac:dyDescent="0.2">
      <c r="BN19899" s="192"/>
      <c r="BO19899" s="197"/>
      <c r="BP19899" s="197"/>
      <c r="BQ19899" s="197"/>
    </row>
    <row r="19900" spans="66:69" x14ac:dyDescent="0.2">
      <c r="BN19900" s="192"/>
      <c r="BO19900" s="197"/>
      <c r="BP19900" s="197"/>
      <c r="BQ19900" s="197"/>
    </row>
    <row r="19901" spans="66:69" x14ac:dyDescent="0.2">
      <c r="BN19901" s="192"/>
      <c r="BO19901" s="197"/>
      <c r="BP19901" s="197"/>
      <c r="BQ19901" s="197"/>
    </row>
    <row r="19902" spans="66:69" x14ac:dyDescent="0.2">
      <c r="BN19902" s="192"/>
      <c r="BO19902" s="197"/>
      <c r="BP19902" s="197"/>
      <c r="BQ19902" s="197"/>
    </row>
    <row r="19903" spans="66:69" x14ac:dyDescent="0.2">
      <c r="BN19903" s="192"/>
      <c r="BO19903" s="197"/>
      <c r="BP19903" s="197"/>
      <c r="BQ19903" s="197"/>
    </row>
    <row r="19904" spans="66:69" x14ac:dyDescent="0.2">
      <c r="BN19904" s="192"/>
      <c r="BO19904" s="197"/>
      <c r="BP19904" s="197"/>
      <c r="BQ19904" s="197"/>
    </row>
    <row r="19905" spans="66:69" x14ac:dyDescent="0.2">
      <c r="BN19905" s="192"/>
      <c r="BO19905" s="197"/>
      <c r="BP19905" s="197"/>
      <c r="BQ19905" s="197"/>
    </row>
    <row r="19906" spans="66:69" x14ac:dyDescent="0.2">
      <c r="BN19906" s="192"/>
      <c r="BO19906" s="197"/>
      <c r="BP19906" s="197"/>
      <c r="BQ19906" s="197"/>
    </row>
    <row r="19907" spans="66:69" x14ac:dyDescent="0.2">
      <c r="BN19907" s="192"/>
      <c r="BO19907" s="197"/>
      <c r="BP19907" s="197"/>
      <c r="BQ19907" s="197"/>
    </row>
    <row r="19908" spans="66:69" x14ac:dyDescent="0.2">
      <c r="BN19908" s="192"/>
      <c r="BO19908" s="197"/>
      <c r="BP19908" s="197"/>
      <c r="BQ19908" s="197"/>
    </row>
    <row r="19909" spans="66:69" x14ac:dyDescent="0.2">
      <c r="BN19909" s="192"/>
      <c r="BO19909" s="197"/>
      <c r="BP19909" s="197"/>
      <c r="BQ19909" s="197"/>
    </row>
    <row r="19910" spans="66:69" x14ac:dyDescent="0.2">
      <c r="BN19910" s="192"/>
      <c r="BO19910" s="197"/>
      <c r="BP19910" s="197"/>
      <c r="BQ19910" s="197"/>
    </row>
    <row r="19911" spans="66:69" x14ac:dyDescent="0.2">
      <c r="BN19911" s="192"/>
      <c r="BO19911" s="197"/>
      <c r="BP19911" s="197"/>
      <c r="BQ19911" s="197"/>
    </row>
    <row r="19912" spans="66:69" x14ac:dyDescent="0.2">
      <c r="BN19912" s="192"/>
      <c r="BO19912" s="197"/>
      <c r="BP19912" s="197"/>
      <c r="BQ19912" s="197"/>
    </row>
    <row r="19913" spans="66:69" x14ac:dyDescent="0.2">
      <c r="BN19913" s="192"/>
      <c r="BO19913" s="197"/>
      <c r="BP19913" s="197"/>
      <c r="BQ19913" s="197"/>
    </row>
    <row r="19914" spans="66:69" x14ac:dyDescent="0.2">
      <c r="BN19914" s="192"/>
      <c r="BO19914" s="197"/>
      <c r="BP19914" s="197"/>
      <c r="BQ19914" s="197"/>
    </row>
    <row r="19915" spans="66:69" x14ac:dyDescent="0.2">
      <c r="BN19915" s="192"/>
      <c r="BO19915" s="197"/>
      <c r="BP19915" s="197"/>
      <c r="BQ19915" s="197"/>
    </row>
    <row r="19916" spans="66:69" x14ac:dyDescent="0.2">
      <c r="BN19916" s="192"/>
      <c r="BO19916" s="197"/>
      <c r="BP19916" s="197"/>
      <c r="BQ19916" s="197"/>
    </row>
    <row r="19917" spans="66:69" x14ac:dyDescent="0.2">
      <c r="BN19917" s="192"/>
      <c r="BO19917" s="197"/>
      <c r="BP19917" s="197"/>
      <c r="BQ19917" s="197"/>
    </row>
    <row r="19918" spans="66:69" x14ac:dyDescent="0.2">
      <c r="BN19918" s="192"/>
      <c r="BO19918" s="197"/>
      <c r="BP19918" s="197"/>
      <c r="BQ19918" s="197"/>
    </row>
    <row r="19919" spans="66:69" x14ac:dyDescent="0.2">
      <c r="BN19919" s="192"/>
      <c r="BO19919" s="197"/>
      <c r="BP19919" s="197"/>
      <c r="BQ19919" s="197"/>
    </row>
    <row r="19920" spans="66:69" x14ac:dyDescent="0.2">
      <c r="BN19920" s="192"/>
      <c r="BO19920" s="197"/>
      <c r="BP19920" s="197"/>
      <c r="BQ19920" s="197"/>
    </row>
    <row r="19921" spans="66:69" x14ac:dyDescent="0.2">
      <c r="BN19921" s="192"/>
      <c r="BO19921" s="197"/>
      <c r="BP19921" s="197"/>
      <c r="BQ19921" s="197"/>
    </row>
    <row r="19922" spans="66:69" x14ac:dyDescent="0.2">
      <c r="BN19922" s="192"/>
      <c r="BO19922" s="197"/>
      <c r="BP19922" s="197"/>
      <c r="BQ19922" s="197"/>
    </row>
    <row r="19923" spans="66:69" x14ac:dyDescent="0.2">
      <c r="BN19923" s="192"/>
      <c r="BO19923" s="197"/>
      <c r="BP19923" s="197"/>
      <c r="BQ19923" s="197"/>
    </row>
    <row r="19924" spans="66:69" x14ac:dyDescent="0.2">
      <c r="BN19924" s="192"/>
      <c r="BO19924" s="197"/>
      <c r="BP19924" s="197"/>
      <c r="BQ19924" s="197"/>
    </row>
    <row r="19925" spans="66:69" x14ac:dyDescent="0.2">
      <c r="BN19925" s="192"/>
      <c r="BO19925" s="197"/>
      <c r="BP19925" s="197"/>
      <c r="BQ19925" s="197"/>
    </row>
    <row r="19926" spans="66:69" x14ac:dyDescent="0.2">
      <c r="BN19926" s="192"/>
      <c r="BO19926" s="197"/>
      <c r="BP19926" s="197"/>
      <c r="BQ19926" s="197"/>
    </row>
    <row r="19927" spans="66:69" x14ac:dyDescent="0.2">
      <c r="BN19927" s="192"/>
      <c r="BO19927" s="197"/>
      <c r="BP19927" s="197"/>
      <c r="BQ19927" s="197"/>
    </row>
    <row r="19928" spans="66:69" x14ac:dyDescent="0.2">
      <c r="BN19928" s="192"/>
      <c r="BO19928" s="197"/>
      <c r="BP19928" s="197"/>
      <c r="BQ19928" s="197"/>
    </row>
    <row r="19929" spans="66:69" x14ac:dyDescent="0.2">
      <c r="BN19929" s="192"/>
      <c r="BO19929" s="197"/>
      <c r="BP19929" s="197"/>
      <c r="BQ19929" s="197"/>
    </row>
    <row r="19930" spans="66:69" x14ac:dyDescent="0.2">
      <c r="BN19930" s="192"/>
      <c r="BO19930" s="197"/>
      <c r="BP19930" s="197"/>
      <c r="BQ19930" s="197"/>
    </row>
    <row r="19931" spans="66:69" x14ac:dyDescent="0.2">
      <c r="BN19931" s="192"/>
      <c r="BO19931" s="197"/>
      <c r="BP19931" s="197"/>
      <c r="BQ19931" s="197"/>
    </row>
    <row r="19932" spans="66:69" x14ac:dyDescent="0.2">
      <c r="BN19932" s="192"/>
      <c r="BO19932" s="197"/>
      <c r="BP19932" s="197"/>
      <c r="BQ19932" s="197"/>
    </row>
    <row r="19933" spans="66:69" x14ac:dyDescent="0.2">
      <c r="BN19933" s="192"/>
      <c r="BO19933" s="197"/>
      <c r="BP19933" s="197"/>
      <c r="BQ19933" s="197"/>
    </row>
    <row r="19934" spans="66:69" x14ac:dyDescent="0.2">
      <c r="BN19934" s="192"/>
      <c r="BO19934" s="197"/>
      <c r="BP19934" s="197"/>
      <c r="BQ19934" s="197"/>
    </row>
    <row r="19935" spans="66:69" x14ac:dyDescent="0.2">
      <c r="BN19935" s="192"/>
      <c r="BO19935" s="197"/>
      <c r="BP19935" s="197"/>
      <c r="BQ19935" s="197"/>
    </row>
    <row r="19936" spans="66:69" x14ac:dyDescent="0.2">
      <c r="BN19936" s="192"/>
      <c r="BO19936" s="197"/>
      <c r="BP19936" s="197"/>
      <c r="BQ19936" s="197"/>
    </row>
    <row r="19937" spans="66:69" x14ac:dyDescent="0.2">
      <c r="BN19937" s="192"/>
      <c r="BO19937" s="197"/>
      <c r="BP19937" s="197"/>
      <c r="BQ19937" s="197"/>
    </row>
    <row r="19938" spans="66:69" x14ac:dyDescent="0.2">
      <c r="BN19938" s="192"/>
      <c r="BO19938" s="197"/>
      <c r="BP19938" s="197"/>
      <c r="BQ19938" s="197"/>
    </row>
    <row r="19939" spans="66:69" x14ac:dyDescent="0.2">
      <c r="BN19939" s="192"/>
      <c r="BO19939" s="197"/>
      <c r="BP19939" s="197"/>
      <c r="BQ19939" s="197"/>
    </row>
    <row r="19940" spans="66:69" x14ac:dyDescent="0.2">
      <c r="BN19940" s="192"/>
      <c r="BO19940" s="197"/>
      <c r="BP19940" s="197"/>
      <c r="BQ19940" s="197"/>
    </row>
    <row r="19941" spans="66:69" x14ac:dyDescent="0.2">
      <c r="BN19941" s="192"/>
      <c r="BO19941" s="197"/>
      <c r="BP19941" s="197"/>
      <c r="BQ19941" s="197"/>
    </row>
    <row r="19942" spans="66:69" x14ac:dyDescent="0.2">
      <c r="BN19942" s="192"/>
      <c r="BO19942" s="197"/>
      <c r="BP19942" s="197"/>
      <c r="BQ19942" s="197"/>
    </row>
    <row r="19943" spans="66:69" x14ac:dyDescent="0.2">
      <c r="BN19943" s="192"/>
      <c r="BO19943" s="197"/>
      <c r="BP19943" s="197"/>
      <c r="BQ19943" s="197"/>
    </row>
    <row r="19944" spans="66:69" x14ac:dyDescent="0.2">
      <c r="BN19944" s="192"/>
      <c r="BO19944" s="197"/>
      <c r="BP19944" s="197"/>
      <c r="BQ19944" s="197"/>
    </row>
    <row r="19945" spans="66:69" x14ac:dyDescent="0.2">
      <c r="BN19945" s="192"/>
      <c r="BO19945" s="197"/>
      <c r="BP19945" s="197"/>
      <c r="BQ19945" s="197"/>
    </row>
    <row r="19946" spans="66:69" x14ac:dyDescent="0.2">
      <c r="BN19946" s="192"/>
      <c r="BO19946" s="197"/>
      <c r="BP19946" s="197"/>
      <c r="BQ19946" s="197"/>
    </row>
    <row r="19947" spans="66:69" x14ac:dyDescent="0.2">
      <c r="BN19947" s="192"/>
      <c r="BO19947" s="197"/>
      <c r="BP19947" s="197"/>
      <c r="BQ19947" s="197"/>
    </row>
    <row r="19948" spans="66:69" x14ac:dyDescent="0.2">
      <c r="BN19948" s="192"/>
      <c r="BO19948" s="197"/>
      <c r="BP19948" s="197"/>
      <c r="BQ19948" s="197"/>
    </row>
    <row r="19949" spans="66:69" x14ac:dyDescent="0.2">
      <c r="BN19949" s="192"/>
      <c r="BO19949" s="197"/>
      <c r="BP19949" s="197"/>
      <c r="BQ19949" s="197"/>
    </row>
    <row r="19950" spans="66:69" x14ac:dyDescent="0.2">
      <c r="BN19950" s="192"/>
      <c r="BO19950" s="197"/>
      <c r="BP19950" s="197"/>
      <c r="BQ19950" s="197"/>
    </row>
    <row r="19951" spans="66:69" x14ac:dyDescent="0.2">
      <c r="BN19951" s="192"/>
      <c r="BO19951" s="197"/>
      <c r="BP19951" s="197"/>
      <c r="BQ19951" s="197"/>
    </row>
    <row r="19952" spans="66:69" x14ac:dyDescent="0.2">
      <c r="BN19952" s="192"/>
      <c r="BO19952" s="197"/>
      <c r="BP19952" s="197"/>
      <c r="BQ19952" s="197"/>
    </row>
    <row r="19953" spans="66:69" x14ac:dyDescent="0.2">
      <c r="BN19953" s="192"/>
      <c r="BO19953" s="197"/>
      <c r="BP19953" s="197"/>
      <c r="BQ19953" s="197"/>
    </row>
    <row r="19954" spans="66:69" x14ac:dyDescent="0.2">
      <c r="BN19954" s="192"/>
      <c r="BO19954" s="197"/>
      <c r="BP19954" s="197"/>
      <c r="BQ19954" s="197"/>
    </row>
    <row r="19955" spans="66:69" x14ac:dyDescent="0.2">
      <c r="BN19955" s="192"/>
      <c r="BO19955" s="197"/>
      <c r="BP19955" s="197"/>
      <c r="BQ19955" s="197"/>
    </row>
    <row r="19956" spans="66:69" x14ac:dyDescent="0.2">
      <c r="BN19956" s="192"/>
      <c r="BO19956" s="197"/>
      <c r="BP19956" s="197"/>
      <c r="BQ19956" s="197"/>
    </row>
    <row r="19957" spans="66:69" x14ac:dyDescent="0.2">
      <c r="BN19957" s="192"/>
      <c r="BO19957" s="197"/>
      <c r="BP19957" s="197"/>
      <c r="BQ19957" s="197"/>
    </row>
    <row r="19958" spans="66:69" x14ac:dyDescent="0.2">
      <c r="BN19958" s="192"/>
      <c r="BO19958" s="197"/>
      <c r="BP19958" s="197"/>
      <c r="BQ19958" s="197"/>
    </row>
    <row r="19959" spans="66:69" x14ac:dyDescent="0.2">
      <c r="BN19959" s="192"/>
      <c r="BO19959" s="197"/>
      <c r="BP19959" s="197"/>
      <c r="BQ19959" s="197"/>
    </row>
    <row r="19960" spans="66:69" x14ac:dyDescent="0.2">
      <c r="BN19960" s="192"/>
      <c r="BO19960" s="197"/>
      <c r="BP19960" s="197"/>
      <c r="BQ19960" s="197"/>
    </row>
    <row r="19961" spans="66:69" x14ac:dyDescent="0.2">
      <c r="BN19961" s="192"/>
      <c r="BO19961" s="197"/>
      <c r="BP19961" s="197"/>
      <c r="BQ19961" s="197"/>
    </row>
    <row r="19962" spans="66:69" x14ac:dyDescent="0.2">
      <c r="BN19962" s="192"/>
      <c r="BO19962" s="197"/>
      <c r="BP19962" s="197"/>
      <c r="BQ19962" s="197"/>
    </row>
    <row r="19963" spans="66:69" x14ac:dyDescent="0.2">
      <c r="BN19963" s="192"/>
      <c r="BO19963" s="197"/>
      <c r="BP19963" s="197"/>
      <c r="BQ19963" s="197"/>
    </row>
    <row r="19964" spans="66:69" x14ac:dyDescent="0.2">
      <c r="BN19964" s="192"/>
      <c r="BO19964" s="197"/>
      <c r="BP19964" s="197"/>
      <c r="BQ19964" s="197"/>
    </row>
    <row r="19965" spans="66:69" x14ac:dyDescent="0.2">
      <c r="BN19965" s="192"/>
      <c r="BO19965" s="197"/>
      <c r="BP19965" s="197"/>
      <c r="BQ19965" s="197"/>
    </row>
    <row r="19966" spans="66:69" x14ac:dyDescent="0.2">
      <c r="BN19966" s="192"/>
      <c r="BO19966" s="197"/>
      <c r="BP19966" s="197"/>
      <c r="BQ19966" s="197"/>
    </row>
    <row r="19967" spans="66:69" x14ac:dyDescent="0.2">
      <c r="BN19967" s="192"/>
      <c r="BO19967" s="197"/>
      <c r="BP19967" s="197"/>
      <c r="BQ19967" s="197"/>
    </row>
    <row r="19968" spans="66:69" x14ac:dyDescent="0.2">
      <c r="BN19968" s="192"/>
      <c r="BO19968" s="197"/>
      <c r="BP19968" s="197"/>
      <c r="BQ19968" s="197"/>
    </row>
    <row r="19969" spans="66:69" x14ac:dyDescent="0.2">
      <c r="BN19969" s="192"/>
      <c r="BO19969" s="197"/>
      <c r="BP19969" s="197"/>
      <c r="BQ19969" s="197"/>
    </row>
    <row r="19970" spans="66:69" x14ac:dyDescent="0.2">
      <c r="BN19970" s="192"/>
      <c r="BO19970" s="197"/>
      <c r="BP19970" s="197"/>
      <c r="BQ19970" s="197"/>
    </row>
    <row r="19971" spans="66:69" x14ac:dyDescent="0.2">
      <c r="BN19971" s="192"/>
      <c r="BO19971" s="197"/>
      <c r="BP19971" s="197"/>
      <c r="BQ19971" s="197"/>
    </row>
    <row r="19972" spans="66:69" x14ac:dyDescent="0.2">
      <c r="BN19972" s="192"/>
      <c r="BO19972" s="197"/>
      <c r="BP19972" s="197"/>
      <c r="BQ19972" s="197"/>
    </row>
    <row r="19973" spans="66:69" x14ac:dyDescent="0.2">
      <c r="BN19973" s="192"/>
      <c r="BO19973" s="197"/>
      <c r="BP19973" s="197"/>
      <c r="BQ19973" s="197"/>
    </row>
    <row r="19974" spans="66:69" x14ac:dyDescent="0.2">
      <c r="BN19974" s="192"/>
      <c r="BO19974" s="197"/>
      <c r="BP19974" s="197"/>
      <c r="BQ19974" s="197"/>
    </row>
    <row r="19975" spans="66:69" x14ac:dyDescent="0.2">
      <c r="BN19975" s="192"/>
      <c r="BO19975" s="197"/>
      <c r="BP19975" s="197"/>
      <c r="BQ19975" s="197"/>
    </row>
    <row r="19976" spans="66:69" x14ac:dyDescent="0.2">
      <c r="BN19976" s="192"/>
      <c r="BO19976" s="197"/>
      <c r="BP19976" s="197"/>
      <c r="BQ19976" s="197"/>
    </row>
    <row r="19977" spans="66:69" x14ac:dyDescent="0.2">
      <c r="BN19977" s="192"/>
      <c r="BO19977" s="197"/>
      <c r="BP19977" s="197"/>
      <c r="BQ19977" s="197"/>
    </row>
    <row r="19978" spans="66:69" x14ac:dyDescent="0.2">
      <c r="BN19978" s="192"/>
      <c r="BO19978" s="197"/>
      <c r="BP19978" s="197"/>
      <c r="BQ19978" s="197"/>
    </row>
    <row r="19979" spans="66:69" x14ac:dyDescent="0.2">
      <c r="BN19979" s="192"/>
      <c r="BO19979" s="197"/>
      <c r="BP19979" s="197"/>
      <c r="BQ19979" s="197"/>
    </row>
    <row r="19980" spans="66:69" x14ac:dyDescent="0.2">
      <c r="BN19980" s="192"/>
      <c r="BO19980" s="197"/>
      <c r="BP19980" s="197"/>
      <c r="BQ19980" s="197"/>
    </row>
    <row r="19981" spans="66:69" x14ac:dyDescent="0.2">
      <c r="BN19981" s="192"/>
      <c r="BO19981" s="197"/>
      <c r="BP19981" s="197"/>
      <c r="BQ19981" s="197"/>
    </row>
    <row r="19982" spans="66:69" x14ac:dyDescent="0.2">
      <c r="BN19982" s="192"/>
      <c r="BO19982" s="197"/>
      <c r="BP19982" s="197"/>
      <c r="BQ19982" s="197"/>
    </row>
    <row r="19983" spans="66:69" x14ac:dyDescent="0.2">
      <c r="BN19983" s="192"/>
      <c r="BO19983" s="197"/>
      <c r="BP19983" s="197"/>
      <c r="BQ19983" s="197"/>
    </row>
    <row r="19984" spans="66:69" x14ac:dyDescent="0.2">
      <c r="BN19984" s="192"/>
      <c r="BO19984" s="197"/>
      <c r="BP19984" s="197"/>
      <c r="BQ19984" s="197"/>
    </row>
    <row r="19985" spans="66:69" x14ac:dyDescent="0.2">
      <c r="BN19985" s="192"/>
      <c r="BO19985" s="197"/>
      <c r="BP19985" s="197"/>
      <c r="BQ19985" s="197"/>
    </row>
    <row r="19986" spans="66:69" x14ac:dyDescent="0.2">
      <c r="BN19986" s="192"/>
      <c r="BO19986" s="197"/>
      <c r="BP19986" s="197"/>
      <c r="BQ19986" s="197"/>
    </row>
    <row r="19987" spans="66:69" x14ac:dyDescent="0.2">
      <c r="BN19987" s="192"/>
      <c r="BO19987" s="197"/>
      <c r="BP19987" s="197"/>
      <c r="BQ19987" s="197"/>
    </row>
    <row r="19988" spans="66:69" x14ac:dyDescent="0.2">
      <c r="BN19988" s="192"/>
      <c r="BO19988" s="197"/>
      <c r="BP19988" s="197"/>
      <c r="BQ19988" s="197"/>
    </row>
    <row r="19989" spans="66:69" x14ac:dyDescent="0.2">
      <c r="BN19989" s="192"/>
      <c r="BO19989" s="197"/>
      <c r="BP19989" s="197"/>
      <c r="BQ19989" s="197"/>
    </row>
    <row r="19990" spans="66:69" x14ac:dyDescent="0.2">
      <c r="BN19990" s="192"/>
      <c r="BO19990" s="197"/>
      <c r="BP19990" s="197"/>
      <c r="BQ19990" s="197"/>
    </row>
    <row r="19991" spans="66:69" x14ac:dyDescent="0.2">
      <c r="BN19991" s="192"/>
      <c r="BO19991" s="197"/>
      <c r="BP19991" s="197"/>
      <c r="BQ19991" s="197"/>
    </row>
    <row r="19992" spans="66:69" x14ac:dyDescent="0.2">
      <c r="BN19992" s="192"/>
      <c r="BO19992" s="197"/>
      <c r="BP19992" s="197"/>
      <c r="BQ19992" s="197"/>
    </row>
    <row r="19993" spans="66:69" x14ac:dyDescent="0.2">
      <c r="BN19993" s="192"/>
      <c r="BO19993" s="197"/>
      <c r="BP19993" s="197"/>
      <c r="BQ19993" s="197"/>
    </row>
    <row r="19994" spans="66:69" x14ac:dyDescent="0.2">
      <c r="BN19994" s="192"/>
      <c r="BO19994" s="197"/>
      <c r="BP19994" s="197"/>
      <c r="BQ19994" s="197"/>
    </row>
    <row r="19995" spans="66:69" x14ac:dyDescent="0.2">
      <c r="BN19995" s="192"/>
      <c r="BO19995" s="197"/>
      <c r="BP19995" s="197"/>
      <c r="BQ19995" s="197"/>
    </row>
    <row r="19996" spans="66:69" x14ac:dyDescent="0.2">
      <c r="BN19996" s="192"/>
      <c r="BO19996" s="197"/>
      <c r="BP19996" s="197"/>
      <c r="BQ19996" s="197"/>
    </row>
    <row r="19997" spans="66:69" x14ac:dyDescent="0.2">
      <c r="BN19997" s="192"/>
      <c r="BO19997" s="197"/>
      <c r="BP19997" s="197"/>
      <c r="BQ19997" s="197"/>
    </row>
    <row r="19998" spans="66:69" x14ac:dyDescent="0.2">
      <c r="BN19998" s="192"/>
      <c r="BO19998" s="197"/>
      <c r="BP19998" s="197"/>
      <c r="BQ19998" s="197"/>
    </row>
    <row r="19999" spans="66:69" x14ac:dyDescent="0.2">
      <c r="BN19999" s="192"/>
      <c r="BO19999" s="197"/>
      <c r="BP19999" s="197"/>
      <c r="BQ19999" s="197"/>
    </row>
    <row r="20000" spans="66:69" x14ac:dyDescent="0.2">
      <c r="BN20000" s="192"/>
      <c r="BO20000" s="197"/>
      <c r="BP20000" s="197"/>
      <c r="BQ20000" s="197"/>
    </row>
    <row r="20001" spans="66:69" x14ac:dyDescent="0.2">
      <c r="BN20001" s="192"/>
      <c r="BO20001" s="197"/>
      <c r="BP20001" s="197"/>
      <c r="BQ20001" s="197"/>
    </row>
    <row r="20002" spans="66:69" x14ac:dyDescent="0.2">
      <c r="BN20002" s="192"/>
      <c r="BO20002" s="197"/>
      <c r="BP20002" s="197"/>
      <c r="BQ20002" s="197"/>
    </row>
    <row r="20003" spans="66:69" x14ac:dyDescent="0.2">
      <c r="BN20003" s="192"/>
      <c r="BO20003" s="197"/>
      <c r="BP20003" s="197"/>
      <c r="BQ20003" s="197"/>
    </row>
    <row r="20004" spans="66:69" x14ac:dyDescent="0.2">
      <c r="BN20004" s="192"/>
      <c r="BO20004" s="197"/>
      <c r="BP20004" s="197"/>
      <c r="BQ20004" s="197"/>
    </row>
    <row r="20005" spans="66:69" x14ac:dyDescent="0.2">
      <c r="BN20005" s="192"/>
      <c r="BO20005" s="197"/>
      <c r="BP20005" s="197"/>
      <c r="BQ20005" s="197"/>
    </row>
    <row r="20006" spans="66:69" x14ac:dyDescent="0.2">
      <c r="BN20006" s="192"/>
      <c r="BO20006" s="197"/>
      <c r="BP20006" s="197"/>
      <c r="BQ20006" s="197"/>
    </row>
    <row r="20007" spans="66:69" x14ac:dyDescent="0.2">
      <c r="BN20007" s="192"/>
      <c r="BO20007" s="197"/>
      <c r="BP20007" s="197"/>
      <c r="BQ20007" s="197"/>
    </row>
    <row r="20008" spans="66:69" x14ac:dyDescent="0.2">
      <c r="BN20008" s="192"/>
      <c r="BO20008" s="197"/>
      <c r="BP20008" s="197"/>
      <c r="BQ20008" s="197"/>
    </row>
    <row r="20009" spans="66:69" x14ac:dyDescent="0.2">
      <c r="BN20009" s="192"/>
      <c r="BO20009" s="197"/>
      <c r="BP20009" s="197"/>
      <c r="BQ20009" s="197"/>
    </row>
    <row r="20010" spans="66:69" x14ac:dyDescent="0.2">
      <c r="BN20010" s="192"/>
      <c r="BO20010" s="197"/>
      <c r="BP20010" s="197"/>
      <c r="BQ20010" s="197"/>
    </row>
    <row r="20011" spans="66:69" x14ac:dyDescent="0.2">
      <c r="BN20011" s="192"/>
      <c r="BO20011" s="197"/>
      <c r="BP20011" s="197"/>
      <c r="BQ20011" s="197"/>
    </row>
    <row r="20012" spans="66:69" x14ac:dyDescent="0.2">
      <c r="BN20012" s="192"/>
      <c r="BO20012" s="197"/>
      <c r="BP20012" s="197"/>
      <c r="BQ20012" s="197"/>
    </row>
    <row r="20013" spans="66:69" x14ac:dyDescent="0.2">
      <c r="BN20013" s="192"/>
      <c r="BO20013" s="197"/>
      <c r="BP20013" s="197"/>
      <c r="BQ20013" s="197"/>
    </row>
    <row r="20014" spans="66:69" x14ac:dyDescent="0.2">
      <c r="BN20014" s="192"/>
      <c r="BO20014" s="197"/>
      <c r="BP20014" s="197"/>
      <c r="BQ20014" s="197"/>
    </row>
    <row r="20015" spans="66:69" x14ac:dyDescent="0.2">
      <c r="BN20015" s="192"/>
      <c r="BO20015" s="197"/>
      <c r="BP20015" s="197"/>
      <c r="BQ20015" s="197"/>
    </row>
    <row r="20016" spans="66:69" x14ac:dyDescent="0.2">
      <c r="BN20016" s="192"/>
      <c r="BO20016" s="197"/>
      <c r="BP20016" s="197"/>
      <c r="BQ20016" s="197"/>
    </row>
    <row r="20017" spans="66:69" x14ac:dyDescent="0.2">
      <c r="BN20017" s="192"/>
      <c r="BO20017" s="197"/>
      <c r="BP20017" s="197"/>
      <c r="BQ20017" s="197"/>
    </row>
    <row r="20018" spans="66:69" x14ac:dyDescent="0.2">
      <c r="BN20018" s="192"/>
      <c r="BO20018" s="197"/>
      <c r="BP20018" s="197"/>
      <c r="BQ20018" s="197"/>
    </row>
    <row r="20019" spans="66:69" x14ac:dyDescent="0.2">
      <c r="BN20019" s="192"/>
      <c r="BO20019" s="197"/>
      <c r="BP20019" s="197"/>
      <c r="BQ20019" s="197"/>
    </row>
    <row r="20020" spans="66:69" x14ac:dyDescent="0.2">
      <c r="BN20020" s="192"/>
      <c r="BO20020" s="197"/>
      <c r="BP20020" s="197"/>
      <c r="BQ20020" s="197"/>
    </row>
    <row r="20021" spans="66:69" x14ac:dyDescent="0.2">
      <c r="BN20021" s="192"/>
      <c r="BO20021" s="197"/>
      <c r="BP20021" s="197"/>
      <c r="BQ20021" s="197"/>
    </row>
    <row r="20022" spans="66:69" x14ac:dyDescent="0.2">
      <c r="BN20022" s="192"/>
      <c r="BO20022" s="197"/>
      <c r="BP20022" s="197"/>
      <c r="BQ20022" s="197"/>
    </row>
    <row r="20023" spans="66:69" x14ac:dyDescent="0.2">
      <c r="BN20023" s="192"/>
      <c r="BO20023" s="197"/>
      <c r="BP20023" s="197"/>
      <c r="BQ20023" s="197"/>
    </row>
    <row r="20024" spans="66:69" x14ac:dyDescent="0.2">
      <c r="BN20024" s="192"/>
      <c r="BO20024" s="197"/>
      <c r="BP20024" s="197"/>
      <c r="BQ20024" s="197"/>
    </row>
    <row r="20025" spans="66:69" x14ac:dyDescent="0.2">
      <c r="BN20025" s="192"/>
      <c r="BO20025" s="197"/>
      <c r="BP20025" s="197"/>
      <c r="BQ20025" s="197"/>
    </row>
    <row r="20026" spans="66:69" x14ac:dyDescent="0.2">
      <c r="BN20026" s="192"/>
      <c r="BO20026" s="197"/>
      <c r="BP20026" s="197"/>
      <c r="BQ20026" s="197"/>
    </row>
    <row r="20027" spans="66:69" x14ac:dyDescent="0.2">
      <c r="BN20027" s="192"/>
      <c r="BO20027" s="197"/>
      <c r="BP20027" s="197"/>
      <c r="BQ20027" s="197"/>
    </row>
    <row r="20028" spans="66:69" x14ac:dyDescent="0.2">
      <c r="BN20028" s="192"/>
      <c r="BO20028" s="197"/>
      <c r="BP20028" s="197"/>
      <c r="BQ20028" s="197"/>
    </row>
    <row r="20029" spans="66:69" x14ac:dyDescent="0.2">
      <c r="BN20029" s="192"/>
      <c r="BO20029" s="197"/>
      <c r="BP20029" s="197"/>
      <c r="BQ20029" s="197"/>
    </row>
    <row r="20030" spans="66:69" x14ac:dyDescent="0.2">
      <c r="BN20030" s="192"/>
      <c r="BO20030" s="197"/>
      <c r="BP20030" s="197"/>
      <c r="BQ20030" s="197"/>
    </row>
    <row r="20031" spans="66:69" x14ac:dyDescent="0.2">
      <c r="BN20031" s="192"/>
      <c r="BO20031" s="197"/>
      <c r="BP20031" s="197"/>
      <c r="BQ20031" s="197"/>
    </row>
    <row r="20032" spans="66:69" x14ac:dyDescent="0.2">
      <c r="BN20032" s="192"/>
      <c r="BO20032" s="197"/>
      <c r="BP20032" s="197"/>
      <c r="BQ20032" s="197"/>
    </row>
    <row r="20033" spans="66:69" x14ac:dyDescent="0.2">
      <c r="BN20033" s="192"/>
      <c r="BO20033" s="197"/>
      <c r="BP20033" s="197"/>
      <c r="BQ20033" s="197"/>
    </row>
    <row r="20034" spans="66:69" x14ac:dyDescent="0.2">
      <c r="BN20034" s="192"/>
      <c r="BO20034" s="197"/>
      <c r="BP20034" s="197"/>
      <c r="BQ20034" s="197"/>
    </row>
    <row r="20035" spans="66:69" x14ac:dyDescent="0.2">
      <c r="BN20035" s="192"/>
      <c r="BO20035" s="197"/>
      <c r="BP20035" s="197"/>
      <c r="BQ20035" s="197"/>
    </row>
    <row r="20036" spans="66:69" x14ac:dyDescent="0.2">
      <c r="BN20036" s="192"/>
      <c r="BO20036" s="197"/>
      <c r="BP20036" s="197"/>
      <c r="BQ20036" s="197"/>
    </row>
    <row r="20037" spans="66:69" x14ac:dyDescent="0.2">
      <c r="BN20037" s="192"/>
      <c r="BO20037" s="197"/>
      <c r="BP20037" s="197"/>
      <c r="BQ20037" s="197"/>
    </row>
    <row r="20038" spans="66:69" x14ac:dyDescent="0.2">
      <c r="BN20038" s="192"/>
      <c r="BO20038" s="197"/>
      <c r="BP20038" s="197"/>
      <c r="BQ20038" s="197"/>
    </row>
    <row r="20039" spans="66:69" x14ac:dyDescent="0.2">
      <c r="BN20039" s="192"/>
      <c r="BO20039" s="197"/>
      <c r="BP20039" s="197"/>
      <c r="BQ20039" s="197"/>
    </row>
    <row r="20040" spans="66:69" x14ac:dyDescent="0.2">
      <c r="BN20040" s="192"/>
      <c r="BO20040" s="197"/>
      <c r="BP20040" s="197"/>
      <c r="BQ20040" s="197"/>
    </row>
    <row r="20041" spans="66:69" x14ac:dyDescent="0.2">
      <c r="BN20041" s="192"/>
      <c r="BO20041" s="197"/>
      <c r="BP20041" s="197"/>
      <c r="BQ20041" s="197"/>
    </row>
    <row r="20042" spans="66:69" x14ac:dyDescent="0.2">
      <c r="BN20042" s="192"/>
      <c r="BO20042" s="197"/>
      <c r="BP20042" s="197"/>
      <c r="BQ20042" s="197"/>
    </row>
    <row r="20043" spans="66:69" x14ac:dyDescent="0.2">
      <c r="BN20043" s="192"/>
      <c r="BO20043" s="197"/>
      <c r="BP20043" s="197"/>
      <c r="BQ20043" s="197"/>
    </row>
    <row r="20044" spans="66:69" x14ac:dyDescent="0.2">
      <c r="BN20044" s="192"/>
      <c r="BO20044" s="197"/>
      <c r="BP20044" s="197"/>
      <c r="BQ20044" s="197"/>
    </row>
    <row r="20045" spans="66:69" x14ac:dyDescent="0.2">
      <c r="BN20045" s="192"/>
      <c r="BO20045" s="197"/>
      <c r="BP20045" s="197"/>
      <c r="BQ20045" s="197"/>
    </row>
    <row r="20046" spans="66:69" x14ac:dyDescent="0.2">
      <c r="BN20046" s="192"/>
      <c r="BO20046" s="197"/>
      <c r="BP20046" s="197"/>
      <c r="BQ20046" s="197"/>
    </row>
    <row r="20047" spans="66:69" x14ac:dyDescent="0.2">
      <c r="BN20047" s="192"/>
      <c r="BO20047" s="197"/>
      <c r="BP20047" s="197"/>
      <c r="BQ20047" s="197"/>
    </row>
    <row r="20048" spans="66:69" x14ac:dyDescent="0.2">
      <c r="BN20048" s="192"/>
      <c r="BO20048" s="197"/>
      <c r="BP20048" s="197"/>
      <c r="BQ20048" s="197"/>
    </row>
    <row r="20049" spans="66:69" x14ac:dyDescent="0.2">
      <c r="BN20049" s="192"/>
      <c r="BO20049" s="197"/>
      <c r="BP20049" s="197"/>
      <c r="BQ20049" s="197"/>
    </row>
    <row r="20050" spans="66:69" x14ac:dyDescent="0.2">
      <c r="BN20050" s="192"/>
      <c r="BO20050" s="197"/>
      <c r="BP20050" s="197"/>
      <c r="BQ20050" s="197"/>
    </row>
    <row r="20051" spans="66:69" x14ac:dyDescent="0.2">
      <c r="BN20051" s="192"/>
      <c r="BO20051" s="197"/>
      <c r="BP20051" s="197"/>
      <c r="BQ20051" s="197"/>
    </row>
    <row r="20052" spans="66:69" x14ac:dyDescent="0.2">
      <c r="BN20052" s="192"/>
      <c r="BO20052" s="197"/>
      <c r="BP20052" s="197"/>
      <c r="BQ20052" s="197"/>
    </row>
    <row r="20053" spans="66:69" x14ac:dyDescent="0.2">
      <c r="BN20053" s="192"/>
      <c r="BO20053" s="197"/>
      <c r="BP20053" s="197"/>
      <c r="BQ20053" s="197"/>
    </row>
    <row r="20054" spans="66:69" x14ac:dyDescent="0.2">
      <c r="BN20054" s="192"/>
      <c r="BO20054" s="197"/>
      <c r="BP20054" s="197"/>
      <c r="BQ20054" s="197"/>
    </row>
    <row r="20055" spans="66:69" x14ac:dyDescent="0.2">
      <c r="BN20055" s="192"/>
      <c r="BO20055" s="197"/>
      <c r="BP20055" s="197"/>
      <c r="BQ20055" s="197"/>
    </row>
    <row r="20056" spans="66:69" x14ac:dyDescent="0.2">
      <c r="BN20056" s="192"/>
      <c r="BO20056" s="197"/>
      <c r="BP20056" s="197"/>
      <c r="BQ20056" s="197"/>
    </row>
    <row r="20057" spans="66:69" x14ac:dyDescent="0.2">
      <c r="BN20057" s="192"/>
      <c r="BO20057" s="197"/>
      <c r="BP20057" s="197"/>
      <c r="BQ20057" s="197"/>
    </row>
    <row r="20058" spans="66:69" x14ac:dyDescent="0.2">
      <c r="BN20058" s="192"/>
      <c r="BO20058" s="197"/>
      <c r="BP20058" s="197"/>
      <c r="BQ20058" s="197"/>
    </row>
    <row r="20059" spans="66:69" x14ac:dyDescent="0.2">
      <c r="BN20059" s="192"/>
      <c r="BO20059" s="197"/>
      <c r="BP20059" s="197"/>
      <c r="BQ20059" s="197"/>
    </row>
    <row r="20060" spans="66:69" x14ac:dyDescent="0.2">
      <c r="BN20060" s="192"/>
      <c r="BO20060" s="197"/>
      <c r="BP20060" s="197"/>
      <c r="BQ20060" s="197"/>
    </row>
    <row r="20061" spans="66:69" x14ac:dyDescent="0.2">
      <c r="BN20061" s="192"/>
      <c r="BO20061" s="197"/>
      <c r="BP20061" s="197"/>
      <c r="BQ20061" s="197"/>
    </row>
    <row r="20062" spans="66:69" x14ac:dyDescent="0.2">
      <c r="BN20062" s="192"/>
      <c r="BO20062" s="197"/>
      <c r="BP20062" s="197"/>
      <c r="BQ20062" s="197"/>
    </row>
    <row r="20063" spans="66:69" x14ac:dyDescent="0.2">
      <c r="BN20063" s="192"/>
      <c r="BO20063" s="197"/>
      <c r="BP20063" s="197"/>
      <c r="BQ20063" s="197"/>
    </row>
    <row r="20064" spans="66:69" x14ac:dyDescent="0.2">
      <c r="BN20064" s="192"/>
      <c r="BO20064" s="197"/>
      <c r="BP20064" s="197"/>
      <c r="BQ20064" s="197"/>
    </row>
    <row r="20065" spans="66:69" x14ac:dyDescent="0.2">
      <c r="BN20065" s="192"/>
      <c r="BO20065" s="197"/>
      <c r="BP20065" s="197"/>
      <c r="BQ20065" s="197"/>
    </row>
    <row r="20066" spans="66:69" x14ac:dyDescent="0.2">
      <c r="BN20066" s="192"/>
      <c r="BO20066" s="197"/>
      <c r="BP20066" s="197"/>
      <c r="BQ20066" s="197"/>
    </row>
    <row r="20067" spans="66:69" x14ac:dyDescent="0.2">
      <c r="BN20067" s="192"/>
      <c r="BO20067" s="197"/>
      <c r="BP20067" s="197"/>
      <c r="BQ20067" s="197"/>
    </row>
    <row r="20068" spans="66:69" x14ac:dyDescent="0.2">
      <c r="BN20068" s="192"/>
      <c r="BO20068" s="197"/>
      <c r="BP20068" s="197"/>
      <c r="BQ20068" s="197"/>
    </row>
    <row r="20069" spans="66:69" x14ac:dyDescent="0.2">
      <c r="BN20069" s="192"/>
      <c r="BO20069" s="197"/>
      <c r="BP20069" s="197"/>
      <c r="BQ20069" s="197"/>
    </row>
    <row r="20070" spans="66:69" x14ac:dyDescent="0.2">
      <c r="BN20070" s="192"/>
      <c r="BO20070" s="197"/>
      <c r="BP20070" s="197"/>
      <c r="BQ20070" s="197"/>
    </row>
    <row r="20071" spans="66:69" x14ac:dyDescent="0.2">
      <c r="BN20071" s="192"/>
      <c r="BO20071" s="197"/>
      <c r="BP20071" s="197"/>
      <c r="BQ20071" s="197"/>
    </row>
    <row r="20072" spans="66:69" x14ac:dyDescent="0.2">
      <c r="BN20072" s="192"/>
      <c r="BO20072" s="197"/>
      <c r="BP20072" s="197"/>
      <c r="BQ20072" s="197"/>
    </row>
    <row r="20073" spans="66:69" x14ac:dyDescent="0.2">
      <c r="BN20073" s="192"/>
      <c r="BO20073" s="197"/>
      <c r="BP20073" s="197"/>
      <c r="BQ20073" s="197"/>
    </row>
    <row r="20074" spans="66:69" x14ac:dyDescent="0.2">
      <c r="BN20074" s="192"/>
      <c r="BO20074" s="197"/>
      <c r="BP20074" s="197"/>
      <c r="BQ20074" s="197"/>
    </row>
    <row r="20075" spans="66:69" x14ac:dyDescent="0.2">
      <c r="BN20075" s="192"/>
      <c r="BO20075" s="197"/>
      <c r="BP20075" s="197"/>
      <c r="BQ20075" s="197"/>
    </row>
    <row r="20076" spans="66:69" x14ac:dyDescent="0.2">
      <c r="BN20076" s="192"/>
      <c r="BO20076" s="197"/>
      <c r="BP20076" s="197"/>
      <c r="BQ20076" s="197"/>
    </row>
    <row r="20077" spans="66:69" x14ac:dyDescent="0.2">
      <c r="BN20077" s="192"/>
      <c r="BO20077" s="197"/>
      <c r="BP20077" s="197"/>
      <c r="BQ20077" s="197"/>
    </row>
    <row r="20078" spans="66:69" x14ac:dyDescent="0.2">
      <c r="BN20078" s="192"/>
      <c r="BO20078" s="197"/>
      <c r="BP20078" s="197"/>
      <c r="BQ20078" s="197"/>
    </row>
    <row r="20079" spans="66:69" x14ac:dyDescent="0.2">
      <c r="BN20079" s="192"/>
      <c r="BO20079" s="197"/>
      <c r="BP20079" s="197"/>
      <c r="BQ20079" s="197"/>
    </row>
    <row r="20080" spans="66:69" x14ac:dyDescent="0.2">
      <c r="BN20080" s="192"/>
      <c r="BO20080" s="197"/>
      <c r="BP20080" s="197"/>
      <c r="BQ20080" s="197"/>
    </row>
    <row r="20081" spans="66:69" x14ac:dyDescent="0.2">
      <c r="BN20081" s="192"/>
      <c r="BO20081" s="197"/>
      <c r="BP20081" s="197"/>
      <c r="BQ20081" s="197"/>
    </row>
    <row r="20082" spans="66:69" x14ac:dyDescent="0.2">
      <c r="BN20082" s="192"/>
      <c r="BO20082" s="197"/>
      <c r="BP20082" s="197"/>
      <c r="BQ20082" s="197"/>
    </row>
    <row r="20083" spans="66:69" x14ac:dyDescent="0.2">
      <c r="BN20083" s="192"/>
      <c r="BO20083" s="197"/>
      <c r="BP20083" s="197"/>
      <c r="BQ20083" s="197"/>
    </row>
    <row r="20084" spans="66:69" x14ac:dyDescent="0.2">
      <c r="BN20084" s="192"/>
      <c r="BO20084" s="197"/>
      <c r="BP20084" s="197"/>
      <c r="BQ20084" s="197"/>
    </row>
    <row r="20085" spans="66:69" x14ac:dyDescent="0.2">
      <c r="BN20085" s="192"/>
      <c r="BO20085" s="197"/>
      <c r="BP20085" s="197"/>
      <c r="BQ20085" s="197"/>
    </row>
    <row r="20086" spans="66:69" x14ac:dyDescent="0.2">
      <c r="BN20086" s="192"/>
      <c r="BO20086" s="197"/>
      <c r="BP20086" s="197"/>
      <c r="BQ20086" s="197"/>
    </row>
    <row r="20087" spans="66:69" x14ac:dyDescent="0.2">
      <c r="BN20087" s="192"/>
      <c r="BO20087" s="197"/>
      <c r="BP20087" s="197"/>
      <c r="BQ20087" s="197"/>
    </row>
    <row r="20088" spans="66:69" x14ac:dyDescent="0.2">
      <c r="BN20088" s="192"/>
      <c r="BO20088" s="197"/>
      <c r="BP20088" s="197"/>
      <c r="BQ20088" s="197"/>
    </row>
    <row r="20089" spans="66:69" x14ac:dyDescent="0.2">
      <c r="BN20089" s="192"/>
      <c r="BO20089" s="197"/>
      <c r="BP20089" s="197"/>
      <c r="BQ20089" s="197"/>
    </row>
    <row r="20090" spans="66:69" x14ac:dyDescent="0.2">
      <c r="BN20090" s="192"/>
      <c r="BO20090" s="197"/>
      <c r="BP20090" s="197"/>
      <c r="BQ20090" s="197"/>
    </row>
    <row r="20091" spans="66:69" x14ac:dyDescent="0.2">
      <c r="BN20091" s="192"/>
      <c r="BO20091" s="197"/>
      <c r="BP20091" s="197"/>
      <c r="BQ20091" s="197"/>
    </row>
    <row r="20092" spans="66:69" x14ac:dyDescent="0.2">
      <c r="BN20092" s="192"/>
      <c r="BO20092" s="197"/>
      <c r="BP20092" s="197"/>
      <c r="BQ20092" s="197"/>
    </row>
    <row r="20093" spans="66:69" x14ac:dyDescent="0.2">
      <c r="BN20093" s="192"/>
      <c r="BO20093" s="197"/>
      <c r="BP20093" s="197"/>
      <c r="BQ20093" s="197"/>
    </row>
    <row r="20094" spans="66:69" x14ac:dyDescent="0.2">
      <c r="BN20094" s="192"/>
      <c r="BO20094" s="197"/>
      <c r="BP20094" s="197"/>
      <c r="BQ20094" s="197"/>
    </row>
    <row r="20095" spans="66:69" x14ac:dyDescent="0.2">
      <c r="BN20095" s="192"/>
      <c r="BO20095" s="197"/>
      <c r="BP20095" s="197"/>
      <c r="BQ20095" s="197"/>
    </row>
    <row r="20096" spans="66:69" x14ac:dyDescent="0.2">
      <c r="BN20096" s="192"/>
      <c r="BO20096" s="197"/>
      <c r="BP20096" s="197"/>
      <c r="BQ20096" s="197"/>
    </row>
    <row r="20097" spans="66:69" x14ac:dyDescent="0.2">
      <c r="BN20097" s="192"/>
      <c r="BO20097" s="197"/>
      <c r="BP20097" s="197"/>
      <c r="BQ20097" s="197"/>
    </row>
    <row r="20098" spans="66:69" x14ac:dyDescent="0.2">
      <c r="BN20098" s="192"/>
      <c r="BO20098" s="197"/>
      <c r="BP20098" s="197"/>
      <c r="BQ20098" s="197"/>
    </row>
    <row r="20099" spans="66:69" x14ac:dyDescent="0.2">
      <c r="BN20099" s="192"/>
      <c r="BO20099" s="197"/>
      <c r="BP20099" s="197"/>
      <c r="BQ20099" s="197"/>
    </row>
    <row r="20100" spans="66:69" x14ac:dyDescent="0.2">
      <c r="BN20100" s="192"/>
      <c r="BO20100" s="197"/>
      <c r="BP20100" s="197"/>
      <c r="BQ20100" s="197"/>
    </row>
    <row r="20101" spans="66:69" x14ac:dyDescent="0.2">
      <c r="BN20101" s="192"/>
      <c r="BO20101" s="197"/>
      <c r="BP20101" s="197"/>
      <c r="BQ20101" s="197"/>
    </row>
    <row r="20102" spans="66:69" x14ac:dyDescent="0.2">
      <c r="BN20102" s="192"/>
      <c r="BO20102" s="197"/>
      <c r="BP20102" s="197"/>
      <c r="BQ20102" s="197"/>
    </row>
    <row r="20103" spans="66:69" x14ac:dyDescent="0.2">
      <c r="BN20103" s="192"/>
      <c r="BO20103" s="197"/>
      <c r="BP20103" s="197"/>
      <c r="BQ20103" s="197"/>
    </row>
    <row r="20104" spans="66:69" x14ac:dyDescent="0.2">
      <c r="BN20104" s="192"/>
      <c r="BO20104" s="197"/>
      <c r="BP20104" s="197"/>
      <c r="BQ20104" s="197"/>
    </row>
    <row r="20105" spans="66:69" x14ac:dyDescent="0.2">
      <c r="BN20105" s="192"/>
      <c r="BO20105" s="197"/>
      <c r="BP20105" s="197"/>
      <c r="BQ20105" s="197"/>
    </row>
    <row r="20106" spans="66:69" x14ac:dyDescent="0.2">
      <c r="BN20106" s="192"/>
      <c r="BO20106" s="197"/>
      <c r="BP20106" s="197"/>
      <c r="BQ20106" s="197"/>
    </row>
    <row r="20107" spans="66:69" x14ac:dyDescent="0.2">
      <c r="BN20107" s="192"/>
      <c r="BO20107" s="197"/>
      <c r="BP20107" s="197"/>
      <c r="BQ20107" s="197"/>
    </row>
    <row r="20108" spans="66:69" x14ac:dyDescent="0.2">
      <c r="BN20108" s="192"/>
      <c r="BO20108" s="197"/>
      <c r="BP20108" s="197"/>
      <c r="BQ20108" s="197"/>
    </row>
    <row r="20109" spans="66:69" x14ac:dyDescent="0.2">
      <c r="BN20109" s="192"/>
      <c r="BO20109" s="197"/>
      <c r="BP20109" s="197"/>
      <c r="BQ20109" s="197"/>
    </row>
    <row r="20110" spans="66:69" x14ac:dyDescent="0.2">
      <c r="BN20110" s="192"/>
      <c r="BO20110" s="197"/>
      <c r="BP20110" s="197"/>
      <c r="BQ20110" s="197"/>
    </row>
    <row r="20111" spans="66:69" x14ac:dyDescent="0.2">
      <c r="BN20111" s="192"/>
      <c r="BO20111" s="197"/>
      <c r="BP20111" s="197"/>
      <c r="BQ20111" s="197"/>
    </row>
    <row r="20112" spans="66:69" x14ac:dyDescent="0.2">
      <c r="BN20112" s="192"/>
      <c r="BO20112" s="197"/>
      <c r="BP20112" s="197"/>
      <c r="BQ20112" s="197"/>
    </row>
    <row r="20113" spans="66:69" x14ac:dyDescent="0.2">
      <c r="BN20113" s="192"/>
      <c r="BO20113" s="197"/>
      <c r="BP20113" s="197"/>
      <c r="BQ20113" s="197"/>
    </row>
    <row r="20114" spans="66:69" x14ac:dyDescent="0.2">
      <c r="BN20114" s="192"/>
      <c r="BO20114" s="197"/>
      <c r="BP20114" s="197"/>
      <c r="BQ20114" s="197"/>
    </row>
    <row r="20115" spans="66:69" x14ac:dyDescent="0.2">
      <c r="BN20115" s="192"/>
      <c r="BO20115" s="197"/>
      <c r="BP20115" s="197"/>
      <c r="BQ20115" s="197"/>
    </row>
    <row r="20116" spans="66:69" x14ac:dyDescent="0.2">
      <c r="BN20116" s="192"/>
      <c r="BO20116" s="197"/>
      <c r="BP20116" s="197"/>
      <c r="BQ20116" s="197"/>
    </row>
    <row r="20117" spans="66:69" x14ac:dyDescent="0.2">
      <c r="BN20117" s="192"/>
      <c r="BO20117" s="197"/>
      <c r="BP20117" s="197"/>
      <c r="BQ20117" s="197"/>
    </row>
    <row r="20118" spans="66:69" x14ac:dyDescent="0.2">
      <c r="BN20118" s="192"/>
      <c r="BO20118" s="197"/>
      <c r="BP20118" s="197"/>
      <c r="BQ20118" s="197"/>
    </row>
    <row r="20119" spans="66:69" x14ac:dyDescent="0.2">
      <c r="BN20119" s="192"/>
      <c r="BO20119" s="197"/>
      <c r="BP20119" s="197"/>
      <c r="BQ20119" s="197"/>
    </row>
    <row r="20120" spans="66:69" x14ac:dyDescent="0.2">
      <c r="BN20120" s="192"/>
      <c r="BO20120" s="197"/>
      <c r="BP20120" s="197"/>
      <c r="BQ20120" s="197"/>
    </row>
    <row r="20121" spans="66:69" x14ac:dyDescent="0.2">
      <c r="BN20121" s="192"/>
      <c r="BO20121" s="197"/>
      <c r="BP20121" s="197"/>
      <c r="BQ20121" s="197"/>
    </row>
    <row r="20122" spans="66:69" x14ac:dyDescent="0.2">
      <c r="BN20122" s="192"/>
      <c r="BO20122" s="197"/>
      <c r="BP20122" s="197"/>
      <c r="BQ20122" s="197"/>
    </row>
    <row r="20123" spans="66:69" x14ac:dyDescent="0.2">
      <c r="BN20123" s="192"/>
      <c r="BO20123" s="197"/>
      <c r="BP20123" s="197"/>
      <c r="BQ20123" s="197"/>
    </row>
    <row r="20124" spans="66:69" x14ac:dyDescent="0.2">
      <c r="BN20124" s="192"/>
      <c r="BO20124" s="197"/>
      <c r="BP20124" s="197"/>
      <c r="BQ20124" s="197"/>
    </row>
    <row r="20125" spans="66:69" x14ac:dyDescent="0.2">
      <c r="BN20125" s="192"/>
      <c r="BO20125" s="197"/>
      <c r="BP20125" s="197"/>
      <c r="BQ20125" s="197"/>
    </row>
    <row r="20126" spans="66:69" x14ac:dyDescent="0.2">
      <c r="BN20126" s="192"/>
      <c r="BO20126" s="197"/>
      <c r="BP20126" s="197"/>
      <c r="BQ20126" s="197"/>
    </row>
    <row r="20127" spans="66:69" x14ac:dyDescent="0.2">
      <c r="BN20127" s="192"/>
      <c r="BO20127" s="197"/>
      <c r="BP20127" s="197"/>
      <c r="BQ20127" s="197"/>
    </row>
    <row r="20128" spans="66:69" x14ac:dyDescent="0.2">
      <c r="BN20128" s="192"/>
      <c r="BO20128" s="197"/>
      <c r="BP20128" s="197"/>
      <c r="BQ20128" s="197"/>
    </row>
    <row r="20129" spans="66:69" x14ac:dyDescent="0.2">
      <c r="BN20129" s="192"/>
      <c r="BO20129" s="197"/>
      <c r="BP20129" s="197"/>
      <c r="BQ20129" s="197"/>
    </row>
    <row r="20130" spans="66:69" x14ac:dyDescent="0.2">
      <c r="BN20130" s="192"/>
      <c r="BO20130" s="197"/>
      <c r="BP20130" s="197"/>
      <c r="BQ20130" s="197"/>
    </row>
    <row r="20131" spans="66:69" x14ac:dyDescent="0.2">
      <c r="BN20131" s="192"/>
      <c r="BO20131" s="197"/>
      <c r="BP20131" s="197"/>
      <c r="BQ20131" s="197"/>
    </row>
    <row r="20132" spans="66:69" x14ac:dyDescent="0.2">
      <c r="BN20132" s="192"/>
      <c r="BO20132" s="197"/>
      <c r="BP20132" s="197"/>
      <c r="BQ20132" s="197"/>
    </row>
    <row r="20133" spans="66:69" x14ac:dyDescent="0.2">
      <c r="BN20133" s="192"/>
      <c r="BO20133" s="197"/>
      <c r="BP20133" s="197"/>
      <c r="BQ20133" s="197"/>
    </row>
    <row r="20134" spans="66:69" x14ac:dyDescent="0.2">
      <c r="BN20134" s="192"/>
      <c r="BO20134" s="197"/>
      <c r="BP20134" s="197"/>
      <c r="BQ20134" s="197"/>
    </row>
    <row r="20135" spans="66:69" x14ac:dyDescent="0.2">
      <c r="BN20135" s="192"/>
      <c r="BO20135" s="197"/>
      <c r="BP20135" s="197"/>
      <c r="BQ20135" s="197"/>
    </row>
    <row r="20136" spans="66:69" x14ac:dyDescent="0.2">
      <c r="BN20136" s="192"/>
      <c r="BO20136" s="197"/>
      <c r="BP20136" s="197"/>
      <c r="BQ20136" s="197"/>
    </row>
    <row r="20137" spans="66:69" x14ac:dyDescent="0.2">
      <c r="BN20137" s="192"/>
      <c r="BO20137" s="197"/>
      <c r="BP20137" s="197"/>
      <c r="BQ20137" s="197"/>
    </row>
    <row r="20138" spans="66:69" x14ac:dyDescent="0.2">
      <c r="BN20138" s="192"/>
      <c r="BO20138" s="197"/>
      <c r="BP20138" s="197"/>
      <c r="BQ20138" s="197"/>
    </row>
    <row r="20139" spans="66:69" x14ac:dyDescent="0.2">
      <c r="BN20139" s="192"/>
      <c r="BO20139" s="197"/>
      <c r="BP20139" s="197"/>
      <c r="BQ20139" s="197"/>
    </row>
    <row r="20140" spans="66:69" x14ac:dyDescent="0.2">
      <c r="BN20140" s="192"/>
      <c r="BO20140" s="197"/>
      <c r="BP20140" s="197"/>
      <c r="BQ20140" s="197"/>
    </row>
    <row r="20141" spans="66:69" x14ac:dyDescent="0.2">
      <c r="BN20141" s="192"/>
      <c r="BO20141" s="197"/>
      <c r="BP20141" s="197"/>
      <c r="BQ20141" s="197"/>
    </row>
    <row r="20142" spans="66:69" x14ac:dyDescent="0.2">
      <c r="BN20142" s="192"/>
      <c r="BO20142" s="197"/>
      <c r="BP20142" s="197"/>
      <c r="BQ20142" s="197"/>
    </row>
    <row r="20143" spans="66:69" x14ac:dyDescent="0.2">
      <c r="BN20143" s="192"/>
      <c r="BO20143" s="197"/>
      <c r="BP20143" s="197"/>
      <c r="BQ20143" s="197"/>
    </row>
    <row r="20144" spans="66:69" x14ac:dyDescent="0.2">
      <c r="BN20144" s="192"/>
      <c r="BO20144" s="197"/>
      <c r="BP20144" s="197"/>
      <c r="BQ20144" s="197"/>
    </row>
    <row r="20145" spans="66:69" x14ac:dyDescent="0.2">
      <c r="BN20145" s="192"/>
      <c r="BO20145" s="197"/>
      <c r="BP20145" s="197"/>
      <c r="BQ20145" s="197"/>
    </row>
    <row r="20146" spans="66:69" x14ac:dyDescent="0.2">
      <c r="BN20146" s="192"/>
      <c r="BO20146" s="197"/>
      <c r="BP20146" s="197"/>
      <c r="BQ20146" s="197"/>
    </row>
    <row r="20147" spans="66:69" x14ac:dyDescent="0.2">
      <c r="BN20147" s="192"/>
      <c r="BO20147" s="197"/>
      <c r="BP20147" s="197"/>
      <c r="BQ20147" s="197"/>
    </row>
    <row r="20148" spans="66:69" x14ac:dyDescent="0.2">
      <c r="BN20148" s="192"/>
      <c r="BO20148" s="197"/>
      <c r="BP20148" s="197"/>
      <c r="BQ20148" s="197"/>
    </row>
    <row r="20149" spans="66:69" x14ac:dyDescent="0.2">
      <c r="BN20149" s="192"/>
      <c r="BO20149" s="197"/>
      <c r="BP20149" s="197"/>
      <c r="BQ20149" s="197"/>
    </row>
    <row r="20150" spans="66:69" x14ac:dyDescent="0.2">
      <c r="BN20150" s="192"/>
      <c r="BO20150" s="197"/>
      <c r="BP20150" s="197"/>
      <c r="BQ20150" s="197"/>
    </row>
    <row r="20151" spans="66:69" x14ac:dyDescent="0.2">
      <c r="BN20151" s="192"/>
      <c r="BO20151" s="197"/>
      <c r="BP20151" s="197"/>
      <c r="BQ20151" s="197"/>
    </row>
    <row r="20152" spans="66:69" x14ac:dyDescent="0.2">
      <c r="BN20152" s="192"/>
      <c r="BO20152" s="197"/>
      <c r="BP20152" s="197"/>
      <c r="BQ20152" s="197"/>
    </row>
    <row r="20153" spans="66:69" x14ac:dyDescent="0.2">
      <c r="BN20153" s="192"/>
      <c r="BO20153" s="197"/>
      <c r="BP20153" s="197"/>
      <c r="BQ20153" s="197"/>
    </row>
    <row r="20154" spans="66:69" x14ac:dyDescent="0.2">
      <c r="BN20154" s="192"/>
      <c r="BO20154" s="197"/>
      <c r="BP20154" s="197"/>
      <c r="BQ20154" s="197"/>
    </row>
    <row r="20155" spans="66:69" x14ac:dyDescent="0.2">
      <c r="BN20155" s="192"/>
      <c r="BO20155" s="197"/>
      <c r="BP20155" s="197"/>
      <c r="BQ20155" s="197"/>
    </row>
    <row r="20156" spans="66:69" x14ac:dyDescent="0.2">
      <c r="BN20156" s="192"/>
      <c r="BO20156" s="197"/>
      <c r="BP20156" s="197"/>
      <c r="BQ20156" s="197"/>
    </row>
    <row r="20157" spans="66:69" x14ac:dyDescent="0.2">
      <c r="BN20157" s="192"/>
      <c r="BO20157" s="197"/>
      <c r="BP20157" s="197"/>
      <c r="BQ20157" s="197"/>
    </row>
    <row r="20158" spans="66:69" x14ac:dyDescent="0.2">
      <c r="BN20158" s="192"/>
      <c r="BO20158" s="197"/>
      <c r="BP20158" s="197"/>
      <c r="BQ20158" s="197"/>
    </row>
    <row r="20159" spans="66:69" x14ac:dyDescent="0.2">
      <c r="BN20159" s="192"/>
      <c r="BO20159" s="197"/>
      <c r="BP20159" s="197"/>
      <c r="BQ20159" s="197"/>
    </row>
    <row r="20160" spans="66:69" x14ac:dyDescent="0.2">
      <c r="BN20160" s="192"/>
      <c r="BO20160" s="197"/>
      <c r="BP20160" s="197"/>
      <c r="BQ20160" s="197"/>
    </row>
    <row r="20161" spans="66:69" x14ac:dyDescent="0.2">
      <c r="BN20161" s="192"/>
      <c r="BO20161" s="197"/>
      <c r="BP20161" s="197"/>
      <c r="BQ20161" s="197"/>
    </row>
    <row r="20162" spans="66:69" x14ac:dyDescent="0.2">
      <c r="BN20162" s="192"/>
      <c r="BO20162" s="197"/>
      <c r="BP20162" s="197"/>
      <c r="BQ20162" s="197"/>
    </row>
    <row r="20163" spans="66:69" x14ac:dyDescent="0.2">
      <c r="BN20163" s="192"/>
      <c r="BO20163" s="197"/>
      <c r="BP20163" s="197"/>
      <c r="BQ20163" s="197"/>
    </row>
    <row r="20164" spans="66:69" x14ac:dyDescent="0.2">
      <c r="BN20164" s="192"/>
      <c r="BO20164" s="197"/>
      <c r="BP20164" s="197"/>
      <c r="BQ20164" s="197"/>
    </row>
    <row r="20165" spans="66:69" x14ac:dyDescent="0.2">
      <c r="BN20165" s="192"/>
      <c r="BO20165" s="197"/>
      <c r="BP20165" s="197"/>
      <c r="BQ20165" s="197"/>
    </row>
    <row r="20166" spans="66:69" x14ac:dyDescent="0.2">
      <c r="BN20166" s="192"/>
      <c r="BO20166" s="197"/>
      <c r="BP20166" s="197"/>
      <c r="BQ20166" s="197"/>
    </row>
    <row r="20167" spans="66:69" x14ac:dyDescent="0.2">
      <c r="BN20167" s="192"/>
      <c r="BO20167" s="197"/>
      <c r="BP20167" s="197"/>
      <c r="BQ20167" s="197"/>
    </row>
    <row r="20168" spans="66:69" x14ac:dyDescent="0.2">
      <c r="BN20168" s="192"/>
      <c r="BO20168" s="197"/>
      <c r="BP20168" s="197"/>
      <c r="BQ20168" s="197"/>
    </row>
    <row r="20169" spans="66:69" x14ac:dyDescent="0.2">
      <c r="BN20169" s="192"/>
      <c r="BO20169" s="197"/>
      <c r="BP20169" s="197"/>
      <c r="BQ20169" s="197"/>
    </row>
    <row r="20170" spans="66:69" x14ac:dyDescent="0.2">
      <c r="BN20170" s="192"/>
      <c r="BO20170" s="197"/>
      <c r="BP20170" s="197"/>
      <c r="BQ20170" s="197"/>
    </row>
    <row r="20171" spans="66:69" x14ac:dyDescent="0.2">
      <c r="BN20171" s="192"/>
      <c r="BO20171" s="197"/>
      <c r="BP20171" s="197"/>
      <c r="BQ20171" s="197"/>
    </row>
    <row r="20172" spans="66:69" x14ac:dyDescent="0.2">
      <c r="BN20172" s="192"/>
      <c r="BO20172" s="197"/>
      <c r="BP20172" s="197"/>
      <c r="BQ20172" s="197"/>
    </row>
    <row r="20173" spans="66:69" x14ac:dyDescent="0.2">
      <c r="BN20173" s="192"/>
      <c r="BO20173" s="197"/>
      <c r="BP20173" s="197"/>
      <c r="BQ20173" s="197"/>
    </row>
    <row r="20174" spans="66:69" x14ac:dyDescent="0.2">
      <c r="BN20174" s="192"/>
      <c r="BO20174" s="197"/>
      <c r="BP20174" s="197"/>
      <c r="BQ20174" s="197"/>
    </row>
    <row r="20175" spans="66:69" x14ac:dyDescent="0.2">
      <c r="BN20175" s="192"/>
      <c r="BO20175" s="197"/>
      <c r="BP20175" s="197"/>
      <c r="BQ20175" s="197"/>
    </row>
    <row r="20176" spans="66:69" x14ac:dyDescent="0.2">
      <c r="BN20176" s="192"/>
      <c r="BO20176" s="197"/>
      <c r="BP20176" s="197"/>
      <c r="BQ20176" s="197"/>
    </row>
    <row r="20177" spans="66:69" x14ac:dyDescent="0.2">
      <c r="BN20177" s="192"/>
      <c r="BO20177" s="197"/>
      <c r="BP20177" s="197"/>
      <c r="BQ20177" s="197"/>
    </row>
    <row r="20178" spans="66:69" x14ac:dyDescent="0.2">
      <c r="BN20178" s="192"/>
      <c r="BO20178" s="197"/>
      <c r="BP20178" s="197"/>
      <c r="BQ20178" s="197"/>
    </row>
    <row r="20179" spans="66:69" x14ac:dyDescent="0.2">
      <c r="BN20179" s="192"/>
      <c r="BO20179" s="197"/>
      <c r="BP20179" s="197"/>
      <c r="BQ20179" s="197"/>
    </row>
    <row r="20180" spans="66:69" x14ac:dyDescent="0.2">
      <c r="BN20180" s="192"/>
      <c r="BO20180" s="197"/>
      <c r="BP20180" s="197"/>
      <c r="BQ20180" s="197"/>
    </row>
    <row r="20181" spans="66:69" x14ac:dyDescent="0.2">
      <c r="BN20181" s="192"/>
      <c r="BO20181" s="197"/>
      <c r="BP20181" s="197"/>
      <c r="BQ20181" s="197"/>
    </row>
    <row r="20182" spans="66:69" x14ac:dyDescent="0.2">
      <c r="BN20182" s="192"/>
      <c r="BO20182" s="197"/>
      <c r="BP20182" s="197"/>
      <c r="BQ20182" s="197"/>
    </row>
    <row r="20183" spans="66:69" x14ac:dyDescent="0.2">
      <c r="BN20183" s="192"/>
      <c r="BO20183" s="197"/>
      <c r="BP20183" s="197"/>
      <c r="BQ20183" s="197"/>
    </row>
    <row r="20184" spans="66:69" x14ac:dyDescent="0.2">
      <c r="BN20184" s="192"/>
      <c r="BO20184" s="197"/>
      <c r="BP20184" s="197"/>
      <c r="BQ20184" s="197"/>
    </row>
    <row r="20185" spans="66:69" x14ac:dyDescent="0.2">
      <c r="BN20185" s="192"/>
      <c r="BO20185" s="197"/>
      <c r="BP20185" s="197"/>
      <c r="BQ20185" s="197"/>
    </row>
    <row r="20186" spans="66:69" x14ac:dyDescent="0.2">
      <c r="BN20186" s="192"/>
      <c r="BO20186" s="197"/>
      <c r="BP20186" s="197"/>
      <c r="BQ20186" s="197"/>
    </row>
    <row r="20187" spans="66:69" x14ac:dyDescent="0.2">
      <c r="BN20187" s="192"/>
      <c r="BO20187" s="197"/>
      <c r="BP20187" s="197"/>
      <c r="BQ20187" s="197"/>
    </row>
    <row r="20188" spans="66:69" x14ac:dyDescent="0.2">
      <c r="BN20188" s="192"/>
      <c r="BO20188" s="197"/>
      <c r="BP20188" s="197"/>
      <c r="BQ20188" s="197"/>
    </row>
    <row r="20189" spans="66:69" x14ac:dyDescent="0.2">
      <c r="BN20189" s="192"/>
      <c r="BO20189" s="197"/>
      <c r="BP20189" s="197"/>
      <c r="BQ20189" s="197"/>
    </row>
    <row r="20190" spans="66:69" x14ac:dyDescent="0.2">
      <c r="BN20190" s="192"/>
      <c r="BO20190" s="197"/>
      <c r="BP20190" s="197"/>
      <c r="BQ20190" s="197"/>
    </row>
    <row r="20191" spans="66:69" x14ac:dyDescent="0.2">
      <c r="BN20191" s="192"/>
      <c r="BO20191" s="197"/>
      <c r="BP20191" s="197"/>
      <c r="BQ20191" s="197"/>
    </row>
    <row r="20192" spans="66:69" x14ac:dyDescent="0.2">
      <c r="BN20192" s="192"/>
      <c r="BO20192" s="197"/>
      <c r="BP20192" s="197"/>
      <c r="BQ20192" s="197"/>
    </row>
    <row r="20193" spans="66:69" x14ac:dyDescent="0.2">
      <c r="BN20193" s="192"/>
      <c r="BO20193" s="197"/>
      <c r="BP20193" s="197"/>
      <c r="BQ20193" s="197"/>
    </row>
    <row r="20194" spans="66:69" x14ac:dyDescent="0.2">
      <c r="BN20194" s="192"/>
      <c r="BO20194" s="197"/>
      <c r="BP20194" s="197"/>
      <c r="BQ20194" s="197"/>
    </row>
    <row r="20195" spans="66:69" x14ac:dyDescent="0.2">
      <c r="BN20195" s="192"/>
      <c r="BO20195" s="197"/>
      <c r="BP20195" s="197"/>
      <c r="BQ20195" s="197"/>
    </row>
    <row r="20196" spans="66:69" x14ac:dyDescent="0.2">
      <c r="BN20196" s="192"/>
      <c r="BO20196" s="197"/>
      <c r="BP20196" s="197"/>
      <c r="BQ20196" s="197"/>
    </row>
    <row r="20197" spans="66:69" x14ac:dyDescent="0.2">
      <c r="BN20197" s="192"/>
      <c r="BO20197" s="197"/>
      <c r="BP20197" s="197"/>
      <c r="BQ20197" s="197"/>
    </row>
    <row r="20198" spans="66:69" x14ac:dyDescent="0.2">
      <c r="BN20198" s="192"/>
      <c r="BO20198" s="197"/>
      <c r="BP20198" s="197"/>
      <c r="BQ20198" s="197"/>
    </row>
    <row r="20199" spans="66:69" x14ac:dyDescent="0.2">
      <c r="BN20199" s="192"/>
      <c r="BO20199" s="197"/>
      <c r="BP20199" s="197"/>
      <c r="BQ20199" s="197"/>
    </row>
    <row r="20200" spans="66:69" x14ac:dyDescent="0.2">
      <c r="BN20200" s="192"/>
      <c r="BO20200" s="197"/>
      <c r="BP20200" s="197"/>
      <c r="BQ20200" s="197"/>
    </row>
    <row r="20201" spans="66:69" x14ac:dyDescent="0.2">
      <c r="BN20201" s="192"/>
      <c r="BO20201" s="197"/>
      <c r="BP20201" s="197"/>
      <c r="BQ20201" s="197"/>
    </row>
    <row r="20202" spans="66:69" x14ac:dyDescent="0.2">
      <c r="BN20202" s="192"/>
      <c r="BO20202" s="197"/>
      <c r="BP20202" s="197"/>
      <c r="BQ20202" s="197"/>
    </row>
    <row r="20203" spans="66:69" x14ac:dyDescent="0.2">
      <c r="BN20203" s="192"/>
      <c r="BO20203" s="197"/>
      <c r="BP20203" s="197"/>
      <c r="BQ20203" s="197"/>
    </row>
    <row r="20204" spans="66:69" x14ac:dyDescent="0.2">
      <c r="BN20204" s="192"/>
      <c r="BO20204" s="197"/>
      <c r="BP20204" s="197"/>
      <c r="BQ20204" s="197"/>
    </row>
    <row r="20205" spans="66:69" x14ac:dyDescent="0.2">
      <c r="BN20205" s="192"/>
      <c r="BO20205" s="197"/>
      <c r="BP20205" s="197"/>
      <c r="BQ20205" s="197"/>
    </row>
    <row r="20206" spans="66:69" x14ac:dyDescent="0.2">
      <c r="BN20206" s="192"/>
      <c r="BO20206" s="197"/>
      <c r="BP20206" s="197"/>
      <c r="BQ20206" s="197"/>
    </row>
    <row r="20207" spans="66:69" x14ac:dyDescent="0.2">
      <c r="BN20207" s="192"/>
      <c r="BO20207" s="197"/>
      <c r="BP20207" s="197"/>
      <c r="BQ20207" s="197"/>
    </row>
    <row r="20208" spans="66:69" x14ac:dyDescent="0.2">
      <c r="BN20208" s="192"/>
      <c r="BO20208" s="197"/>
      <c r="BP20208" s="197"/>
      <c r="BQ20208" s="197"/>
    </row>
    <row r="20209" spans="66:69" x14ac:dyDescent="0.2">
      <c r="BN20209" s="192"/>
      <c r="BO20209" s="197"/>
      <c r="BP20209" s="197"/>
      <c r="BQ20209" s="197"/>
    </row>
    <row r="20210" spans="66:69" x14ac:dyDescent="0.2">
      <c r="BN20210" s="192"/>
      <c r="BO20210" s="197"/>
      <c r="BP20210" s="197"/>
      <c r="BQ20210" s="197"/>
    </row>
    <row r="20211" spans="66:69" x14ac:dyDescent="0.2">
      <c r="BN20211" s="192"/>
      <c r="BO20211" s="197"/>
      <c r="BP20211" s="197"/>
      <c r="BQ20211" s="197"/>
    </row>
    <row r="20212" spans="66:69" x14ac:dyDescent="0.2">
      <c r="BN20212" s="192"/>
      <c r="BO20212" s="197"/>
      <c r="BP20212" s="197"/>
      <c r="BQ20212" s="197"/>
    </row>
    <row r="20213" spans="66:69" x14ac:dyDescent="0.2">
      <c r="BN20213" s="192"/>
      <c r="BO20213" s="197"/>
      <c r="BP20213" s="197"/>
      <c r="BQ20213" s="197"/>
    </row>
    <row r="20214" spans="66:69" x14ac:dyDescent="0.2">
      <c r="BN20214" s="192"/>
      <c r="BO20214" s="197"/>
      <c r="BP20214" s="197"/>
      <c r="BQ20214" s="197"/>
    </row>
    <row r="20215" spans="66:69" x14ac:dyDescent="0.2">
      <c r="BN20215" s="192"/>
      <c r="BO20215" s="197"/>
      <c r="BP20215" s="197"/>
      <c r="BQ20215" s="197"/>
    </row>
    <row r="20216" spans="66:69" x14ac:dyDescent="0.2">
      <c r="BN20216" s="192"/>
      <c r="BO20216" s="197"/>
      <c r="BP20216" s="197"/>
      <c r="BQ20216" s="197"/>
    </row>
    <row r="20217" spans="66:69" x14ac:dyDescent="0.2">
      <c r="BN20217" s="192"/>
      <c r="BO20217" s="197"/>
      <c r="BP20217" s="197"/>
      <c r="BQ20217" s="197"/>
    </row>
    <row r="20218" spans="66:69" x14ac:dyDescent="0.2">
      <c r="BN20218" s="192"/>
      <c r="BO20218" s="197"/>
      <c r="BP20218" s="197"/>
      <c r="BQ20218" s="197"/>
    </row>
    <row r="20219" spans="66:69" x14ac:dyDescent="0.2">
      <c r="BN20219" s="192"/>
      <c r="BO20219" s="197"/>
      <c r="BP20219" s="197"/>
      <c r="BQ20219" s="197"/>
    </row>
    <row r="20220" spans="66:69" x14ac:dyDescent="0.2">
      <c r="BN20220" s="192"/>
      <c r="BO20220" s="197"/>
      <c r="BP20220" s="197"/>
      <c r="BQ20220" s="197"/>
    </row>
    <row r="20221" spans="66:69" x14ac:dyDescent="0.2">
      <c r="BN20221" s="192"/>
      <c r="BO20221" s="197"/>
      <c r="BP20221" s="197"/>
      <c r="BQ20221" s="197"/>
    </row>
    <row r="20222" spans="66:69" x14ac:dyDescent="0.2">
      <c r="BN20222" s="192"/>
      <c r="BO20222" s="197"/>
      <c r="BP20222" s="197"/>
      <c r="BQ20222" s="197"/>
    </row>
    <row r="20223" spans="66:69" x14ac:dyDescent="0.2">
      <c r="BN20223" s="192"/>
      <c r="BO20223" s="197"/>
      <c r="BP20223" s="197"/>
      <c r="BQ20223" s="197"/>
    </row>
    <row r="20224" spans="66:69" x14ac:dyDescent="0.2">
      <c r="BN20224" s="192"/>
      <c r="BO20224" s="197"/>
      <c r="BP20224" s="197"/>
      <c r="BQ20224" s="197"/>
    </row>
    <row r="20225" spans="66:69" x14ac:dyDescent="0.2">
      <c r="BN20225" s="192"/>
      <c r="BO20225" s="197"/>
      <c r="BP20225" s="197"/>
      <c r="BQ20225" s="197"/>
    </row>
    <row r="20226" spans="66:69" x14ac:dyDescent="0.2">
      <c r="BN20226" s="192"/>
      <c r="BO20226" s="197"/>
      <c r="BP20226" s="197"/>
      <c r="BQ20226" s="197"/>
    </row>
    <row r="20227" spans="66:69" x14ac:dyDescent="0.2">
      <c r="BN20227" s="192"/>
      <c r="BO20227" s="197"/>
      <c r="BP20227" s="197"/>
      <c r="BQ20227" s="197"/>
    </row>
    <row r="20228" spans="66:69" x14ac:dyDescent="0.2">
      <c r="BN20228" s="192"/>
      <c r="BO20228" s="197"/>
      <c r="BP20228" s="197"/>
      <c r="BQ20228" s="197"/>
    </row>
    <row r="20229" spans="66:69" x14ac:dyDescent="0.2">
      <c r="BN20229" s="192"/>
      <c r="BO20229" s="197"/>
      <c r="BP20229" s="197"/>
      <c r="BQ20229" s="197"/>
    </row>
    <row r="20230" spans="66:69" x14ac:dyDescent="0.2">
      <c r="BN20230" s="192"/>
      <c r="BO20230" s="197"/>
      <c r="BP20230" s="197"/>
      <c r="BQ20230" s="197"/>
    </row>
    <row r="20231" spans="66:69" x14ac:dyDescent="0.2">
      <c r="BN20231" s="192"/>
      <c r="BO20231" s="197"/>
      <c r="BP20231" s="197"/>
      <c r="BQ20231" s="197"/>
    </row>
    <row r="20232" spans="66:69" x14ac:dyDescent="0.2">
      <c r="BN20232" s="192"/>
      <c r="BO20232" s="197"/>
      <c r="BP20232" s="197"/>
      <c r="BQ20232" s="197"/>
    </row>
    <row r="20233" spans="66:69" x14ac:dyDescent="0.2">
      <c r="BN20233" s="192"/>
      <c r="BO20233" s="197"/>
      <c r="BP20233" s="197"/>
      <c r="BQ20233" s="197"/>
    </row>
    <row r="20234" spans="66:69" x14ac:dyDescent="0.2">
      <c r="BN20234" s="192"/>
      <c r="BO20234" s="197"/>
      <c r="BP20234" s="197"/>
      <c r="BQ20234" s="197"/>
    </row>
    <row r="20235" spans="66:69" x14ac:dyDescent="0.2">
      <c r="BN20235" s="192"/>
      <c r="BO20235" s="197"/>
      <c r="BP20235" s="197"/>
      <c r="BQ20235" s="197"/>
    </row>
    <row r="20236" spans="66:69" x14ac:dyDescent="0.2">
      <c r="BN20236" s="192"/>
      <c r="BO20236" s="197"/>
      <c r="BP20236" s="197"/>
      <c r="BQ20236" s="197"/>
    </row>
    <row r="20237" spans="66:69" x14ac:dyDescent="0.2">
      <c r="BN20237" s="192"/>
      <c r="BO20237" s="197"/>
      <c r="BP20237" s="197"/>
      <c r="BQ20237" s="197"/>
    </row>
    <row r="20238" spans="66:69" x14ac:dyDescent="0.2">
      <c r="BN20238" s="192"/>
      <c r="BO20238" s="197"/>
      <c r="BP20238" s="197"/>
      <c r="BQ20238" s="197"/>
    </row>
    <row r="20239" spans="66:69" x14ac:dyDescent="0.2">
      <c r="BN20239" s="192"/>
      <c r="BO20239" s="197"/>
      <c r="BP20239" s="197"/>
      <c r="BQ20239" s="197"/>
    </row>
    <row r="20240" spans="66:69" x14ac:dyDescent="0.2">
      <c r="BN20240" s="192"/>
      <c r="BO20240" s="197"/>
      <c r="BP20240" s="197"/>
      <c r="BQ20240" s="197"/>
    </row>
    <row r="20241" spans="66:69" x14ac:dyDescent="0.2">
      <c r="BN20241" s="192"/>
      <c r="BO20241" s="197"/>
      <c r="BP20241" s="197"/>
      <c r="BQ20241" s="197"/>
    </row>
    <row r="20242" spans="66:69" x14ac:dyDescent="0.2">
      <c r="BN20242" s="192"/>
      <c r="BO20242" s="197"/>
      <c r="BP20242" s="197"/>
      <c r="BQ20242" s="197"/>
    </row>
    <row r="20243" spans="66:69" x14ac:dyDescent="0.2">
      <c r="BN20243" s="192"/>
      <c r="BO20243" s="197"/>
      <c r="BP20243" s="197"/>
      <c r="BQ20243" s="197"/>
    </row>
    <row r="20244" spans="66:69" x14ac:dyDescent="0.2">
      <c r="BN20244" s="192"/>
      <c r="BO20244" s="197"/>
      <c r="BP20244" s="197"/>
      <c r="BQ20244" s="197"/>
    </row>
    <row r="20245" spans="66:69" x14ac:dyDescent="0.2">
      <c r="BN20245" s="192"/>
      <c r="BO20245" s="197"/>
      <c r="BP20245" s="197"/>
      <c r="BQ20245" s="197"/>
    </row>
    <row r="20246" spans="66:69" x14ac:dyDescent="0.2">
      <c r="BN20246" s="192"/>
      <c r="BO20246" s="197"/>
      <c r="BP20246" s="197"/>
      <c r="BQ20246" s="197"/>
    </row>
    <row r="20247" spans="66:69" x14ac:dyDescent="0.2">
      <c r="BN20247" s="192"/>
      <c r="BO20247" s="197"/>
      <c r="BP20247" s="197"/>
      <c r="BQ20247" s="197"/>
    </row>
    <row r="20248" spans="66:69" x14ac:dyDescent="0.2">
      <c r="BN20248" s="192"/>
      <c r="BO20248" s="197"/>
      <c r="BP20248" s="197"/>
      <c r="BQ20248" s="197"/>
    </row>
    <row r="20249" spans="66:69" x14ac:dyDescent="0.2">
      <c r="BN20249" s="192"/>
      <c r="BO20249" s="197"/>
      <c r="BP20249" s="197"/>
      <c r="BQ20249" s="197"/>
    </row>
    <row r="20250" spans="66:69" x14ac:dyDescent="0.2">
      <c r="BN20250" s="192"/>
      <c r="BO20250" s="197"/>
      <c r="BP20250" s="197"/>
      <c r="BQ20250" s="197"/>
    </row>
    <row r="20251" spans="66:69" x14ac:dyDescent="0.2">
      <c r="BN20251" s="192"/>
      <c r="BO20251" s="197"/>
      <c r="BP20251" s="197"/>
      <c r="BQ20251" s="197"/>
    </row>
    <row r="20252" spans="66:69" x14ac:dyDescent="0.2">
      <c r="BN20252" s="192"/>
      <c r="BO20252" s="197"/>
      <c r="BP20252" s="197"/>
      <c r="BQ20252" s="197"/>
    </row>
    <row r="20253" spans="66:69" x14ac:dyDescent="0.2">
      <c r="BN20253" s="192"/>
      <c r="BO20253" s="197"/>
      <c r="BP20253" s="197"/>
      <c r="BQ20253" s="197"/>
    </row>
    <row r="20254" spans="66:69" x14ac:dyDescent="0.2">
      <c r="BN20254" s="192"/>
      <c r="BO20254" s="197"/>
      <c r="BP20254" s="197"/>
      <c r="BQ20254" s="197"/>
    </row>
    <row r="20255" spans="66:69" x14ac:dyDescent="0.2">
      <c r="BN20255" s="192"/>
      <c r="BO20255" s="197"/>
      <c r="BP20255" s="197"/>
      <c r="BQ20255" s="197"/>
    </row>
    <row r="20256" spans="66:69" x14ac:dyDescent="0.2">
      <c r="BN20256" s="192"/>
      <c r="BO20256" s="197"/>
      <c r="BP20256" s="197"/>
      <c r="BQ20256" s="197"/>
    </row>
    <row r="20257" spans="66:69" x14ac:dyDescent="0.2">
      <c r="BN20257" s="192"/>
      <c r="BO20257" s="197"/>
      <c r="BP20257" s="197"/>
      <c r="BQ20257" s="197"/>
    </row>
    <row r="20258" spans="66:69" x14ac:dyDescent="0.2">
      <c r="BN20258" s="192"/>
      <c r="BO20258" s="197"/>
      <c r="BP20258" s="197"/>
      <c r="BQ20258" s="197"/>
    </row>
    <row r="20259" spans="66:69" x14ac:dyDescent="0.2">
      <c r="BN20259" s="192"/>
      <c r="BO20259" s="197"/>
      <c r="BP20259" s="197"/>
      <c r="BQ20259" s="197"/>
    </row>
    <row r="20260" spans="66:69" x14ac:dyDescent="0.2">
      <c r="BN20260" s="192"/>
      <c r="BO20260" s="197"/>
      <c r="BP20260" s="197"/>
      <c r="BQ20260" s="197"/>
    </row>
    <row r="20261" spans="66:69" x14ac:dyDescent="0.2">
      <c r="BN20261" s="192"/>
      <c r="BO20261" s="197"/>
      <c r="BP20261" s="197"/>
      <c r="BQ20261" s="197"/>
    </row>
    <row r="20262" spans="66:69" x14ac:dyDescent="0.2">
      <c r="BN20262" s="192"/>
      <c r="BO20262" s="197"/>
      <c r="BP20262" s="197"/>
      <c r="BQ20262" s="197"/>
    </row>
    <row r="20263" spans="66:69" x14ac:dyDescent="0.2">
      <c r="BN20263" s="192"/>
      <c r="BO20263" s="197"/>
      <c r="BP20263" s="197"/>
      <c r="BQ20263" s="197"/>
    </row>
    <row r="20264" spans="66:69" x14ac:dyDescent="0.2">
      <c r="BN20264" s="192"/>
      <c r="BO20264" s="197"/>
      <c r="BP20264" s="197"/>
      <c r="BQ20264" s="197"/>
    </row>
    <row r="20265" spans="66:69" x14ac:dyDescent="0.2">
      <c r="BN20265" s="192"/>
      <c r="BO20265" s="197"/>
      <c r="BP20265" s="197"/>
      <c r="BQ20265" s="197"/>
    </row>
    <row r="20266" spans="66:69" x14ac:dyDescent="0.2">
      <c r="BN20266" s="192"/>
      <c r="BO20266" s="197"/>
      <c r="BP20266" s="197"/>
      <c r="BQ20266" s="197"/>
    </row>
    <row r="20267" spans="66:69" x14ac:dyDescent="0.2">
      <c r="BN20267" s="192"/>
      <c r="BO20267" s="197"/>
      <c r="BP20267" s="197"/>
      <c r="BQ20267" s="197"/>
    </row>
    <row r="20268" spans="66:69" x14ac:dyDescent="0.2">
      <c r="BN20268" s="192"/>
      <c r="BO20268" s="197"/>
      <c r="BP20268" s="197"/>
      <c r="BQ20268" s="197"/>
    </row>
    <row r="20269" spans="66:69" x14ac:dyDescent="0.2">
      <c r="BN20269" s="192"/>
      <c r="BO20269" s="197"/>
      <c r="BP20269" s="197"/>
      <c r="BQ20269" s="197"/>
    </row>
    <row r="20270" spans="66:69" x14ac:dyDescent="0.2">
      <c r="BN20270" s="192"/>
      <c r="BO20270" s="197"/>
      <c r="BP20270" s="197"/>
      <c r="BQ20270" s="197"/>
    </row>
    <row r="20271" spans="66:69" x14ac:dyDescent="0.2">
      <c r="BN20271" s="192"/>
      <c r="BO20271" s="197"/>
      <c r="BP20271" s="197"/>
      <c r="BQ20271" s="197"/>
    </row>
    <row r="20272" spans="66:69" x14ac:dyDescent="0.2">
      <c r="BN20272" s="192"/>
      <c r="BO20272" s="197"/>
      <c r="BP20272" s="197"/>
      <c r="BQ20272" s="197"/>
    </row>
    <row r="20273" spans="66:69" x14ac:dyDescent="0.2">
      <c r="BN20273" s="192"/>
      <c r="BO20273" s="197"/>
      <c r="BP20273" s="197"/>
      <c r="BQ20273" s="197"/>
    </row>
    <row r="20274" spans="66:69" x14ac:dyDescent="0.2">
      <c r="BN20274" s="192"/>
      <c r="BO20274" s="197"/>
      <c r="BP20274" s="197"/>
      <c r="BQ20274" s="197"/>
    </row>
    <row r="20275" spans="66:69" x14ac:dyDescent="0.2">
      <c r="BN20275" s="192"/>
      <c r="BO20275" s="197"/>
      <c r="BP20275" s="197"/>
      <c r="BQ20275" s="197"/>
    </row>
    <row r="20276" spans="66:69" x14ac:dyDescent="0.2">
      <c r="BN20276" s="192"/>
      <c r="BO20276" s="197"/>
      <c r="BP20276" s="197"/>
      <c r="BQ20276" s="197"/>
    </row>
    <row r="20277" spans="66:69" x14ac:dyDescent="0.2">
      <c r="BN20277" s="192"/>
      <c r="BO20277" s="197"/>
      <c r="BP20277" s="197"/>
      <c r="BQ20277" s="197"/>
    </row>
    <row r="20278" spans="66:69" x14ac:dyDescent="0.2">
      <c r="BN20278" s="192"/>
      <c r="BO20278" s="197"/>
      <c r="BP20278" s="197"/>
      <c r="BQ20278" s="197"/>
    </row>
    <row r="20279" spans="66:69" x14ac:dyDescent="0.2">
      <c r="BN20279" s="192"/>
      <c r="BO20279" s="197"/>
      <c r="BP20279" s="197"/>
      <c r="BQ20279" s="197"/>
    </row>
    <row r="20280" spans="66:69" x14ac:dyDescent="0.2">
      <c r="BN20280" s="192"/>
      <c r="BO20280" s="197"/>
      <c r="BP20280" s="197"/>
      <c r="BQ20280" s="197"/>
    </row>
    <row r="20281" spans="66:69" x14ac:dyDescent="0.2">
      <c r="BN20281" s="192"/>
      <c r="BO20281" s="197"/>
      <c r="BP20281" s="197"/>
      <c r="BQ20281" s="197"/>
    </row>
    <row r="20282" spans="66:69" x14ac:dyDescent="0.2">
      <c r="BN20282" s="192"/>
      <c r="BO20282" s="197"/>
      <c r="BP20282" s="197"/>
      <c r="BQ20282" s="197"/>
    </row>
    <row r="20283" spans="66:69" x14ac:dyDescent="0.2">
      <c r="BN20283" s="192"/>
      <c r="BO20283" s="197"/>
      <c r="BP20283" s="197"/>
      <c r="BQ20283" s="197"/>
    </row>
    <row r="20284" spans="66:69" x14ac:dyDescent="0.2">
      <c r="BN20284" s="192"/>
      <c r="BO20284" s="197"/>
      <c r="BP20284" s="197"/>
      <c r="BQ20284" s="197"/>
    </row>
    <row r="20285" spans="66:69" x14ac:dyDescent="0.2">
      <c r="BN20285" s="192"/>
      <c r="BO20285" s="197"/>
      <c r="BP20285" s="197"/>
      <c r="BQ20285" s="197"/>
    </row>
    <row r="20286" spans="66:69" x14ac:dyDescent="0.2">
      <c r="BN20286" s="192"/>
      <c r="BO20286" s="197"/>
      <c r="BP20286" s="197"/>
      <c r="BQ20286" s="197"/>
    </row>
    <row r="20287" spans="66:69" x14ac:dyDescent="0.2">
      <c r="BN20287" s="192"/>
      <c r="BO20287" s="197"/>
      <c r="BP20287" s="197"/>
      <c r="BQ20287" s="197"/>
    </row>
    <row r="20288" spans="66:69" x14ac:dyDescent="0.2">
      <c r="BN20288" s="192"/>
      <c r="BO20288" s="197"/>
      <c r="BP20288" s="197"/>
      <c r="BQ20288" s="197"/>
    </row>
    <row r="20289" spans="66:69" x14ac:dyDescent="0.2">
      <c r="BN20289" s="192"/>
      <c r="BO20289" s="197"/>
      <c r="BP20289" s="197"/>
      <c r="BQ20289" s="197"/>
    </row>
    <row r="20290" spans="66:69" x14ac:dyDescent="0.2">
      <c r="BN20290" s="192"/>
      <c r="BO20290" s="197"/>
      <c r="BP20290" s="197"/>
      <c r="BQ20290" s="197"/>
    </row>
    <row r="20291" spans="66:69" x14ac:dyDescent="0.2">
      <c r="BN20291" s="192"/>
      <c r="BO20291" s="197"/>
      <c r="BP20291" s="197"/>
      <c r="BQ20291" s="197"/>
    </row>
    <row r="20292" spans="66:69" x14ac:dyDescent="0.2">
      <c r="BN20292" s="192"/>
      <c r="BO20292" s="197"/>
      <c r="BP20292" s="197"/>
      <c r="BQ20292" s="197"/>
    </row>
    <row r="20293" spans="66:69" x14ac:dyDescent="0.2">
      <c r="BN20293" s="192"/>
      <c r="BO20293" s="197"/>
      <c r="BP20293" s="197"/>
      <c r="BQ20293" s="197"/>
    </row>
    <row r="20294" spans="66:69" x14ac:dyDescent="0.2">
      <c r="BN20294" s="192"/>
      <c r="BO20294" s="197"/>
      <c r="BP20294" s="197"/>
      <c r="BQ20294" s="197"/>
    </row>
    <row r="20295" spans="66:69" x14ac:dyDescent="0.2">
      <c r="BN20295" s="192"/>
      <c r="BO20295" s="197"/>
      <c r="BP20295" s="197"/>
      <c r="BQ20295" s="197"/>
    </row>
    <row r="20296" spans="66:69" x14ac:dyDescent="0.2">
      <c r="BN20296" s="192"/>
      <c r="BO20296" s="197"/>
      <c r="BP20296" s="197"/>
      <c r="BQ20296" s="197"/>
    </row>
    <row r="20297" spans="66:69" x14ac:dyDescent="0.2">
      <c r="BN20297" s="192"/>
      <c r="BO20297" s="197"/>
      <c r="BP20297" s="197"/>
      <c r="BQ20297" s="197"/>
    </row>
    <row r="20298" spans="66:69" x14ac:dyDescent="0.2">
      <c r="BN20298" s="192"/>
      <c r="BO20298" s="197"/>
      <c r="BP20298" s="197"/>
      <c r="BQ20298" s="197"/>
    </row>
    <row r="20299" spans="66:69" x14ac:dyDescent="0.2">
      <c r="BN20299" s="192"/>
      <c r="BO20299" s="197"/>
      <c r="BP20299" s="197"/>
      <c r="BQ20299" s="197"/>
    </row>
    <row r="20300" spans="66:69" x14ac:dyDescent="0.2">
      <c r="BN20300" s="192"/>
      <c r="BO20300" s="197"/>
      <c r="BP20300" s="197"/>
      <c r="BQ20300" s="197"/>
    </row>
    <row r="20301" spans="66:69" x14ac:dyDescent="0.2">
      <c r="BN20301" s="192"/>
      <c r="BO20301" s="197"/>
      <c r="BP20301" s="197"/>
      <c r="BQ20301" s="197"/>
    </row>
    <row r="20302" spans="66:69" x14ac:dyDescent="0.2">
      <c r="BN20302" s="192"/>
      <c r="BO20302" s="197"/>
      <c r="BP20302" s="197"/>
      <c r="BQ20302" s="197"/>
    </row>
    <row r="20303" spans="66:69" x14ac:dyDescent="0.2">
      <c r="BN20303" s="192"/>
      <c r="BO20303" s="197"/>
      <c r="BP20303" s="197"/>
      <c r="BQ20303" s="197"/>
    </row>
    <row r="20304" spans="66:69" x14ac:dyDescent="0.2">
      <c r="BN20304" s="192"/>
      <c r="BO20304" s="197"/>
      <c r="BP20304" s="197"/>
      <c r="BQ20304" s="197"/>
    </row>
    <row r="20305" spans="66:69" x14ac:dyDescent="0.2">
      <c r="BN20305" s="192"/>
      <c r="BO20305" s="197"/>
      <c r="BP20305" s="197"/>
      <c r="BQ20305" s="197"/>
    </row>
    <row r="20306" spans="66:69" x14ac:dyDescent="0.2">
      <c r="BN20306" s="192"/>
      <c r="BO20306" s="197"/>
      <c r="BP20306" s="197"/>
      <c r="BQ20306" s="197"/>
    </row>
    <row r="20307" spans="66:69" x14ac:dyDescent="0.2">
      <c r="BN20307" s="192"/>
      <c r="BO20307" s="197"/>
      <c r="BP20307" s="197"/>
      <c r="BQ20307" s="197"/>
    </row>
    <row r="20308" spans="66:69" x14ac:dyDescent="0.2">
      <c r="BN20308" s="192"/>
      <c r="BO20308" s="197"/>
      <c r="BP20308" s="197"/>
      <c r="BQ20308" s="197"/>
    </row>
    <row r="20309" spans="66:69" x14ac:dyDescent="0.2">
      <c r="BN20309" s="192"/>
      <c r="BO20309" s="197"/>
      <c r="BP20309" s="197"/>
      <c r="BQ20309" s="197"/>
    </row>
    <row r="20310" spans="66:69" x14ac:dyDescent="0.2">
      <c r="BN20310" s="192"/>
      <c r="BO20310" s="197"/>
      <c r="BP20310" s="197"/>
      <c r="BQ20310" s="197"/>
    </row>
    <row r="20311" spans="66:69" x14ac:dyDescent="0.2">
      <c r="BN20311" s="192"/>
      <c r="BO20311" s="197"/>
      <c r="BP20311" s="197"/>
      <c r="BQ20311" s="197"/>
    </row>
    <row r="20312" spans="66:69" x14ac:dyDescent="0.2">
      <c r="BN20312" s="192"/>
      <c r="BO20312" s="197"/>
      <c r="BP20312" s="197"/>
      <c r="BQ20312" s="197"/>
    </row>
    <row r="20313" spans="66:69" x14ac:dyDescent="0.2">
      <c r="BN20313" s="192"/>
      <c r="BO20313" s="197"/>
      <c r="BP20313" s="197"/>
      <c r="BQ20313" s="197"/>
    </row>
    <row r="20314" spans="66:69" x14ac:dyDescent="0.2">
      <c r="BN20314" s="192"/>
      <c r="BO20314" s="197"/>
      <c r="BP20314" s="197"/>
      <c r="BQ20314" s="197"/>
    </row>
    <row r="20315" spans="66:69" x14ac:dyDescent="0.2">
      <c r="BN20315" s="192"/>
      <c r="BO20315" s="197"/>
      <c r="BP20315" s="197"/>
      <c r="BQ20315" s="197"/>
    </row>
    <row r="20316" spans="66:69" x14ac:dyDescent="0.2">
      <c r="BN20316" s="192"/>
      <c r="BO20316" s="197"/>
      <c r="BP20316" s="197"/>
      <c r="BQ20316" s="197"/>
    </row>
    <row r="20317" spans="66:69" x14ac:dyDescent="0.2">
      <c r="BN20317" s="192"/>
      <c r="BO20317" s="197"/>
      <c r="BP20317" s="197"/>
      <c r="BQ20317" s="197"/>
    </row>
    <row r="20318" spans="66:69" x14ac:dyDescent="0.2">
      <c r="BN20318" s="192"/>
      <c r="BO20318" s="197"/>
      <c r="BP20318" s="197"/>
      <c r="BQ20318" s="197"/>
    </row>
    <row r="20319" spans="66:69" x14ac:dyDescent="0.2">
      <c r="BN20319" s="192"/>
      <c r="BO20319" s="197"/>
      <c r="BP20319" s="197"/>
      <c r="BQ20319" s="197"/>
    </row>
    <row r="20320" spans="66:69" x14ac:dyDescent="0.2">
      <c r="BN20320" s="192"/>
      <c r="BO20320" s="197"/>
      <c r="BP20320" s="197"/>
      <c r="BQ20320" s="197"/>
    </row>
    <row r="20321" spans="66:69" x14ac:dyDescent="0.2">
      <c r="BN20321" s="192"/>
      <c r="BO20321" s="197"/>
      <c r="BP20321" s="197"/>
      <c r="BQ20321" s="197"/>
    </row>
    <row r="20322" spans="66:69" x14ac:dyDescent="0.2">
      <c r="BN20322" s="192"/>
      <c r="BO20322" s="197"/>
      <c r="BP20322" s="197"/>
      <c r="BQ20322" s="197"/>
    </row>
    <row r="20323" spans="66:69" x14ac:dyDescent="0.2">
      <c r="BN20323" s="192"/>
      <c r="BO20323" s="197"/>
      <c r="BP20323" s="197"/>
      <c r="BQ20323" s="197"/>
    </row>
    <row r="20324" spans="66:69" x14ac:dyDescent="0.2">
      <c r="BN20324" s="192"/>
      <c r="BO20324" s="197"/>
      <c r="BP20324" s="197"/>
      <c r="BQ20324" s="197"/>
    </row>
    <row r="20325" spans="66:69" x14ac:dyDescent="0.2">
      <c r="BN20325" s="192"/>
      <c r="BO20325" s="197"/>
      <c r="BP20325" s="197"/>
      <c r="BQ20325" s="197"/>
    </row>
    <row r="20326" spans="66:69" x14ac:dyDescent="0.2">
      <c r="BN20326" s="192"/>
      <c r="BO20326" s="197"/>
      <c r="BP20326" s="197"/>
      <c r="BQ20326" s="197"/>
    </row>
    <row r="20327" spans="66:69" x14ac:dyDescent="0.2">
      <c r="BN20327" s="192"/>
      <c r="BO20327" s="197"/>
      <c r="BP20327" s="197"/>
      <c r="BQ20327" s="197"/>
    </row>
    <row r="20328" spans="66:69" x14ac:dyDescent="0.2">
      <c r="BN20328" s="192"/>
      <c r="BO20328" s="197"/>
      <c r="BP20328" s="197"/>
      <c r="BQ20328" s="197"/>
    </row>
    <row r="20329" spans="66:69" x14ac:dyDescent="0.2">
      <c r="BN20329" s="192"/>
      <c r="BO20329" s="197"/>
      <c r="BP20329" s="197"/>
      <c r="BQ20329" s="197"/>
    </row>
    <row r="20330" spans="66:69" x14ac:dyDescent="0.2">
      <c r="BN20330" s="192"/>
      <c r="BO20330" s="197"/>
      <c r="BP20330" s="197"/>
      <c r="BQ20330" s="197"/>
    </row>
    <row r="20331" spans="66:69" x14ac:dyDescent="0.2">
      <c r="BN20331" s="192"/>
      <c r="BO20331" s="197"/>
      <c r="BP20331" s="197"/>
      <c r="BQ20331" s="197"/>
    </row>
    <row r="20332" spans="66:69" x14ac:dyDescent="0.2">
      <c r="BN20332" s="192"/>
      <c r="BO20332" s="197"/>
      <c r="BP20332" s="197"/>
      <c r="BQ20332" s="197"/>
    </row>
    <row r="20333" spans="66:69" x14ac:dyDescent="0.2">
      <c r="BN20333" s="192"/>
      <c r="BO20333" s="197"/>
      <c r="BP20333" s="197"/>
      <c r="BQ20333" s="197"/>
    </row>
    <row r="20334" spans="66:69" x14ac:dyDescent="0.2">
      <c r="BN20334" s="192"/>
      <c r="BO20334" s="197"/>
      <c r="BP20334" s="197"/>
      <c r="BQ20334" s="197"/>
    </row>
    <row r="20335" spans="66:69" x14ac:dyDescent="0.2">
      <c r="BN20335" s="192"/>
      <c r="BO20335" s="197"/>
      <c r="BP20335" s="197"/>
      <c r="BQ20335" s="197"/>
    </row>
    <row r="20336" spans="66:69" x14ac:dyDescent="0.2">
      <c r="BN20336" s="192"/>
      <c r="BO20336" s="197"/>
      <c r="BP20336" s="197"/>
      <c r="BQ20336" s="197"/>
    </row>
    <row r="20337" spans="66:69" x14ac:dyDescent="0.2">
      <c r="BN20337" s="192"/>
      <c r="BO20337" s="197"/>
      <c r="BP20337" s="197"/>
      <c r="BQ20337" s="197"/>
    </row>
    <row r="20338" spans="66:69" x14ac:dyDescent="0.2">
      <c r="BN20338" s="192"/>
      <c r="BO20338" s="197"/>
      <c r="BP20338" s="197"/>
      <c r="BQ20338" s="197"/>
    </row>
    <row r="20339" spans="66:69" x14ac:dyDescent="0.2">
      <c r="BN20339" s="192"/>
      <c r="BO20339" s="197"/>
      <c r="BP20339" s="197"/>
      <c r="BQ20339" s="197"/>
    </row>
    <row r="20340" spans="66:69" x14ac:dyDescent="0.2">
      <c r="BN20340" s="192"/>
      <c r="BO20340" s="197"/>
      <c r="BP20340" s="197"/>
      <c r="BQ20340" s="197"/>
    </row>
    <row r="20341" spans="66:69" x14ac:dyDescent="0.2">
      <c r="BN20341" s="192"/>
      <c r="BO20341" s="197"/>
      <c r="BP20341" s="197"/>
      <c r="BQ20341" s="197"/>
    </row>
    <row r="20342" spans="66:69" x14ac:dyDescent="0.2">
      <c r="BN20342" s="192"/>
      <c r="BO20342" s="197"/>
      <c r="BP20342" s="197"/>
      <c r="BQ20342" s="197"/>
    </row>
    <row r="20343" spans="66:69" x14ac:dyDescent="0.2">
      <c r="BN20343" s="192"/>
      <c r="BO20343" s="197"/>
      <c r="BP20343" s="197"/>
      <c r="BQ20343" s="197"/>
    </row>
    <row r="20344" spans="66:69" x14ac:dyDescent="0.2">
      <c r="BN20344" s="192"/>
      <c r="BO20344" s="197"/>
      <c r="BP20344" s="197"/>
      <c r="BQ20344" s="197"/>
    </row>
    <row r="20345" spans="66:69" x14ac:dyDescent="0.2">
      <c r="BN20345" s="192"/>
      <c r="BO20345" s="197"/>
      <c r="BP20345" s="197"/>
      <c r="BQ20345" s="197"/>
    </row>
    <row r="20346" spans="66:69" x14ac:dyDescent="0.2">
      <c r="BN20346" s="192"/>
      <c r="BO20346" s="197"/>
      <c r="BP20346" s="197"/>
      <c r="BQ20346" s="197"/>
    </row>
    <row r="20347" spans="66:69" x14ac:dyDescent="0.2">
      <c r="BN20347" s="192"/>
      <c r="BO20347" s="197"/>
      <c r="BP20347" s="197"/>
      <c r="BQ20347" s="197"/>
    </row>
    <row r="20348" spans="66:69" x14ac:dyDescent="0.2">
      <c r="BN20348" s="192"/>
      <c r="BO20348" s="197"/>
      <c r="BP20348" s="197"/>
      <c r="BQ20348" s="197"/>
    </row>
    <row r="20349" spans="66:69" x14ac:dyDescent="0.2">
      <c r="BN20349" s="192"/>
      <c r="BO20349" s="197"/>
      <c r="BP20349" s="197"/>
      <c r="BQ20349" s="197"/>
    </row>
    <row r="20350" spans="66:69" x14ac:dyDescent="0.2">
      <c r="BN20350" s="192"/>
      <c r="BO20350" s="197"/>
      <c r="BP20350" s="197"/>
      <c r="BQ20350" s="197"/>
    </row>
    <row r="20351" spans="66:69" x14ac:dyDescent="0.2">
      <c r="BN20351" s="192"/>
      <c r="BO20351" s="197"/>
      <c r="BP20351" s="197"/>
      <c r="BQ20351" s="197"/>
    </row>
    <row r="20352" spans="66:69" x14ac:dyDescent="0.2">
      <c r="BN20352" s="192"/>
      <c r="BO20352" s="197"/>
      <c r="BP20352" s="197"/>
      <c r="BQ20352" s="197"/>
    </row>
    <row r="20353" spans="66:69" x14ac:dyDescent="0.2">
      <c r="BN20353" s="192"/>
      <c r="BO20353" s="197"/>
      <c r="BP20353" s="197"/>
      <c r="BQ20353" s="197"/>
    </row>
    <row r="20354" spans="66:69" x14ac:dyDescent="0.2">
      <c r="BN20354" s="192"/>
      <c r="BO20354" s="197"/>
      <c r="BP20354" s="197"/>
      <c r="BQ20354" s="197"/>
    </row>
    <row r="20355" spans="66:69" x14ac:dyDescent="0.2">
      <c r="BN20355" s="192"/>
      <c r="BO20355" s="197"/>
      <c r="BP20355" s="197"/>
      <c r="BQ20355" s="197"/>
    </row>
    <row r="20356" spans="66:69" x14ac:dyDescent="0.2">
      <c r="BN20356" s="192"/>
      <c r="BO20356" s="197"/>
      <c r="BP20356" s="197"/>
      <c r="BQ20356" s="197"/>
    </row>
    <row r="20357" spans="66:69" x14ac:dyDescent="0.2">
      <c r="BN20357" s="192"/>
      <c r="BO20357" s="197"/>
      <c r="BP20357" s="197"/>
      <c r="BQ20357" s="197"/>
    </row>
    <row r="20358" spans="66:69" x14ac:dyDescent="0.2">
      <c r="BN20358" s="192"/>
      <c r="BO20358" s="197"/>
      <c r="BP20358" s="197"/>
      <c r="BQ20358" s="197"/>
    </row>
    <row r="20359" spans="66:69" x14ac:dyDescent="0.2">
      <c r="BN20359" s="192"/>
      <c r="BO20359" s="197"/>
      <c r="BP20359" s="197"/>
      <c r="BQ20359" s="197"/>
    </row>
    <row r="20360" spans="66:69" x14ac:dyDescent="0.2">
      <c r="BN20360" s="192"/>
      <c r="BO20360" s="197"/>
      <c r="BP20360" s="197"/>
      <c r="BQ20360" s="197"/>
    </row>
    <row r="20361" spans="66:69" x14ac:dyDescent="0.2">
      <c r="BN20361" s="192"/>
      <c r="BO20361" s="197"/>
      <c r="BP20361" s="197"/>
      <c r="BQ20361" s="197"/>
    </row>
    <row r="20362" spans="66:69" x14ac:dyDescent="0.2">
      <c r="BN20362" s="192"/>
      <c r="BO20362" s="197"/>
      <c r="BP20362" s="197"/>
      <c r="BQ20362" s="197"/>
    </row>
    <row r="20363" spans="66:69" x14ac:dyDescent="0.2">
      <c r="BN20363" s="192"/>
      <c r="BO20363" s="197"/>
      <c r="BP20363" s="197"/>
      <c r="BQ20363" s="197"/>
    </row>
    <row r="20364" spans="66:69" x14ac:dyDescent="0.2">
      <c r="BN20364" s="192"/>
      <c r="BO20364" s="197"/>
      <c r="BP20364" s="197"/>
      <c r="BQ20364" s="197"/>
    </row>
    <row r="20365" spans="66:69" x14ac:dyDescent="0.2">
      <c r="BN20365" s="192"/>
      <c r="BO20365" s="197"/>
      <c r="BP20365" s="197"/>
      <c r="BQ20365" s="197"/>
    </row>
    <row r="20366" spans="66:69" x14ac:dyDescent="0.2">
      <c r="BN20366" s="192"/>
      <c r="BO20366" s="197"/>
      <c r="BP20366" s="197"/>
      <c r="BQ20366" s="197"/>
    </row>
    <row r="20367" spans="66:69" x14ac:dyDescent="0.2">
      <c r="BN20367" s="192"/>
      <c r="BO20367" s="197"/>
      <c r="BP20367" s="197"/>
      <c r="BQ20367" s="197"/>
    </row>
    <row r="20368" spans="66:69" x14ac:dyDescent="0.2">
      <c r="BN20368" s="192"/>
      <c r="BO20368" s="197"/>
      <c r="BP20368" s="197"/>
      <c r="BQ20368" s="197"/>
    </row>
    <row r="20369" spans="66:69" x14ac:dyDescent="0.2">
      <c r="BN20369" s="192"/>
      <c r="BO20369" s="197"/>
      <c r="BP20369" s="197"/>
      <c r="BQ20369" s="197"/>
    </row>
    <row r="20370" spans="66:69" x14ac:dyDescent="0.2">
      <c r="BN20370" s="192"/>
      <c r="BO20370" s="197"/>
      <c r="BP20370" s="197"/>
      <c r="BQ20370" s="197"/>
    </row>
    <row r="20371" spans="66:69" x14ac:dyDescent="0.2">
      <c r="BN20371" s="192"/>
      <c r="BO20371" s="197"/>
      <c r="BP20371" s="197"/>
      <c r="BQ20371" s="197"/>
    </row>
    <row r="20372" spans="66:69" x14ac:dyDescent="0.2">
      <c r="BN20372" s="192"/>
      <c r="BO20372" s="197"/>
      <c r="BP20372" s="197"/>
      <c r="BQ20372" s="197"/>
    </row>
    <row r="20373" spans="66:69" x14ac:dyDescent="0.2">
      <c r="BN20373" s="192"/>
      <c r="BO20373" s="197"/>
      <c r="BP20373" s="197"/>
      <c r="BQ20373" s="197"/>
    </row>
    <row r="20374" spans="66:69" x14ac:dyDescent="0.2">
      <c r="BN20374" s="192"/>
      <c r="BO20374" s="197"/>
      <c r="BP20374" s="197"/>
      <c r="BQ20374" s="197"/>
    </row>
    <row r="20375" spans="66:69" x14ac:dyDescent="0.2">
      <c r="BN20375" s="192"/>
      <c r="BO20375" s="197"/>
      <c r="BP20375" s="197"/>
      <c r="BQ20375" s="197"/>
    </row>
    <row r="20376" spans="66:69" x14ac:dyDescent="0.2">
      <c r="BN20376" s="192"/>
      <c r="BO20376" s="197"/>
      <c r="BP20376" s="197"/>
      <c r="BQ20376" s="197"/>
    </row>
    <row r="20377" spans="66:69" x14ac:dyDescent="0.2">
      <c r="BN20377" s="192"/>
      <c r="BO20377" s="197"/>
      <c r="BP20377" s="197"/>
      <c r="BQ20377" s="197"/>
    </row>
    <row r="20378" spans="66:69" x14ac:dyDescent="0.2">
      <c r="BN20378" s="192"/>
      <c r="BO20378" s="197"/>
      <c r="BP20378" s="197"/>
      <c r="BQ20378" s="197"/>
    </row>
    <row r="20379" spans="66:69" x14ac:dyDescent="0.2">
      <c r="BN20379" s="192"/>
      <c r="BO20379" s="197"/>
      <c r="BP20379" s="197"/>
      <c r="BQ20379" s="197"/>
    </row>
    <row r="20380" spans="66:69" x14ac:dyDescent="0.2">
      <c r="BN20380" s="192"/>
      <c r="BO20380" s="197"/>
      <c r="BP20380" s="197"/>
      <c r="BQ20380" s="197"/>
    </row>
    <row r="20381" spans="66:69" x14ac:dyDescent="0.2">
      <c r="BN20381" s="192"/>
      <c r="BO20381" s="197"/>
      <c r="BP20381" s="197"/>
      <c r="BQ20381" s="197"/>
    </row>
    <row r="20382" spans="66:69" x14ac:dyDescent="0.2">
      <c r="BN20382" s="192"/>
      <c r="BO20382" s="197"/>
      <c r="BP20382" s="197"/>
      <c r="BQ20382" s="197"/>
    </row>
    <row r="20383" spans="66:69" x14ac:dyDescent="0.2">
      <c r="BN20383" s="192"/>
      <c r="BO20383" s="197"/>
      <c r="BP20383" s="197"/>
      <c r="BQ20383" s="197"/>
    </row>
    <row r="20384" spans="66:69" x14ac:dyDescent="0.2">
      <c r="BN20384" s="192"/>
      <c r="BO20384" s="197"/>
      <c r="BP20384" s="197"/>
      <c r="BQ20384" s="197"/>
    </row>
    <row r="20385" spans="66:69" x14ac:dyDescent="0.2">
      <c r="BN20385" s="192"/>
      <c r="BO20385" s="197"/>
      <c r="BP20385" s="197"/>
      <c r="BQ20385" s="197"/>
    </row>
    <row r="20386" spans="66:69" x14ac:dyDescent="0.2">
      <c r="BN20386" s="192"/>
      <c r="BO20386" s="197"/>
      <c r="BP20386" s="197"/>
      <c r="BQ20386" s="197"/>
    </row>
    <row r="20387" spans="66:69" x14ac:dyDescent="0.2">
      <c r="BN20387" s="192"/>
      <c r="BO20387" s="197"/>
      <c r="BP20387" s="197"/>
      <c r="BQ20387" s="197"/>
    </row>
    <row r="20388" spans="66:69" x14ac:dyDescent="0.2">
      <c r="BN20388" s="192"/>
      <c r="BO20388" s="197"/>
      <c r="BP20388" s="197"/>
      <c r="BQ20388" s="197"/>
    </row>
    <row r="20389" spans="66:69" x14ac:dyDescent="0.2">
      <c r="BN20389" s="192"/>
      <c r="BO20389" s="197"/>
      <c r="BP20389" s="197"/>
      <c r="BQ20389" s="197"/>
    </row>
    <row r="20390" spans="66:69" x14ac:dyDescent="0.2">
      <c r="BN20390" s="192"/>
      <c r="BO20390" s="197"/>
      <c r="BP20390" s="197"/>
      <c r="BQ20390" s="197"/>
    </row>
    <row r="20391" spans="66:69" x14ac:dyDescent="0.2">
      <c r="BN20391" s="192"/>
      <c r="BO20391" s="197"/>
      <c r="BP20391" s="197"/>
      <c r="BQ20391" s="197"/>
    </row>
    <row r="20392" spans="66:69" x14ac:dyDescent="0.2">
      <c r="BN20392" s="192"/>
      <c r="BO20392" s="197"/>
      <c r="BP20392" s="197"/>
      <c r="BQ20392" s="197"/>
    </row>
    <row r="20393" spans="66:69" x14ac:dyDescent="0.2">
      <c r="BN20393" s="192"/>
      <c r="BO20393" s="197"/>
      <c r="BP20393" s="197"/>
      <c r="BQ20393" s="197"/>
    </row>
    <row r="20394" spans="66:69" x14ac:dyDescent="0.2">
      <c r="BN20394" s="192"/>
      <c r="BO20394" s="197"/>
      <c r="BP20394" s="197"/>
      <c r="BQ20394" s="197"/>
    </row>
    <row r="20395" spans="66:69" x14ac:dyDescent="0.2">
      <c r="BN20395" s="192"/>
      <c r="BO20395" s="197"/>
      <c r="BP20395" s="197"/>
      <c r="BQ20395" s="197"/>
    </row>
    <row r="20396" spans="66:69" x14ac:dyDescent="0.2">
      <c r="BN20396" s="192"/>
      <c r="BO20396" s="197"/>
      <c r="BP20396" s="197"/>
      <c r="BQ20396" s="197"/>
    </row>
    <row r="20397" spans="66:69" x14ac:dyDescent="0.2">
      <c r="BN20397" s="192"/>
      <c r="BO20397" s="197"/>
      <c r="BP20397" s="197"/>
      <c r="BQ20397" s="197"/>
    </row>
    <row r="20398" spans="66:69" x14ac:dyDescent="0.2">
      <c r="BN20398" s="192"/>
      <c r="BO20398" s="197"/>
      <c r="BP20398" s="197"/>
      <c r="BQ20398" s="197"/>
    </row>
    <row r="20399" spans="66:69" x14ac:dyDescent="0.2">
      <c r="BN20399" s="192"/>
      <c r="BO20399" s="197"/>
      <c r="BP20399" s="197"/>
      <c r="BQ20399" s="197"/>
    </row>
    <row r="20400" spans="66:69" x14ac:dyDescent="0.2">
      <c r="BN20400" s="192"/>
      <c r="BO20400" s="197"/>
      <c r="BP20400" s="197"/>
      <c r="BQ20400" s="197"/>
    </row>
    <row r="20401" spans="66:69" x14ac:dyDescent="0.2">
      <c r="BN20401" s="192"/>
      <c r="BO20401" s="197"/>
      <c r="BP20401" s="197"/>
      <c r="BQ20401" s="197"/>
    </row>
    <row r="20402" spans="66:69" x14ac:dyDescent="0.2">
      <c r="BN20402" s="192"/>
      <c r="BO20402" s="197"/>
      <c r="BP20402" s="197"/>
      <c r="BQ20402" s="197"/>
    </row>
    <row r="20403" spans="66:69" x14ac:dyDescent="0.2">
      <c r="BN20403" s="192"/>
      <c r="BO20403" s="197"/>
      <c r="BP20403" s="197"/>
      <c r="BQ20403" s="197"/>
    </row>
    <row r="20404" spans="66:69" x14ac:dyDescent="0.2">
      <c r="BN20404" s="192"/>
      <c r="BO20404" s="197"/>
      <c r="BP20404" s="197"/>
      <c r="BQ20404" s="197"/>
    </row>
    <row r="20405" spans="66:69" x14ac:dyDescent="0.2">
      <c r="BN20405" s="192"/>
      <c r="BO20405" s="197"/>
      <c r="BP20405" s="197"/>
      <c r="BQ20405" s="197"/>
    </row>
    <row r="20406" spans="66:69" x14ac:dyDescent="0.2">
      <c r="BN20406" s="192"/>
      <c r="BO20406" s="197"/>
      <c r="BP20406" s="197"/>
      <c r="BQ20406" s="197"/>
    </row>
    <row r="20407" spans="66:69" x14ac:dyDescent="0.2">
      <c r="BN20407" s="192"/>
      <c r="BO20407" s="197"/>
      <c r="BP20407" s="197"/>
      <c r="BQ20407" s="197"/>
    </row>
    <row r="20408" spans="66:69" x14ac:dyDescent="0.2">
      <c r="BN20408" s="192"/>
      <c r="BO20408" s="197"/>
      <c r="BP20408" s="197"/>
      <c r="BQ20408" s="197"/>
    </row>
    <row r="20409" spans="66:69" x14ac:dyDescent="0.2">
      <c r="BN20409" s="192"/>
      <c r="BO20409" s="197"/>
      <c r="BP20409" s="197"/>
      <c r="BQ20409" s="197"/>
    </row>
    <row r="20410" spans="66:69" x14ac:dyDescent="0.2">
      <c r="BN20410" s="192"/>
      <c r="BO20410" s="197"/>
      <c r="BP20410" s="197"/>
      <c r="BQ20410" s="197"/>
    </row>
    <row r="20411" spans="66:69" x14ac:dyDescent="0.2">
      <c r="BN20411" s="192"/>
      <c r="BO20411" s="197"/>
      <c r="BP20411" s="197"/>
      <c r="BQ20411" s="197"/>
    </row>
    <row r="20412" spans="66:69" x14ac:dyDescent="0.2">
      <c r="BN20412" s="192"/>
      <c r="BO20412" s="197"/>
      <c r="BP20412" s="197"/>
      <c r="BQ20412" s="197"/>
    </row>
    <row r="20413" spans="66:69" x14ac:dyDescent="0.2">
      <c r="BN20413" s="192"/>
      <c r="BO20413" s="197"/>
      <c r="BP20413" s="197"/>
      <c r="BQ20413" s="197"/>
    </row>
    <row r="20414" spans="66:69" x14ac:dyDescent="0.2">
      <c r="BN20414" s="192"/>
      <c r="BO20414" s="197"/>
      <c r="BP20414" s="197"/>
      <c r="BQ20414" s="197"/>
    </row>
    <row r="20415" spans="66:69" x14ac:dyDescent="0.2">
      <c r="BN20415" s="192"/>
      <c r="BO20415" s="197"/>
      <c r="BP20415" s="197"/>
      <c r="BQ20415" s="197"/>
    </row>
    <row r="20416" spans="66:69" x14ac:dyDescent="0.2">
      <c r="BN20416" s="192"/>
      <c r="BO20416" s="197"/>
      <c r="BP20416" s="197"/>
      <c r="BQ20416" s="197"/>
    </row>
    <row r="20417" spans="66:69" x14ac:dyDescent="0.2">
      <c r="BN20417" s="192"/>
      <c r="BO20417" s="197"/>
      <c r="BP20417" s="197"/>
      <c r="BQ20417" s="197"/>
    </row>
    <row r="20418" spans="66:69" x14ac:dyDescent="0.2">
      <c r="BN20418" s="192"/>
      <c r="BO20418" s="197"/>
      <c r="BP20418" s="197"/>
      <c r="BQ20418" s="197"/>
    </row>
    <row r="20419" spans="66:69" x14ac:dyDescent="0.2">
      <c r="BN20419" s="192"/>
      <c r="BO20419" s="197"/>
      <c r="BP20419" s="197"/>
      <c r="BQ20419" s="197"/>
    </row>
    <row r="20420" spans="66:69" x14ac:dyDescent="0.2">
      <c r="BN20420" s="192"/>
      <c r="BO20420" s="197"/>
      <c r="BP20420" s="197"/>
      <c r="BQ20420" s="197"/>
    </row>
    <row r="20421" spans="66:69" x14ac:dyDescent="0.2">
      <c r="BN20421" s="192"/>
      <c r="BO20421" s="197"/>
      <c r="BP20421" s="197"/>
      <c r="BQ20421" s="197"/>
    </row>
    <row r="20422" spans="66:69" x14ac:dyDescent="0.2">
      <c r="BN20422" s="192"/>
      <c r="BO20422" s="197"/>
      <c r="BP20422" s="197"/>
      <c r="BQ20422" s="197"/>
    </row>
    <row r="20423" spans="66:69" x14ac:dyDescent="0.2">
      <c r="BN20423" s="192"/>
      <c r="BO20423" s="197"/>
      <c r="BP20423" s="197"/>
      <c r="BQ20423" s="197"/>
    </row>
    <row r="20424" spans="66:69" x14ac:dyDescent="0.2">
      <c r="BN20424" s="192"/>
      <c r="BO20424" s="197"/>
      <c r="BP20424" s="197"/>
      <c r="BQ20424" s="197"/>
    </row>
    <row r="20425" spans="66:69" x14ac:dyDescent="0.2">
      <c r="BN20425" s="192"/>
      <c r="BO20425" s="197"/>
      <c r="BP20425" s="197"/>
      <c r="BQ20425" s="197"/>
    </row>
    <row r="20426" spans="66:69" x14ac:dyDescent="0.2">
      <c r="BN20426" s="192"/>
      <c r="BO20426" s="197"/>
      <c r="BP20426" s="197"/>
      <c r="BQ20426" s="197"/>
    </row>
    <row r="20427" spans="66:69" x14ac:dyDescent="0.2">
      <c r="BN20427" s="192"/>
      <c r="BO20427" s="197"/>
      <c r="BP20427" s="197"/>
      <c r="BQ20427" s="197"/>
    </row>
    <row r="20428" spans="66:69" x14ac:dyDescent="0.2">
      <c r="BN20428" s="192"/>
      <c r="BO20428" s="197"/>
      <c r="BP20428" s="197"/>
      <c r="BQ20428" s="197"/>
    </row>
    <row r="20429" spans="66:69" x14ac:dyDescent="0.2">
      <c r="BN20429" s="192"/>
      <c r="BO20429" s="197"/>
      <c r="BP20429" s="197"/>
      <c r="BQ20429" s="197"/>
    </row>
    <row r="20430" spans="66:69" x14ac:dyDescent="0.2">
      <c r="BN20430" s="192"/>
      <c r="BO20430" s="197"/>
      <c r="BP20430" s="197"/>
      <c r="BQ20430" s="197"/>
    </row>
    <row r="20431" spans="66:69" x14ac:dyDescent="0.2">
      <c r="BN20431" s="192"/>
      <c r="BO20431" s="197"/>
      <c r="BP20431" s="197"/>
      <c r="BQ20431" s="197"/>
    </row>
    <row r="20432" spans="66:69" x14ac:dyDescent="0.2">
      <c r="BN20432" s="192"/>
      <c r="BO20432" s="197"/>
      <c r="BP20432" s="197"/>
      <c r="BQ20432" s="197"/>
    </row>
    <row r="20433" spans="66:69" x14ac:dyDescent="0.2">
      <c r="BN20433" s="192"/>
      <c r="BO20433" s="197"/>
      <c r="BP20433" s="197"/>
      <c r="BQ20433" s="197"/>
    </row>
    <row r="20434" spans="66:69" x14ac:dyDescent="0.2">
      <c r="BN20434" s="192"/>
      <c r="BO20434" s="197"/>
      <c r="BP20434" s="197"/>
      <c r="BQ20434" s="197"/>
    </row>
    <row r="20435" spans="66:69" x14ac:dyDescent="0.2">
      <c r="BN20435" s="192"/>
      <c r="BO20435" s="197"/>
      <c r="BP20435" s="197"/>
      <c r="BQ20435" s="197"/>
    </row>
    <row r="20436" spans="66:69" x14ac:dyDescent="0.2">
      <c r="BN20436" s="192"/>
      <c r="BO20436" s="197"/>
      <c r="BP20436" s="197"/>
      <c r="BQ20436" s="197"/>
    </row>
    <row r="20437" spans="66:69" x14ac:dyDescent="0.2">
      <c r="BN20437" s="192"/>
      <c r="BO20437" s="197"/>
      <c r="BP20437" s="197"/>
      <c r="BQ20437" s="197"/>
    </row>
    <row r="20438" spans="66:69" x14ac:dyDescent="0.2">
      <c r="BN20438" s="192"/>
      <c r="BO20438" s="197"/>
      <c r="BP20438" s="197"/>
      <c r="BQ20438" s="197"/>
    </row>
    <row r="20439" spans="66:69" x14ac:dyDescent="0.2">
      <c r="BN20439" s="192"/>
      <c r="BO20439" s="197"/>
      <c r="BP20439" s="197"/>
      <c r="BQ20439" s="197"/>
    </row>
    <row r="20440" spans="66:69" x14ac:dyDescent="0.2">
      <c r="BN20440" s="192"/>
      <c r="BO20440" s="197"/>
      <c r="BP20440" s="197"/>
      <c r="BQ20440" s="197"/>
    </row>
    <row r="20441" spans="66:69" x14ac:dyDescent="0.2">
      <c r="BN20441" s="192"/>
      <c r="BO20441" s="197"/>
      <c r="BP20441" s="197"/>
      <c r="BQ20441" s="197"/>
    </row>
    <row r="20442" spans="66:69" x14ac:dyDescent="0.2">
      <c r="BN20442" s="192"/>
      <c r="BO20442" s="197"/>
      <c r="BP20442" s="197"/>
      <c r="BQ20442" s="197"/>
    </row>
    <row r="20443" spans="66:69" x14ac:dyDescent="0.2">
      <c r="BN20443" s="192"/>
      <c r="BO20443" s="197"/>
      <c r="BP20443" s="197"/>
      <c r="BQ20443" s="197"/>
    </row>
    <row r="20444" spans="66:69" x14ac:dyDescent="0.2">
      <c r="BN20444" s="192"/>
      <c r="BO20444" s="197"/>
      <c r="BP20444" s="197"/>
      <c r="BQ20444" s="197"/>
    </row>
    <row r="20445" spans="66:69" x14ac:dyDescent="0.2">
      <c r="BN20445" s="192"/>
      <c r="BO20445" s="197"/>
      <c r="BP20445" s="197"/>
      <c r="BQ20445" s="197"/>
    </row>
    <row r="20446" spans="66:69" x14ac:dyDescent="0.2">
      <c r="BN20446" s="192"/>
      <c r="BO20446" s="197"/>
      <c r="BP20446" s="197"/>
      <c r="BQ20446" s="197"/>
    </row>
    <row r="20447" spans="66:69" x14ac:dyDescent="0.2">
      <c r="BN20447" s="192"/>
      <c r="BO20447" s="197"/>
      <c r="BP20447" s="197"/>
      <c r="BQ20447" s="197"/>
    </row>
    <row r="20448" spans="66:69" x14ac:dyDescent="0.2">
      <c r="BN20448" s="192"/>
      <c r="BO20448" s="197"/>
      <c r="BP20448" s="197"/>
      <c r="BQ20448" s="197"/>
    </row>
    <row r="20449" spans="66:69" x14ac:dyDescent="0.2">
      <c r="BN20449" s="192"/>
      <c r="BO20449" s="197"/>
      <c r="BP20449" s="197"/>
      <c r="BQ20449" s="197"/>
    </row>
    <row r="20450" spans="66:69" x14ac:dyDescent="0.2">
      <c r="BN20450" s="192"/>
      <c r="BO20450" s="197"/>
      <c r="BP20450" s="197"/>
      <c r="BQ20450" s="197"/>
    </row>
    <row r="20451" spans="66:69" x14ac:dyDescent="0.2">
      <c r="BN20451" s="192"/>
      <c r="BO20451" s="197"/>
      <c r="BP20451" s="197"/>
      <c r="BQ20451" s="197"/>
    </row>
    <row r="20452" spans="66:69" x14ac:dyDescent="0.2">
      <c r="BN20452" s="192"/>
      <c r="BO20452" s="197"/>
      <c r="BP20452" s="197"/>
      <c r="BQ20452" s="197"/>
    </row>
    <row r="20453" spans="66:69" x14ac:dyDescent="0.2">
      <c r="BN20453" s="192"/>
      <c r="BO20453" s="197"/>
      <c r="BP20453" s="197"/>
      <c r="BQ20453" s="197"/>
    </row>
    <row r="20454" spans="66:69" x14ac:dyDescent="0.2">
      <c r="BN20454" s="192"/>
      <c r="BO20454" s="197"/>
      <c r="BP20454" s="197"/>
      <c r="BQ20454" s="197"/>
    </row>
    <row r="20455" spans="66:69" x14ac:dyDescent="0.2">
      <c r="BN20455" s="192"/>
      <c r="BO20455" s="197"/>
      <c r="BP20455" s="197"/>
      <c r="BQ20455" s="197"/>
    </row>
    <row r="20456" spans="66:69" x14ac:dyDescent="0.2">
      <c r="BN20456" s="192"/>
      <c r="BO20456" s="197"/>
      <c r="BP20456" s="197"/>
      <c r="BQ20456" s="197"/>
    </row>
    <row r="20457" spans="66:69" x14ac:dyDescent="0.2">
      <c r="BN20457" s="192"/>
      <c r="BO20457" s="197"/>
      <c r="BP20457" s="197"/>
      <c r="BQ20457" s="197"/>
    </row>
    <row r="20458" spans="66:69" x14ac:dyDescent="0.2">
      <c r="BN20458" s="192"/>
      <c r="BO20458" s="197"/>
      <c r="BP20458" s="197"/>
      <c r="BQ20458" s="197"/>
    </row>
    <row r="20459" spans="66:69" x14ac:dyDescent="0.2">
      <c r="BN20459" s="192"/>
      <c r="BO20459" s="197"/>
      <c r="BP20459" s="197"/>
      <c r="BQ20459" s="197"/>
    </row>
    <row r="20460" spans="66:69" x14ac:dyDescent="0.2">
      <c r="BN20460" s="192"/>
      <c r="BO20460" s="197"/>
      <c r="BP20460" s="197"/>
      <c r="BQ20460" s="197"/>
    </row>
    <row r="20461" spans="66:69" x14ac:dyDescent="0.2">
      <c r="BN20461" s="192"/>
      <c r="BO20461" s="197"/>
      <c r="BP20461" s="197"/>
      <c r="BQ20461" s="197"/>
    </row>
    <row r="20462" spans="66:69" x14ac:dyDescent="0.2">
      <c r="BN20462" s="192"/>
      <c r="BO20462" s="197"/>
      <c r="BP20462" s="197"/>
      <c r="BQ20462" s="197"/>
    </row>
    <row r="20463" spans="66:69" x14ac:dyDescent="0.2">
      <c r="BN20463" s="192"/>
      <c r="BO20463" s="197"/>
      <c r="BP20463" s="197"/>
      <c r="BQ20463" s="197"/>
    </row>
    <row r="20464" spans="66:69" x14ac:dyDescent="0.2">
      <c r="BN20464" s="192"/>
      <c r="BO20464" s="197"/>
      <c r="BP20464" s="197"/>
      <c r="BQ20464" s="197"/>
    </row>
    <row r="20465" spans="66:69" x14ac:dyDescent="0.2">
      <c r="BN20465" s="192"/>
      <c r="BO20465" s="197"/>
      <c r="BP20465" s="197"/>
      <c r="BQ20465" s="197"/>
    </row>
    <row r="20466" spans="66:69" x14ac:dyDescent="0.2">
      <c r="BN20466" s="192"/>
      <c r="BO20466" s="197"/>
      <c r="BP20466" s="197"/>
      <c r="BQ20466" s="197"/>
    </row>
    <row r="20467" spans="66:69" x14ac:dyDescent="0.2">
      <c r="BN20467" s="192"/>
      <c r="BO20467" s="197"/>
      <c r="BP20467" s="197"/>
      <c r="BQ20467" s="197"/>
    </row>
    <row r="20468" spans="66:69" x14ac:dyDescent="0.2">
      <c r="BN20468" s="192"/>
      <c r="BO20468" s="197"/>
      <c r="BP20468" s="197"/>
      <c r="BQ20468" s="197"/>
    </row>
    <row r="20469" spans="66:69" x14ac:dyDescent="0.2">
      <c r="BN20469" s="192"/>
      <c r="BO20469" s="197"/>
      <c r="BP20469" s="197"/>
      <c r="BQ20469" s="197"/>
    </row>
    <row r="20470" spans="66:69" x14ac:dyDescent="0.2">
      <c r="BN20470" s="192"/>
      <c r="BO20470" s="197"/>
      <c r="BP20470" s="197"/>
      <c r="BQ20470" s="197"/>
    </row>
    <row r="20471" spans="66:69" x14ac:dyDescent="0.2">
      <c r="BN20471" s="192"/>
      <c r="BO20471" s="197"/>
      <c r="BP20471" s="197"/>
      <c r="BQ20471" s="197"/>
    </row>
    <row r="20472" spans="66:69" x14ac:dyDescent="0.2">
      <c r="BN20472" s="192"/>
      <c r="BO20472" s="197"/>
      <c r="BP20472" s="197"/>
      <c r="BQ20472" s="197"/>
    </row>
    <row r="20473" spans="66:69" x14ac:dyDescent="0.2">
      <c r="BN20473" s="192"/>
      <c r="BO20473" s="197"/>
      <c r="BP20473" s="197"/>
      <c r="BQ20473" s="197"/>
    </row>
    <row r="20474" spans="66:69" x14ac:dyDescent="0.2">
      <c r="BN20474" s="192"/>
      <c r="BO20474" s="197"/>
      <c r="BP20474" s="197"/>
      <c r="BQ20474" s="197"/>
    </row>
    <row r="20475" spans="66:69" x14ac:dyDescent="0.2">
      <c r="BN20475" s="192"/>
      <c r="BO20475" s="197"/>
      <c r="BP20475" s="197"/>
      <c r="BQ20475" s="197"/>
    </row>
    <row r="20476" spans="66:69" x14ac:dyDescent="0.2">
      <c r="BN20476" s="192"/>
      <c r="BO20476" s="197"/>
      <c r="BP20476" s="197"/>
      <c r="BQ20476" s="197"/>
    </row>
    <row r="20477" spans="66:69" x14ac:dyDescent="0.2">
      <c r="BN20477" s="192"/>
      <c r="BO20477" s="197"/>
      <c r="BP20477" s="197"/>
      <c r="BQ20477" s="197"/>
    </row>
    <row r="20478" spans="66:69" x14ac:dyDescent="0.2">
      <c r="BN20478" s="192"/>
      <c r="BO20478" s="197"/>
      <c r="BP20478" s="197"/>
      <c r="BQ20478" s="197"/>
    </row>
    <row r="20479" spans="66:69" x14ac:dyDescent="0.2">
      <c r="BN20479" s="192"/>
      <c r="BO20479" s="197"/>
      <c r="BP20479" s="197"/>
      <c r="BQ20479" s="197"/>
    </row>
    <row r="20480" spans="66:69" x14ac:dyDescent="0.2">
      <c r="BN20480" s="192"/>
      <c r="BO20480" s="197"/>
      <c r="BP20480" s="197"/>
      <c r="BQ20480" s="197"/>
    </row>
    <row r="20481" spans="66:69" x14ac:dyDescent="0.2">
      <c r="BN20481" s="192"/>
      <c r="BO20481" s="197"/>
      <c r="BP20481" s="197"/>
      <c r="BQ20481" s="197"/>
    </row>
    <row r="20482" spans="66:69" x14ac:dyDescent="0.2">
      <c r="BN20482" s="192"/>
      <c r="BO20482" s="197"/>
      <c r="BP20482" s="197"/>
      <c r="BQ20482" s="197"/>
    </row>
    <row r="20483" spans="66:69" x14ac:dyDescent="0.2">
      <c r="BN20483" s="192"/>
      <c r="BO20483" s="197"/>
      <c r="BP20483" s="197"/>
      <c r="BQ20483" s="197"/>
    </row>
    <row r="20484" spans="66:69" x14ac:dyDescent="0.2">
      <c r="BN20484" s="192"/>
      <c r="BO20484" s="197"/>
      <c r="BP20484" s="197"/>
      <c r="BQ20484" s="197"/>
    </row>
    <row r="20485" spans="66:69" x14ac:dyDescent="0.2">
      <c r="BN20485" s="192"/>
      <c r="BO20485" s="197"/>
      <c r="BP20485" s="197"/>
      <c r="BQ20485" s="197"/>
    </row>
    <row r="20486" spans="66:69" x14ac:dyDescent="0.2">
      <c r="BN20486" s="192"/>
      <c r="BO20486" s="197"/>
      <c r="BP20486" s="197"/>
      <c r="BQ20486" s="197"/>
    </row>
    <row r="20487" spans="66:69" x14ac:dyDescent="0.2">
      <c r="BN20487" s="192"/>
      <c r="BO20487" s="197"/>
      <c r="BP20487" s="197"/>
      <c r="BQ20487" s="197"/>
    </row>
    <row r="20488" spans="66:69" x14ac:dyDescent="0.2">
      <c r="BN20488" s="192"/>
      <c r="BO20488" s="197"/>
      <c r="BP20488" s="197"/>
      <c r="BQ20488" s="197"/>
    </row>
    <row r="20489" spans="66:69" x14ac:dyDescent="0.2">
      <c r="BN20489" s="192"/>
      <c r="BO20489" s="197"/>
      <c r="BP20489" s="197"/>
      <c r="BQ20489" s="197"/>
    </row>
    <row r="20490" spans="66:69" x14ac:dyDescent="0.2">
      <c r="BN20490" s="192"/>
      <c r="BO20490" s="197"/>
      <c r="BP20490" s="197"/>
      <c r="BQ20490" s="197"/>
    </row>
    <row r="20491" spans="66:69" x14ac:dyDescent="0.2">
      <c r="BN20491" s="192"/>
      <c r="BO20491" s="197"/>
      <c r="BP20491" s="197"/>
      <c r="BQ20491" s="197"/>
    </row>
    <row r="20492" spans="66:69" x14ac:dyDescent="0.2">
      <c r="BN20492" s="192"/>
      <c r="BO20492" s="197"/>
      <c r="BP20492" s="197"/>
      <c r="BQ20492" s="197"/>
    </row>
    <row r="20493" spans="66:69" x14ac:dyDescent="0.2">
      <c r="BN20493" s="192"/>
      <c r="BO20493" s="197"/>
      <c r="BP20493" s="197"/>
      <c r="BQ20493" s="197"/>
    </row>
    <row r="20494" spans="66:69" x14ac:dyDescent="0.2">
      <c r="BN20494" s="192"/>
      <c r="BO20494" s="197"/>
      <c r="BP20494" s="197"/>
      <c r="BQ20494" s="197"/>
    </row>
    <row r="20495" spans="66:69" x14ac:dyDescent="0.2">
      <c r="BN20495" s="192"/>
      <c r="BO20495" s="197"/>
      <c r="BP20495" s="197"/>
      <c r="BQ20495" s="197"/>
    </row>
    <row r="20496" spans="66:69" x14ac:dyDescent="0.2">
      <c r="BN20496" s="192"/>
      <c r="BO20496" s="197"/>
      <c r="BP20496" s="197"/>
      <c r="BQ20496" s="197"/>
    </row>
    <row r="20497" spans="66:69" x14ac:dyDescent="0.2">
      <c r="BN20497" s="192"/>
      <c r="BO20497" s="197"/>
      <c r="BP20497" s="197"/>
      <c r="BQ20497" s="197"/>
    </row>
    <row r="20498" spans="66:69" x14ac:dyDescent="0.2">
      <c r="BN20498" s="192"/>
      <c r="BO20498" s="197"/>
      <c r="BP20498" s="197"/>
      <c r="BQ20498" s="197"/>
    </row>
    <row r="20499" spans="66:69" x14ac:dyDescent="0.2">
      <c r="BN20499" s="192"/>
      <c r="BO20499" s="197"/>
      <c r="BP20499" s="197"/>
      <c r="BQ20499" s="197"/>
    </row>
    <row r="20500" spans="66:69" x14ac:dyDescent="0.2">
      <c r="BN20500" s="192"/>
      <c r="BO20500" s="197"/>
      <c r="BP20500" s="197"/>
      <c r="BQ20500" s="197"/>
    </row>
    <row r="20501" spans="66:69" x14ac:dyDescent="0.2">
      <c r="BN20501" s="192"/>
      <c r="BO20501" s="197"/>
      <c r="BP20501" s="197"/>
      <c r="BQ20501" s="197"/>
    </row>
    <row r="20502" spans="66:69" x14ac:dyDescent="0.2">
      <c r="BN20502" s="192"/>
      <c r="BO20502" s="197"/>
      <c r="BP20502" s="197"/>
      <c r="BQ20502" s="197"/>
    </row>
    <row r="20503" spans="66:69" x14ac:dyDescent="0.2">
      <c r="BN20503" s="192"/>
      <c r="BO20503" s="197"/>
      <c r="BP20503" s="197"/>
      <c r="BQ20503" s="197"/>
    </row>
    <row r="20504" spans="66:69" x14ac:dyDescent="0.2">
      <c r="BN20504" s="192"/>
      <c r="BO20504" s="197"/>
      <c r="BP20504" s="197"/>
      <c r="BQ20504" s="197"/>
    </row>
    <row r="20505" spans="66:69" x14ac:dyDescent="0.2">
      <c r="BN20505" s="192"/>
      <c r="BO20505" s="197"/>
      <c r="BP20505" s="197"/>
      <c r="BQ20505" s="197"/>
    </row>
    <row r="20506" spans="66:69" x14ac:dyDescent="0.2">
      <c r="BN20506" s="192"/>
      <c r="BO20506" s="197"/>
      <c r="BP20506" s="197"/>
      <c r="BQ20506" s="197"/>
    </row>
    <row r="20507" spans="66:69" x14ac:dyDescent="0.2">
      <c r="BN20507" s="192"/>
      <c r="BO20507" s="197"/>
      <c r="BP20507" s="197"/>
      <c r="BQ20507" s="197"/>
    </row>
    <row r="20508" spans="66:69" x14ac:dyDescent="0.2">
      <c r="BN20508" s="192"/>
      <c r="BO20508" s="197"/>
      <c r="BP20508" s="197"/>
      <c r="BQ20508" s="197"/>
    </row>
    <row r="20509" spans="66:69" x14ac:dyDescent="0.2">
      <c r="BN20509" s="192"/>
      <c r="BO20509" s="197"/>
      <c r="BP20509" s="197"/>
      <c r="BQ20509" s="197"/>
    </row>
    <row r="20510" spans="66:69" x14ac:dyDescent="0.2">
      <c r="BN20510" s="192"/>
      <c r="BO20510" s="197"/>
      <c r="BP20510" s="197"/>
      <c r="BQ20510" s="197"/>
    </row>
    <row r="20511" spans="66:69" x14ac:dyDescent="0.2">
      <c r="BN20511" s="192"/>
      <c r="BO20511" s="197"/>
      <c r="BP20511" s="197"/>
      <c r="BQ20511" s="197"/>
    </row>
    <row r="20512" spans="66:69" x14ac:dyDescent="0.2">
      <c r="BN20512" s="192"/>
      <c r="BO20512" s="197"/>
      <c r="BP20512" s="197"/>
      <c r="BQ20512" s="197"/>
    </row>
    <row r="20513" spans="66:69" x14ac:dyDescent="0.2">
      <c r="BN20513" s="192"/>
      <c r="BO20513" s="197"/>
      <c r="BP20513" s="197"/>
      <c r="BQ20513" s="197"/>
    </row>
    <row r="20514" spans="66:69" x14ac:dyDescent="0.2">
      <c r="BN20514" s="192"/>
      <c r="BO20514" s="197"/>
      <c r="BP20514" s="197"/>
      <c r="BQ20514" s="197"/>
    </row>
    <row r="20515" spans="66:69" x14ac:dyDescent="0.2">
      <c r="BN20515" s="192"/>
      <c r="BO20515" s="197"/>
      <c r="BP20515" s="197"/>
      <c r="BQ20515" s="197"/>
    </row>
    <row r="20516" spans="66:69" x14ac:dyDescent="0.2">
      <c r="BN20516" s="192"/>
      <c r="BO20516" s="197"/>
      <c r="BP20516" s="197"/>
      <c r="BQ20516" s="197"/>
    </row>
    <row r="20517" spans="66:69" x14ac:dyDescent="0.2">
      <c r="BN20517" s="192"/>
      <c r="BO20517" s="197"/>
      <c r="BP20517" s="197"/>
      <c r="BQ20517" s="197"/>
    </row>
    <row r="20518" spans="66:69" x14ac:dyDescent="0.2">
      <c r="BN20518" s="192"/>
      <c r="BO20518" s="197"/>
      <c r="BP20518" s="197"/>
      <c r="BQ20518" s="197"/>
    </row>
    <row r="20519" spans="66:69" x14ac:dyDescent="0.2">
      <c r="BN20519" s="192"/>
      <c r="BO20519" s="197"/>
      <c r="BP20519" s="197"/>
      <c r="BQ20519" s="197"/>
    </row>
    <row r="20520" spans="66:69" x14ac:dyDescent="0.2">
      <c r="BN20520" s="192"/>
      <c r="BO20520" s="197"/>
      <c r="BP20520" s="197"/>
      <c r="BQ20520" s="197"/>
    </row>
    <row r="20521" spans="66:69" x14ac:dyDescent="0.2">
      <c r="BN20521" s="192"/>
      <c r="BO20521" s="197"/>
      <c r="BP20521" s="197"/>
      <c r="BQ20521" s="197"/>
    </row>
    <row r="20522" spans="66:69" x14ac:dyDescent="0.2">
      <c r="BN20522" s="192"/>
      <c r="BO20522" s="197"/>
      <c r="BP20522" s="197"/>
      <c r="BQ20522" s="197"/>
    </row>
    <row r="20523" spans="66:69" x14ac:dyDescent="0.2">
      <c r="BN20523" s="192"/>
      <c r="BO20523" s="197"/>
      <c r="BP20523" s="197"/>
      <c r="BQ20523" s="197"/>
    </row>
    <row r="20524" spans="66:69" x14ac:dyDescent="0.2">
      <c r="BN20524" s="192"/>
      <c r="BO20524" s="197"/>
      <c r="BP20524" s="197"/>
      <c r="BQ20524" s="197"/>
    </row>
    <row r="20525" spans="66:69" x14ac:dyDescent="0.2">
      <c r="BN20525" s="192"/>
      <c r="BO20525" s="197"/>
      <c r="BP20525" s="197"/>
      <c r="BQ20525" s="197"/>
    </row>
    <row r="20526" spans="66:69" x14ac:dyDescent="0.2">
      <c r="BN20526" s="192"/>
      <c r="BO20526" s="197"/>
      <c r="BP20526" s="197"/>
      <c r="BQ20526" s="197"/>
    </row>
    <row r="20527" spans="66:69" x14ac:dyDescent="0.2">
      <c r="BN20527" s="192"/>
      <c r="BO20527" s="197"/>
      <c r="BP20527" s="197"/>
      <c r="BQ20527" s="197"/>
    </row>
    <row r="20528" spans="66:69" x14ac:dyDescent="0.2">
      <c r="BN20528" s="192"/>
      <c r="BO20528" s="197"/>
      <c r="BP20528" s="197"/>
      <c r="BQ20528" s="197"/>
    </row>
    <row r="20529" spans="66:69" x14ac:dyDescent="0.2">
      <c r="BN20529" s="192"/>
      <c r="BO20529" s="197"/>
      <c r="BP20529" s="197"/>
      <c r="BQ20529" s="197"/>
    </row>
    <row r="20530" spans="66:69" x14ac:dyDescent="0.2">
      <c r="BN20530" s="192"/>
      <c r="BO20530" s="197"/>
      <c r="BP20530" s="197"/>
      <c r="BQ20530" s="197"/>
    </row>
    <row r="20531" spans="66:69" x14ac:dyDescent="0.2">
      <c r="BN20531" s="192"/>
      <c r="BO20531" s="197"/>
      <c r="BP20531" s="197"/>
      <c r="BQ20531" s="197"/>
    </row>
    <row r="20532" spans="66:69" x14ac:dyDescent="0.2">
      <c r="BN20532" s="192"/>
      <c r="BO20532" s="197"/>
      <c r="BP20532" s="197"/>
      <c r="BQ20532" s="197"/>
    </row>
    <row r="20533" spans="66:69" x14ac:dyDescent="0.2">
      <c r="BN20533" s="192"/>
      <c r="BO20533" s="197"/>
      <c r="BP20533" s="197"/>
      <c r="BQ20533" s="197"/>
    </row>
    <row r="20534" spans="66:69" x14ac:dyDescent="0.2">
      <c r="BN20534" s="192"/>
      <c r="BO20534" s="197"/>
      <c r="BP20534" s="197"/>
      <c r="BQ20534" s="197"/>
    </row>
    <row r="20535" spans="66:69" x14ac:dyDescent="0.2">
      <c r="BN20535" s="192"/>
      <c r="BO20535" s="197"/>
      <c r="BP20535" s="197"/>
      <c r="BQ20535" s="197"/>
    </row>
    <row r="20536" spans="66:69" x14ac:dyDescent="0.2">
      <c r="BN20536" s="192"/>
      <c r="BO20536" s="197"/>
      <c r="BP20536" s="197"/>
      <c r="BQ20536" s="197"/>
    </row>
    <row r="20537" spans="66:69" x14ac:dyDescent="0.2">
      <c r="BN20537" s="192"/>
      <c r="BO20537" s="197"/>
      <c r="BP20537" s="197"/>
      <c r="BQ20537" s="197"/>
    </row>
    <row r="20538" spans="66:69" x14ac:dyDescent="0.2">
      <c r="BN20538" s="192"/>
      <c r="BO20538" s="197"/>
      <c r="BP20538" s="197"/>
      <c r="BQ20538" s="197"/>
    </row>
    <row r="20539" spans="66:69" x14ac:dyDescent="0.2">
      <c r="BN20539" s="192"/>
      <c r="BO20539" s="197"/>
      <c r="BP20539" s="197"/>
      <c r="BQ20539" s="197"/>
    </row>
    <row r="20540" spans="66:69" x14ac:dyDescent="0.2">
      <c r="BN20540" s="192"/>
      <c r="BO20540" s="197"/>
      <c r="BP20540" s="197"/>
      <c r="BQ20540" s="197"/>
    </row>
    <row r="20541" spans="66:69" x14ac:dyDescent="0.2">
      <c r="BN20541" s="192"/>
      <c r="BO20541" s="197"/>
      <c r="BP20541" s="197"/>
      <c r="BQ20541" s="197"/>
    </row>
    <row r="20542" spans="66:69" x14ac:dyDescent="0.2">
      <c r="BN20542" s="192"/>
      <c r="BO20542" s="197"/>
      <c r="BP20542" s="197"/>
      <c r="BQ20542" s="197"/>
    </row>
    <row r="20543" spans="66:69" x14ac:dyDescent="0.2">
      <c r="BN20543" s="192"/>
      <c r="BO20543" s="197"/>
      <c r="BP20543" s="197"/>
      <c r="BQ20543" s="197"/>
    </row>
    <row r="20544" spans="66:69" x14ac:dyDescent="0.2">
      <c r="BN20544" s="192"/>
      <c r="BO20544" s="197"/>
      <c r="BP20544" s="197"/>
      <c r="BQ20544" s="197"/>
    </row>
    <row r="20545" spans="66:69" x14ac:dyDescent="0.2">
      <c r="BN20545" s="192"/>
      <c r="BO20545" s="197"/>
      <c r="BP20545" s="197"/>
      <c r="BQ20545" s="197"/>
    </row>
    <row r="20546" spans="66:69" x14ac:dyDescent="0.2">
      <c r="BN20546" s="192"/>
      <c r="BO20546" s="197"/>
      <c r="BP20546" s="197"/>
      <c r="BQ20546" s="197"/>
    </row>
    <row r="20547" spans="66:69" x14ac:dyDescent="0.2">
      <c r="BN20547" s="192"/>
      <c r="BO20547" s="197"/>
      <c r="BP20547" s="197"/>
      <c r="BQ20547" s="197"/>
    </row>
    <row r="20548" spans="66:69" x14ac:dyDescent="0.2">
      <c r="BN20548" s="192"/>
      <c r="BO20548" s="197"/>
      <c r="BP20548" s="197"/>
      <c r="BQ20548" s="197"/>
    </row>
    <row r="20549" spans="66:69" x14ac:dyDescent="0.2">
      <c r="BN20549" s="192"/>
      <c r="BO20549" s="197"/>
      <c r="BP20549" s="197"/>
      <c r="BQ20549" s="197"/>
    </row>
    <row r="20550" spans="66:69" x14ac:dyDescent="0.2">
      <c r="BN20550" s="192"/>
      <c r="BO20550" s="197"/>
      <c r="BP20550" s="197"/>
      <c r="BQ20550" s="197"/>
    </row>
    <row r="20551" spans="66:69" x14ac:dyDescent="0.2">
      <c r="BN20551" s="192"/>
      <c r="BO20551" s="197"/>
      <c r="BP20551" s="197"/>
      <c r="BQ20551" s="197"/>
    </row>
    <row r="20552" spans="66:69" x14ac:dyDescent="0.2">
      <c r="BN20552" s="192"/>
      <c r="BO20552" s="197"/>
      <c r="BP20552" s="197"/>
      <c r="BQ20552" s="197"/>
    </row>
    <row r="20553" spans="66:69" x14ac:dyDescent="0.2">
      <c r="BN20553" s="192"/>
      <c r="BO20553" s="197"/>
      <c r="BP20553" s="197"/>
      <c r="BQ20553" s="197"/>
    </row>
    <row r="20554" spans="66:69" x14ac:dyDescent="0.2">
      <c r="BN20554" s="192"/>
      <c r="BO20554" s="197"/>
      <c r="BP20554" s="197"/>
      <c r="BQ20554" s="197"/>
    </row>
    <row r="20555" spans="66:69" x14ac:dyDescent="0.2">
      <c r="BN20555" s="192"/>
      <c r="BO20555" s="197"/>
      <c r="BP20555" s="197"/>
      <c r="BQ20555" s="197"/>
    </row>
    <row r="20556" spans="66:69" x14ac:dyDescent="0.2">
      <c r="BN20556" s="192"/>
      <c r="BO20556" s="197"/>
      <c r="BP20556" s="197"/>
      <c r="BQ20556" s="197"/>
    </row>
    <row r="20557" spans="66:69" x14ac:dyDescent="0.2">
      <c r="BN20557" s="192"/>
      <c r="BO20557" s="197"/>
      <c r="BP20557" s="197"/>
      <c r="BQ20557" s="197"/>
    </row>
    <row r="20558" spans="66:69" x14ac:dyDescent="0.2">
      <c r="BN20558" s="192"/>
      <c r="BO20558" s="197"/>
      <c r="BP20558" s="197"/>
      <c r="BQ20558" s="197"/>
    </row>
    <row r="20559" spans="66:69" x14ac:dyDescent="0.2">
      <c r="BN20559" s="192"/>
      <c r="BO20559" s="197"/>
      <c r="BP20559" s="197"/>
      <c r="BQ20559" s="197"/>
    </row>
    <row r="20560" spans="66:69" x14ac:dyDescent="0.2">
      <c r="BN20560" s="192"/>
      <c r="BO20560" s="197"/>
      <c r="BP20560" s="197"/>
      <c r="BQ20560" s="197"/>
    </row>
    <row r="20561" spans="66:69" x14ac:dyDescent="0.2">
      <c r="BN20561" s="192"/>
      <c r="BO20561" s="197"/>
      <c r="BP20561" s="197"/>
      <c r="BQ20561" s="197"/>
    </row>
    <row r="20562" spans="66:69" x14ac:dyDescent="0.2">
      <c r="BN20562" s="192"/>
      <c r="BO20562" s="197"/>
      <c r="BP20562" s="197"/>
      <c r="BQ20562" s="197"/>
    </row>
    <row r="20563" spans="66:69" x14ac:dyDescent="0.2">
      <c r="BN20563" s="192"/>
      <c r="BO20563" s="197"/>
      <c r="BP20563" s="197"/>
      <c r="BQ20563" s="197"/>
    </row>
    <row r="20564" spans="66:69" x14ac:dyDescent="0.2">
      <c r="BN20564" s="192"/>
      <c r="BO20564" s="197"/>
      <c r="BP20564" s="197"/>
      <c r="BQ20564" s="197"/>
    </row>
    <row r="20565" spans="66:69" x14ac:dyDescent="0.2">
      <c r="BN20565" s="192"/>
      <c r="BO20565" s="197"/>
      <c r="BP20565" s="197"/>
      <c r="BQ20565" s="197"/>
    </row>
    <row r="20566" spans="66:69" x14ac:dyDescent="0.2">
      <c r="BN20566" s="192"/>
      <c r="BO20566" s="197"/>
      <c r="BP20566" s="197"/>
      <c r="BQ20566" s="197"/>
    </row>
    <row r="20567" spans="66:69" x14ac:dyDescent="0.2">
      <c r="BN20567" s="192"/>
      <c r="BO20567" s="197"/>
      <c r="BP20567" s="197"/>
      <c r="BQ20567" s="197"/>
    </row>
    <row r="20568" spans="66:69" x14ac:dyDescent="0.2">
      <c r="BN20568" s="192"/>
      <c r="BO20568" s="197"/>
      <c r="BP20568" s="197"/>
      <c r="BQ20568" s="197"/>
    </row>
    <row r="20569" spans="66:69" x14ac:dyDescent="0.2">
      <c r="BN20569" s="192"/>
      <c r="BO20569" s="197"/>
      <c r="BP20569" s="197"/>
      <c r="BQ20569" s="197"/>
    </row>
    <row r="20570" spans="66:69" x14ac:dyDescent="0.2">
      <c r="BN20570" s="192"/>
      <c r="BO20570" s="197"/>
      <c r="BP20570" s="197"/>
      <c r="BQ20570" s="197"/>
    </row>
    <row r="20571" spans="66:69" x14ac:dyDescent="0.2">
      <c r="BN20571" s="192"/>
      <c r="BO20571" s="197"/>
      <c r="BP20571" s="197"/>
      <c r="BQ20571" s="197"/>
    </row>
    <row r="20572" spans="66:69" x14ac:dyDescent="0.2">
      <c r="BN20572" s="192"/>
      <c r="BO20572" s="197"/>
      <c r="BP20572" s="197"/>
      <c r="BQ20572" s="197"/>
    </row>
    <row r="20573" spans="66:69" x14ac:dyDescent="0.2">
      <c r="BN20573" s="192"/>
      <c r="BO20573" s="197"/>
      <c r="BP20573" s="197"/>
      <c r="BQ20573" s="197"/>
    </row>
    <row r="20574" spans="66:69" x14ac:dyDescent="0.2">
      <c r="BN20574" s="192"/>
      <c r="BO20574" s="197"/>
      <c r="BP20574" s="197"/>
      <c r="BQ20574" s="197"/>
    </row>
    <row r="20575" spans="66:69" x14ac:dyDescent="0.2">
      <c r="BN20575" s="192"/>
      <c r="BO20575" s="197"/>
      <c r="BP20575" s="197"/>
      <c r="BQ20575" s="197"/>
    </row>
    <row r="20576" spans="66:69" x14ac:dyDescent="0.2">
      <c r="BN20576" s="192"/>
      <c r="BO20576" s="197"/>
      <c r="BP20576" s="197"/>
      <c r="BQ20576" s="197"/>
    </row>
    <row r="20577" spans="66:69" x14ac:dyDescent="0.2">
      <c r="BN20577" s="192"/>
      <c r="BO20577" s="197"/>
      <c r="BP20577" s="197"/>
      <c r="BQ20577" s="197"/>
    </row>
    <row r="20578" spans="66:69" x14ac:dyDescent="0.2">
      <c r="BN20578" s="192"/>
      <c r="BO20578" s="197"/>
      <c r="BP20578" s="197"/>
      <c r="BQ20578" s="197"/>
    </row>
    <row r="20579" spans="66:69" x14ac:dyDescent="0.2">
      <c r="BN20579" s="192"/>
      <c r="BO20579" s="197"/>
      <c r="BP20579" s="197"/>
      <c r="BQ20579" s="197"/>
    </row>
    <row r="20580" spans="66:69" x14ac:dyDescent="0.2">
      <c r="BN20580" s="192"/>
      <c r="BO20580" s="197"/>
      <c r="BP20580" s="197"/>
      <c r="BQ20580" s="197"/>
    </row>
    <row r="20581" spans="66:69" x14ac:dyDescent="0.2">
      <c r="BN20581" s="192"/>
      <c r="BO20581" s="197"/>
      <c r="BP20581" s="197"/>
      <c r="BQ20581" s="197"/>
    </row>
    <row r="20582" spans="66:69" x14ac:dyDescent="0.2">
      <c r="BN20582" s="192"/>
      <c r="BO20582" s="197"/>
      <c r="BP20582" s="197"/>
      <c r="BQ20582" s="197"/>
    </row>
    <row r="20583" spans="66:69" x14ac:dyDescent="0.2">
      <c r="BN20583" s="192"/>
      <c r="BO20583" s="197"/>
      <c r="BP20583" s="197"/>
      <c r="BQ20583" s="197"/>
    </row>
    <row r="20584" spans="66:69" x14ac:dyDescent="0.2">
      <c r="BN20584" s="192"/>
      <c r="BO20584" s="197"/>
      <c r="BP20584" s="197"/>
      <c r="BQ20584" s="197"/>
    </row>
    <row r="20585" spans="66:69" x14ac:dyDescent="0.2">
      <c r="BN20585" s="192"/>
      <c r="BO20585" s="197"/>
      <c r="BP20585" s="197"/>
      <c r="BQ20585" s="197"/>
    </row>
    <row r="20586" spans="66:69" x14ac:dyDescent="0.2">
      <c r="BN20586" s="192"/>
      <c r="BO20586" s="197"/>
      <c r="BP20586" s="197"/>
      <c r="BQ20586" s="197"/>
    </row>
    <row r="20587" spans="66:69" x14ac:dyDescent="0.2">
      <c r="BN20587" s="192"/>
      <c r="BO20587" s="197"/>
      <c r="BP20587" s="197"/>
      <c r="BQ20587" s="197"/>
    </row>
    <row r="20588" spans="66:69" x14ac:dyDescent="0.2">
      <c r="BN20588" s="192"/>
      <c r="BO20588" s="197"/>
      <c r="BP20588" s="197"/>
      <c r="BQ20588" s="197"/>
    </row>
    <row r="20589" spans="66:69" x14ac:dyDescent="0.2">
      <c r="BN20589" s="192"/>
      <c r="BO20589" s="197"/>
      <c r="BP20589" s="197"/>
      <c r="BQ20589" s="197"/>
    </row>
    <row r="20590" spans="66:69" x14ac:dyDescent="0.2">
      <c r="BN20590" s="192"/>
      <c r="BO20590" s="197"/>
      <c r="BP20590" s="197"/>
      <c r="BQ20590" s="197"/>
    </row>
    <row r="20591" spans="66:69" x14ac:dyDescent="0.2">
      <c r="BN20591" s="192"/>
      <c r="BO20591" s="197"/>
      <c r="BP20591" s="197"/>
      <c r="BQ20591" s="197"/>
    </row>
    <row r="20592" spans="66:69" x14ac:dyDescent="0.2">
      <c r="BN20592" s="192"/>
      <c r="BO20592" s="197"/>
      <c r="BP20592" s="197"/>
      <c r="BQ20592" s="197"/>
    </row>
    <row r="20593" spans="66:69" x14ac:dyDescent="0.2">
      <c r="BN20593" s="192"/>
      <c r="BO20593" s="197"/>
      <c r="BP20593" s="197"/>
      <c r="BQ20593" s="197"/>
    </row>
    <row r="20594" spans="66:69" x14ac:dyDescent="0.2">
      <c r="BN20594" s="192"/>
      <c r="BO20594" s="197"/>
      <c r="BP20594" s="197"/>
      <c r="BQ20594" s="197"/>
    </row>
    <row r="20595" spans="66:69" x14ac:dyDescent="0.2">
      <c r="BN20595" s="192"/>
      <c r="BO20595" s="197"/>
      <c r="BP20595" s="197"/>
      <c r="BQ20595" s="197"/>
    </row>
    <row r="20596" spans="66:69" x14ac:dyDescent="0.2">
      <c r="BN20596" s="192"/>
      <c r="BO20596" s="197"/>
      <c r="BP20596" s="197"/>
      <c r="BQ20596" s="197"/>
    </row>
    <row r="20597" spans="66:69" x14ac:dyDescent="0.2">
      <c r="BN20597" s="192"/>
      <c r="BO20597" s="197"/>
      <c r="BP20597" s="197"/>
      <c r="BQ20597" s="197"/>
    </row>
    <row r="20598" spans="66:69" x14ac:dyDescent="0.2">
      <c r="BN20598" s="192"/>
      <c r="BO20598" s="197"/>
      <c r="BP20598" s="197"/>
      <c r="BQ20598" s="197"/>
    </row>
    <row r="20599" spans="66:69" x14ac:dyDescent="0.2">
      <c r="BN20599" s="192"/>
      <c r="BO20599" s="197"/>
      <c r="BP20599" s="197"/>
      <c r="BQ20599" s="197"/>
    </row>
    <row r="20600" spans="66:69" x14ac:dyDescent="0.2">
      <c r="BN20600" s="192"/>
      <c r="BO20600" s="197"/>
      <c r="BP20600" s="197"/>
      <c r="BQ20600" s="197"/>
    </row>
    <row r="20601" spans="66:69" x14ac:dyDescent="0.2">
      <c r="BN20601" s="192"/>
      <c r="BO20601" s="197"/>
      <c r="BP20601" s="197"/>
      <c r="BQ20601" s="197"/>
    </row>
    <row r="20602" spans="66:69" x14ac:dyDescent="0.2">
      <c r="BN20602" s="192"/>
      <c r="BO20602" s="197"/>
      <c r="BP20602" s="197"/>
      <c r="BQ20602" s="197"/>
    </row>
    <row r="20603" spans="66:69" x14ac:dyDescent="0.2">
      <c r="BN20603" s="192"/>
      <c r="BO20603" s="197"/>
      <c r="BP20603" s="197"/>
      <c r="BQ20603" s="197"/>
    </row>
    <row r="20604" spans="66:69" x14ac:dyDescent="0.2">
      <c r="BN20604" s="192"/>
      <c r="BO20604" s="197"/>
      <c r="BP20604" s="197"/>
      <c r="BQ20604" s="197"/>
    </row>
    <row r="20605" spans="66:69" x14ac:dyDescent="0.2">
      <c r="BN20605" s="192"/>
      <c r="BO20605" s="197"/>
      <c r="BP20605" s="197"/>
      <c r="BQ20605" s="197"/>
    </row>
    <row r="20606" spans="66:69" x14ac:dyDescent="0.2">
      <c r="BN20606" s="192"/>
      <c r="BO20606" s="197"/>
      <c r="BP20606" s="197"/>
      <c r="BQ20606" s="197"/>
    </row>
    <row r="20607" spans="66:69" x14ac:dyDescent="0.2">
      <c r="BN20607" s="192"/>
      <c r="BO20607" s="197"/>
      <c r="BP20607" s="197"/>
      <c r="BQ20607" s="197"/>
    </row>
    <row r="20608" spans="66:69" x14ac:dyDescent="0.2">
      <c r="BN20608" s="192"/>
      <c r="BO20608" s="197"/>
      <c r="BP20608" s="197"/>
      <c r="BQ20608" s="197"/>
    </row>
    <row r="20609" spans="66:69" x14ac:dyDescent="0.2">
      <c r="BN20609" s="192"/>
      <c r="BO20609" s="197"/>
      <c r="BP20609" s="197"/>
      <c r="BQ20609" s="197"/>
    </row>
    <row r="20610" spans="66:69" x14ac:dyDescent="0.2">
      <c r="BN20610" s="192"/>
      <c r="BO20610" s="197"/>
      <c r="BP20610" s="197"/>
      <c r="BQ20610" s="197"/>
    </row>
    <row r="20611" spans="66:69" x14ac:dyDescent="0.2">
      <c r="BN20611" s="192"/>
      <c r="BO20611" s="197"/>
      <c r="BP20611" s="197"/>
      <c r="BQ20611" s="197"/>
    </row>
    <row r="20612" spans="66:69" x14ac:dyDescent="0.2">
      <c r="BN20612" s="192"/>
      <c r="BO20612" s="197"/>
      <c r="BP20612" s="197"/>
      <c r="BQ20612" s="197"/>
    </row>
    <row r="20613" spans="66:69" x14ac:dyDescent="0.2">
      <c r="BN20613" s="192"/>
      <c r="BO20613" s="197"/>
      <c r="BP20613" s="197"/>
      <c r="BQ20613" s="197"/>
    </row>
    <row r="20614" spans="66:69" x14ac:dyDescent="0.2">
      <c r="BN20614" s="192"/>
      <c r="BO20614" s="197"/>
      <c r="BP20614" s="197"/>
      <c r="BQ20614" s="197"/>
    </row>
    <row r="20615" spans="66:69" x14ac:dyDescent="0.2">
      <c r="BN20615" s="192"/>
      <c r="BO20615" s="197"/>
      <c r="BP20615" s="197"/>
      <c r="BQ20615" s="197"/>
    </row>
    <row r="20616" spans="66:69" x14ac:dyDescent="0.2">
      <c r="BN20616" s="192"/>
      <c r="BO20616" s="197"/>
      <c r="BP20616" s="197"/>
      <c r="BQ20616" s="197"/>
    </row>
    <row r="20617" spans="66:69" x14ac:dyDescent="0.2">
      <c r="BN20617" s="192"/>
      <c r="BO20617" s="197"/>
      <c r="BP20617" s="197"/>
      <c r="BQ20617" s="197"/>
    </row>
    <row r="20618" spans="66:69" x14ac:dyDescent="0.2">
      <c r="BN20618" s="192"/>
      <c r="BO20618" s="197"/>
      <c r="BP20618" s="197"/>
      <c r="BQ20618" s="197"/>
    </row>
    <row r="20619" spans="66:69" x14ac:dyDescent="0.2">
      <c r="BN20619" s="192"/>
      <c r="BO20619" s="197"/>
      <c r="BP20619" s="197"/>
      <c r="BQ20619" s="197"/>
    </row>
    <row r="20620" spans="66:69" x14ac:dyDescent="0.2">
      <c r="BN20620" s="192"/>
      <c r="BO20620" s="197"/>
      <c r="BP20620" s="197"/>
      <c r="BQ20620" s="197"/>
    </row>
    <row r="20621" spans="66:69" x14ac:dyDescent="0.2">
      <c r="BN20621" s="192"/>
      <c r="BO20621" s="197"/>
      <c r="BP20621" s="197"/>
      <c r="BQ20621" s="197"/>
    </row>
    <row r="20622" spans="66:69" x14ac:dyDescent="0.2">
      <c r="BN20622" s="192"/>
      <c r="BO20622" s="197"/>
      <c r="BP20622" s="197"/>
      <c r="BQ20622" s="197"/>
    </row>
    <row r="20623" spans="66:69" x14ac:dyDescent="0.2">
      <c r="BN20623" s="192"/>
      <c r="BO20623" s="197"/>
      <c r="BP20623" s="197"/>
      <c r="BQ20623" s="197"/>
    </row>
    <row r="20624" spans="66:69" x14ac:dyDescent="0.2">
      <c r="BN20624" s="192"/>
      <c r="BO20624" s="197"/>
      <c r="BP20624" s="197"/>
      <c r="BQ20624" s="197"/>
    </row>
    <row r="20625" spans="66:69" x14ac:dyDescent="0.2">
      <c r="BN20625" s="192"/>
      <c r="BO20625" s="197"/>
      <c r="BP20625" s="197"/>
      <c r="BQ20625" s="197"/>
    </row>
    <row r="20626" spans="66:69" x14ac:dyDescent="0.2">
      <c r="BN20626" s="192"/>
      <c r="BO20626" s="197"/>
      <c r="BP20626" s="197"/>
      <c r="BQ20626" s="197"/>
    </row>
    <row r="20627" spans="66:69" x14ac:dyDescent="0.2">
      <c r="BN20627" s="192"/>
      <c r="BO20627" s="197"/>
      <c r="BP20627" s="197"/>
      <c r="BQ20627" s="197"/>
    </row>
    <row r="20628" spans="66:69" x14ac:dyDescent="0.2">
      <c r="BN20628" s="192"/>
      <c r="BO20628" s="197"/>
      <c r="BP20628" s="197"/>
      <c r="BQ20628" s="197"/>
    </row>
    <row r="20629" spans="66:69" x14ac:dyDescent="0.2">
      <c r="BN20629" s="192"/>
      <c r="BO20629" s="197"/>
      <c r="BP20629" s="197"/>
      <c r="BQ20629" s="197"/>
    </row>
    <row r="20630" spans="66:69" x14ac:dyDescent="0.2">
      <c r="BN20630" s="192"/>
      <c r="BO20630" s="197"/>
      <c r="BP20630" s="197"/>
      <c r="BQ20630" s="197"/>
    </row>
    <row r="20631" spans="66:69" x14ac:dyDescent="0.2">
      <c r="BN20631" s="192"/>
      <c r="BO20631" s="197"/>
      <c r="BP20631" s="197"/>
      <c r="BQ20631" s="197"/>
    </row>
    <row r="20632" spans="66:69" x14ac:dyDescent="0.2">
      <c r="BN20632" s="192"/>
      <c r="BO20632" s="197"/>
      <c r="BP20632" s="197"/>
      <c r="BQ20632" s="197"/>
    </row>
    <row r="20633" spans="66:69" x14ac:dyDescent="0.2">
      <c r="BN20633" s="192"/>
      <c r="BO20633" s="197"/>
      <c r="BP20633" s="197"/>
      <c r="BQ20633" s="197"/>
    </row>
    <row r="20634" spans="66:69" x14ac:dyDescent="0.2">
      <c r="BN20634" s="192"/>
      <c r="BO20634" s="197"/>
      <c r="BP20634" s="197"/>
      <c r="BQ20634" s="197"/>
    </row>
    <row r="20635" spans="66:69" x14ac:dyDescent="0.2">
      <c r="BN20635" s="192"/>
      <c r="BO20635" s="197"/>
      <c r="BP20635" s="197"/>
      <c r="BQ20635" s="197"/>
    </row>
    <row r="20636" spans="66:69" x14ac:dyDescent="0.2">
      <c r="BN20636" s="192"/>
      <c r="BO20636" s="197"/>
      <c r="BP20636" s="197"/>
      <c r="BQ20636" s="197"/>
    </row>
    <row r="20637" spans="66:69" x14ac:dyDescent="0.2">
      <c r="BN20637" s="192"/>
      <c r="BO20637" s="197"/>
      <c r="BP20637" s="197"/>
      <c r="BQ20637" s="197"/>
    </row>
    <row r="20638" spans="66:69" x14ac:dyDescent="0.2">
      <c r="BN20638" s="192"/>
      <c r="BO20638" s="197"/>
      <c r="BP20638" s="197"/>
      <c r="BQ20638" s="197"/>
    </row>
    <row r="20639" spans="66:69" x14ac:dyDescent="0.2">
      <c r="BN20639" s="192"/>
      <c r="BO20639" s="197"/>
      <c r="BP20639" s="197"/>
      <c r="BQ20639" s="197"/>
    </row>
    <row r="20640" spans="66:69" x14ac:dyDescent="0.2">
      <c r="BN20640" s="192"/>
      <c r="BO20640" s="197"/>
      <c r="BP20640" s="197"/>
      <c r="BQ20640" s="197"/>
    </row>
    <row r="20641" spans="66:69" x14ac:dyDescent="0.2">
      <c r="BN20641" s="192"/>
      <c r="BO20641" s="197"/>
      <c r="BP20641" s="197"/>
      <c r="BQ20641" s="197"/>
    </row>
    <row r="20642" spans="66:69" x14ac:dyDescent="0.2">
      <c r="BN20642" s="192"/>
      <c r="BO20642" s="197"/>
      <c r="BP20642" s="197"/>
      <c r="BQ20642" s="197"/>
    </row>
    <row r="20643" spans="66:69" x14ac:dyDescent="0.2">
      <c r="BN20643" s="192"/>
      <c r="BO20643" s="197"/>
      <c r="BP20643" s="197"/>
      <c r="BQ20643" s="197"/>
    </row>
    <row r="20644" spans="66:69" x14ac:dyDescent="0.2">
      <c r="BN20644" s="192"/>
      <c r="BO20644" s="197"/>
      <c r="BP20644" s="197"/>
      <c r="BQ20644" s="197"/>
    </row>
    <row r="20645" spans="66:69" x14ac:dyDescent="0.2">
      <c r="BN20645" s="192"/>
      <c r="BO20645" s="197"/>
      <c r="BP20645" s="197"/>
      <c r="BQ20645" s="197"/>
    </row>
    <row r="20646" spans="66:69" x14ac:dyDescent="0.2">
      <c r="BN20646" s="192"/>
      <c r="BO20646" s="197"/>
      <c r="BP20646" s="197"/>
      <c r="BQ20646" s="197"/>
    </row>
    <row r="20647" spans="66:69" x14ac:dyDescent="0.2">
      <c r="BN20647" s="192"/>
      <c r="BO20647" s="197"/>
      <c r="BP20647" s="197"/>
      <c r="BQ20647" s="197"/>
    </row>
    <row r="20648" spans="66:69" x14ac:dyDescent="0.2">
      <c r="BN20648" s="192"/>
      <c r="BO20648" s="197"/>
      <c r="BP20648" s="197"/>
      <c r="BQ20648" s="197"/>
    </row>
    <row r="20649" spans="66:69" x14ac:dyDescent="0.2">
      <c r="BN20649" s="192"/>
      <c r="BO20649" s="197"/>
      <c r="BP20649" s="197"/>
      <c r="BQ20649" s="197"/>
    </row>
    <row r="20650" spans="66:69" x14ac:dyDescent="0.2">
      <c r="BN20650" s="192"/>
      <c r="BO20650" s="197"/>
      <c r="BP20650" s="197"/>
      <c r="BQ20650" s="197"/>
    </row>
    <row r="20651" spans="66:69" x14ac:dyDescent="0.2">
      <c r="BN20651" s="192"/>
      <c r="BO20651" s="197"/>
      <c r="BP20651" s="197"/>
      <c r="BQ20651" s="197"/>
    </row>
    <row r="20652" spans="66:69" x14ac:dyDescent="0.2">
      <c r="BN20652" s="192"/>
      <c r="BO20652" s="197"/>
      <c r="BP20652" s="197"/>
      <c r="BQ20652" s="197"/>
    </row>
    <row r="20653" spans="66:69" x14ac:dyDescent="0.2">
      <c r="BN20653" s="192"/>
      <c r="BO20653" s="197"/>
      <c r="BP20653" s="197"/>
      <c r="BQ20653" s="197"/>
    </row>
    <row r="20654" spans="66:69" x14ac:dyDescent="0.2">
      <c r="BN20654" s="192"/>
      <c r="BO20654" s="197"/>
      <c r="BP20654" s="197"/>
      <c r="BQ20654" s="197"/>
    </row>
    <row r="20655" spans="66:69" x14ac:dyDescent="0.2">
      <c r="BN20655" s="192"/>
      <c r="BO20655" s="197"/>
      <c r="BP20655" s="197"/>
      <c r="BQ20655" s="197"/>
    </row>
    <row r="20656" spans="66:69" x14ac:dyDescent="0.2">
      <c r="BN20656" s="192"/>
      <c r="BO20656" s="197"/>
      <c r="BP20656" s="197"/>
      <c r="BQ20656" s="197"/>
    </row>
    <row r="20657" spans="66:69" x14ac:dyDescent="0.2">
      <c r="BN20657" s="192"/>
      <c r="BO20657" s="197"/>
      <c r="BP20657" s="197"/>
      <c r="BQ20657" s="197"/>
    </row>
    <row r="20658" spans="66:69" x14ac:dyDescent="0.2">
      <c r="BN20658" s="192"/>
      <c r="BO20658" s="197"/>
      <c r="BP20658" s="197"/>
      <c r="BQ20658" s="197"/>
    </row>
    <row r="20659" spans="66:69" x14ac:dyDescent="0.2">
      <c r="BN20659" s="192"/>
      <c r="BO20659" s="197"/>
      <c r="BP20659" s="197"/>
      <c r="BQ20659" s="197"/>
    </row>
    <row r="20660" spans="66:69" x14ac:dyDescent="0.2">
      <c r="BN20660" s="192"/>
      <c r="BO20660" s="197"/>
      <c r="BP20660" s="197"/>
      <c r="BQ20660" s="197"/>
    </row>
    <row r="20661" spans="66:69" x14ac:dyDescent="0.2">
      <c r="BN20661" s="192"/>
      <c r="BO20661" s="197"/>
      <c r="BP20661" s="197"/>
      <c r="BQ20661" s="197"/>
    </row>
    <row r="20662" spans="66:69" x14ac:dyDescent="0.2">
      <c r="BN20662" s="192"/>
      <c r="BO20662" s="197"/>
      <c r="BP20662" s="197"/>
      <c r="BQ20662" s="197"/>
    </row>
    <row r="20663" spans="66:69" x14ac:dyDescent="0.2">
      <c r="BN20663" s="192"/>
      <c r="BO20663" s="197"/>
      <c r="BP20663" s="197"/>
      <c r="BQ20663" s="197"/>
    </row>
    <row r="20664" spans="66:69" x14ac:dyDescent="0.2">
      <c r="BN20664" s="192"/>
      <c r="BO20664" s="197"/>
      <c r="BP20664" s="197"/>
      <c r="BQ20664" s="197"/>
    </row>
    <row r="20665" spans="66:69" x14ac:dyDescent="0.2">
      <c r="BN20665" s="192"/>
      <c r="BO20665" s="197"/>
      <c r="BP20665" s="197"/>
      <c r="BQ20665" s="197"/>
    </row>
    <row r="20666" spans="66:69" x14ac:dyDescent="0.2">
      <c r="BN20666" s="192"/>
      <c r="BO20666" s="197"/>
      <c r="BP20666" s="197"/>
      <c r="BQ20666" s="197"/>
    </row>
    <row r="20667" spans="66:69" x14ac:dyDescent="0.2">
      <c r="BN20667" s="192"/>
      <c r="BO20667" s="197"/>
      <c r="BP20667" s="197"/>
      <c r="BQ20667" s="197"/>
    </row>
    <row r="20668" spans="66:69" x14ac:dyDescent="0.2">
      <c r="BN20668" s="192"/>
      <c r="BO20668" s="197"/>
      <c r="BP20668" s="197"/>
      <c r="BQ20668" s="197"/>
    </row>
    <row r="20669" spans="66:69" x14ac:dyDescent="0.2">
      <c r="BN20669" s="192"/>
      <c r="BO20669" s="197"/>
      <c r="BP20669" s="197"/>
      <c r="BQ20669" s="197"/>
    </row>
    <row r="20670" spans="66:69" x14ac:dyDescent="0.2">
      <c r="BN20670" s="192"/>
      <c r="BO20670" s="197"/>
      <c r="BP20670" s="197"/>
      <c r="BQ20670" s="197"/>
    </row>
    <row r="20671" spans="66:69" x14ac:dyDescent="0.2">
      <c r="BN20671" s="192"/>
      <c r="BO20671" s="197"/>
      <c r="BP20671" s="197"/>
      <c r="BQ20671" s="197"/>
    </row>
    <row r="20672" spans="66:69" x14ac:dyDescent="0.2">
      <c r="BN20672" s="192"/>
      <c r="BO20672" s="197"/>
      <c r="BP20672" s="197"/>
      <c r="BQ20672" s="197"/>
    </row>
    <row r="20673" spans="66:69" x14ac:dyDescent="0.2">
      <c r="BN20673" s="192"/>
      <c r="BO20673" s="197"/>
      <c r="BP20673" s="197"/>
      <c r="BQ20673" s="197"/>
    </row>
    <row r="20674" spans="66:69" x14ac:dyDescent="0.2">
      <c r="BN20674" s="192"/>
      <c r="BO20674" s="197"/>
      <c r="BP20674" s="197"/>
      <c r="BQ20674" s="197"/>
    </row>
    <row r="20675" spans="66:69" x14ac:dyDescent="0.2">
      <c r="BN20675" s="192"/>
      <c r="BO20675" s="197"/>
      <c r="BP20675" s="197"/>
      <c r="BQ20675" s="197"/>
    </row>
    <row r="20676" spans="66:69" x14ac:dyDescent="0.2">
      <c r="BN20676" s="192"/>
      <c r="BO20676" s="197"/>
      <c r="BP20676" s="197"/>
      <c r="BQ20676" s="197"/>
    </row>
    <row r="20677" spans="66:69" x14ac:dyDescent="0.2">
      <c r="BN20677" s="192"/>
      <c r="BO20677" s="197"/>
      <c r="BP20677" s="197"/>
      <c r="BQ20677" s="197"/>
    </row>
    <row r="20678" spans="66:69" x14ac:dyDescent="0.2">
      <c r="BN20678" s="192"/>
      <c r="BO20678" s="197"/>
      <c r="BP20678" s="197"/>
      <c r="BQ20678" s="197"/>
    </row>
    <row r="20679" spans="66:69" x14ac:dyDescent="0.2">
      <c r="BN20679" s="192"/>
      <c r="BO20679" s="197"/>
      <c r="BP20679" s="197"/>
      <c r="BQ20679" s="197"/>
    </row>
    <row r="20680" spans="66:69" x14ac:dyDescent="0.2">
      <c r="BN20680" s="192"/>
      <c r="BO20680" s="197"/>
      <c r="BP20680" s="197"/>
      <c r="BQ20680" s="197"/>
    </row>
    <row r="20681" spans="66:69" x14ac:dyDescent="0.2">
      <c r="BN20681" s="192"/>
      <c r="BO20681" s="197"/>
      <c r="BP20681" s="197"/>
      <c r="BQ20681" s="197"/>
    </row>
    <row r="20682" spans="66:69" x14ac:dyDescent="0.2">
      <c r="BN20682" s="192"/>
      <c r="BO20682" s="197"/>
      <c r="BP20682" s="197"/>
      <c r="BQ20682" s="197"/>
    </row>
    <row r="20683" spans="66:69" x14ac:dyDescent="0.2">
      <c r="BN20683" s="192"/>
      <c r="BO20683" s="197"/>
      <c r="BP20683" s="197"/>
      <c r="BQ20683" s="197"/>
    </row>
    <row r="20684" spans="66:69" x14ac:dyDescent="0.2">
      <c r="BN20684" s="192"/>
      <c r="BO20684" s="197"/>
      <c r="BP20684" s="197"/>
      <c r="BQ20684" s="197"/>
    </row>
    <row r="20685" spans="66:69" x14ac:dyDescent="0.2">
      <c r="BN20685" s="192"/>
      <c r="BO20685" s="197"/>
      <c r="BP20685" s="197"/>
      <c r="BQ20685" s="197"/>
    </row>
    <row r="20686" spans="66:69" x14ac:dyDescent="0.2">
      <c r="BN20686" s="192"/>
      <c r="BO20686" s="197"/>
      <c r="BP20686" s="197"/>
      <c r="BQ20686" s="197"/>
    </row>
    <row r="20687" spans="66:69" x14ac:dyDescent="0.2">
      <c r="BN20687" s="192"/>
      <c r="BO20687" s="197"/>
      <c r="BP20687" s="197"/>
      <c r="BQ20687" s="197"/>
    </row>
    <row r="20688" spans="66:69" x14ac:dyDescent="0.2">
      <c r="BN20688" s="192"/>
      <c r="BO20688" s="197"/>
      <c r="BP20688" s="197"/>
      <c r="BQ20688" s="197"/>
    </row>
    <row r="20689" spans="66:69" x14ac:dyDescent="0.2">
      <c r="BN20689" s="192"/>
      <c r="BO20689" s="197"/>
      <c r="BP20689" s="197"/>
      <c r="BQ20689" s="197"/>
    </row>
    <row r="20690" spans="66:69" x14ac:dyDescent="0.2">
      <c r="BN20690" s="192"/>
      <c r="BO20690" s="197"/>
      <c r="BP20690" s="197"/>
      <c r="BQ20690" s="197"/>
    </row>
    <row r="20691" spans="66:69" x14ac:dyDescent="0.2">
      <c r="BN20691" s="192"/>
      <c r="BO20691" s="197"/>
      <c r="BP20691" s="197"/>
      <c r="BQ20691" s="197"/>
    </row>
    <row r="20692" spans="66:69" x14ac:dyDescent="0.2">
      <c r="BN20692" s="192"/>
      <c r="BO20692" s="197"/>
      <c r="BP20692" s="197"/>
      <c r="BQ20692" s="197"/>
    </row>
    <row r="20693" spans="66:69" x14ac:dyDescent="0.2">
      <c r="BN20693" s="192"/>
      <c r="BO20693" s="197"/>
      <c r="BP20693" s="197"/>
      <c r="BQ20693" s="197"/>
    </row>
    <row r="20694" spans="66:69" x14ac:dyDescent="0.2">
      <c r="BN20694" s="192"/>
      <c r="BO20694" s="197"/>
      <c r="BP20694" s="197"/>
      <c r="BQ20694" s="197"/>
    </row>
    <row r="20695" spans="66:69" x14ac:dyDescent="0.2">
      <c r="BN20695" s="192"/>
      <c r="BO20695" s="197"/>
      <c r="BP20695" s="197"/>
      <c r="BQ20695" s="197"/>
    </row>
    <row r="20696" spans="66:69" x14ac:dyDescent="0.2">
      <c r="BN20696" s="192"/>
      <c r="BO20696" s="197"/>
      <c r="BP20696" s="197"/>
      <c r="BQ20696" s="197"/>
    </row>
    <row r="20697" spans="66:69" x14ac:dyDescent="0.2">
      <c r="BN20697" s="192"/>
      <c r="BO20697" s="197"/>
      <c r="BP20697" s="197"/>
      <c r="BQ20697" s="197"/>
    </row>
    <row r="20698" spans="66:69" x14ac:dyDescent="0.2">
      <c r="BN20698" s="192"/>
      <c r="BO20698" s="197"/>
      <c r="BP20698" s="197"/>
      <c r="BQ20698" s="197"/>
    </row>
    <row r="20699" spans="66:69" x14ac:dyDescent="0.2">
      <c r="BN20699" s="192"/>
      <c r="BO20699" s="197"/>
      <c r="BP20699" s="197"/>
      <c r="BQ20699" s="197"/>
    </row>
    <row r="20700" spans="66:69" x14ac:dyDescent="0.2">
      <c r="BN20700" s="192"/>
      <c r="BO20700" s="197"/>
      <c r="BP20700" s="197"/>
      <c r="BQ20700" s="197"/>
    </row>
    <row r="20701" spans="66:69" x14ac:dyDescent="0.2">
      <c r="BN20701" s="192"/>
      <c r="BO20701" s="197"/>
      <c r="BP20701" s="197"/>
      <c r="BQ20701" s="197"/>
    </row>
    <row r="20702" spans="66:69" x14ac:dyDescent="0.2">
      <c r="BN20702" s="192"/>
      <c r="BO20702" s="197"/>
      <c r="BP20702" s="197"/>
      <c r="BQ20702" s="197"/>
    </row>
    <row r="20703" spans="66:69" x14ac:dyDescent="0.2">
      <c r="BN20703" s="192"/>
      <c r="BO20703" s="197"/>
      <c r="BP20703" s="197"/>
      <c r="BQ20703" s="197"/>
    </row>
    <row r="20704" spans="66:69" x14ac:dyDescent="0.2">
      <c r="BN20704" s="192"/>
      <c r="BO20704" s="197"/>
      <c r="BP20704" s="197"/>
      <c r="BQ20704" s="197"/>
    </row>
    <row r="20705" spans="66:69" x14ac:dyDescent="0.2">
      <c r="BN20705" s="192"/>
      <c r="BO20705" s="197"/>
      <c r="BP20705" s="197"/>
      <c r="BQ20705" s="197"/>
    </row>
    <row r="20706" spans="66:69" x14ac:dyDescent="0.2">
      <c r="BN20706" s="192"/>
      <c r="BO20706" s="197"/>
      <c r="BP20706" s="197"/>
      <c r="BQ20706" s="197"/>
    </row>
    <row r="20707" spans="66:69" x14ac:dyDescent="0.2">
      <c r="BN20707" s="192"/>
      <c r="BO20707" s="197"/>
      <c r="BP20707" s="197"/>
      <c r="BQ20707" s="197"/>
    </row>
    <row r="20708" spans="66:69" x14ac:dyDescent="0.2">
      <c r="BN20708" s="192"/>
      <c r="BO20708" s="197"/>
      <c r="BP20708" s="197"/>
      <c r="BQ20708" s="197"/>
    </row>
    <row r="20709" spans="66:69" x14ac:dyDescent="0.2">
      <c r="BN20709" s="192"/>
      <c r="BO20709" s="197"/>
      <c r="BP20709" s="197"/>
      <c r="BQ20709" s="197"/>
    </row>
    <row r="20710" spans="66:69" x14ac:dyDescent="0.2">
      <c r="BN20710" s="192"/>
      <c r="BO20710" s="197"/>
      <c r="BP20710" s="197"/>
      <c r="BQ20710" s="197"/>
    </row>
    <row r="20711" spans="66:69" x14ac:dyDescent="0.2">
      <c r="BN20711" s="192"/>
      <c r="BO20711" s="197"/>
      <c r="BP20711" s="197"/>
      <c r="BQ20711" s="197"/>
    </row>
    <row r="20712" spans="66:69" x14ac:dyDescent="0.2">
      <c r="BN20712" s="192"/>
      <c r="BO20712" s="197"/>
      <c r="BP20712" s="197"/>
      <c r="BQ20712" s="197"/>
    </row>
    <row r="20713" spans="66:69" x14ac:dyDescent="0.2">
      <c r="BN20713" s="192"/>
      <c r="BO20713" s="197"/>
      <c r="BP20713" s="197"/>
      <c r="BQ20713" s="197"/>
    </row>
    <row r="20714" spans="66:69" x14ac:dyDescent="0.2">
      <c r="BN20714" s="192"/>
      <c r="BO20714" s="197"/>
      <c r="BP20714" s="197"/>
      <c r="BQ20714" s="197"/>
    </row>
    <row r="20715" spans="66:69" x14ac:dyDescent="0.2">
      <c r="BN20715" s="192"/>
      <c r="BO20715" s="197"/>
      <c r="BP20715" s="197"/>
      <c r="BQ20715" s="197"/>
    </row>
    <row r="20716" spans="66:69" x14ac:dyDescent="0.2">
      <c r="BN20716" s="192"/>
      <c r="BO20716" s="197"/>
      <c r="BP20716" s="197"/>
      <c r="BQ20716" s="197"/>
    </row>
    <row r="20717" spans="66:69" x14ac:dyDescent="0.2">
      <c r="BN20717" s="192"/>
      <c r="BO20717" s="197"/>
      <c r="BP20717" s="197"/>
      <c r="BQ20717" s="197"/>
    </row>
    <row r="20718" spans="66:69" x14ac:dyDescent="0.2">
      <c r="BN20718" s="192"/>
      <c r="BO20718" s="197"/>
      <c r="BP20718" s="197"/>
      <c r="BQ20718" s="197"/>
    </row>
    <row r="20719" spans="66:69" x14ac:dyDescent="0.2">
      <c r="BN20719" s="192"/>
      <c r="BO20719" s="197"/>
      <c r="BP20719" s="197"/>
      <c r="BQ20719" s="197"/>
    </row>
    <row r="20720" spans="66:69" x14ac:dyDescent="0.2">
      <c r="BN20720" s="192"/>
      <c r="BO20720" s="197"/>
      <c r="BP20720" s="197"/>
      <c r="BQ20720" s="197"/>
    </row>
    <row r="20721" spans="66:69" x14ac:dyDescent="0.2">
      <c r="BN20721" s="192"/>
      <c r="BO20721" s="197"/>
      <c r="BP20721" s="197"/>
      <c r="BQ20721" s="197"/>
    </row>
    <row r="20722" spans="66:69" x14ac:dyDescent="0.2">
      <c r="BN20722" s="192"/>
      <c r="BO20722" s="197"/>
      <c r="BP20722" s="197"/>
      <c r="BQ20722" s="197"/>
    </row>
    <row r="20723" spans="66:69" x14ac:dyDescent="0.2">
      <c r="BN20723" s="192"/>
      <c r="BO20723" s="197"/>
      <c r="BP20723" s="197"/>
      <c r="BQ20723" s="197"/>
    </row>
    <row r="20724" spans="66:69" x14ac:dyDescent="0.2">
      <c r="BN20724" s="192"/>
      <c r="BO20724" s="197"/>
      <c r="BP20724" s="197"/>
      <c r="BQ20724" s="197"/>
    </row>
    <row r="20725" spans="66:69" x14ac:dyDescent="0.2">
      <c r="BN20725" s="192"/>
      <c r="BO20725" s="197"/>
      <c r="BP20725" s="197"/>
      <c r="BQ20725" s="197"/>
    </row>
    <row r="20726" spans="66:69" x14ac:dyDescent="0.2">
      <c r="BN20726" s="192"/>
      <c r="BO20726" s="197"/>
      <c r="BP20726" s="197"/>
      <c r="BQ20726" s="197"/>
    </row>
    <row r="20727" spans="66:69" x14ac:dyDescent="0.2">
      <c r="BN20727" s="192"/>
      <c r="BO20727" s="197"/>
      <c r="BP20727" s="197"/>
      <c r="BQ20727" s="197"/>
    </row>
    <row r="20728" spans="66:69" x14ac:dyDescent="0.2">
      <c r="BN20728" s="192"/>
      <c r="BO20728" s="197"/>
      <c r="BP20728" s="197"/>
      <c r="BQ20728" s="197"/>
    </row>
    <row r="20729" spans="66:69" x14ac:dyDescent="0.2">
      <c r="BN20729" s="192"/>
      <c r="BO20729" s="197"/>
      <c r="BP20729" s="197"/>
      <c r="BQ20729" s="197"/>
    </row>
    <row r="20730" spans="66:69" x14ac:dyDescent="0.2">
      <c r="BN20730" s="192"/>
      <c r="BO20730" s="197"/>
      <c r="BP20730" s="197"/>
      <c r="BQ20730" s="197"/>
    </row>
    <row r="20731" spans="66:69" x14ac:dyDescent="0.2">
      <c r="BN20731" s="192"/>
      <c r="BO20731" s="197"/>
      <c r="BP20731" s="197"/>
      <c r="BQ20731" s="197"/>
    </row>
    <row r="20732" spans="66:69" x14ac:dyDescent="0.2">
      <c r="BN20732" s="192"/>
      <c r="BO20732" s="197"/>
      <c r="BP20732" s="197"/>
      <c r="BQ20732" s="197"/>
    </row>
    <row r="20733" spans="66:69" x14ac:dyDescent="0.2">
      <c r="BN20733" s="192"/>
      <c r="BO20733" s="197"/>
      <c r="BP20733" s="197"/>
      <c r="BQ20733" s="197"/>
    </row>
    <row r="20734" spans="66:69" x14ac:dyDescent="0.2">
      <c r="BN20734" s="192"/>
      <c r="BO20734" s="197"/>
      <c r="BP20734" s="197"/>
      <c r="BQ20734" s="197"/>
    </row>
    <row r="20735" spans="66:69" x14ac:dyDescent="0.2">
      <c r="BN20735" s="192"/>
      <c r="BO20735" s="197"/>
      <c r="BP20735" s="197"/>
      <c r="BQ20735" s="197"/>
    </row>
    <row r="20736" spans="66:69" x14ac:dyDescent="0.2">
      <c r="BN20736" s="192"/>
      <c r="BO20736" s="197"/>
      <c r="BP20736" s="197"/>
      <c r="BQ20736" s="197"/>
    </row>
    <row r="20737" spans="66:69" x14ac:dyDescent="0.2">
      <c r="BN20737" s="192"/>
      <c r="BO20737" s="197"/>
      <c r="BP20737" s="197"/>
      <c r="BQ20737" s="197"/>
    </row>
    <row r="20738" spans="66:69" x14ac:dyDescent="0.2">
      <c r="BN20738" s="192"/>
      <c r="BO20738" s="197"/>
      <c r="BP20738" s="197"/>
      <c r="BQ20738" s="197"/>
    </row>
    <row r="20739" spans="66:69" x14ac:dyDescent="0.2">
      <c r="BN20739" s="192"/>
      <c r="BO20739" s="197"/>
      <c r="BP20739" s="197"/>
      <c r="BQ20739" s="197"/>
    </row>
    <row r="20740" spans="66:69" x14ac:dyDescent="0.2">
      <c r="BN20740" s="192"/>
      <c r="BO20740" s="197"/>
      <c r="BP20740" s="197"/>
      <c r="BQ20740" s="197"/>
    </row>
    <row r="20741" spans="66:69" x14ac:dyDescent="0.2">
      <c r="BN20741" s="192"/>
      <c r="BO20741" s="197"/>
      <c r="BP20741" s="197"/>
      <c r="BQ20741" s="197"/>
    </row>
    <row r="20742" spans="66:69" x14ac:dyDescent="0.2">
      <c r="BN20742" s="192"/>
      <c r="BO20742" s="197"/>
      <c r="BP20742" s="197"/>
      <c r="BQ20742" s="197"/>
    </row>
    <row r="20743" spans="66:69" x14ac:dyDescent="0.2">
      <c r="BN20743" s="192"/>
      <c r="BO20743" s="197"/>
      <c r="BP20743" s="197"/>
      <c r="BQ20743" s="197"/>
    </row>
    <row r="20744" spans="66:69" x14ac:dyDescent="0.2">
      <c r="BN20744" s="192"/>
      <c r="BO20744" s="197"/>
      <c r="BP20744" s="197"/>
      <c r="BQ20744" s="197"/>
    </row>
    <row r="20745" spans="66:69" x14ac:dyDescent="0.2">
      <c r="BN20745" s="192"/>
      <c r="BO20745" s="197"/>
      <c r="BP20745" s="197"/>
      <c r="BQ20745" s="197"/>
    </row>
    <row r="20746" spans="66:69" x14ac:dyDescent="0.2">
      <c r="BN20746" s="192"/>
      <c r="BO20746" s="197"/>
      <c r="BP20746" s="197"/>
      <c r="BQ20746" s="197"/>
    </row>
    <row r="20747" spans="66:69" x14ac:dyDescent="0.2">
      <c r="BN20747" s="192"/>
      <c r="BO20747" s="197"/>
      <c r="BP20747" s="197"/>
      <c r="BQ20747" s="197"/>
    </row>
    <row r="20748" spans="66:69" x14ac:dyDescent="0.2">
      <c r="BN20748" s="192"/>
      <c r="BO20748" s="197"/>
      <c r="BP20748" s="197"/>
      <c r="BQ20748" s="197"/>
    </row>
    <row r="20749" spans="66:69" x14ac:dyDescent="0.2">
      <c r="BN20749" s="192"/>
      <c r="BO20749" s="197"/>
      <c r="BP20749" s="197"/>
      <c r="BQ20749" s="197"/>
    </row>
    <row r="20750" spans="66:69" x14ac:dyDescent="0.2">
      <c r="BN20750" s="192"/>
      <c r="BO20750" s="197"/>
      <c r="BP20750" s="197"/>
      <c r="BQ20750" s="197"/>
    </row>
    <row r="20751" spans="66:69" x14ac:dyDescent="0.2">
      <c r="BN20751" s="192"/>
      <c r="BO20751" s="197"/>
      <c r="BP20751" s="197"/>
      <c r="BQ20751" s="197"/>
    </row>
    <row r="20752" spans="66:69" x14ac:dyDescent="0.2">
      <c r="BN20752" s="192"/>
      <c r="BO20752" s="197"/>
      <c r="BP20752" s="197"/>
      <c r="BQ20752" s="197"/>
    </row>
    <row r="20753" spans="66:69" x14ac:dyDescent="0.2">
      <c r="BN20753" s="192"/>
      <c r="BO20753" s="197"/>
      <c r="BP20753" s="197"/>
      <c r="BQ20753" s="197"/>
    </row>
    <row r="20754" spans="66:69" x14ac:dyDescent="0.2">
      <c r="BN20754" s="192"/>
      <c r="BO20754" s="197"/>
      <c r="BP20754" s="197"/>
      <c r="BQ20754" s="197"/>
    </row>
    <row r="20755" spans="66:69" x14ac:dyDescent="0.2">
      <c r="BN20755" s="192"/>
      <c r="BO20755" s="197"/>
      <c r="BP20755" s="197"/>
      <c r="BQ20755" s="197"/>
    </row>
    <row r="20756" spans="66:69" x14ac:dyDescent="0.2">
      <c r="BN20756" s="192"/>
      <c r="BO20756" s="197"/>
      <c r="BP20756" s="197"/>
      <c r="BQ20756" s="197"/>
    </row>
    <row r="20757" spans="66:69" x14ac:dyDescent="0.2">
      <c r="BN20757" s="192"/>
      <c r="BO20757" s="197"/>
      <c r="BP20757" s="197"/>
      <c r="BQ20757" s="197"/>
    </row>
    <row r="20758" spans="66:69" x14ac:dyDescent="0.2">
      <c r="BN20758" s="192"/>
      <c r="BO20758" s="197"/>
      <c r="BP20758" s="197"/>
      <c r="BQ20758" s="197"/>
    </row>
    <row r="20759" spans="66:69" x14ac:dyDescent="0.2">
      <c r="BN20759" s="192"/>
      <c r="BO20759" s="197"/>
      <c r="BP20759" s="197"/>
      <c r="BQ20759" s="197"/>
    </row>
    <row r="20760" spans="66:69" x14ac:dyDescent="0.2">
      <c r="BN20760" s="192"/>
      <c r="BO20760" s="197"/>
      <c r="BP20760" s="197"/>
      <c r="BQ20760" s="197"/>
    </row>
    <row r="20761" spans="66:69" x14ac:dyDescent="0.2">
      <c r="BN20761" s="192"/>
      <c r="BO20761" s="197"/>
      <c r="BP20761" s="197"/>
      <c r="BQ20761" s="197"/>
    </row>
    <row r="20762" spans="66:69" x14ac:dyDescent="0.2">
      <c r="BN20762" s="192"/>
      <c r="BO20762" s="197"/>
      <c r="BP20762" s="197"/>
      <c r="BQ20762" s="197"/>
    </row>
    <row r="20763" spans="66:69" x14ac:dyDescent="0.2">
      <c r="BN20763" s="192"/>
      <c r="BO20763" s="197"/>
      <c r="BP20763" s="197"/>
      <c r="BQ20763" s="197"/>
    </row>
    <row r="20764" spans="66:69" x14ac:dyDescent="0.2">
      <c r="BN20764" s="192"/>
      <c r="BO20764" s="197"/>
      <c r="BP20764" s="197"/>
      <c r="BQ20764" s="197"/>
    </row>
    <row r="20765" spans="66:69" x14ac:dyDescent="0.2">
      <c r="BN20765" s="192"/>
      <c r="BO20765" s="197"/>
      <c r="BP20765" s="197"/>
      <c r="BQ20765" s="197"/>
    </row>
    <row r="20766" spans="66:69" x14ac:dyDescent="0.2">
      <c r="BN20766" s="192"/>
      <c r="BO20766" s="197"/>
      <c r="BP20766" s="197"/>
      <c r="BQ20766" s="197"/>
    </row>
    <row r="20767" spans="66:69" x14ac:dyDescent="0.2">
      <c r="BN20767" s="192"/>
      <c r="BO20767" s="197"/>
      <c r="BP20767" s="197"/>
      <c r="BQ20767" s="197"/>
    </row>
    <row r="20768" spans="66:69" x14ac:dyDescent="0.2">
      <c r="BN20768" s="192"/>
      <c r="BO20768" s="197"/>
      <c r="BP20768" s="197"/>
      <c r="BQ20768" s="197"/>
    </row>
    <row r="20769" spans="66:69" x14ac:dyDescent="0.2">
      <c r="BN20769" s="192"/>
      <c r="BO20769" s="197"/>
      <c r="BP20769" s="197"/>
      <c r="BQ20769" s="197"/>
    </row>
    <row r="20770" spans="66:69" x14ac:dyDescent="0.2">
      <c r="BN20770" s="192"/>
      <c r="BO20770" s="197"/>
      <c r="BP20770" s="197"/>
      <c r="BQ20770" s="197"/>
    </row>
    <row r="20771" spans="66:69" x14ac:dyDescent="0.2">
      <c r="BN20771" s="192"/>
      <c r="BO20771" s="197"/>
      <c r="BP20771" s="197"/>
      <c r="BQ20771" s="197"/>
    </row>
    <row r="20772" spans="66:69" x14ac:dyDescent="0.2">
      <c r="BN20772" s="192"/>
      <c r="BO20772" s="197"/>
      <c r="BP20772" s="197"/>
      <c r="BQ20772" s="197"/>
    </row>
    <row r="20773" spans="66:69" x14ac:dyDescent="0.2">
      <c r="BN20773" s="192"/>
      <c r="BO20773" s="197"/>
      <c r="BP20773" s="197"/>
      <c r="BQ20773" s="197"/>
    </row>
    <row r="20774" spans="66:69" x14ac:dyDescent="0.2">
      <c r="BN20774" s="192"/>
      <c r="BO20774" s="197"/>
      <c r="BP20774" s="197"/>
      <c r="BQ20774" s="197"/>
    </row>
    <row r="20775" spans="66:69" x14ac:dyDescent="0.2">
      <c r="BN20775" s="192"/>
      <c r="BO20775" s="197"/>
      <c r="BP20775" s="197"/>
      <c r="BQ20775" s="197"/>
    </row>
    <row r="20776" spans="66:69" x14ac:dyDescent="0.2">
      <c r="BN20776" s="192"/>
      <c r="BO20776" s="197"/>
      <c r="BP20776" s="197"/>
      <c r="BQ20776" s="197"/>
    </row>
    <row r="20777" spans="66:69" x14ac:dyDescent="0.2">
      <c r="BN20777" s="192"/>
      <c r="BO20777" s="197"/>
      <c r="BP20777" s="197"/>
      <c r="BQ20777" s="197"/>
    </row>
    <row r="20778" spans="66:69" x14ac:dyDescent="0.2">
      <c r="BN20778" s="192"/>
      <c r="BO20778" s="197"/>
      <c r="BP20778" s="197"/>
      <c r="BQ20778" s="197"/>
    </row>
    <row r="20779" spans="66:69" x14ac:dyDescent="0.2">
      <c r="BN20779" s="192"/>
      <c r="BO20779" s="197"/>
      <c r="BP20779" s="197"/>
      <c r="BQ20779" s="197"/>
    </row>
    <row r="20780" spans="66:69" x14ac:dyDescent="0.2">
      <c r="BN20780" s="192"/>
      <c r="BO20780" s="197"/>
      <c r="BP20780" s="197"/>
      <c r="BQ20780" s="197"/>
    </row>
    <row r="20781" spans="66:69" x14ac:dyDescent="0.2">
      <c r="BN20781" s="192"/>
      <c r="BO20781" s="197"/>
      <c r="BP20781" s="197"/>
      <c r="BQ20781" s="197"/>
    </row>
    <row r="20782" spans="66:69" x14ac:dyDescent="0.2">
      <c r="BN20782" s="192"/>
      <c r="BO20782" s="197"/>
      <c r="BP20782" s="197"/>
      <c r="BQ20782" s="197"/>
    </row>
    <row r="20783" spans="66:69" x14ac:dyDescent="0.2">
      <c r="BN20783" s="192"/>
      <c r="BO20783" s="197"/>
      <c r="BP20783" s="197"/>
      <c r="BQ20783" s="197"/>
    </row>
    <row r="20784" spans="66:69" x14ac:dyDescent="0.2">
      <c r="BN20784" s="192"/>
      <c r="BO20784" s="197"/>
      <c r="BP20784" s="197"/>
      <c r="BQ20784" s="197"/>
    </row>
    <row r="20785" spans="66:69" x14ac:dyDescent="0.2">
      <c r="BN20785" s="192"/>
      <c r="BO20785" s="197"/>
      <c r="BP20785" s="197"/>
      <c r="BQ20785" s="197"/>
    </row>
    <row r="20786" spans="66:69" x14ac:dyDescent="0.2">
      <c r="BN20786" s="192"/>
      <c r="BO20786" s="197"/>
      <c r="BP20786" s="197"/>
      <c r="BQ20786" s="197"/>
    </row>
    <row r="20787" spans="66:69" x14ac:dyDescent="0.2">
      <c r="BN20787" s="192"/>
      <c r="BO20787" s="197"/>
      <c r="BP20787" s="197"/>
      <c r="BQ20787" s="197"/>
    </row>
    <row r="20788" spans="66:69" x14ac:dyDescent="0.2">
      <c r="BN20788" s="192"/>
      <c r="BO20788" s="197"/>
      <c r="BP20788" s="197"/>
      <c r="BQ20788" s="197"/>
    </row>
    <row r="20789" spans="66:69" x14ac:dyDescent="0.2">
      <c r="BN20789" s="192"/>
      <c r="BO20789" s="197"/>
      <c r="BP20789" s="197"/>
      <c r="BQ20789" s="197"/>
    </row>
    <row r="20790" spans="66:69" x14ac:dyDescent="0.2">
      <c r="BN20790" s="192"/>
      <c r="BO20790" s="197"/>
      <c r="BP20790" s="197"/>
      <c r="BQ20790" s="197"/>
    </row>
    <row r="20791" spans="66:69" x14ac:dyDescent="0.2">
      <c r="BN20791" s="192"/>
      <c r="BO20791" s="197"/>
      <c r="BP20791" s="197"/>
      <c r="BQ20791" s="197"/>
    </row>
    <row r="20792" spans="66:69" x14ac:dyDescent="0.2">
      <c r="BN20792" s="192"/>
      <c r="BO20792" s="197"/>
      <c r="BP20792" s="197"/>
      <c r="BQ20792" s="197"/>
    </row>
    <row r="20793" spans="66:69" x14ac:dyDescent="0.2">
      <c r="BN20793" s="192"/>
      <c r="BO20793" s="197"/>
      <c r="BP20793" s="197"/>
      <c r="BQ20793" s="197"/>
    </row>
    <row r="20794" spans="66:69" x14ac:dyDescent="0.2">
      <c r="BN20794" s="192"/>
      <c r="BO20794" s="197"/>
      <c r="BP20794" s="197"/>
      <c r="BQ20794" s="197"/>
    </row>
    <row r="20795" spans="66:69" x14ac:dyDescent="0.2">
      <c r="BN20795" s="192"/>
      <c r="BO20795" s="197"/>
      <c r="BP20795" s="197"/>
      <c r="BQ20795" s="197"/>
    </row>
    <row r="20796" spans="66:69" x14ac:dyDescent="0.2">
      <c r="BN20796" s="192"/>
      <c r="BO20796" s="197"/>
      <c r="BP20796" s="197"/>
      <c r="BQ20796" s="197"/>
    </row>
    <row r="20797" spans="66:69" x14ac:dyDescent="0.2">
      <c r="BN20797" s="192"/>
      <c r="BO20797" s="197"/>
      <c r="BP20797" s="197"/>
      <c r="BQ20797" s="197"/>
    </row>
    <row r="20798" spans="66:69" x14ac:dyDescent="0.2">
      <c r="BN20798" s="192"/>
      <c r="BO20798" s="197"/>
      <c r="BP20798" s="197"/>
      <c r="BQ20798" s="197"/>
    </row>
    <row r="20799" spans="66:69" x14ac:dyDescent="0.2">
      <c r="BN20799" s="192"/>
      <c r="BO20799" s="197"/>
      <c r="BP20799" s="197"/>
      <c r="BQ20799" s="197"/>
    </row>
    <row r="20800" spans="66:69" x14ac:dyDescent="0.2">
      <c r="BN20800" s="192"/>
      <c r="BO20800" s="197"/>
      <c r="BP20800" s="197"/>
      <c r="BQ20800" s="197"/>
    </row>
    <row r="20801" spans="66:69" x14ac:dyDescent="0.2">
      <c r="BN20801" s="192"/>
      <c r="BO20801" s="197"/>
      <c r="BP20801" s="197"/>
      <c r="BQ20801" s="197"/>
    </row>
    <row r="20802" spans="66:69" x14ac:dyDescent="0.2">
      <c r="BN20802" s="192"/>
      <c r="BO20802" s="197"/>
      <c r="BP20802" s="197"/>
      <c r="BQ20802" s="197"/>
    </row>
    <row r="20803" spans="66:69" x14ac:dyDescent="0.2">
      <c r="BN20803" s="192"/>
      <c r="BO20803" s="197"/>
      <c r="BP20803" s="197"/>
      <c r="BQ20803" s="197"/>
    </row>
    <row r="20804" spans="66:69" x14ac:dyDescent="0.2">
      <c r="BN20804" s="192"/>
      <c r="BO20804" s="197"/>
      <c r="BP20804" s="197"/>
      <c r="BQ20804" s="197"/>
    </row>
    <row r="20805" spans="66:69" x14ac:dyDescent="0.2">
      <c r="BN20805" s="192"/>
      <c r="BO20805" s="197"/>
      <c r="BP20805" s="197"/>
      <c r="BQ20805" s="197"/>
    </row>
    <row r="20806" spans="66:69" x14ac:dyDescent="0.2">
      <c r="BN20806" s="192"/>
      <c r="BO20806" s="197"/>
      <c r="BP20806" s="197"/>
      <c r="BQ20806" s="197"/>
    </row>
    <row r="20807" spans="66:69" x14ac:dyDescent="0.2">
      <c r="BN20807" s="192"/>
      <c r="BO20807" s="197"/>
      <c r="BP20807" s="197"/>
      <c r="BQ20807" s="197"/>
    </row>
    <row r="20808" spans="66:69" x14ac:dyDescent="0.2">
      <c r="BN20808" s="192"/>
      <c r="BO20808" s="197"/>
      <c r="BP20808" s="197"/>
      <c r="BQ20808" s="197"/>
    </row>
    <row r="20809" spans="66:69" x14ac:dyDescent="0.2">
      <c r="BN20809" s="192"/>
      <c r="BO20809" s="197"/>
      <c r="BP20809" s="197"/>
      <c r="BQ20809" s="197"/>
    </row>
    <row r="20810" spans="66:69" x14ac:dyDescent="0.2">
      <c r="BN20810" s="192"/>
      <c r="BO20810" s="197"/>
      <c r="BP20810" s="197"/>
      <c r="BQ20810" s="197"/>
    </row>
    <row r="20811" spans="66:69" x14ac:dyDescent="0.2">
      <c r="BN20811" s="192"/>
      <c r="BO20811" s="197"/>
      <c r="BP20811" s="197"/>
      <c r="BQ20811" s="197"/>
    </row>
    <row r="20812" spans="66:69" x14ac:dyDescent="0.2">
      <c r="BN20812" s="192"/>
      <c r="BO20812" s="197"/>
      <c r="BP20812" s="197"/>
      <c r="BQ20812" s="197"/>
    </row>
    <row r="20813" spans="66:69" x14ac:dyDescent="0.2">
      <c r="BN20813" s="192"/>
      <c r="BO20813" s="197"/>
      <c r="BP20813" s="197"/>
      <c r="BQ20813" s="197"/>
    </row>
    <row r="20814" spans="66:69" x14ac:dyDescent="0.2">
      <c r="BN20814" s="192"/>
      <c r="BO20814" s="197"/>
      <c r="BP20814" s="197"/>
      <c r="BQ20814" s="197"/>
    </row>
    <row r="20815" spans="66:69" x14ac:dyDescent="0.2">
      <c r="BN20815" s="192"/>
      <c r="BO20815" s="197"/>
      <c r="BP20815" s="197"/>
      <c r="BQ20815" s="197"/>
    </row>
    <row r="20816" spans="66:69" x14ac:dyDescent="0.2">
      <c r="BN20816" s="192"/>
      <c r="BO20816" s="197"/>
      <c r="BP20816" s="197"/>
      <c r="BQ20816" s="197"/>
    </row>
    <row r="20817" spans="66:69" x14ac:dyDescent="0.2">
      <c r="BN20817" s="192"/>
      <c r="BO20817" s="197"/>
      <c r="BP20817" s="197"/>
      <c r="BQ20817" s="197"/>
    </row>
    <row r="20818" spans="66:69" x14ac:dyDescent="0.2">
      <c r="BN20818" s="192"/>
      <c r="BO20818" s="197"/>
      <c r="BP20818" s="197"/>
      <c r="BQ20818" s="197"/>
    </row>
    <row r="20819" spans="66:69" x14ac:dyDescent="0.2">
      <c r="BN20819" s="192"/>
      <c r="BO20819" s="197"/>
      <c r="BP20819" s="197"/>
      <c r="BQ20819" s="197"/>
    </row>
    <row r="20820" spans="66:69" x14ac:dyDescent="0.2">
      <c r="BN20820" s="192"/>
      <c r="BO20820" s="197"/>
      <c r="BP20820" s="197"/>
      <c r="BQ20820" s="197"/>
    </row>
    <row r="20821" spans="66:69" x14ac:dyDescent="0.2">
      <c r="BN20821" s="192"/>
      <c r="BO20821" s="197"/>
      <c r="BP20821" s="197"/>
      <c r="BQ20821" s="197"/>
    </row>
    <row r="20822" spans="66:69" x14ac:dyDescent="0.2">
      <c r="BN20822" s="192"/>
      <c r="BO20822" s="197"/>
      <c r="BP20822" s="197"/>
      <c r="BQ20822" s="197"/>
    </row>
    <row r="20823" spans="66:69" x14ac:dyDescent="0.2">
      <c r="BN20823" s="192"/>
      <c r="BO20823" s="197"/>
      <c r="BP20823" s="197"/>
      <c r="BQ20823" s="197"/>
    </row>
    <row r="20824" spans="66:69" x14ac:dyDescent="0.2">
      <c r="BN20824" s="192"/>
      <c r="BO20824" s="197"/>
      <c r="BP20824" s="197"/>
      <c r="BQ20824" s="197"/>
    </row>
    <row r="20825" spans="66:69" x14ac:dyDescent="0.2">
      <c r="BN20825" s="192"/>
      <c r="BO20825" s="197"/>
      <c r="BP20825" s="197"/>
      <c r="BQ20825" s="197"/>
    </row>
    <row r="20826" spans="66:69" x14ac:dyDescent="0.2">
      <c r="BN20826" s="192"/>
      <c r="BO20826" s="197"/>
      <c r="BP20826" s="197"/>
      <c r="BQ20826" s="197"/>
    </row>
    <row r="20827" spans="66:69" x14ac:dyDescent="0.2">
      <c r="BN20827" s="192"/>
      <c r="BO20827" s="197"/>
      <c r="BP20827" s="197"/>
      <c r="BQ20827" s="197"/>
    </row>
    <row r="20828" spans="66:69" x14ac:dyDescent="0.2">
      <c r="BN20828" s="192"/>
      <c r="BO20828" s="197"/>
      <c r="BP20828" s="197"/>
      <c r="BQ20828" s="197"/>
    </row>
    <row r="20829" spans="66:69" x14ac:dyDescent="0.2">
      <c r="BN20829" s="192"/>
      <c r="BO20829" s="197"/>
      <c r="BP20829" s="197"/>
      <c r="BQ20829" s="197"/>
    </row>
    <row r="20830" spans="66:69" x14ac:dyDescent="0.2">
      <c r="BN20830" s="192"/>
      <c r="BO20830" s="197"/>
      <c r="BP20830" s="197"/>
      <c r="BQ20830" s="197"/>
    </row>
    <row r="20831" spans="66:69" x14ac:dyDescent="0.2">
      <c r="BN20831" s="192"/>
      <c r="BO20831" s="197"/>
      <c r="BP20831" s="197"/>
      <c r="BQ20831" s="197"/>
    </row>
    <row r="20832" spans="66:69" x14ac:dyDescent="0.2">
      <c r="BN20832" s="192"/>
      <c r="BO20832" s="197"/>
      <c r="BP20832" s="197"/>
      <c r="BQ20832" s="197"/>
    </row>
    <row r="20833" spans="66:69" x14ac:dyDescent="0.2">
      <c r="BN20833" s="192"/>
      <c r="BO20833" s="197"/>
      <c r="BP20833" s="197"/>
      <c r="BQ20833" s="197"/>
    </row>
    <row r="20834" spans="66:69" x14ac:dyDescent="0.2">
      <c r="BN20834" s="192"/>
      <c r="BO20834" s="197"/>
      <c r="BP20834" s="197"/>
      <c r="BQ20834" s="197"/>
    </row>
    <row r="20835" spans="66:69" x14ac:dyDescent="0.2">
      <c r="BN20835" s="192"/>
      <c r="BO20835" s="197"/>
      <c r="BP20835" s="197"/>
      <c r="BQ20835" s="197"/>
    </row>
    <row r="20836" spans="66:69" x14ac:dyDescent="0.2">
      <c r="BN20836" s="192"/>
      <c r="BO20836" s="197"/>
      <c r="BP20836" s="197"/>
      <c r="BQ20836" s="197"/>
    </row>
    <row r="20837" spans="66:69" x14ac:dyDescent="0.2">
      <c r="BN20837" s="192"/>
      <c r="BO20837" s="197"/>
      <c r="BP20837" s="197"/>
      <c r="BQ20837" s="197"/>
    </row>
    <row r="20838" spans="66:69" x14ac:dyDescent="0.2">
      <c r="BN20838" s="192"/>
      <c r="BO20838" s="197"/>
      <c r="BP20838" s="197"/>
      <c r="BQ20838" s="197"/>
    </row>
    <row r="20839" spans="66:69" x14ac:dyDescent="0.2">
      <c r="BN20839" s="192"/>
      <c r="BO20839" s="197"/>
      <c r="BP20839" s="197"/>
      <c r="BQ20839" s="197"/>
    </row>
    <row r="20840" spans="66:69" x14ac:dyDescent="0.2">
      <c r="BN20840" s="192"/>
      <c r="BO20840" s="197"/>
      <c r="BP20840" s="197"/>
      <c r="BQ20840" s="197"/>
    </row>
    <row r="20841" spans="66:69" x14ac:dyDescent="0.2">
      <c r="BN20841" s="192"/>
      <c r="BO20841" s="197"/>
      <c r="BP20841" s="197"/>
      <c r="BQ20841" s="197"/>
    </row>
    <row r="20842" spans="66:69" x14ac:dyDescent="0.2">
      <c r="BN20842" s="192"/>
      <c r="BO20842" s="197"/>
      <c r="BP20842" s="197"/>
      <c r="BQ20842" s="197"/>
    </row>
    <row r="20843" spans="66:69" x14ac:dyDescent="0.2">
      <c r="BN20843" s="192"/>
      <c r="BO20843" s="197"/>
      <c r="BP20843" s="197"/>
      <c r="BQ20843" s="197"/>
    </row>
    <row r="20844" spans="66:69" x14ac:dyDescent="0.2">
      <c r="BN20844" s="192"/>
      <c r="BO20844" s="197"/>
      <c r="BP20844" s="197"/>
      <c r="BQ20844" s="197"/>
    </row>
    <row r="20845" spans="66:69" x14ac:dyDescent="0.2">
      <c r="BN20845" s="192"/>
      <c r="BO20845" s="197"/>
      <c r="BP20845" s="197"/>
      <c r="BQ20845" s="197"/>
    </row>
    <row r="20846" spans="66:69" x14ac:dyDescent="0.2">
      <c r="BN20846" s="192"/>
      <c r="BO20846" s="197"/>
      <c r="BP20846" s="197"/>
      <c r="BQ20846" s="197"/>
    </row>
    <row r="20847" spans="66:69" x14ac:dyDescent="0.2">
      <c r="BN20847" s="192"/>
      <c r="BO20847" s="197"/>
      <c r="BP20847" s="197"/>
      <c r="BQ20847" s="197"/>
    </row>
    <row r="20848" spans="66:69" x14ac:dyDescent="0.2">
      <c r="BN20848" s="192"/>
      <c r="BO20848" s="197"/>
      <c r="BP20848" s="197"/>
      <c r="BQ20848" s="197"/>
    </row>
    <row r="20849" spans="66:69" x14ac:dyDescent="0.2">
      <c r="BN20849" s="192"/>
      <c r="BO20849" s="197"/>
      <c r="BP20849" s="197"/>
      <c r="BQ20849" s="197"/>
    </row>
    <row r="20850" spans="66:69" x14ac:dyDescent="0.2">
      <c r="BN20850" s="192"/>
      <c r="BO20850" s="197"/>
      <c r="BP20850" s="197"/>
      <c r="BQ20850" s="197"/>
    </row>
    <row r="20851" spans="66:69" x14ac:dyDescent="0.2">
      <c r="BN20851" s="192"/>
      <c r="BO20851" s="197"/>
      <c r="BP20851" s="197"/>
      <c r="BQ20851" s="197"/>
    </row>
    <row r="20852" spans="66:69" x14ac:dyDescent="0.2">
      <c r="BN20852" s="192"/>
      <c r="BO20852" s="197"/>
      <c r="BP20852" s="197"/>
      <c r="BQ20852" s="197"/>
    </row>
    <row r="20853" spans="66:69" x14ac:dyDescent="0.2">
      <c r="BN20853" s="192"/>
      <c r="BO20853" s="197"/>
      <c r="BP20853" s="197"/>
      <c r="BQ20853" s="197"/>
    </row>
    <row r="20854" spans="66:69" x14ac:dyDescent="0.2">
      <c r="BN20854" s="192"/>
      <c r="BO20854" s="197"/>
      <c r="BP20854" s="197"/>
      <c r="BQ20854" s="197"/>
    </row>
    <row r="20855" spans="66:69" x14ac:dyDescent="0.2">
      <c r="BN20855" s="192"/>
      <c r="BO20855" s="197"/>
      <c r="BP20855" s="197"/>
      <c r="BQ20855" s="197"/>
    </row>
    <row r="20856" spans="66:69" x14ac:dyDescent="0.2">
      <c r="BN20856" s="192"/>
      <c r="BO20856" s="197"/>
      <c r="BP20856" s="197"/>
      <c r="BQ20856" s="197"/>
    </row>
    <row r="20857" spans="66:69" x14ac:dyDescent="0.2">
      <c r="BN20857" s="192"/>
      <c r="BO20857" s="197"/>
      <c r="BP20857" s="197"/>
      <c r="BQ20857" s="197"/>
    </row>
    <row r="20858" spans="66:69" x14ac:dyDescent="0.2">
      <c r="BN20858" s="192"/>
      <c r="BO20858" s="197"/>
      <c r="BP20858" s="197"/>
      <c r="BQ20858" s="197"/>
    </row>
    <row r="20859" spans="66:69" x14ac:dyDescent="0.2">
      <c r="BN20859" s="192"/>
      <c r="BO20859" s="197"/>
      <c r="BP20859" s="197"/>
      <c r="BQ20859" s="197"/>
    </row>
    <row r="20860" spans="66:69" x14ac:dyDescent="0.2">
      <c r="BN20860" s="192"/>
      <c r="BO20860" s="197"/>
      <c r="BP20860" s="197"/>
      <c r="BQ20860" s="197"/>
    </row>
    <row r="20861" spans="66:69" x14ac:dyDescent="0.2">
      <c r="BN20861" s="192"/>
      <c r="BO20861" s="197"/>
      <c r="BP20861" s="197"/>
      <c r="BQ20861" s="197"/>
    </row>
    <row r="20862" spans="66:69" x14ac:dyDescent="0.2">
      <c r="BN20862" s="192"/>
      <c r="BO20862" s="197"/>
      <c r="BP20862" s="197"/>
      <c r="BQ20862" s="197"/>
    </row>
    <row r="20863" spans="66:69" x14ac:dyDescent="0.2">
      <c r="BN20863" s="192"/>
      <c r="BO20863" s="197"/>
      <c r="BP20863" s="197"/>
      <c r="BQ20863" s="197"/>
    </row>
    <row r="20864" spans="66:69" x14ac:dyDescent="0.2">
      <c r="BN20864" s="192"/>
      <c r="BO20864" s="197"/>
      <c r="BP20864" s="197"/>
      <c r="BQ20864" s="197"/>
    </row>
    <row r="20865" spans="66:69" x14ac:dyDescent="0.2">
      <c r="BN20865" s="192"/>
      <c r="BO20865" s="197"/>
      <c r="BP20865" s="197"/>
      <c r="BQ20865" s="197"/>
    </row>
    <row r="20866" spans="66:69" x14ac:dyDescent="0.2">
      <c r="BN20866" s="192"/>
      <c r="BO20866" s="197"/>
      <c r="BP20866" s="197"/>
      <c r="BQ20866" s="197"/>
    </row>
    <row r="20867" spans="66:69" x14ac:dyDescent="0.2">
      <c r="BN20867" s="192"/>
      <c r="BO20867" s="197"/>
      <c r="BP20867" s="197"/>
      <c r="BQ20867" s="197"/>
    </row>
    <row r="20868" spans="66:69" x14ac:dyDescent="0.2">
      <c r="BN20868" s="192"/>
      <c r="BO20868" s="197"/>
      <c r="BP20868" s="197"/>
      <c r="BQ20868" s="197"/>
    </row>
    <row r="20869" spans="66:69" x14ac:dyDescent="0.2">
      <c r="BN20869" s="192"/>
      <c r="BO20869" s="197"/>
      <c r="BP20869" s="197"/>
      <c r="BQ20869" s="197"/>
    </row>
    <row r="20870" spans="66:69" x14ac:dyDescent="0.2">
      <c r="BN20870" s="192"/>
      <c r="BO20870" s="197"/>
      <c r="BP20870" s="197"/>
      <c r="BQ20870" s="197"/>
    </row>
    <row r="20871" spans="66:69" x14ac:dyDescent="0.2">
      <c r="BN20871" s="192"/>
      <c r="BO20871" s="197"/>
      <c r="BP20871" s="197"/>
      <c r="BQ20871" s="197"/>
    </row>
    <row r="20872" spans="66:69" x14ac:dyDescent="0.2">
      <c r="BN20872" s="192"/>
      <c r="BO20872" s="197"/>
      <c r="BP20872" s="197"/>
      <c r="BQ20872" s="197"/>
    </row>
    <row r="20873" spans="66:69" x14ac:dyDescent="0.2">
      <c r="BN20873" s="192"/>
      <c r="BO20873" s="197"/>
      <c r="BP20873" s="197"/>
      <c r="BQ20873" s="197"/>
    </row>
    <row r="20874" spans="66:69" x14ac:dyDescent="0.2">
      <c r="BN20874" s="192"/>
      <c r="BO20874" s="197"/>
      <c r="BP20874" s="197"/>
      <c r="BQ20874" s="197"/>
    </row>
    <row r="20875" spans="66:69" x14ac:dyDescent="0.2">
      <c r="BN20875" s="192"/>
      <c r="BO20875" s="197"/>
      <c r="BP20875" s="197"/>
      <c r="BQ20875" s="197"/>
    </row>
    <row r="20876" spans="66:69" x14ac:dyDescent="0.2">
      <c r="BN20876" s="192"/>
      <c r="BO20876" s="197"/>
      <c r="BP20876" s="197"/>
      <c r="BQ20876" s="197"/>
    </row>
    <row r="20877" spans="66:69" x14ac:dyDescent="0.2">
      <c r="BN20877" s="192"/>
      <c r="BO20877" s="197"/>
      <c r="BP20877" s="197"/>
      <c r="BQ20877" s="197"/>
    </row>
    <row r="20878" spans="66:69" x14ac:dyDescent="0.2">
      <c r="BN20878" s="192"/>
      <c r="BO20878" s="197"/>
      <c r="BP20878" s="197"/>
      <c r="BQ20878" s="197"/>
    </row>
    <row r="20879" spans="66:69" x14ac:dyDescent="0.2">
      <c r="BN20879" s="192"/>
      <c r="BO20879" s="197"/>
      <c r="BP20879" s="197"/>
      <c r="BQ20879" s="197"/>
    </row>
    <row r="20880" spans="66:69" x14ac:dyDescent="0.2">
      <c r="BN20880" s="192"/>
      <c r="BO20880" s="197"/>
      <c r="BP20880" s="197"/>
      <c r="BQ20880" s="197"/>
    </row>
    <row r="20881" spans="66:69" x14ac:dyDescent="0.2">
      <c r="BN20881" s="192"/>
      <c r="BO20881" s="197"/>
      <c r="BP20881" s="197"/>
      <c r="BQ20881" s="197"/>
    </row>
    <row r="20882" spans="66:69" x14ac:dyDescent="0.2">
      <c r="BN20882" s="192"/>
      <c r="BO20882" s="197"/>
      <c r="BP20882" s="197"/>
      <c r="BQ20882" s="197"/>
    </row>
    <row r="20883" spans="66:69" x14ac:dyDescent="0.2">
      <c r="BN20883" s="192"/>
      <c r="BO20883" s="197"/>
      <c r="BP20883" s="197"/>
      <c r="BQ20883" s="197"/>
    </row>
    <row r="20884" spans="66:69" x14ac:dyDescent="0.2">
      <c r="BN20884" s="192"/>
      <c r="BO20884" s="197"/>
      <c r="BP20884" s="197"/>
      <c r="BQ20884" s="197"/>
    </row>
    <row r="20885" spans="66:69" x14ac:dyDescent="0.2">
      <c r="BN20885" s="192"/>
      <c r="BO20885" s="197"/>
      <c r="BP20885" s="197"/>
      <c r="BQ20885" s="197"/>
    </row>
    <row r="20886" spans="66:69" x14ac:dyDescent="0.2">
      <c r="BN20886" s="192"/>
      <c r="BO20886" s="197"/>
      <c r="BP20886" s="197"/>
      <c r="BQ20886" s="197"/>
    </row>
    <row r="20887" spans="66:69" x14ac:dyDescent="0.2">
      <c r="BN20887" s="192"/>
      <c r="BO20887" s="197"/>
      <c r="BP20887" s="197"/>
      <c r="BQ20887" s="197"/>
    </row>
    <row r="20888" spans="66:69" x14ac:dyDescent="0.2">
      <c r="BN20888" s="192"/>
      <c r="BO20888" s="197"/>
      <c r="BP20888" s="197"/>
      <c r="BQ20888" s="197"/>
    </row>
    <row r="20889" spans="66:69" x14ac:dyDescent="0.2">
      <c r="BN20889" s="192"/>
      <c r="BO20889" s="197"/>
      <c r="BP20889" s="197"/>
      <c r="BQ20889" s="197"/>
    </row>
    <row r="20890" spans="66:69" x14ac:dyDescent="0.2">
      <c r="BN20890" s="192"/>
      <c r="BO20890" s="197"/>
      <c r="BP20890" s="197"/>
      <c r="BQ20890" s="197"/>
    </row>
    <row r="20891" spans="66:69" x14ac:dyDescent="0.2">
      <c r="BN20891" s="192"/>
      <c r="BO20891" s="197"/>
      <c r="BP20891" s="197"/>
      <c r="BQ20891" s="197"/>
    </row>
    <row r="20892" spans="66:69" x14ac:dyDescent="0.2">
      <c r="BN20892" s="192"/>
      <c r="BO20892" s="197"/>
      <c r="BP20892" s="197"/>
      <c r="BQ20892" s="197"/>
    </row>
    <row r="20893" spans="66:69" x14ac:dyDescent="0.2">
      <c r="BN20893" s="192"/>
      <c r="BO20893" s="197"/>
      <c r="BP20893" s="197"/>
      <c r="BQ20893" s="197"/>
    </row>
    <row r="20894" spans="66:69" x14ac:dyDescent="0.2">
      <c r="BN20894" s="192"/>
      <c r="BO20894" s="197"/>
      <c r="BP20894" s="197"/>
      <c r="BQ20894" s="197"/>
    </row>
    <row r="20895" spans="66:69" x14ac:dyDescent="0.2">
      <c r="BN20895" s="192"/>
      <c r="BO20895" s="197"/>
      <c r="BP20895" s="197"/>
      <c r="BQ20895" s="197"/>
    </row>
    <row r="20896" spans="66:69" x14ac:dyDescent="0.2">
      <c r="BN20896" s="192"/>
      <c r="BO20896" s="197"/>
      <c r="BP20896" s="197"/>
      <c r="BQ20896" s="197"/>
    </row>
    <row r="20897" spans="66:69" x14ac:dyDescent="0.2">
      <c r="BN20897" s="192"/>
      <c r="BO20897" s="197"/>
      <c r="BP20897" s="197"/>
      <c r="BQ20897" s="197"/>
    </row>
    <row r="20898" spans="66:69" x14ac:dyDescent="0.2">
      <c r="BN20898" s="192"/>
      <c r="BO20898" s="197"/>
      <c r="BP20898" s="197"/>
      <c r="BQ20898" s="197"/>
    </row>
    <row r="20899" spans="66:69" x14ac:dyDescent="0.2">
      <c r="BN20899" s="192"/>
      <c r="BO20899" s="197"/>
      <c r="BP20899" s="197"/>
      <c r="BQ20899" s="197"/>
    </row>
    <row r="20900" spans="66:69" x14ac:dyDescent="0.2">
      <c r="BN20900" s="192"/>
      <c r="BO20900" s="197"/>
      <c r="BP20900" s="197"/>
      <c r="BQ20900" s="197"/>
    </row>
    <row r="20901" spans="66:69" x14ac:dyDescent="0.2">
      <c r="BN20901" s="192"/>
      <c r="BO20901" s="197"/>
      <c r="BP20901" s="197"/>
      <c r="BQ20901" s="197"/>
    </row>
    <row r="20902" spans="66:69" x14ac:dyDescent="0.2">
      <c r="BN20902" s="192"/>
      <c r="BO20902" s="197"/>
      <c r="BP20902" s="197"/>
      <c r="BQ20902" s="197"/>
    </row>
    <row r="20903" spans="66:69" x14ac:dyDescent="0.2">
      <c r="BN20903" s="192"/>
      <c r="BO20903" s="197"/>
      <c r="BP20903" s="197"/>
      <c r="BQ20903" s="197"/>
    </row>
    <row r="20904" spans="66:69" x14ac:dyDescent="0.2">
      <c r="BN20904" s="192"/>
      <c r="BO20904" s="197"/>
      <c r="BP20904" s="197"/>
      <c r="BQ20904" s="197"/>
    </row>
    <row r="20905" spans="66:69" x14ac:dyDescent="0.2">
      <c r="BN20905" s="192"/>
      <c r="BO20905" s="197"/>
      <c r="BP20905" s="197"/>
      <c r="BQ20905" s="197"/>
    </row>
    <row r="20906" spans="66:69" x14ac:dyDescent="0.2">
      <c r="BN20906" s="192"/>
      <c r="BO20906" s="197"/>
      <c r="BP20906" s="197"/>
      <c r="BQ20906" s="197"/>
    </row>
    <row r="20907" spans="66:69" x14ac:dyDescent="0.2">
      <c r="BN20907" s="192"/>
      <c r="BO20907" s="197"/>
      <c r="BP20907" s="197"/>
      <c r="BQ20907" s="197"/>
    </row>
    <row r="20908" spans="66:69" x14ac:dyDescent="0.2">
      <c r="BN20908" s="192"/>
      <c r="BO20908" s="197"/>
      <c r="BP20908" s="197"/>
      <c r="BQ20908" s="197"/>
    </row>
    <row r="20909" spans="66:69" x14ac:dyDescent="0.2">
      <c r="BN20909" s="192"/>
      <c r="BO20909" s="197"/>
      <c r="BP20909" s="197"/>
      <c r="BQ20909" s="197"/>
    </row>
    <row r="20910" spans="66:69" x14ac:dyDescent="0.2">
      <c r="BN20910" s="192"/>
      <c r="BO20910" s="197"/>
      <c r="BP20910" s="197"/>
      <c r="BQ20910" s="197"/>
    </row>
    <row r="20911" spans="66:69" x14ac:dyDescent="0.2">
      <c r="BN20911" s="192"/>
      <c r="BO20911" s="197"/>
      <c r="BP20911" s="197"/>
      <c r="BQ20911" s="197"/>
    </row>
    <row r="20912" spans="66:69" x14ac:dyDescent="0.2">
      <c r="BN20912" s="192"/>
      <c r="BO20912" s="197"/>
      <c r="BP20912" s="197"/>
      <c r="BQ20912" s="197"/>
    </row>
    <row r="20913" spans="66:69" x14ac:dyDescent="0.2">
      <c r="BN20913" s="192"/>
      <c r="BO20913" s="197"/>
      <c r="BP20913" s="197"/>
      <c r="BQ20913" s="197"/>
    </row>
    <row r="20914" spans="66:69" x14ac:dyDescent="0.2">
      <c r="BN20914" s="192"/>
      <c r="BO20914" s="197"/>
      <c r="BP20914" s="197"/>
      <c r="BQ20914" s="197"/>
    </row>
    <row r="20915" spans="66:69" x14ac:dyDescent="0.2">
      <c r="BN20915" s="192"/>
      <c r="BO20915" s="197"/>
      <c r="BP20915" s="197"/>
      <c r="BQ20915" s="197"/>
    </row>
    <row r="20916" spans="66:69" x14ac:dyDescent="0.2">
      <c r="BN20916" s="192"/>
      <c r="BO20916" s="197"/>
      <c r="BP20916" s="197"/>
      <c r="BQ20916" s="197"/>
    </row>
    <row r="20917" spans="66:69" x14ac:dyDescent="0.2">
      <c r="BN20917" s="192"/>
      <c r="BO20917" s="197"/>
      <c r="BP20917" s="197"/>
      <c r="BQ20917" s="197"/>
    </row>
    <row r="20918" spans="66:69" x14ac:dyDescent="0.2">
      <c r="BN20918" s="192"/>
      <c r="BO20918" s="197"/>
      <c r="BP20918" s="197"/>
      <c r="BQ20918" s="197"/>
    </row>
    <row r="20919" spans="66:69" x14ac:dyDescent="0.2">
      <c r="BN20919" s="192"/>
      <c r="BO20919" s="197"/>
      <c r="BP20919" s="197"/>
      <c r="BQ20919" s="197"/>
    </row>
    <row r="20920" spans="66:69" x14ac:dyDescent="0.2">
      <c r="BN20920" s="192"/>
      <c r="BO20920" s="197"/>
      <c r="BP20920" s="197"/>
      <c r="BQ20920" s="197"/>
    </row>
    <row r="20921" spans="66:69" x14ac:dyDescent="0.2">
      <c r="BN20921" s="192"/>
      <c r="BO20921" s="197"/>
      <c r="BP20921" s="197"/>
      <c r="BQ20921" s="197"/>
    </row>
    <row r="20922" spans="66:69" x14ac:dyDescent="0.2">
      <c r="BN20922" s="192"/>
      <c r="BO20922" s="197"/>
      <c r="BP20922" s="197"/>
      <c r="BQ20922" s="197"/>
    </row>
    <row r="20923" spans="66:69" x14ac:dyDescent="0.2">
      <c r="BN20923" s="192"/>
      <c r="BO20923" s="197"/>
      <c r="BP20923" s="197"/>
      <c r="BQ20923" s="197"/>
    </row>
    <row r="20924" spans="66:69" x14ac:dyDescent="0.2">
      <c r="BN20924" s="192"/>
      <c r="BO20924" s="197"/>
      <c r="BP20924" s="197"/>
      <c r="BQ20924" s="197"/>
    </row>
    <row r="20925" spans="66:69" x14ac:dyDescent="0.2">
      <c r="BN20925" s="192"/>
      <c r="BO20925" s="197"/>
      <c r="BP20925" s="197"/>
      <c r="BQ20925" s="197"/>
    </row>
    <row r="20926" spans="66:69" x14ac:dyDescent="0.2">
      <c r="BN20926" s="192"/>
      <c r="BO20926" s="197"/>
      <c r="BP20926" s="197"/>
      <c r="BQ20926" s="197"/>
    </row>
    <row r="20927" spans="66:69" x14ac:dyDescent="0.2">
      <c r="BN20927" s="192"/>
      <c r="BO20927" s="197"/>
      <c r="BP20927" s="197"/>
      <c r="BQ20927" s="197"/>
    </row>
    <row r="20928" spans="66:69" x14ac:dyDescent="0.2">
      <c r="BN20928" s="192"/>
      <c r="BO20928" s="197"/>
      <c r="BP20928" s="197"/>
      <c r="BQ20928" s="197"/>
    </row>
    <row r="20929" spans="66:69" x14ac:dyDescent="0.2">
      <c r="BN20929" s="192"/>
      <c r="BO20929" s="197"/>
      <c r="BP20929" s="197"/>
      <c r="BQ20929" s="197"/>
    </row>
    <row r="20930" spans="66:69" x14ac:dyDescent="0.2">
      <c r="BN20930" s="192"/>
      <c r="BO20930" s="197"/>
      <c r="BP20930" s="197"/>
      <c r="BQ20930" s="197"/>
    </row>
    <row r="20931" spans="66:69" x14ac:dyDescent="0.2">
      <c r="BN20931" s="192"/>
      <c r="BO20931" s="197"/>
      <c r="BP20931" s="197"/>
      <c r="BQ20931" s="197"/>
    </row>
    <row r="20932" spans="66:69" x14ac:dyDescent="0.2">
      <c r="BN20932" s="192"/>
      <c r="BO20932" s="197"/>
      <c r="BP20932" s="197"/>
      <c r="BQ20932" s="197"/>
    </row>
    <row r="20933" spans="66:69" x14ac:dyDescent="0.2">
      <c r="BN20933" s="192"/>
      <c r="BO20933" s="197"/>
      <c r="BP20933" s="197"/>
      <c r="BQ20933" s="197"/>
    </row>
    <row r="20934" spans="66:69" x14ac:dyDescent="0.2">
      <c r="BN20934" s="192"/>
      <c r="BO20934" s="197"/>
      <c r="BP20934" s="197"/>
      <c r="BQ20934" s="197"/>
    </row>
    <row r="20935" spans="66:69" x14ac:dyDescent="0.2">
      <c r="BN20935" s="192"/>
      <c r="BO20935" s="197"/>
      <c r="BP20935" s="197"/>
      <c r="BQ20935" s="197"/>
    </row>
    <row r="20936" spans="66:69" x14ac:dyDescent="0.2">
      <c r="BN20936" s="192"/>
      <c r="BO20936" s="197"/>
      <c r="BP20936" s="197"/>
      <c r="BQ20936" s="197"/>
    </row>
    <row r="20937" spans="66:69" x14ac:dyDescent="0.2">
      <c r="BN20937" s="192"/>
      <c r="BO20937" s="197"/>
      <c r="BP20937" s="197"/>
      <c r="BQ20937" s="197"/>
    </row>
    <row r="20938" spans="66:69" x14ac:dyDescent="0.2">
      <c r="BN20938" s="192"/>
      <c r="BO20938" s="197"/>
      <c r="BP20938" s="197"/>
      <c r="BQ20938" s="197"/>
    </row>
    <row r="20939" spans="66:69" x14ac:dyDescent="0.2">
      <c r="BN20939" s="192"/>
      <c r="BO20939" s="197"/>
      <c r="BP20939" s="197"/>
      <c r="BQ20939" s="197"/>
    </row>
    <row r="20940" spans="66:69" x14ac:dyDescent="0.2">
      <c r="BN20940" s="192"/>
      <c r="BO20940" s="197"/>
      <c r="BP20940" s="197"/>
      <c r="BQ20940" s="197"/>
    </row>
    <row r="20941" spans="66:69" x14ac:dyDescent="0.2">
      <c r="BN20941" s="192"/>
      <c r="BO20941" s="197"/>
      <c r="BP20941" s="197"/>
      <c r="BQ20941" s="197"/>
    </row>
    <row r="20942" spans="66:69" x14ac:dyDescent="0.2">
      <c r="BN20942" s="192"/>
      <c r="BO20942" s="197"/>
      <c r="BP20942" s="197"/>
      <c r="BQ20942" s="197"/>
    </row>
    <row r="20943" spans="66:69" x14ac:dyDescent="0.2">
      <c r="BN20943" s="192"/>
      <c r="BO20943" s="197"/>
      <c r="BP20943" s="197"/>
      <c r="BQ20943" s="197"/>
    </row>
    <row r="20944" spans="66:69" x14ac:dyDescent="0.2">
      <c r="BN20944" s="192"/>
      <c r="BO20944" s="197"/>
      <c r="BP20944" s="197"/>
      <c r="BQ20944" s="197"/>
    </row>
    <row r="20945" spans="66:69" x14ac:dyDescent="0.2">
      <c r="BN20945" s="192"/>
      <c r="BO20945" s="197"/>
      <c r="BP20945" s="197"/>
      <c r="BQ20945" s="197"/>
    </row>
    <row r="20946" spans="66:69" x14ac:dyDescent="0.2">
      <c r="BN20946" s="192"/>
      <c r="BO20946" s="197"/>
      <c r="BP20946" s="197"/>
      <c r="BQ20946" s="197"/>
    </row>
    <row r="20947" spans="66:69" x14ac:dyDescent="0.2">
      <c r="BN20947" s="192"/>
      <c r="BO20947" s="197"/>
      <c r="BP20947" s="197"/>
      <c r="BQ20947" s="197"/>
    </row>
    <row r="20948" spans="66:69" x14ac:dyDescent="0.2">
      <c r="BN20948" s="192"/>
      <c r="BO20948" s="197"/>
      <c r="BP20948" s="197"/>
      <c r="BQ20948" s="197"/>
    </row>
    <row r="20949" spans="66:69" x14ac:dyDescent="0.2">
      <c r="BN20949" s="192"/>
      <c r="BO20949" s="197"/>
      <c r="BP20949" s="197"/>
      <c r="BQ20949" s="197"/>
    </row>
    <row r="20950" spans="66:69" x14ac:dyDescent="0.2">
      <c r="BN20950" s="192"/>
      <c r="BO20950" s="197"/>
      <c r="BP20950" s="197"/>
      <c r="BQ20950" s="197"/>
    </row>
    <row r="20951" spans="66:69" x14ac:dyDescent="0.2">
      <c r="BN20951" s="192"/>
      <c r="BO20951" s="197"/>
      <c r="BP20951" s="197"/>
      <c r="BQ20951" s="197"/>
    </row>
    <row r="20952" spans="66:69" x14ac:dyDescent="0.2">
      <c r="BN20952" s="192"/>
      <c r="BO20952" s="197"/>
      <c r="BP20952" s="197"/>
      <c r="BQ20952" s="197"/>
    </row>
    <row r="20953" spans="66:69" x14ac:dyDescent="0.2">
      <c r="BN20953" s="192"/>
      <c r="BO20953" s="197"/>
      <c r="BP20953" s="197"/>
      <c r="BQ20953" s="197"/>
    </row>
    <row r="20954" spans="66:69" x14ac:dyDescent="0.2">
      <c r="BN20954" s="192"/>
      <c r="BO20954" s="197"/>
      <c r="BP20954" s="197"/>
      <c r="BQ20954" s="197"/>
    </row>
    <row r="20955" spans="66:69" x14ac:dyDescent="0.2">
      <c r="BN20955" s="192"/>
      <c r="BO20955" s="197"/>
      <c r="BP20955" s="197"/>
      <c r="BQ20955" s="197"/>
    </row>
    <row r="20956" spans="66:69" x14ac:dyDescent="0.2">
      <c r="BN20956" s="192"/>
      <c r="BO20956" s="197"/>
      <c r="BP20956" s="197"/>
      <c r="BQ20956" s="197"/>
    </row>
    <row r="20957" spans="66:69" x14ac:dyDescent="0.2">
      <c r="BN20957" s="192"/>
      <c r="BO20957" s="197"/>
      <c r="BP20957" s="197"/>
      <c r="BQ20957" s="197"/>
    </row>
    <row r="20958" spans="66:69" x14ac:dyDescent="0.2">
      <c r="BN20958" s="192"/>
      <c r="BO20958" s="197"/>
      <c r="BP20958" s="197"/>
      <c r="BQ20958" s="197"/>
    </row>
    <row r="20959" spans="66:69" x14ac:dyDescent="0.2">
      <c r="BN20959" s="192"/>
      <c r="BO20959" s="197"/>
      <c r="BP20959" s="197"/>
      <c r="BQ20959" s="197"/>
    </row>
    <row r="20960" spans="66:69" x14ac:dyDescent="0.2">
      <c r="BN20960" s="192"/>
      <c r="BO20960" s="197"/>
      <c r="BP20960" s="197"/>
      <c r="BQ20960" s="197"/>
    </row>
    <row r="20961" spans="66:69" x14ac:dyDescent="0.2">
      <c r="BN20961" s="192"/>
      <c r="BO20961" s="197"/>
      <c r="BP20961" s="197"/>
      <c r="BQ20961" s="197"/>
    </row>
    <row r="20962" spans="66:69" x14ac:dyDescent="0.2">
      <c r="BN20962" s="192"/>
      <c r="BO20962" s="197"/>
      <c r="BP20962" s="197"/>
      <c r="BQ20962" s="197"/>
    </row>
    <row r="20963" spans="66:69" x14ac:dyDescent="0.2">
      <c r="BN20963" s="192"/>
      <c r="BO20963" s="197"/>
      <c r="BP20963" s="197"/>
      <c r="BQ20963" s="197"/>
    </row>
    <row r="20964" spans="66:69" x14ac:dyDescent="0.2">
      <c r="BN20964" s="192"/>
      <c r="BO20964" s="197"/>
      <c r="BP20964" s="197"/>
      <c r="BQ20964" s="197"/>
    </row>
    <row r="20965" spans="66:69" x14ac:dyDescent="0.2">
      <c r="BN20965" s="192"/>
      <c r="BO20965" s="197"/>
      <c r="BP20965" s="197"/>
      <c r="BQ20965" s="197"/>
    </row>
    <row r="20966" spans="66:69" x14ac:dyDescent="0.2">
      <c r="BN20966" s="192"/>
      <c r="BO20966" s="197"/>
      <c r="BP20966" s="197"/>
      <c r="BQ20966" s="197"/>
    </row>
    <row r="20967" spans="66:69" x14ac:dyDescent="0.2">
      <c r="BN20967" s="192"/>
      <c r="BO20967" s="197"/>
      <c r="BP20967" s="197"/>
      <c r="BQ20967" s="197"/>
    </row>
    <row r="20968" spans="66:69" x14ac:dyDescent="0.2">
      <c r="BN20968" s="192"/>
      <c r="BO20968" s="197"/>
      <c r="BP20968" s="197"/>
      <c r="BQ20968" s="197"/>
    </row>
    <row r="20969" spans="66:69" x14ac:dyDescent="0.2">
      <c r="BN20969" s="192"/>
      <c r="BO20969" s="197"/>
      <c r="BP20969" s="197"/>
      <c r="BQ20969" s="197"/>
    </row>
    <row r="20970" spans="66:69" x14ac:dyDescent="0.2">
      <c r="BN20970" s="192"/>
      <c r="BO20970" s="197"/>
      <c r="BP20970" s="197"/>
      <c r="BQ20970" s="197"/>
    </row>
    <row r="20971" spans="66:69" x14ac:dyDescent="0.2">
      <c r="BN20971" s="192"/>
      <c r="BO20971" s="197"/>
      <c r="BP20971" s="197"/>
      <c r="BQ20971" s="197"/>
    </row>
    <row r="20972" spans="66:69" x14ac:dyDescent="0.2">
      <c r="BN20972" s="192"/>
      <c r="BO20972" s="197"/>
      <c r="BP20972" s="197"/>
      <c r="BQ20972" s="197"/>
    </row>
    <row r="20973" spans="66:69" x14ac:dyDescent="0.2">
      <c r="BN20973" s="192"/>
      <c r="BO20973" s="197"/>
      <c r="BP20973" s="197"/>
      <c r="BQ20973" s="197"/>
    </row>
    <row r="20974" spans="66:69" x14ac:dyDescent="0.2">
      <c r="BN20974" s="192"/>
      <c r="BO20974" s="197"/>
      <c r="BP20974" s="197"/>
      <c r="BQ20974" s="197"/>
    </row>
    <row r="20975" spans="66:69" x14ac:dyDescent="0.2">
      <c r="BN20975" s="192"/>
      <c r="BO20975" s="197"/>
      <c r="BP20975" s="197"/>
      <c r="BQ20975" s="197"/>
    </row>
    <row r="20976" spans="66:69" x14ac:dyDescent="0.2">
      <c r="BN20976" s="192"/>
      <c r="BO20976" s="197"/>
      <c r="BP20976" s="197"/>
      <c r="BQ20976" s="197"/>
    </row>
    <row r="20977" spans="66:69" x14ac:dyDescent="0.2">
      <c r="BN20977" s="192"/>
      <c r="BO20977" s="197"/>
      <c r="BP20977" s="197"/>
      <c r="BQ20977" s="197"/>
    </row>
    <row r="20978" spans="66:69" x14ac:dyDescent="0.2">
      <c r="BN20978" s="192"/>
      <c r="BO20978" s="197"/>
      <c r="BP20978" s="197"/>
      <c r="BQ20978" s="197"/>
    </row>
    <row r="20979" spans="66:69" x14ac:dyDescent="0.2">
      <c r="BN20979" s="192"/>
      <c r="BO20979" s="197"/>
      <c r="BP20979" s="197"/>
      <c r="BQ20979" s="197"/>
    </row>
    <row r="20980" spans="66:69" x14ac:dyDescent="0.2">
      <c r="BN20980" s="192"/>
      <c r="BO20980" s="197"/>
      <c r="BP20980" s="197"/>
      <c r="BQ20980" s="197"/>
    </row>
    <row r="20981" spans="66:69" x14ac:dyDescent="0.2">
      <c r="BN20981" s="192"/>
      <c r="BO20981" s="197"/>
      <c r="BP20981" s="197"/>
      <c r="BQ20981" s="197"/>
    </row>
    <row r="20982" spans="66:69" x14ac:dyDescent="0.2">
      <c r="BN20982" s="192"/>
      <c r="BO20982" s="197"/>
      <c r="BP20982" s="197"/>
      <c r="BQ20982" s="197"/>
    </row>
    <row r="20983" spans="66:69" x14ac:dyDescent="0.2">
      <c r="BN20983" s="192"/>
      <c r="BO20983" s="197"/>
      <c r="BP20983" s="197"/>
      <c r="BQ20983" s="197"/>
    </row>
    <row r="20984" spans="66:69" x14ac:dyDescent="0.2">
      <c r="BN20984" s="192"/>
      <c r="BO20984" s="197"/>
      <c r="BP20984" s="197"/>
      <c r="BQ20984" s="197"/>
    </row>
    <row r="20985" spans="66:69" x14ac:dyDescent="0.2">
      <c r="BN20985" s="192"/>
      <c r="BO20985" s="197"/>
      <c r="BP20985" s="197"/>
      <c r="BQ20985" s="197"/>
    </row>
    <row r="20986" spans="66:69" x14ac:dyDescent="0.2">
      <c r="BN20986" s="192"/>
      <c r="BO20986" s="197"/>
      <c r="BP20986" s="197"/>
      <c r="BQ20986" s="197"/>
    </row>
    <row r="20987" spans="66:69" x14ac:dyDescent="0.2">
      <c r="BN20987" s="192"/>
      <c r="BO20987" s="197"/>
      <c r="BP20987" s="197"/>
      <c r="BQ20987" s="197"/>
    </row>
    <row r="20988" spans="66:69" x14ac:dyDescent="0.2">
      <c r="BN20988" s="192"/>
      <c r="BO20988" s="197"/>
      <c r="BP20988" s="197"/>
      <c r="BQ20988" s="197"/>
    </row>
    <row r="20989" spans="66:69" x14ac:dyDescent="0.2">
      <c r="BN20989" s="192"/>
      <c r="BO20989" s="197"/>
      <c r="BP20989" s="197"/>
      <c r="BQ20989" s="197"/>
    </row>
    <row r="20990" spans="66:69" x14ac:dyDescent="0.2">
      <c r="BN20990" s="192"/>
      <c r="BO20990" s="197"/>
      <c r="BP20990" s="197"/>
      <c r="BQ20990" s="197"/>
    </row>
    <row r="20991" spans="66:69" x14ac:dyDescent="0.2">
      <c r="BN20991" s="192"/>
      <c r="BO20991" s="197"/>
      <c r="BP20991" s="197"/>
      <c r="BQ20991" s="197"/>
    </row>
    <row r="20992" spans="66:69" x14ac:dyDescent="0.2">
      <c r="BN20992" s="192"/>
      <c r="BO20992" s="197"/>
      <c r="BP20992" s="197"/>
      <c r="BQ20992" s="197"/>
    </row>
    <row r="20993" spans="66:69" x14ac:dyDescent="0.2">
      <c r="BN20993" s="192"/>
      <c r="BO20993" s="197"/>
      <c r="BP20993" s="197"/>
      <c r="BQ20993" s="197"/>
    </row>
    <row r="20994" spans="66:69" x14ac:dyDescent="0.2">
      <c r="BN20994" s="192"/>
      <c r="BO20994" s="197"/>
      <c r="BP20994" s="197"/>
      <c r="BQ20994" s="197"/>
    </row>
    <row r="20995" spans="66:69" x14ac:dyDescent="0.2">
      <c r="BN20995" s="192"/>
      <c r="BO20995" s="197"/>
      <c r="BP20995" s="197"/>
      <c r="BQ20995" s="197"/>
    </row>
    <row r="20996" spans="66:69" x14ac:dyDescent="0.2">
      <c r="BN20996" s="192"/>
      <c r="BO20996" s="197"/>
      <c r="BP20996" s="197"/>
      <c r="BQ20996" s="197"/>
    </row>
    <row r="20997" spans="66:69" x14ac:dyDescent="0.2">
      <c r="BN20997" s="192"/>
      <c r="BO20997" s="197"/>
      <c r="BP20997" s="197"/>
      <c r="BQ20997" s="197"/>
    </row>
    <row r="20998" spans="66:69" x14ac:dyDescent="0.2">
      <c r="BN20998" s="192"/>
      <c r="BO20998" s="197"/>
      <c r="BP20998" s="197"/>
      <c r="BQ20998" s="197"/>
    </row>
    <row r="20999" spans="66:69" x14ac:dyDescent="0.2">
      <c r="BN20999" s="192"/>
      <c r="BO20999" s="197"/>
      <c r="BP20999" s="197"/>
      <c r="BQ20999" s="197"/>
    </row>
    <row r="21000" spans="66:69" x14ac:dyDescent="0.2">
      <c r="BN21000" s="192"/>
      <c r="BO21000" s="197"/>
      <c r="BP21000" s="197"/>
      <c r="BQ21000" s="197"/>
    </row>
    <row r="21001" spans="66:69" x14ac:dyDescent="0.2">
      <c r="BN21001" s="192"/>
      <c r="BO21001" s="197"/>
      <c r="BP21001" s="197"/>
      <c r="BQ21001" s="197"/>
    </row>
    <row r="21002" spans="66:69" x14ac:dyDescent="0.2">
      <c r="BN21002" s="192"/>
      <c r="BO21002" s="197"/>
      <c r="BP21002" s="197"/>
      <c r="BQ21002" s="197"/>
    </row>
    <row r="21003" spans="66:69" x14ac:dyDescent="0.2">
      <c r="BN21003" s="192"/>
      <c r="BO21003" s="197"/>
      <c r="BP21003" s="197"/>
      <c r="BQ21003" s="197"/>
    </row>
    <row r="21004" spans="66:69" x14ac:dyDescent="0.2">
      <c r="BN21004" s="192"/>
      <c r="BO21004" s="197"/>
      <c r="BP21004" s="197"/>
      <c r="BQ21004" s="197"/>
    </row>
    <row r="21005" spans="66:69" x14ac:dyDescent="0.2">
      <c r="BN21005" s="192"/>
      <c r="BO21005" s="197"/>
      <c r="BP21005" s="197"/>
      <c r="BQ21005" s="197"/>
    </row>
    <row r="21006" spans="66:69" x14ac:dyDescent="0.2">
      <c r="BN21006" s="192"/>
      <c r="BO21006" s="197"/>
      <c r="BP21006" s="197"/>
      <c r="BQ21006" s="197"/>
    </row>
    <row r="21007" spans="66:69" x14ac:dyDescent="0.2">
      <c r="BN21007" s="192"/>
      <c r="BO21007" s="197"/>
      <c r="BP21007" s="197"/>
      <c r="BQ21007" s="197"/>
    </row>
    <row r="21008" spans="66:69" x14ac:dyDescent="0.2">
      <c r="BN21008" s="192"/>
      <c r="BO21008" s="197"/>
      <c r="BP21008" s="197"/>
      <c r="BQ21008" s="197"/>
    </row>
    <row r="21009" spans="66:69" x14ac:dyDescent="0.2">
      <c r="BN21009" s="192"/>
      <c r="BO21009" s="197"/>
      <c r="BP21009" s="197"/>
      <c r="BQ21009" s="197"/>
    </row>
    <row r="21010" spans="66:69" x14ac:dyDescent="0.2">
      <c r="BN21010" s="192"/>
      <c r="BO21010" s="197"/>
      <c r="BP21010" s="197"/>
      <c r="BQ21010" s="197"/>
    </row>
    <row r="21011" spans="66:69" x14ac:dyDescent="0.2">
      <c r="BN21011" s="192"/>
      <c r="BO21011" s="197"/>
      <c r="BP21011" s="197"/>
      <c r="BQ21011" s="197"/>
    </row>
    <row r="21012" spans="66:69" x14ac:dyDescent="0.2">
      <c r="BN21012" s="192"/>
      <c r="BO21012" s="197"/>
      <c r="BP21012" s="197"/>
      <c r="BQ21012" s="197"/>
    </row>
    <row r="21013" spans="66:69" x14ac:dyDescent="0.2">
      <c r="BN21013" s="192"/>
      <c r="BO21013" s="197"/>
      <c r="BP21013" s="197"/>
      <c r="BQ21013" s="197"/>
    </row>
    <row r="21014" spans="66:69" x14ac:dyDescent="0.2">
      <c r="BN21014" s="192"/>
      <c r="BO21014" s="197"/>
      <c r="BP21014" s="197"/>
      <c r="BQ21014" s="197"/>
    </row>
    <row r="21015" spans="66:69" x14ac:dyDescent="0.2">
      <c r="BN21015" s="192"/>
      <c r="BO21015" s="197"/>
      <c r="BP21015" s="197"/>
      <c r="BQ21015" s="197"/>
    </row>
    <row r="21016" spans="66:69" x14ac:dyDescent="0.2">
      <c r="BN21016" s="192"/>
      <c r="BO21016" s="197"/>
      <c r="BP21016" s="197"/>
      <c r="BQ21016" s="197"/>
    </row>
    <row r="21017" spans="66:69" x14ac:dyDescent="0.2">
      <c r="BN21017" s="192"/>
      <c r="BO21017" s="197"/>
      <c r="BP21017" s="197"/>
      <c r="BQ21017" s="197"/>
    </row>
    <row r="21018" spans="66:69" x14ac:dyDescent="0.2">
      <c r="BN21018" s="192"/>
      <c r="BO21018" s="197"/>
      <c r="BP21018" s="197"/>
      <c r="BQ21018" s="197"/>
    </row>
    <row r="21019" spans="66:69" x14ac:dyDescent="0.2">
      <c r="BN21019" s="192"/>
      <c r="BO21019" s="197"/>
      <c r="BP21019" s="197"/>
      <c r="BQ21019" s="197"/>
    </row>
    <row r="21020" spans="66:69" x14ac:dyDescent="0.2">
      <c r="BN21020" s="192"/>
      <c r="BO21020" s="197"/>
      <c r="BP21020" s="197"/>
      <c r="BQ21020" s="197"/>
    </row>
    <row r="21021" spans="66:69" x14ac:dyDescent="0.2">
      <c r="BN21021" s="192"/>
      <c r="BO21021" s="197"/>
      <c r="BP21021" s="197"/>
      <c r="BQ21021" s="197"/>
    </row>
    <row r="21022" spans="66:69" x14ac:dyDescent="0.2">
      <c r="BN21022" s="192"/>
      <c r="BO21022" s="197"/>
      <c r="BP21022" s="197"/>
      <c r="BQ21022" s="197"/>
    </row>
    <row r="21023" spans="66:69" x14ac:dyDescent="0.2">
      <c r="BN21023" s="192"/>
      <c r="BO21023" s="197"/>
      <c r="BP21023" s="197"/>
      <c r="BQ21023" s="197"/>
    </row>
    <row r="21024" spans="66:69" x14ac:dyDescent="0.2">
      <c r="BN21024" s="192"/>
      <c r="BO21024" s="197"/>
      <c r="BP21024" s="197"/>
      <c r="BQ21024" s="197"/>
    </row>
    <row r="21025" spans="66:69" x14ac:dyDescent="0.2">
      <c r="BN21025" s="192"/>
      <c r="BO21025" s="197"/>
      <c r="BP21025" s="197"/>
      <c r="BQ21025" s="197"/>
    </row>
    <row r="21026" spans="66:69" x14ac:dyDescent="0.2">
      <c r="BN21026" s="192"/>
      <c r="BO21026" s="197"/>
      <c r="BP21026" s="197"/>
      <c r="BQ21026" s="197"/>
    </row>
    <row r="21027" spans="66:69" x14ac:dyDescent="0.2">
      <c r="BN21027" s="192"/>
      <c r="BO21027" s="197"/>
      <c r="BP21027" s="197"/>
      <c r="BQ21027" s="197"/>
    </row>
    <row r="21028" spans="66:69" x14ac:dyDescent="0.2">
      <c r="BN21028" s="192"/>
      <c r="BO21028" s="197"/>
      <c r="BP21028" s="197"/>
      <c r="BQ21028" s="197"/>
    </row>
    <row r="21029" spans="66:69" x14ac:dyDescent="0.2">
      <c r="BN21029" s="192"/>
      <c r="BO21029" s="197"/>
      <c r="BP21029" s="197"/>
      <c r="BQ21029" s="197"/>
    </row>
    <row r="21030" spans="66:69" x14ac:dyDescent="0.2">
      <c r="BN21030" s="192"/>
      <c r="BO21030" s="197"/>
      <c r="BP21030" s="197"/>
      <c r="BQ21030" s="197"/>
    </row>
    <row r="21031" spans="66:69" x14ac:dyDescent="0.2">
      <c r="BN21031" s="192"/>
      <c r="BO21031" s="197"/>
      <c r="BP21031" s="197"/>
      <c r="BQ21031" s="197"/>
    </row>
    <row r="21032" spans="66:69" x14ac:dyDescent="0.2">
      <c r="BN21032" s="192"/>
      <c r="BO21032" s="197"/>
      <c r="BP21032" s="197"/>
      <c r="BQ21032" s="197"/>
    </row>
    <row r="21033" spans="66:69" x14ac:dyDescent="0.2">
      <c r="BN21033" s="192"/>
      <c r="BO21033" s="197"/>
      <c r="BP21033" s="197"/>
      <c r="BQ21033" s="197"/>
    </row>
    <row r="21034" spans="66:69" x14ac:dyDescent="0.2">
      <c r="BN21034" s="192"/>
      <c r="BO21034" s="197"/>
      <c r="BP21034" s="197"/>
      <c r="BQ21034" s="197"/>
    </row>
    <row r="21035" spans="66:69" x14ac:dyDescent="0.2">
      <c r="BN21035" s="192"/>
      <c r="BO21035" s="197"/>
      <c r="BP21035" s="197"/>
      <c r="BQ21035" s="197"/>
    </row>
    <row r="21036" spans="66:69" x14ac:dyDescent="0.2">
      <c r="BN21036" s="192"/>
      <c r="BO21036" s="197"/>
      <c r="BP21036" s="197"/>
      <c r="BQ21036" s="197"/>
    </row>
    <row r="21037" spans="66:69" x14ac:dyDescent="0.2">
      <c r="BN21037" s="192"/>
      <c r="BO21037" s="197"/>
      <c r="BP21037" s="197"/>
      <c r="BQ21037" s="197"/>
    </row>
    <row r="21038" spans="66:69" x14ac:dyDescent="0.2">
      <c r="BN21038" s="192"/>
      <c r="BO21038" s="197"/>
      <c r="BP21038" s="197"/>
      <c r="BQ21038" s="197"/>
    </row>
    <row r="21039" spans="66:69" x14ac:dyDescent="0.2">
      <c r="BN21039" s="192"/>
      <c r="BO21039" s="197"/>
      <c r="BP21039" s="197"/>
      <c r="BQ21039" s="197"/>
    </row>
    <row r="21040" spans="66:69" x14ac:dyDescent="0.2">
      <c r="BN21040" s="192"/>
      <c r="BO21040" s="197"/>
      <c r="BP21040" s="197"/>
      <c r="BQ21040" s="197"/>
    </row>
    <row r="21041" spans="66:69" x14ac:dyDescent="0.2">
      <c r="BN21041" s="192"/>
      <c r="BO21041" s="197"/>
      <c r="BP21041" s="197"/>
      <c r="BQ21041" s="197"/>
    </row>
    <row r="21042" spans="66:69" x14ac:dyDescent="0.2">
      <c r="BN21042" s="192"/>
      <c r="BO21042" s="197"/>
      <c r="BP21042" s="197"/>
      <c r="BQ21042" s="197"/>
    </row>
    <row r="21043" spans="66:69" x14ac:dyDescent="0.2">
      <c r="BN21043" s="192"/>
      <c r="BO21043" s="197"/>
      <c r="BP21043" s="197"/>
      <c r="BQ21043" s="197"/>
    </row>
    <row r="21044" spans="66:69" x14ac:dyDescent="0.2">
      <c r="BN21044" s="192"/>
      <c r="BO21044" s="197"/>
      <c r="BP21044" s="197"/>
      <c r="BQ21044" s="197"/>
    </row>
    <row r="21045" spans="66:69" x14ac:dyDescent="0.2">
      <c r="BN21045" s="192"/>
      <c r="BO21045" s="197"/>
      <c r="BP21045" s="197"/>
      <c r="BQ21045" s="197"/>
    </row>
    <row r="21046" spans="66:69" x14ac:dyDescent="0.2">
      <c r="BN21046" s="192"/>
      <c r="BO21046" s="197"/>
      <c r="BP21046" s="197"/>
      <c r="BQ21046" s="197"/>
    </row>
    <row r="21047" spans="66:69" x14ac:dyDescent="0.2">
      <c r="BN21047" s="192"/>
      <c r="BO21047" s="197"/>
      <c r="BP21047" s="197"/>
      <c r="BQ21047" s="197"/>
    </row>
    <row r="21048" spans="66:69" x14ac:dyDescent="0.2">
      <c r="BN21048" s="192"/>
      <c r="BO21048" s="197"/>
      <c r="BP21048" s="197"/>
      <c r="BQ21048" s="197"/>
    </row>
    <row r="21049" spans="66:69" x14ac:dyDescent="0.2">
      <c r="BN21049" s="192"/>
      <c r="BO21049" s="197"/>
      <c r="BP21049" s="197"/>
      <c r="BQ21049" s="197"/>
    </row>
    <row r="21050" spans="66:69" x14ac:dyDescent="0.2">
      <c r="BN21050" s="192"/>
      <c r="BO21050" s="197"/>
      <c r="BP21050" s="197"/>
      <c r="BQ21050" s="197"/>
    </row>
    <row r="21051" spans="66:69" x14ac:dyDescent="0.2">
      <c r="BN21051" s="192"/>
      <c r="BO21051" s="197"/>
      <c r="BP21051" s="197"/>
      <c r="BQ21051" s="197"/>
    </row>
    <row r="21052" spans="66:69" x14ac:dyDescent="0.2">
      <c r="BN21052" s="192"/>
      <c r="BO21052" s="197"/>
      <c r="BP21052" s="197"/>
      <c r="BQ21052" s="197"/>
    </row>
    <row r="21053" spans="66:69" x14ac:dyDescent="0.2">
      <c r="BN21053" s="192"/>
      <c r="BO21053" s="197"/>
      <c r="BP21053" s="197"/>
      <c r="BQ21053" s="197"/>
    </row>
    <row r="21054" spans="66:69" x14ac:dyDescent="0.2">
      <c r="BN21054" s="192"/>
      <c r="BO21054" s="197"/>
      <c r="BP21054" s="197"/>
      <c r="BQ21054" s="197"/>
    </row>
    <row r="21055" spans="66:69" x14ac:dyDescent="0.2">
      <c r="BN21055" s="192"/>
      <c r="BO21055" s="197"/>
      <c r="BP21055" s="197"/>
      <c r="BQ21055" s="197"/>
    </row>
    <row r="21056" spans="66:69" x14ac:dyDescent="0.2">
      <c r="BN21056" s="192"/>
      <c r="BO21056" s="197"/>
      <c r="BP21056" s="197"/>
      <c r="BQ21056" s="197"/>
    </row>
    <row r="21057" spans="66:69" x14ac:dyDescent="0.2">
      <c r="BN21057" s="192"/>
      <c r="BO21057" s="197"/>
      <c r="BP21057" s="197"/>
      <c r="BQ21057" s="197"/>
    </row>
    <row r="21058" spans="66:69" x14ac:dyDescent="0.2">
      <c r="BN21058" s="192"/>
      <c r="BO21058" s="197"/>
      <c r="BP21058" s="197"/>
      <c r="BQ21058" s="197"/>
    </row>
    <row r="21059" spans="66:69" x14ac:dyDescent="0.2">
      <c r="BN21059" s="192"/>
      <c r="BO21059" s="197"/>
      <c r="BP21059" s="197"/>
      <c r="BQ21059" s="197"/>
    </row>
    <row r="21060" spans="66:69" x14ac:dyDescent="0.2">
      <c r="BN21060" s="192"/>
      <c r="BO21060" s="197"/>
      <c r="BP21060" s="197"/>
      <c r="BQ21060" s="197"/>
    </row>
    <row r="21061" spans="66:69" x14ac:dyDescent="0.2">
      <c r="BN21061" s="192"/>
      <c r="BO21061" s="197"/>
      <c r="BP21061" s="197"/>
      <c r="BQ21061" s="197"/>
    </row>
    <row r="21062" spans="66:69" x14ac:dyDescent="0.2">
      <c r="BN21062" s="192"/>
      <c r="BO21062" s="197"/>
      <c r="BP21062" s="197"/>
      <c r="BQ21062" s="197"/>
    </row>
    <row r="21063" spans="66:69" x14ac:dyDescent="0.2">
      <c r="BN21063" s="192"/>
      <c r="BO21063" s="197"/>
      <c r="BP21063" s="197"/>
      <c r="BQ21063" s="197"/>
    </row>
    <row r="21064" spans="66:69" x14ac:dyDescent="0.2">
      <c r="BN21064" s="192"/>
      <c r="BO21064" s="197"/>
      <c r="BP21064" s="197"/>
      <c r="BQ21064" s="197"/>
    </row>
    <row r="21065" spans="66:69" x14ac:dyDescent="0.2">
      <c r="BN21065" s="192"/>
      <c r="BO21065" s="197"/>
      <c r="BP21065" s="197"/>
      <c r="BQ21065" s="197"/>
    </row>
    <row r="21066" spans="66:69" x14ac:dyDescent="0.2">
      <c r="BN21066" s="192"/>
      <c r="BO21066" s="197"/>
      <c r="BP21066" s="197"/>
      <c r="BQ21066" s="197"/>
    </row>
    <row r="21067" spans="66:69" x14ac:dyDescent="0.2">
      <c r="BN21067" s="192"/>
      <c r="BO21067" s="197"/>
      <c r="BP21067" s="197"/>
      <c r="BQ21067" s="197"/>
    </row>
    <row r="21068" spans="66:69" x14ac:dyDescent="0.2">
      <c r="BN21068" s="192"/>
      <c r="BO21068" s="197"/>
      <c r="BP21068" s="197"/>
      <c r="BQ21068" s="197"/>
    </row>
    <row r="21069" spans="66:69" x14ac:dyDescent="0.2">
      <c r="BN21069" s="192"/>
      <c r="BO21069" s="197"/>
      <c r="BP21069" s="197"/>
      <c r="BQ21069" s="197"/>
    </row>
    <row r="21070" spans="66:69" x14ac:dyDescent="0.2">
      <c r="BN21070" s="192"/>
      <c r="BO21070" s="197"/>
      <c r="BP21070" s="197"/>
      <c r="BQ21070" s="197"/>
    </row>
    <row r="21071" spans="66:69" x14ac:dyDescent="0.2">
      <c r="BN21071" s="192"/>
      <c r="BO21071" s="197"/>
      <c r="BP21071" s="197"/>
      <c r="BQ21071" s="197"/>
    </row>
    <row r="21072" spans="66:69" x14ac:dyDescent="0.2">
      <c r="BN21072" s="192"/>
      <c r="BO21072" s="197"/>
      <c r="BP21072" s="197"/>
      <c r="BQ21072" s="197"/>
    </row>
    <row r="21073" spans="66:69" x14ac:dyDescent="0.2">
      <c r="BN21073" s="192"/>
      <c r="BO21073" s="197"/>
      <c r="BP21073" s="197"/>
      <c r="BQ21073" s="197"/>
    </row>
    <row r="21074" spans="66:69" x14ac:dyDescent="0.2">
      <c r="BN21074" s="192"/>
      <c r="BO21074" s="197"/>
      <c r="BP21074" s="197"/>
      <c r="BQ21074" s="197"/>
    </row>
    <row r="21075" spans="66:69" x14ac:dyDescent="0.2">
      <c r="BN21075" s="192"/>
      <c r="BO21075" s="197"/>
      <c r="BP21075" s="197"/>
      <c r="BQ21075" s="197"/>
    </row>
    <row r="21076" spans="66:69" x14ac:dyDescent="0.2">
      <c r="BN21076" s="192"/>
      <c r="BO21076" s="197"/>
      <c r="BP21076" s="197"/>
      <c r="BQ21076" s="197"/>
    </row>
    <row r="21077" spans="66:69" x14ac:dyDescent="0.2">
      <c r="BN21077" s="192"/>
      <c r="BO21077" s="197"/>
      <c r="BP21077" s="197"/>
      <c r="BQ21077" s="197"/>
    </row>
    <row r="21078" spans="66:69" x14ac:dyDescent="0.2">
      <c r="BN21078" s="192"/>
      <c r="BO21078" s="197"/>
      <c r="BP21078" s="197"/>
      <c r="BQ21078" s="197"/>
    </row>
    <row r="21079" spans="66:69" x14ac:dyDescent="0.2">
      <c r="BN21079" s="192"/>
      <c r="BO21079" s="197"/>
      <c r="BP21079" s="197"/>
      <c r="BQ21079" s="197"/>
    </row>
    <row r="21080" spans="66:69" x14ac:dyDescent="0.2">
      <c r="BN21080" s="192"/>
      <c r="BO21080" s="197"/>
      <c r="BP21080" s="197"/>
      <c r="BQ21080" s="197"/>
    </row>
    <row r="21081" spans="66:69" x14ac:dyDescent="0.2">
      <c r="BN21081" s="192"/>
      <c r="BO21081" s="197"/>
      <c r="BP21081" s="197"/>
      <c r="BQ21081" s="197"/>
    </row>
    <row r="21082" spans="66:69" x14ac:dyDescent="0.2">
      <c r="BN21082" s="192"/>
      <c r="BO21082" s="197"/>
      <c r="BP21082" s="197"/>
      <c r="BQ21082" s="197"/>
    </row>
    <row r="21083" spans="66:69" x14ac:dyDescent="0.2">
      <c r="BN21083" s="192"/>
      <c r="BO21083" s="197"/>
      <c r="BP21083" s="197"/>
      <c r="BQ21083" s="197"/>
    </row>
    <row r="21084" spans="66:69" x14ac:dyDescent="0.2">
      <c r="BN21084" s="192"/>
      <c r="BO21084" s="197"/>
      <c r="BP21084" s="197"/>
      <c r="BQ21084" s="197"/>
    </row>
    <row r="21085" spans="66:69" x14ac:dyDescent="0.2">
      <c r="BN21085" s="192"/>
      <c r="BO21085" s="197"/>
      <c r="BP21085" s="197"/>
      <c r="BQ21085" s="197"/>
    </row>
    <row r="21086" spans="66:69" x14ac:dyDescent="0.2">
      <c r="BN21086" s="192"/>
      <c r="BO21086" s="197"/>
      <c r="BP21086" s="197"/>
      <c r="BQ21086" s="197"/>
    </row>
    <row r="21087" spans="66:69" x14ac:dyDescent="0.2">
      <c r="BN21087" s="192"/>
      <c r="BO21087" s="197"/>
      <c r="BP21087" s="197"/>
      <c r="BQ21087" s="197"/>
    </row>
    <row r="21088" spans="66:69" x14ac:dyDescent="0.2">
      <c r="BN21088" s="192"/>
      <c r="BO21088" s="197"/>
      <c r="BP21088" s="197"/>
      <c r="BQ21088" s="197"/>
    </row>
    <row r="21089" spans="66:69" x14ac:dyDescent="0.2">
      <c r="BN21089" s="192"/>
      <c r="BO21089" s="197"/>
      <c r="BP21089" s="197"/>
      <c r="BQ21089" s="197"/>
    </row>
    <row r="21090" spans="66:69" x14ac:dyDescent="0.2">
      <c r="BN21090" s="192"/>
      <c r="BO21090" s="197"/>
      <c r="BP21090" s="197"/>
      <c r="BQ21090" s="197"/>
    </row>
    <row r="21091" spans="66:69" x14ac:dyDescent="0.2">
      <c r="BN21091" s="192"/>
      <c r="BO21091" s="197"/>
      <c r="BP21091" s="197"/>
      <c r="BQ21091" s="197"/>
    </row>
    <row r="21092" spans="66:69" x14ac:dyDescent="0.2">
      <c r="BN21092" s="192"/>
      <c r="BO21092" s="197"/>
      <c r="BP21092" s="197"/>
      <c r="BQ21092" s="197"/>
    </row>
    <row r="21093" spans="66:69" x14ac:dyDescent="0.2">
      <c r="BN21093" s="192"/>
      <c r="BO21093" s="197"/>
      <c r="BP21093" s="197"/>
      <c r="BQ21093" s="197"/>
    </row>
    <row r="21094" spans="66:69" x14ac:dyDescent="0.2">
      <c r="BN21094" s="192"/>
      <c r="BO21094" s="197"/>
      <c r="BP21094" s="197"/>
      <c r="BQ21094" s="197"/>
    </row>
    <row r="21095" spans="66:69" x14ac:dyDescent="0.2">
      <c r="BN21095" s="192"/>
      <c r="BO21095" s="197"/>
      <c r="BP21095" s="197"/>
      <c r="BQ21095" s="197"/>
    </row>
    <row r="21096" spans="66:69" x14ac:dyDescent="0.2">
      <c r="BN21096" s="192"/>
      <c r="BO21096" s="197"/>
      <c r="BP21096" s="197"/>
      <c r="BQ21096" s="197"/>
    </row>
    <row r="21097" spans="66:69" x14ac:dyDescent="0.2">
      <c r="BN21097" s="192"/>
      <c r="BO21097" s="197"/>
      <c r="BP21097" s="197"/>
      <c r="BQ21097" s="197"/>
    </row>
    <row r="21098" spans="66:69" x14ac:dyDescent="0.2">
      <c r="BN21098" s="192"/>
      <c r="BO21098" s="197"/>
      <c r="BP21098" s="197"/>
      <c r="BQ21098" s="197"/>
    </row>
    <row r="21099" spans="66:69" x14ac:dyDescent="0.2">
      <c r="BN21099" s="192"/>
      <c r="BO21099" s="197"/>
      <c r="BP21099" s="197"/>
      <c r="BQ21099" s="197"/>
    </row>
    <row r="21100" spans="66:69" x14ac:dyDescent="0.2">
      <c r="BN21100" s="192"/>
      <c r="BO21100" s="197"/>
      <c r="BP21100" s="197"/>
      <c r="BQ21100" s="197"/>
    </row>
    <row r="21101" spans="66:69" x14ac:dyDescent="0.2">
      <c r="BN21101" s="192"/>
      <c r="BO21101" s="197"/>
      <c r="BP21101" s="197"/>
      <c r="BQ21101" s="197"/>
    </row>
    <row r="21102" spans="66:69" x14ac:dyDescent="0.2">
      <c r="BN21102" s="192"/>
      <c r="BO21102" s="197"/>
      <c r="BP21102" s="197"/>
      <c r="BQ21102" s="197"/>
    </row>
    <row r="21103" spans="66:69" x14ac:dyDescent="0.2">
      <c r="BN21103" s="192"/>
      <c r="BO21103" s="197"/>
      <c r="BP21103" s="197"/>
      <c r="BQ21103" s="197"/>
    </row>
    <row r="21104" spans="66:69" x14ac:dyDescent="0.2">
      <c r="BN21104" s="192"/>
      <c r="BO21104" s="197"/>
      <c r="BP21104" s="197"/>
      <c r="BQ21104" s="197"/>
    </row>
    <row r="21105" spans="66:69" x14ac:dyDescent="0.2">
      <c r="BN21105" s="192"/>
      <c r="BO21105" s="197"/>
      <c r="BP21105" s="197"/>
      <c r="BQ21105" s="197"/>
    </row>
    <row r="21106" spans="66:69" x14ac:dyDescent="0.2">
      <c r="BN21106" s="192"/>
      <c r="BO21106" s="197"/>
      <c r="BP21106" s="197"/>
      <c r="BQ21106" s="197"/>
    </row>
    <row r="21107" spans="66:69" x14ac:dyDescent="0.2">
      <c r="BN21107" s="192"/>
      <c r="BO21107" s="197"/>
      <c r="BP21107" s="197"/>
      <c r="BQ21107" s="197"/>
    </row>
    <row r="21108" spans="66:69" x14ac:dyDescent="0.2">
      <c r="BN21108" s="192"/>
      <c r="BO21108" s="197"/>
      <c r="BP21108" s="197"/>
      <c r="BQ21108" s="197"/>
    </row>
    <row r="21109" spans="66:69" x14ac:dyDescent="0.2">
      <c r="BN21109" s="192"/>
      <c r="BO21109" s="197"/>
      <c r="BP21109" s="197"/>
      <c r="BQ21109" s="197"/>
    </row>
    <row r="21110" spans="66:69" x14ac:dyDescent="0.2">
      <c r="BN21110" s="192"/>
      <c r="BO21110" s="197"/>
      <c r="BP21110" s="197"/>
      <c r="BQ21110" s="197"/>
    </row>
    <row r="21111" spans="66:69" x14ac:dyDescent="0.2">
      <c r="BN21111" s="192"/>
      <c r="BO21111" s="197"/>
      <c r="BP21111" s="197"/>
      <c r="BQ21111" s="197"/>
    </row>
    <row r="21112" spans="66:69" x14ac:dyDescent="0.2">
      <c r="BN21112" s="192"/>
      <c r="BO21112" s="197"/>
      <c r="BP21112" s="197"/>
      <c r="BQ21112" s="197"/>
    </row>
    <row r="21113" spans="66:69" x14ac:dyDescent="0.2">
      <c r="BN21113" s="192"/>
      <c r="BO21113" s="197"/>
      <c r="BP21113" s="197"/>
      <c r="BQ21113" s="197"/>
    </row>
    <row r="21114" spans="66:69" x14ac:dyDescent="0.2">
      <c r="BN21114" s="192"/>
      <c r="BO21114" s="197"/>
      <c r="BP21114" s="197"/>
      <c r="BQ21114" s="197"/>
    </row>
    <row r="21115" spans="66:69" x14ac:dyDescent="0.2">
      <c r="BN21115" s="192"/>
      <c r="BO21115" s="197"/>
      <c r="BP21115" s="197"/>
      <c r="BQ21115" s="197"/>
    </row>
    <row r="21116" spans="66:69" x14ac:dyDescent="0.2">
      <c r="BN21116" s="192"/>
      <c r="BO21116" s="197"/>
      <c r="BP21116" s="197"/>
      <c r="BQ21116" s="197"/>
    </row>
    <row r="21117" spans="66:69" x14ac:dyDescent="0.2">
      <c r="BN21117" s="192"/>
      <c r="BO21117" s="197"/>
      <c r="BP21117" s="197"/>
      <c r="BQ21117" s="197"/>
    </row>
    <row r="21118" spans="66:69" x14ac:dyDescent="0.2">
      <c r="BN21118" s="192"/>
      <c r="BO21118" s="197"/>
      <c r="BP21118" s="197"/>
      <c r="BQ21118" s="197"/>
    </row>
    <row r="21119" spans="66:69" x14ac:dyDescent="0.2">
      <c r="BN21119" s="192"/>
      <c r="BO21119" s="197"/>
      <c r="BP21119" s="197"/>
      <c r="BQ21119" s="197"/>
    </row>
    <row r="21120" spans="66:69" x14ac:dyDescent="0.2">
      <c r="BN21120" s="192"/>
      <c r="BO21120" s="197"/>
      <c r="BP21120" s="197"/>
      <c r="BQ21120" s="197"/>
    </row>
    <row r="21121" spans="66:69" x14ac:dyDescent="0.2">
      <c r="BN21121" s="192"/>
      <c r="BO21121" s="197"/>
      <c r="BP21121" s="197"/>
      <c r="BQ21121" s="197"/>
    </row>
    <row r="21122" spans="66:69" x14ac:dyDescent="0.2">
      <c r="BN21122" s="192"/>
      <c r="BO21122" s="197"/>
      <c r="BP21122" s="197"/>
      <c r="BQ21122" s="197"/>
    </row>
    <row r="21123" spans="66:69" x14ac:dyDescent="0.2">
      <c r="BN21123" s="192"/>
      <c r="BO21123" s="197"/>
      <c r="BP21123" s="197"/>
      <c r="BQ21123" s="197"/>
    </row>
    <row r="21124" spans="66:69" x14ac:dyDescent="0.2">
      <c r="BN21124" s="192"/>
      <c r="BO21124" s="197"/>
      <c r="BP21124" s="197"/>
      <c r="BQ21124" s="197"/>
    </row>
    <row r="21125" spans="66:69" x14ac:dyDescent="0.2">
      <c r="BN21125" s="192"/>
      <c r="BO21125" s="197"/>
      <c r="BP21125" s="197"/>
      <c r="BQ21125" s="197"/>
    </row>
    <row r="21126" spans="66:69" x14ac:dyDescent="0.2">
      <c r="BN21126" s="192"/>
      <c r="BO21126" s="197"/>
      <c r="BP21126" s="197"/>
      <c r="BQ21126" s="197"/>
    </row>
    <row r="21127" spans="66:69" x14ac:dyDescent="0.2">
      <c r="BN21127" s="192"/>
      <c r="BO21127" s="197"/>
      <c r="BP21127" s="197"/>
      <c r="BQ21127" s="197"/>
    </row>
    <row r="21128" spans="66:69" x14ac:dyDescent="0.2">
      <c r="BN21128" s="192"/>
      <c r="BO21128" s="197"/>
      <c r="BP21128" s="197"/>
      <c r="BQ21128" s="197"/>
    </row>
    <row r="21129" spans="66:69" x14ac:dyDescent="0.2">
      <c r="BN21129" s="192"/>
      <c r="BO21129" s="197"/>
      <c r="BP21129" s="197"/>
      <c r="BQ21129" s="197"/>
    </row>
    <row r="21130" spans="66:69" x14ac:dyDescent="0.2">
      <c r="BN21130" s="192"/>
      <c r="BO21130" s="197"/>
      <c r="BP21130" s="197"/>
      <c r="BQ21130" s="197"/>
    </row>
    <row r="21131" spans="66:69" x14ac:dyDescent="0.2">
      <c r="BN21131" s="192"/>
      <c r="BO21131" s="197"/>
      <c r="BP21131" s="197"/>
      <c r="BQ21131" s="197"/>
    </row>
    <row r="21132" spans="66:69" x14ac:dyDescent="0.2">
      <c r="BN21132" s="192"/>
      <c r="BO21132" s="197"/>
      <c r="BP21132" s="197"/>
      <c r="BQ21132" s="197"/>
    </row>
    <row r="21133" spans="66:69" x14ac:dyDescent="0.2">
      <c r="BN21133" s="192"/>
      <c r="BO21133" s="197"/>
      <c r="BP21133" s="197"/>
      <c r="BQ21133" s="197"/>
    </row>
    <row r="21134" spans="66:69" x14ac:dyDescent="0.2">
      <c r="BN21134" s="192"/>
      <c r="BO21134" s="197"/>
      <c r="BP21134" s="197"/>
      <c r="BQ21134" s="197"/>
    </row>
    <row r="21135" spans="66:69" x14ac:dyDescent="0.2">
      <c r="BN21135" s="192"/>
      <c r="BO21135" s="197"/>
      <c r="BP21135" s="197"/>
      <c r="BQ21135" s="197"/>
    </row>
    <row r="21136" spans="66:69" x14ac:dyDescent="0.2">
      <c r="BN21136" s="192"/>
      <c r="BO21136" s="197"/>
      <c r="BP21136" s="197"/>
      <c r="BQ21136" s="197"/>
    </row>
    <row r="21137" spans="66:69" x14ac:dyDescent="0.2">
      <c r="BN21137" s="192"/>
      <c r="BO21137" s="197"/>
      <c r="BP21137" s="197"/>
      <c r="BQ21137" s="197"/>
    </row>
    <row r="21138" spans="66:69" x14ac:dyDescent="0.2">
      <c r="BN21138" s="192"/>
      <c r="BO21138" s="197"/>
      <c r="BP21138" s="197"/>
      <c r="BQ21138" s="197"/>
    </row>
    <row r="21139" spans="66:69" x14ac:dyDescent="0.2">
      <c r="BN21139" s="192"/>
      <c r="BO21139" s="197"/>
      <c r="BP21139" s="197"/>
      <c r="BQ21139" s="197"/>
    </row>
    <row r="21140" spans="66:69" x14ac:dyDescent="0.2">
      <c r="BN21140" s="192"/>
      <c r="BO21140" s="197"/>
      <c r="BP21140" s="197"/>
      <c r="BQ21140" s="197"/>
    </row>
    <row r="21141" spans="66:69" x14ac:dyDescent="0.2">
      <c r="BN21141" s="192"/>
      <c r="BO21141" s="197"/>
      <c r="BP21141" s="197"/>
      <c r="BQ21141" s="197"/>
    </row>
    <row r="21142" spans="66:69" x14ac:dyDescent="0.2">
      <c r="BN21142" s="192"/>
      <c r="BO21142" s="197"/>
      <c r="BP21142" s="197"/>
      <c r="BQ21142" s="197"/>
    </row>
    <row r="21143" spans="66:69" x14ac:dyDescent="0.2">
      <c r="BN21143" s="192"/>
      <c r="BO21143" s="197"/>
      <c r="BP21143" s="197"/>
      <c r="BQ21143" s="197"/>
    </row>
    <row r="21144" spans="66:69" x14ac:dyDescent="0.2">
      <c r="BN21144" s="192"/>
      <c r="BO21144" s="197"/>
      <c r="BP21144" s="197"/>
      <c r="BQ21144" s="197"/>
    </row>
    <row r="21145" spans="66:69" x14ac:dyDescent="0.2">
      <c r="BN21145" s="192"/>
      <c r="BO21145" s="197"/>
      <c r="BP21145" s="197"/>
      <c r="BQ21145" s="197"/>
    </row>
    <row r="21146" spans="66:69" x14ac:dyDescent="0.2">
      <c r="BN21146" s="192"/>
      <c r="BO21146" s="197"/>
      <c r="BP21146" s="197"/>
      <c r="BQ21146" s="197"/>
    </row>
    <row r="21147" spans="66:69" x14ac:dyDescent="0.2">
      <c r="BN21147" s="192"/>
      <c r="BO21147" s="197"/>
      <c r="BP21147" s="197"/>
      <c r="BQ21147" s="197"/>
    </row>
    <row r="21148" spans="66:69" x14ac:dyDescent="0.2">
      <c r="BN21148" s="192"/>
      <c r="BO21148" s="197"/>
      <c r="BP21148" s="197"/>
      <c r="BQ21148" s="197"/>
    </row>
    <row r="21149" spans="66:69" x14ac:dyDescent="0.2">
      <c r="BN21149" s="192"/>
      <c r="BO21149" s="197"/>
      <c r="BP21149" s="197"/>
      <c r="BQ21149" s="197"/>
    </row>
    <row r="21150" spans="66:69" x14ac:dyDescent="0.2">
      <c r="BN21150" s="192"/>
      <c r="BO21150" s="197"/>
      <c r="BP21150" s="197"/>
      <c r="BQ21150" s="197"/>
    </row>
    <row r="21151" spans="66:69" x14ac:dyDescent="0.2">
      <c r="BN21151" s="192"/>
      <c r="BO21151" s="197"/>
      <c r="BP21151" s="197"/>
      <c r="BQ21151" s="197"/>
    </row>
    <row r="21152" spans="66:69" x14ac:dyDescent="0.2">
      <c r="BN21152" s="192"/>
      <c r="BO21152" s="197"/>
      <c r="BP21152" s="197"/>
      <c r="BQ21152" s="197"/>
    </row>
    <row r="21153" spans="66:69" x14ac:dyDescent="0.2">
      <c r="BN21153" s="192"/>
      <c r="BO21153" s="197"/>
      <c r="BP21153" s="197"/>
      <c r="BQ21153" s="197"/>
    </row>
    <row r="21154" spans="66:69" x14ac:dyDescent="0.2">
      <c r="BN21154" s="192"/>
      <c r="BO21154" s="197"/>
      <c r="BP21154" s="197"/>
      <c r="BQ21154" s="197"/>
    </row>
    <row r="21155" spans="66:69" x14ac:dyDescent="0.2">
      <c r="BN21155" s="192"/>
      <c r="BO21155" s="197"/>
      <c r="BP21155" s="197"/>
      <c r="BQ21155" s="197"/>
    </row>
    <row r="21156" spans="66:69" x14ac:dyDescent="0.2">
      <c r="BN21156" s="192"/>
      <c r="BO21156" s="197"/>
      <c r="BP21156" s="197"/>
      <c r="BQ21156" s="197"/>
    </row>
    <row r="21157" spans="66:69" x14ac:dyDescent="0.2">
      <c r="BN21157" s="192"/>
      <c r="BO21157" s="197"/>
      <c r="BP21157" s="197"/>
      <c r="BQ21157" s="197"/>
    </row>
    <row r="21158" spans="66:69" x14ac:dyDescent="0.2">
      <c r="BN21158" s="192"/>
      <c r="BO21158" s="197"/>
      <c r="BP21158" s="197"/>
      <c r="BQ21158" s="197"/>
    </row>
    <row r="21159" spans="66:69" x14ac:dyDescent="0.2">
      <c r="BN21159" s="192"/>
      <c r="BO21159" s="197"/>
      <c r="BP21159" s="197"/>
      <c r="BQ21159" s="197"/>
    </row>
    <row r="21160" spans="66:69" x14ac:dyDescent="0.2">
      <c r="BN21160" s="192"/>
      <c r="BO21160" s="197"/>
      <c r="BP21160" s="197"/>
      <c r="BQ21160" s="197"/>
    </row>
    <row r="21161" spans="66:69" x14ac:dyDescent="0.2">
      <c r="BN21161" s="192"/>
      <c r="BO21161" s="197"/>
      <c r="BP21161" s="197"/>
      <c r="BQ21161" s="197"/>
    </row>
    <row r="21162" spans="66:69" x14ac:dyDescent="0.2">
      <c r="BN21162" s="192"/>
      <c r="BO21162" s="197"/>
      <c r="BP21162" s="197"/>
      <c r="BQ21162" s="197"/>
    </row>
    <row r="21163" spans="66:69" x14ac:dyDescent="0.2">
      <c r="BN21163" s="192"/>
      <c r="BO21163" s="197"/>
      <c r="BP21163" s="197"/>
      <c r="BQ21163" s="197"/>
    </row>
    <row r="21164" spans="66:69" x14ac:dyDescent="0.2">
      <c r="BN21164" s="192"/>
      <c r="BO21164" s="197"/>
      <c r="BP21164" s="197"/>
      <c r="BQ21164" s="197"/>
    </row>
    <row r="21165" spans="66:69" x14ac:dyDescent="0.2">
      <c r="BN21165" s="192"/>
      <c r="BO21165" s="197"/>
      <c r="BP21165" s="197"/>
      <c r="BQ21165" s="197"/>
    </row>
    <row r="21166" spans="66:69" x14ac:dyDescent="0.2">
      <c r="BN21166" s="192"/>
      <c r="BO21166" s="197"/>
      <c r="BP21166" s="197"/>
      <c r="BQ21166" s="197"/>
    </row>
    <row r="21167" spans="66:69" x14ac:dyDescent="0.2">
      <c r="BN21167" s="192"/>
      <c r="BO21167" s="197"/>
      <c r="BP21167" s="197"/>
      <c r="BQ21167" s="197"/>
    </row>
    <row r="21168" spans="66:69" x14ac:dyDescent="0.2">
      <c r="BN21168" s="192"/>
      <c r="BO21168" s="197"/>
      <c r="BP21168" s="197"/>
      <c r="BQ21168" s="197"/>
    </row>
    <row r="21169" spans="66:69" x14ac:dyDescent="0.2">
      <c r="BN21169" s="192"/>
      <c r="BO21169" s="197"/>
      <c r="BP21169" s="197"/>
      <c r="BQ21169" s="197"/>
    </row>
    <row r="21170" spans="66:69" x14ac:dyDescent="0.2">
      <c r="BN21170" s="192"/>
      <c r="BO21170" s="197"/>
      <c r="BP21170" s="197"/>
      <c r="BQ21170" s="197"/>
    </row>
    <row r="21171" spans="66:69" x14ac:dyDescent="0.2">
      <c r="BN21171" s="192"/>
      <c r="BO21171" s="197"/>
      <c r="BP21171" s="197"/>
      <c r="BQ21171" s="197"/>
    </row>
    <row r="21172" spans="66:69" x14ac:dyDescent="0.2">
      <c r="BN21172" s="192"/>
      <c r="BO21172" s="197"/>
      <c r="BP21172" s="197"/>
      <c r="BQ21172" s="197"/>
    </row>
    <row r="21173" spans="66:69" x14ac:dyDescent="0.2">
      <c r="BN21173" s="192"/>
      <c r="BO21173" s="197"/>
      <c r="BP21173" s="197"/>
      <c r="BQ21173" s="197"/>
    </row>
    <row r="21174" spans="66:69" x14ac:dyDescent="0.2">
      <c r="BN21174" s="192"/>
      <c r="BO21174" s="197"/>
      <c r="BP21174" s="197"/>
      <c r="BQ21174" s="197"/>
    </row>
    <row r="21175" spans="66:69" x14ac:dyDescent="0.2">
      <c r="BN21175" s="192"/>
      <c r="BO21175" s="197"/>
      <c r="BP21175" s="197"/>
      <c r="BQ21175" s="197"/>
    </row>
    <row r="21176" spans="66:69" x14ac:dyDescent="0.2">
      <c r="BN21176" s="192"/>
      <c r="BO21176" s="197"/>
      <c r="BP21176" s="197"/>
      <c r="BQ21176" s="197"/>
    </row>
    <row r="21177" spans="66:69" x14ac:dyDescent="0.2">
      <c r="BN21177" s="192"/>
      <c r="BO21177" s="197"/>
      <c r="BP21177" s="197"/>
      <c r="BQ21177" s="197"/>
    </row>
    <row r="21178" spans="66:69" x14ac:dyDescent="0.2">
      <c r="BN21178" s="192"/>
      <c r="BO21178" s="197"/>
      <c r="BP21178" s="197"/>
      <c r="BQ21178" s="197"/>
    </row>
    <row r="21179" spans="66:69" x14ac:dyDescent="0.2">
      <c r="BN21179" s="192"/>
      <c r="BO21179" s="197"/>
      <c r="BP21179" s="197"/>
      <c r="BQ21179" s="197"/>
    </row>
    <row r="21180" spans="66:69" x14ac:dyDescent="0.2">
      <c r="BN21180" s="192"/>
      <c r="BO21180" s="197"/>
      <c r="BP21180" s="197"/>
      <c r="BQ21180" s="197"/>
    </row>
    <row r="21181" spans="66:69" x14ac:dyDescent="0.2">
      <c r="BN21181" s="192"/>
      <c r="BO21181" s="197"/>
      <c r="BP21181" s="197"/>
      <c r="BQ21181" s="197"/>
    </row>
    <row r="21182" spans="66:69" x14ac:dyDescent="0.2">
      <c r="BN21182" s="192"/>
      <c r="BO21182" s="197"/>
      <c r="BP21182" s="197"/>
      <c r="BQ21182" s="197"/>
    </row>
    <row r="21183" spans="66:69" x14ac:dyDescent="0.2">
      <c r="BN21183" s="192"/>
      <c r="BO21183" s="197"/>
      <c r="BP21183" s="197"/>
      <c r="BQ21183" s="197"/>
    </row>
    <row r="21184" spans="66:69" x14ac:dyDescent="0.2">
      <c r="BN21184" s="192"/>
      <c r="BO21184" s="197"/>
      <c r="BP21184" s="197"/>
      <c r="BQ21184" s="197"/>
    </row>
    <row r="21185" spans="66:69" x14ac:dyDescent="0.2">
      <c r="BN21185" s="192"/>
      <c r="BO21185" s="197"/>
      <c r="BP21185" s="197"/>
      <c r="BQ21185" s="197"/>
    </row>
    <row r="21186" spans="66:69" x14ac:dyDescent="0.2">
      <c r="BN21186" s="192"/>
      <c r="BO21186" s="197"/>
      <c r="BP21186" s="197"/>
      <c r="BQ21186" s="197"/>
    </row>
    <row r="21187" spans="66:69" x14ac:dyDescent="0.2">
      <c r="BN21187" s="192"/>
      <c r="BO21187" s="197"/>
      <c r="BP21187" s="197"/>
      <c r="BQ21187" s="197"/>
    </row>
    <row r="21188" spans="66:69" x14ac:dyDescent="0.2">
      <c r="BN21188" s="192"/>
      <c r="BO21188" s="197"/>
      <c r="BP21188" s="197"/>
      <c r="BQ21188" s="197"/>
    </row>
    <row r="21189" spans="66:69" x14ac:dyDescent="0.2">
      <c r="BN21189" s="192"/>
      <c r="BO21189" s="197"/>
      <c r="BP21189" s="197"/>
      <c r="BQ21189" s="197"/>
    </row>
    <row r="21190" spans="66:69" x14ac:dyDescent="0.2">
      <c r="BN21190" s="192"/>
      <c r="BO21190" s="197"/>
      <c r="BP21190" s="197"/>
      <c r="BQ21190" s="197"/>
    </row>
    <row r="21191" spans="66:69" x14ac:dyDescent="0.2">
      <c r="BN21191" s="192"/>
      <c r="BO21191" s="197"/>
      <c r="BP21191" s="197"/>
      <c r="BQ21191" s="197"/>
    </row>
    <row r="21192" spans="66:69" x14ac:dyDescent="0.2">
      <c r="BN21192" s="192"/>
      <c r="BO21192" s="197"/>
      <c r="BP21192" s="197"/>
      <c r="BQ21192" s="197"/>
    </row>
    <row r="21193" spans="66:69" x14ac:dyDescent="0.2">
      <c r="BN21193" s="192"/>
      <c r="BO21193" s="197"/>
      <c r="BP21193" s="197"/>
      <c r="BQ21193" s="197"/>
    </row>
    <row r="21194" spans="66:69" x14ac:dyDescent="0.2">
      <c r="BN21194" s="192"/>
      <c r="BO21194" s="197"/>
      <c r="BP21194" s="197"/>
      <c r="BQ21194" s="197"/>
    </row>
    <row r="21195" spans="66:69" x14ac:dyDescent="0.2">
      <c r="BN21195" s="192"/>
      <c r="BO21195" s="197"/>
      <c r="BP21195" s="197"/>
      <c r="BQ21195" s="197"/>
    </row>
    <row r="21196" spans="66:69" x14ac:dyDescent="0.2">
      <c r="BN21196" s="192"/>
      <c r="BO21196" s="197"/>
      <c r="BP21196" s="197"/>
      <c r="BQ21196" s="197"/>
    </row>
    <row r="21197" spans="66:69" x14ac:dyDescent="0.2">
      <c r="BN21197" s="192"/>
      <c r="BO21197" s="197"/>
      <c r="BP21197" s="197"/>
      <c r="BQ21197" s="197"/>
    </row>
    <row r="21198" spans="66:69" x14ac:dyDescent="0.2">
      <c r="BN21198" s="192"/>
      <c r="BO21198" s="197"/>
      <c r="BP21198" s="197"/>
      <c r="BQ21198" s="197"/>
    </row>
    <row r="21199" spans="66:69" x14ac:dyDescent="0.2">
      <c r="BN21199" s="192"/>
      <c r="BO21199" s="197"/>
      <c r="BP21199" s="197"/>
      <c r="BQ21199" s="197"/>
    </row>
    <row r="21200" spans="66:69" x14ac:dyDescent="0.2">
      <c r="BN21200" s="192"/>
      <c r="BO21200" s="197"/>
      <c r="BP21200" s="197"/>
      <c r="BQ21200" s="197"/>
    </row>
    <row r="21201" spans="66:69" x14ac:dyDescent="0.2">
      <c r="BN21201" s="192"/>
      <c r="BO21201" s="197"/>
      <c r="BP21201" s="197"/>
      <c r="BQ21201" s="197"/>
    </row>
    <row r="21202" spans="66:69" x14ac:dyDescent="0.2">
      <c r="BN21202" s="192"/>
      <c r="BO21202" s="197"/>
      <c r="BP21202" s="197"/>
      <c r="BQ21202" s="197"/>
    </row>
    <row r="21203" spans="66:69" x14ac:dyDescent="0.2">
      <c r="BN21203" s="192"/>
      <c r="BO21203" s="197"/>
      <c r="BP21203" s="197"/>
      <c r="BQ21203" s="197"/>
    </row>
    <row r="21204" spans="66:69" x14ac:dyDescent="0.2">
      <c r="BN21204" s="192"/>
      <c r="BO21204" s="197"/>
      <c r="BP21204" s="197"/>
      <c r="BQ21204" s="197"/>
    </row>
    <row r="21205" spans="66:69" x14ac:dyDescent="0.2">
      <c r="BN21205" s="192"/>
      <c r="BO21205" s="197"/>
      <c r="BP21205" s="197"/>
      <c r="BQ21205" s="197"/>
    </row>
    <row r="21206" spans="66:69" x14ac:dyDescent="0.2">
      <c r="BN21206" s="192"/>
      <c r="BO21206" s="197"/>
      <c r="BP21206" s="197"/>
      <c r="BQ21206" s="197"/>
    </row>
    <row r="21207" spans="66:69" x14ac:dyDescent="0.2">
      <c r="BN21207" s="192"/>
      <c r="BO21207" s="197"/>
      <c r="BP21207" s="197"/>
      <c r="BQ21207" s="197"/>
    </row>
    <row r="21208" spans="66:69" x14ac:dyDescent="0.2">
      <c r="BN21208" s="192"/>
      <c r="BO21208" s="197"/>
      <c r="BP21208" s="197"/>
      <c r="BQ21208" s="197"/>
    </row>
    <row r="21209" spans="66:69" x14ac:dyDescent="0.2">
      <c r="BN21209" s="192"/>
      <c r="BO21209" s="197"/>
      <c r="BP21209" s="197"/>
      <c r="BQ21209" s="197"/>
    </row>
    <row r="21210" spans="66:69" x14ac:dyDescent="0.2">
      <c r="BN21210" s="192"/>
      <c r="BO21210" s="197"/>
      <c r="BP21210" s="197"/>
      <c r="BQ21210" s="197"/>
    </row>
    <row r="21211" spans="66:69" x14ac:dyDescent="0.2">
      <c r="BN21211" s="192"/>
      <c r="BO21211" s="197"/>
      <c r="BP21211" s="197"/>
      <c r="BQ21211" s="197"/>
    </row>
    <row r="21212" spans="66:69" x14ac:dyDescent="0.2">
      <c r="BN21212" s="192"/>
      <c r="BO21212" s="197"/>
      <c r="BP21212" s="197"/>
      <c r="BQ21212" s="197"/>
    </row>
    <row r="21213" spans="66:69" x14ac:dyDescent="0.2">
      <c r="BN21213" s="192"/>
      <c r="BO21213" s="197"/>
      <c r="BP21213" s="197"/>
      <c r="BQ21213" s="197"/>
    </row>
    <row r="21214" spans="66:69" x14ac:dyDescent="0.2">
      <c r="BN21214" s="192"/>
      <c r="BO21214" s="197"/>
      <c r="BP21214" s="197"/>
      <c r="BQ21214" s="197"/>
    </row>
    <row r="21215" spans="66:69" x14ac:dyDescent="0.2">
      <c r="BN21215" s="192"/>
      <c r="BO21215" s="197"/>
      <c r="BP21215" s="197"/>
      <c r="BQ21215" s="197"/>
    </row>
    <row r="21216" spans="66:69" x14ac:dyDescent="0.2">
      <c r="BN21216" s="192"/>
      <c r="BO21216" s="197"/>
      <c r="BP21216" s="197"/>
      <c r="BQ21216" s="197"/>
    </row>
    <row r="21217" spans="66:69" x14ac:dyDescent="0.2">
      <c r="BN21217" s="192"/>
      <c r="BO21217" s="197"/>
      <c r="BP21217" s="197"/>
      <c r="BQ21217" s="197"/>
    </row>
    <row r="21218" spans="66:69" x14ac:dyDescent="0.2">
      <c r="BN21218" s="192"/>
      <c r="BO21218" s="197"/>
      <c r="BP21218" s="197"/>
      <c r="BQ21218" s="197"/>
    </row>
    <row r="21219" spans="66:69" x14ac:dyDescent="0.2">
      <c r="BN21219" s="192"/>
      <c r="BO21219" s="197"/>
      <c r="BP21219" s="197"/>
      <c r="BQ21219" s="197"/>
    </row>
    <row r="21220" spans="66:69" x14ac:dyDescent="0.2">
      <c r="BN21220" s="192"/>
      <c r="BO21220" s="197"/>
      <c r="BP21220" s="197"/>
      <c r="BQ21220" s="197"/>
    </row>
    <row r="21221" spans="66:69" x14ac:dyDescent="0.2">
      <c r="BN21221" s="192"/>
      <c r="BO21221" s="197"/>
      <c r="BP21221" s="197"/>
      <c r="BQ21221" s="197"/>
    </row>
    <row r="21222" spans="66:69" x14ac:dyDescent="0.2">
      <c r="BN21222" s="192"/>
      <c r="BO21222" s="197"/>
      <c r="BP21222" s="197"/>
      <c r="BQ21222" s="197"/>
    </row>
    <row r="21223" spans="66:69" x14ac:dyDescent="0.2">
      <c r="BN21223" s="192"/>
      <c r="BO21223" s="197"/>
      <c r="BP21223" s="197"/>
      <c r="BQ21223" s="197"/>
    </row>
    <row r="21224" spans="66:69" x14ac:dyDescent="0.2">
      <c r="BN21224" s="192"/>
      <c r="BO21224" s="197"/>
      <c r="BP21224" s="197"/>
      <c r="BQ21224" s="197"/>
    </row>
    <row r="21225" spans="66:69" x14ac:dyDescent="0.2">
      <c r="BN21225" s="192"/>
      <c r="BO21225" s="197"/>
      <c r="BP21225" s="197"/>
      <c r="BQ21225" s="197"/>
    </row>
    <row r="21226" spans="66:69" x14ac:dyDescent="0.2">
      <c r="BN21226" s="192"/>
      <c r="BO21226" s="197"/>
      <c r="BP21226" s="197"/>
      <c r="BQ21226" s="197"/>
    </row>
    <row r="21227" spans="66:69" x14ac:dyDescent="0.2">
      <c r="BN21227" s="192"/>
      <c r="BO21227" s="197"/>
      <c r="BP21227" s="197"/>
      <c r="BQ21227" s="197"/>
    </row>
    <row r="21228" spans="66:69" x14ac:dyDescent="0.2">
      <c r="BN21228" s="192"/>
      <c r="BO21228" s="197"/>
      <c r="BP21228" s="197"/>
      <c r="BQ21228" s="197"/>
    </row>
    <row r="21229" spans="66:69" x14ac:dyDescent="0.2">
      <c r="BN21229" s="192"/>
      <c r="BO21229" s="197"/>
      <c r="BP21229" s="197"/>
      <c r="BQ21229" s="197"/>
    </row>
    <row r="21230" spans="66:69" x14ac:dyDescent="0.2">
      <c r="BN21230" s="192"/>
      <c r="BO21230" s="197"/>
      <c r="BP21230" s="197"/>
      <c r="BQ21230" s="197"/>
    </row>
    <row r="21231" spans="66:69" x14ac:dyDescent="0.2">
      <c r="BN21231" s="192"/>
      <c r="BO21231" s="197"/>
      <c r="BP21231" s="197"/>
      <c r="BQ21231" s="197"/>
    </row>
    <row r="21232" spans="66:69" x14ac:dyDescent="0.2">
      <c r="BN21232" s="192"/>
      <c r="BO21232" s="197"/>
      <c r="BP21232" s="197"/>
      <c r="BQ21232" s="197"/>
    </row>
    <row r="21233" spans="66:69" x14ac:dyDescent="0.2">
      <c r="BN21233" s="192"/>
      <c r="BO21233" s="197"/>
      <c r="BP21233" s="197"/>
      <c r="BQ21233" s="197"/>
    </row>
    <row r="21234" spans="66:69" x14ac:dyDescent="0.2">
      <c r="BN21234" s="192"/>
      <c r="BO21234" s="197"/>
      <c r="BP21234" s="197"/>
      <c r="BQ21234" s="197"/>
    </row>
    <row r="21235" spans="66:69" x14ac:dyDescent="0.2">
      <c r="BN21235" s="192"/>
      <c r="BO21235" s="197"/>
      <c r="BP21235" s="197"/>
      <c r="BQ21235" s="197"/>
    </row>
    <row r="21236" spans="66:69" x14ac:dyDescent="0.2">
      <c r="BN21236" s="192"/>
      <c r="BO21236" s="197"/>
      <c r="BP21236" s="197"/>
      <c r="BQ21236" s="197"/>
    </row>
    <row r="21237" spans="66:69" x14ac:dyDescent="0.2">
      <c r="BN21237" s="192"/>
      <c r="BO21237" s="197"/>
      <c r="BP21237" s="197"/>
      <c r="BQ21237" s="197"/>
    </row>
    <row r="21238" spans="66:69" x14ac:dyDescent="0.2">
      <c r="BN21238" s="192"/>
      <c r="BO21238" s="197"/>
      <c r="BP21238" s="197"/>
      <c r="BQ21238" s="197"/>
    </row>
    <row r="21239" spans="66:69" x14ac:dyDescent="0.2">
      <c r="BN21239" s="192"/>
      <c r="BO21239" s="197"/>
      <c r="BP21239" s="197"/>
      <c r="BQ21239" s="197"/>
    </row>
    <row r="21240" spans="66:69" x14ac:dyDescent="0.2">
      <c r="BN21240" s="192"/>
      <c r="BO21240" s="197"/>
      <c r="BP21240" s="197"/>
      <c r="BQ21240" s="197"/>
    </row>
    <row r="21241" spans="66:69" x14ac:dyDescent="0.2">
      <c r="BN21241" s="192"/>
      <c r="BO21241" s="197"/>
      <c r="BP21241" s="197"/>
      <c r="BQ21241" s="197"/>
    </row>
    <row r="21242" spans="66:69" x14ac:dyDescent="0.2">
      <c r="BN21242" s="192"/>
      <c r="BO21242" s="197"/>
      <c r="BP21242" s="197"/>
      <c r="BQ21242" s="197"/>
    </row>
    <row r="21243" spans="66:69" x14ac:dyDescent="0.2">
      <c r="BN21243" s="192"/>
      <c r="BO21243" s="197"/>
      <c r="BP21243" s="197"/>
      <c r="BQ21243" s="197"/>
    </row>
    <row r="21244" spans="66:69" x14ac:dyDescent="0.2">
      <c r="BN21244" s="192"/>
      <c r="BO21244" s="197"/>
      <c r="BP21244" s="197"/>
      <c r="BQ21244" s="197"/>
    </row>
    <row r="21245" spans="66:69" x14ac:dyDescent="0.2">
      <c r="BN21245" s="192"/>
      <c r="BO21245" s="197"/>
      <c r="BP21245" s="197"/>
      <c r="BQ21245" s="197"/>
    </row>
    <row r="21246" spans="66:69" x14ac:dyDescent="0.2">
      <c r="BN21246" s="192"/>
      <c r="BO21246" s="197"/>
      <c r="BP21246" s="197"/>
      <c r="BQ21246" s="197"/>
    </row>
    <row r="21247" spans="66:69" x14ac:dyDescent="0.2">
      <c r="BN21247" s="192"/>
      <c r="BO21247" s="197"/>
      <c r="BP21247" s="197"/>
      <c r="BQ21247" s="197"/>
    </row>
    <row r="21248" spans="66:69" x14ac:dyDescent="0.2">
      <c r="BN21248" s="192"/>
      <c r="BO21248" s="197"/>
      <c r="BP21248" s="197"/>
      <c r="BQ21248" s="197"/>
    </row>
    <row r="21249" spans="66:69" x14ac:dyDescent="0.2">
      <c r="BN21249" s="192"/>
      <c r="BO21249" s="197"/>
      <c r="BP21249" s="197"/>
      <c r="BQ21249" s="197"/>
    </row>
    <row r="21250" spans="66:69" x14ac:dyDescent="0.2">
      <c r="BN21250" s="192"/>
      <c r="BO21250" s="197"/>
      <c r="BP21250" s="197"/>
      <c r="BQ21250" s="197"/>
    </row>
    <row r="21251" spans="66:69" x14ac:dyDescent="0.2">
      <c r="BN21251" s="192"/>
      <c r="BO21251" s="197"/>
      <c r="BP21251" s="197"/>
      <c r="BQ21251" s="197"/>
    </row>
    <row r="21252" spans="66:69" x14ac:dyDescent="0.2">
      <c r="BN21252" s="192"/>
      <c r="BO21252" s="197"/>
      <c r="BP21252" s="197"/>
      <c r="BQ21252" s="197"/>
    </row>
    <row r="21253" spans="66:69" x14ac:dyDescent="0.2">
      <c r="BN21253" s="192"/>
      <c r="BO21253" s="197"/>
      <c r="BP21253" s="197"/>
      <c r="BQ21253" s="197"/>
    </row>
    <row r="21254" spans="66:69" x14ac:dyDescent="0.2">
      <c r="BN21254" s="192"/>
      <c r="BO21254" s="197"/>
      <c r="BP21254" s="197"/>
      <c r="BQ21254" s="197"/>
    </row>
    <row r="21255" spans="66:69" x14ac:dyDescent="0.2">
      <c r="BN21255" s="192"/>
      <c r="BO21255" s="197"/>
      <c r="BP21255" s="197"/>
      <c r="BQ21255" s="197"/>
    </row>
    <row r="21256" spans="66:69" x14ac:dyDescent="0.2">
      <c r="BN21256" s="192"/>
      <c r="BO21256" s="197"/>
      <c r="BP21256" s="197"/>
      <c r="BQ21256" s="197"/>
    </row>
    <row r="21257" spans="66:69" x14ac:dyDescent="0.2">
      <c r="BN21257" s="192"/>
      <c r="BO21257" s="197"/>
      <c r="BP21257" s="197"/>
      <c r="BQ21257" s="197"/>
    </row>
    <row r="21258" spans="66:69" x14ac:dyDescent="0.2">
      <c r="BN21258" s="192"/>
      <c r="BO21258" s="197"/>
      <c r="BP21258" s="197"/>
      <c r="BQ21258" s="197"/>
    </row>
    <row r="21259" spans="66:69" x14ac:dyDescent="0.2">
      <c r="BN21259" s="192"/>
      <c r="BO21259" s="197"/>
      <c r="BP21259" s="197"/>
      <c r="BQ21259" s="197"/>
    </row>
    <row r="21260" spans="66:69" x14ac:dyDescent="0.2">
      <c r="BN21260" s="192"/>
      <c r="BO21260" s="197"/>
      <c r="BP21260" s="197"/>
      <c r="BQ21260" s="197"/>
    </row>
    <row r="21261" spans="66:69" x14ac:dyDescent="0.2">
      <c r="BN21261" s="192"/>
      <c r="BO21261" s="197"/>
      <c r="BP21261" s="197"/>
      <c r="BQ21261" s="197"/>
    </row>
    <row r="21262" spans="66:69" x14ac:dyDescent="0.2">
      <c r="BN21262" s="192"/>
      <c r="BO21262" s="197"/>
      <c r="BP21262" s="197"/>
      <c r="BQ21262" s="197"/>
    </row>
    <row r="21263" spans="66:69" x14ac:dyDescent="0.2">
      <c r="BN21263" s="192"/>
      <c r="BO21263" s="197"/>
      <c r="BP21263" s="197"/>
      <c r="BQ21263" s="197"/>
    </row>
    <row r="21264" spans="66:69" x14ac:dyDescent="0.2">
      <c r="BN21264" s="192"/>
      <c r="BO21264" s="197"/>
      <c r="BP21264" s="197"/>
      <c r="BQ21264" s="197"/>
    </row>
    <row r="21265" spans="66:69" x14ac:dyDescent="0.2">
      <c r="BN21265" s="192"/>
      <c r="BO21265" s="197"/>
      <c r="BP21265" s="197"/>
      <c r="BQ21265" s="197"/>
    </row>
    <row r="21266" spans="66:69" x14ac:dyDescent="0.2">
      <c r="BN21266" s="192"/>
      <c r="BO21266" s="197"/>
      <c r="BP21266" s="197"/>
      <c r="BQ21266" s="197"/>
    </row>
    <row r="21267" spans="66:69" x14ac:dyDescent="0.2">
      <c r="BN21267" s="192"/>
      <c r="BO21267" s="197"/>
      <c r="BP21267" s="197"/>
      <c r="BQ21267" s="197"/>
    </row>
    <row r="21268" spans="66:69" x14ac:dyDescent="0.2">
      <c r="BN21268" s="192"/>
      <c r="BO21268" s="197"/>
      <c r="BP21268" s="197"/>
      <c r="BQ21268" s="197"/>
    </row>
    <row r="21269" spans="66:69" x14ac:dyDescent="0.2">
      <c r="BN21269" s="192"/>
      <c r="BO21269" s="197"/>
      <c r="BP21269" s="197"/>
      <c r="BQ21269" s="197"/>
    </row>
    <row r="21270" spans="66:69" x14ac:dyDescent="0.2">
      <c r="BN21270" s="192"/>
      <c r="BO21270" s="197"/>
      <c r="BP21270" s="197"/>
      <c r="BQ21270" s="197"/>
    </row>
    <row r="21271" spans="66:69" x14ac:dyDescent="0.2">
      <c r="BN21271" s="192"/>
      <c r="BO21271" s="197"/>
      <c r="BP21271" s="197"/>
      <c r="BQ21271" s="197"/>
    </row>
    <row r="21272" spans="66:69" x14ac:dyDescent="0.2">
      <c r="BN21272" s="192"/>
      <c r="BO21272" s="197"/>
      <c r="BP21272" s="197"/>
      <c r="BQ21272" s="197"/>
    </row>
    <row r="21273" spans="66:69" x14ac:dyDescent="0.2">
      <c r="BN21273" s="192"/>
      <c r="BO21273" s="197"/>
      <c r="BP21273" s="197"/>
      <c r="BQ21273" s="197"/>
    </row>
    <row r="21274" spans="66:69" x14ac:dyDescent="0.2">
      <c r="BN21274" s="192"/>
      <c r="BO21274" s="197"/>
      <c r="BP21274" s="197"/>
      <c r="BQ21274" s="197"/>
    </row>
    <row r="21275" spans="66:69" x14ac:dyDescent="0.2">
      <c r="BN21275" s="192"/>
      <c r="BO21275" s="197"/>
      <c r="BP21275" s="197"/>
      <c r="BQ21275" s="197"/>
    </row>
    <row r="21276" spans="66:69" x14ac:dyDescent="0.2">
      <c r="BN21276" s="192"/>
      <c r="BO21276" s="197"/>
      <c r="BP21276" s="197"/>
      <c r="BQ21276" s="197"/>
    </row>
    <row r="21277" spans="66:69" x14ac:dyDescent="0.2">
      <c r="BN21277" s="192"/>
      <c r="BO21277" s="197"/>
      <c r="BP21277" s="197"/>
      <c r="BQ21277" s="197"/>
    </row>
    <row r="21278" spans="66:69" x14ac:dyDescent="0.2">
      <c r="BN21278" s="192"/>
      <c r="BO21278" s="197"/>
      <c r="BP21278" s="197"/>
      <c r="BQ21278" s="197"/>
    </row>
    <row r="21279" spans="66:69" x14ac:dyDescent="0.2">
      <c r="BN21279" s="192"/>
      <c r="BO21279" s="197"/>
      <c r="BP21279" s="197"/>
      <c r="BQ21279" s="197"/>
    </row>
    <row r="21280" spans="66:69" x14ac:dyDescent="0.2">
      <c r="BN21280" s="192"/>
      <c r="BO21280" s="197"/>
      <c r="BP21280" s="197"/>
      <c r="BQ21280" s="197"/>
    </row>
    <row r="21281" spans="66:69" x14ac:dyDescent="0.2">
      <c r="BN21281" s="192"/>
      <c r="BO21281" s="197"/>
      <c r="BP21281" s="197"/>
      <c r="BQ21281" s="197"/>
    </row>
    <row r="21282" spans="66:69" x14ac:dyDescent="0.2">
      <c r="BN21282" s="192"/>
      <c r="BO21282" s="197"/>
      <c r="BP21282" s="197"/>
      <c r="BQ21282" s="197"/>
    </row>
    <row r="21283" spans="66:69" x14ac:dyDescent="0.2">
      <c r="BN21283" s="192"/>
      <c r="BO21283" s="197"/>
      <c r="BP21283" s="197"/>
      <c r="BQ21283" s="197"/>
    </row>
    <row r="21284" spans="66:69" x14ac:dyDescent="0.2">
      <c r="BN21284" s="192"/>
      <c r="BO21284" s="197"/>
      <c r="BP21284" s="197"/>
      <c r="BQ21284" s="197"/>
    </row>
    <row r="21285" spans="66:69" x14ac:dyDescent="0.2">
      <c r="BN21285" s="192"/>
      <c r="BO21285" s="197"/>
      <c r="BP21285" s="197"/>
      <c r="BQ21285" s="197"/>
    </row>
    <row r="21286" spans="66:69" x14ac:dyDescent="0.2">
      <c r="BN21286" s="192"/>
      <c r="BO21286" s="197"/>
      <c r="BP21286" s="197"/>
      <c r="BQ21286" s="197"/>
    </row>
    <row r="21287" spans="66:69" x14ac:dyDescent="0.2">
      <c r="BN21287" s="192"/>
      <c r="BO21287" s="197"/>
      <c r="BP21287" s="197"/>
      <c r="BQ21287" s="197"/>
    </row>
    <row r="21288" spans="66:69" x14ac:dyDescent="0.2">
      <c r="BN21288" s="192"/>
      <c r="BO21288" s="197"/>
      <c r="BP21288" s="197"/>
      <c r="BQ21288" s="197"/>
    </row>
    <row r="21289" spans="66:69" x14ac:dyDescent="0.2">
      <c r="BN21289" s="192"/>
      <c r="BO21289" s="197"/>
      <c r="BP21289" s="197"/>
      <c r="BQ21289" s="197"/>
    </row>
    <row r="21290" spans="66:69" x14ac:dyDescent="0.2">
      <c r="BN21290" s="192"/>
      <c r="BO21290" s="197"/>
      <c r="BP21290" s="197"/>
      <c r="BQ21290" s="197"/>
    </row>
    <row r="21291" spans="66:69" x14ac:dyDescent="0.2">
      <c r="BN21291" s="192"/>
      <c r="BO21291" s="197"/>
      <c r="BP21291" s="197"/>
      <c r="BQ21291" s="197"/>
    </row>
    <row r="21292" spans="66:69" x14ac:dyDescent="0.2">
      <c r="BN21292" s="192"/>
      <c r="BO21292" s="197"/>
      <c r="BP21292" s="197"/>
      <c r="BQ21292" s="197"/>
    </row>
    <row r="21293" spans="66:69" x14ac:dyDescent="0.2">
      <c r="BN21293" s="192"/>
      <c r="BO21293" s="197"/>
      <c r="BP21293" s="197"/>
      <c r="BQ21293" s="197"/>
    </row>
    <row r="21294" spans="66:69" x14ac:dyDescent="0.2">
      <c r="BN21294" s="192"/>
      <c r="BO21294" s="197"/>
      <c r="BP21294" s="197"/>
      <c r="BQ21294" s="197"/>
    </row>
    <row r="21295" spans="66:69" x14ac:dyDescent="0.2">
      <c r="BN21295" s="192"/>
      <c r="BO21295" s="197"/>
      <c r="BP21295" s="197"/>
      <c r="BQ21295" s="197"/>
    </row>
    <row r="21296" spans="66:69" x14ac:dyDescent="0.2">
      <c r="BN21296" s="192"/>
      <c r="BO21296" s="197"/>
      <c r="BP21296" s="197"/>
      <c r="BQ21296" s="197"/>
    </row>
    <row r="21297" spans="66:69" x14ac:dyDescent="0.2">
      <c r="BN21297" s="192"/>
      <c r="BO21297" s="197"/>
      <c r="BP21297" s="197"/>
      <c r="BQ21297" s="197"/>
    </row>
    <row r="21298" spans="66:69" x14ac:dyDescent="0.2">
      <c r="BN21298" s="192"/>
      <c r="BO21298" s="197"/>
      <c r="BP21298" s="197"/>
      <c r="BQ21298" s="197"/>
    </row>
    <row r="21299" spans="66:69" x14ac:dyDescent="0.2">
      <c r="BN21299" s="192"/>
      <c r="BO21299" s="197"/>
      <c r="BP21299" s="197"/>
      <c r="BQ21299" s="197"/>
    </row>
    <row r="21300" spans="66:69" x14ac:dyDescent="0.2">
      <c r="BN21300" s="192"/>
      <c r="BO21300" s="197"/>
      <c r="BP21300" s="197"/>
      <c r="BQ21300" s="197"/>
    </row>
    <row r="21301" spans="66:69" x14ac:dyDescent="0.2">
      <c r="BN21301" s="192"/>
      <c r="BO21301" s="197"/>
      <c r="BP21301" s="197"/>
      <c r="BQ21301" s="197"/>
    </row>
    <row r="21302" spans="66:69" x14ac:dyDescent="0.2">
      <c r="BN21302" s="192"/>
      <c r="BO21302" s="197"/>
      <c r="BP21302" s="197"/>
      <c r="BQ21302" s="197"/>
    </row>
    <row r="21303" spans="66:69" x14ac:dyDescent="0.2">
      <c r="BN21303" s="192"/>
      <c r="BO21303" s="197"/>
      <c r="BP21303" s="197"/>
      <c r="BQ21303" s="197"/>
    </row>
    <row r="21304" spans="66:69" x14ac:dyDescent="0.2">
      <c r="BN21304" s="192"/>
      <c r="BO21304" s="197"/>
      <c r="BP21304" s="197"/>
      <c r="BQ21304" s="197"/>
    </row>
    <row r="21305" spans="66:69" x14ac:dyDescent="0.2">
      <c r="BN21305" s="192"/>
      <c r="BO21305" s="197"/>
      <c r="BP21305" s="197"/>
      <c r="BQ21305" s="197"/>
    </row>
    <row r="21306" spans="66:69" x14ac:dyDescent="0.2">
      <c r="BN21306" s="192"/>
      <c r="BO21306" s="197"/>
      <c r="BP21306" s="197"/>
      <c r="BQ21306" s="197"/>
    </row>
    <row r="21307" spans="66:69" x14ac:dyDescent="0.2">
      <c r="BN21307" s="192"/>
      <c r="BO21307" s="197"/>
      <c r="BP21307" s="197"/>
      <c r="BQ21307" s="197"/>
    </row>
    <row r="21308" spans="66:69" x14ac:dyDescent="0.2">
      <c r="BN21308" s="192"/>
      <c r="BO21308" s="197"/>
      <c r="BP21308" s="197"/>
      <c r="BQ21308" s="197"/>
    </row>
    <row r="21309" spans="66:69" x14ac:dyDescent="0.2">
      <c r="BN21309" s="192"/>
      <c r="BO21309" s="197"/>
      <c r="BP21309" s="197"/>
      <c r="BQ21309" s="197"/>
    </row>
    <row r="21310" spans="66:69" x14ac:dyDescent="0.2">
      <c r="BN21310" s="192"/>
      <c r="BO21310" s="197"/>
      <c r="BP21310" s="197"/>
      <c r="BQ21310" s="197"/>
    </row>
    <row r="21311" spans="66:69" x14ac:dyDescent="0.2">
      <c r="BN21311" s="192"/>
      <c r="BO21311" s="197"/>
      <c r="BP21311" s="197"/>
      <c r="BQ21311" s="197"/>
    </row>
    <row r="21312" spans="66:69" x14ac:dyDescent="0.2">
      <c r="BN21312" s="192"/>
      <c r="BO21312" s="197"/>
      <c r="BP21312" s="197"/>
      <c r="BQ21312" s="197"/>
    </row>
    <row r="21313" spans="66:69" x14ac:dyDescent="0.2">
      <c r="BN21313" s="192"/>
      <c r="BO21313" s="197"/>
      <c r="BP21313" s="197"/>
      <c r="BQ21313" s="197"/>
    </row>
    <row r="21314" spans="66:69" x14ac:dyDescent="0.2">
      <c r="BN21314" s="192"/>
      <c r="BO21314" s="197"/>
      <c r="BP21314" s="197"/>
      <c r="BQ21314" s="197"/>
    </row>
    <row r="21315" spans="66:69" x14ac:dyDescent="0.2">
      <c r="BN21315" s="192"/>
      <c r="BO21315" s="197"/>
      <c r="BP21315" s="197"/>
      <c r="BQ21315" s="197"/>
    </row>
    <row r="21316" spans="66:69" x14ac:dyDescent="0.2">
      <c r="BN21316" s="192"/>
      <c r="BO21316" s="197"/>
      <c r="BP21316" s="197"/>
      <c r="BQ21316" s="197"/>
    </row>
    <row r="21317" spans="66:69" x14ac:dyDescent="0.2">
      <c r="BN21317" s="192"/>
      <c r="BO21317" s="197"/>
      <c r="BP21317" s="197"/>
      <c r="BQ21317" s="197"/>
    </row>
    <row r="21318" spans="66:69" x14ac:dyDescent="0.2">
      <c r="BN21318" s="192"/>
      <c r="BO21318" s="197"/>
      <c r="BP21318" s="197"/>
      <c r="BQ21318" s="197"/>
    </row>
    <row r="21319" spans="66:69" x14ac:dyDescent="0.2">
      <c r="BN21319" s="192"/>
      <c r="BO21319" s="197"/>
      <c r="BP21319" s="197"/>
      <c r="BQ21319" s="197"/>
    </row>
    <row r="21320" spans="66:69" x14ac:dyDescent="0.2">
      <c r="BN21320" s="192"/>
      <c r="BO21320" s="197"/>
      <c r="BP21320" s="197"/>
      <c r="BQ21320" s="197"/>
    </row>
    <row r="21321" spans="66:69" x14ac:dyDescent="0.2">
      <c r="BN21321" s="192"/>
      <c r="BO21321" s="197"/>
      <c r="BP21321" s="197"/>
      <c r="BQ21321" s="197"/>
    </row>
    <row r="21322" spans="66:69" x14ac:dyDescent="0.2">
      <c r="BN21322" s="192"/>
      <c r="BO21322" s="197"/>
      <c r="BP21322" s="197"/>
      <c r="BQ21322" s="197"/>
    </row>
    <row r="21323" spans="66:69" x14ac:dyDescent="0.2">
      <c r="BN21323" s="192"/>
      <c r="BO21323" s="197"/>
      <c r="BP21323" s="197"/>
      <c r="BQ21323" s="197"/>
    </row>
    <row r="21324" spans="66:69" x14ac:dyDescent="0.2">
      <c r="BN21324" s="192"/>
      <c r="BO21324" s="197"/>
      <c r="BP21324" s="197"/>
      <c r="BQ21324" s="197"/>
    </row>
    <row r="21325" spans="66:69" x14ac:dyDescent="0.2">
      <c r="BN21325" s="192"/>
      <c r="BO21325" s="197"/>
      <c r="BP21325" s="197"/>
      <c r="BQ21325" s="197"/>
    </row>
    <row r="21326" spans="66:69" x14ac:dyDescent="0.2">
      <c r="BN21326" s="192"/>
      <c r="BO21326" s="197"/>
      <c r="BP21326" s="197"/>
      <c r="BQ21326" s="197"/>
    </row>
    <row r="21327" spans="66:69" x14ac:dyDescent="0.2">
      <c r="BN21327" s="192"/>
      <c r="BO21327" s="197"/>
      <c r="BP21327" s="197"/>
      <c r="BQ21327" s="197"/>
    </row>
    <row r="21328" spans="66:69" x14ac:dyDescent="0.2">
      <c r="BN21328" s="192"/>
      <c r="BO21328" s="197"/>
      <c r="BP21328" s="197"/>
      <c r="BQ21328" s="197"/>
    </row>
    <row r="21329" spans="66:69" x14ac:dyDescent="0.2">
      <c r="BN21329" s="192"/>
      <c r="BO21329" s="197"/>
      <c r="BP21329" s="197"/>
      <c r="BQ21329" s="197"/>
    </row>
    <row r="21330" spans="66:69" x14ac:dyDescent="0.2">
      <c r="BN21330" s="192"/>
      <c r="BO21330" s="197"/>
      <c r="BP21330" s="197"/>
      <c r="BQ21330" s="197"/>
    </row>
    <row r="21331" spans="66:69" x14ac:dyDescent="0.2">
      <c r="BN21331" s="192"/>
      <c r="BO21331" s="197"/>
      <c r="BP21331" s="197"/>
      <c r="BQ21331" s="197"/>
    </row>
    <row r="21332" spans="66:69" x14ac:dyDescent="0.2">
      <c r="BN21332" s="192"/>
      <c r="BO21332" s="197"/>
      <c r="BP21332" s="197"/>
      <c r="BQ21332" s="197"/>
    </row>
    <row r="21333" spans="66:69" x14ac:dyDescent="0.2">
      <c r="BN21333" s="192"/>
      <c r="BO21333" s="197"/>
      <c r="BP21333" s="197"/>
      <c r="BQ21333" s="197"/>
    </row>
    <row r="21334" spans="66:69" x14ac:dyDescent="0.2">
      <c r="BN21334" s="192"/>
      <c r="BO21334" s="197"/>
      <c r="BP21334" s="197"/>
      <c r="BQ21334" s="197"/>
    </row>
    <row r="21335" spans="66:69" x14ac:dyDescent="0.2">
      <c r="BN21335" s="192"/>
      <c r="BO21335" s="197"/>
      <c r="BP21335" s="197"/>
      <c r="BQ21335" s="197"/>
    </row>
    <row r="21336" spans="66:69" x14ac:dyDescent="0.2">
      <c r="BN21336" s="192"/>
      <c r="BO21336" s="197"/>
      <c r="BP21336" s="197"/>
      <c r="BQ21336" s="197"/>
    </row>
    <row r="21337" spans="66:69" x14ac:dyDescent="0.2">
      <c r="BN21337" s="192"/>
      <c r="BO21337" s="197"/>
      <c r="BP21337" s="197"/>
      <c r="BQ21337" s="197"/>
    </row>
    <row r="21338" spans="66:69" x14ac:dyDescent="0.2">
      <c r="BN21338" s="192"/>
      <c r="BO21338" s="197"/>
      <c r="BP21338" s="197"/>
      <c r="BQ21338" s="197"/>
    </row>
    <row r="21339" spans="66:69" x14ac:dyDescent="0.2">
      <c r="BN21339" s="192"/>
      <c r="BO21339" s="197"/>
      <c r="BP21339" s="197"/>
      <c r="BQ21339" s="197"/>
    </row>
    <row r="21340" spans="66:69" x14ac:dyDescent="0.2">
      <c r="BN21340" s="192"/>
      <c r="BO21340" s="197"/>
      <c r="BP21340" s="197"/>
      <c r="BQ21340" s="197"/>
    </row>
    <row r="21341" spans="66:69" x14ac:dyDescent="0.2">
      <c r="BN21341" s="192"/>
      <c r="BO21341" s="197"/>
      <c r="BP21341" s="197"/>
      <c r="BQ21341" s="197"/>
    </row>
    <row r="21342" spans="66:69" x14ac:dyDescent="0.2">
      <c r="BN21342" s="192"/>
      <c r="BO21342" s="197"/>
      <c r="BP21342" s="197"/>
      <c r="BQ21342" s="197"/>
    </row>
    <row r="21343" spans="66:69" x14ac:dyDescent="0.2">
      <c r="BN21343" s="192"/>
      <c r="BO21343" s="197"/>
      <c r="BP21343" s="197"/>
      <c r="BQ21343" s="197"/>
    </row>
    <row r="21344" spans="66:69" x14ac:dyDescent="0.2">
      <c r="BN21344" s="192"/>
      <c r="BO21344" s="197"/>
      <c r="BP21344" s="197"/>
      <c r="BQ21344" s="197"/>
    </row>
    <row r="21345" spans="66:69" x14ac:dyDescent="0.2">
      <c r="BN21345" s="192"/>
      <c r="BO21345" s="197"/>
      <c r="BP21345" s="197"/>
      <c r="BQ21345" s="197"/>
    </row>
    <row r="21346" spans="66:69" x14ac:dyDescent="0.2">
      <c r="BN21346" s="192"/>
      <c r="BO21346" s="197"/>
      <c r="BP21346" s="197"/>
      <c r="BQ21346" s="197"/>
    </row>
    <row r="21347" spans="66:69" x14ac:dyDescent="0.2">
      <c r="BN21347" s="192"/>
      <c r="BO21347" s="197"/>
      <c r="BP21347" s="197"/>
      <c r="BQ21347" s="197"/>
    </row>
    <row r="21348" spans="66:69" x14ac:dyDescent="0.2">
      <c r="BN21348" s="192"/>
      <c r="BO21348" s="197"/>
      <c r="BP21348" s="197"/>
      <c r="BQ21348" s="197"/>
    </row>
    <row r="21349" spans="66:69" x14ac:dyDescent="0.2">
      <c r="BN21349" s="192"/>
      <c r="BO21349" s="197"/>
      <c r="BP21349" s="197"/>
      <c r="BQ21349" s="197"/>
    </row>
    <row r="21350" spans="66:69" x14ac:dyDescent="0.2">
      <c r="BN21350" s="192"/>
      <c r="BO21350" s="197"/>
      <c r="BP21350" s="197"/>
      <c r="BQ21350" s="197"/>
    </row>
    <row r="21351" spans="66:69" x14ac:dyDescent="0.2">
      <c r="BN21351" s="192"/>
      <c r="BO21351" s="197"/>
      <c r="BP21351" s="197"/>
      <c r="BQ21351" s="197"/>
    </row>
    <row r="21352" spans="66:69" x14ac:dyDescent="0.2">
      <c r="BN21352" s="192"/>
      <c r="BO21352" s="197"/>
      <c r="BP21352" s="197"/>
      <c r="BQ21352" s="197"/>
    </row>
    <row r="21353" spans="66:69" x14ac:dyDescent="0.2">
      <c r="BN21353" s="192"/>
      <c r="BO21353" s="197"/>
      <c r="BP21353" s="197"/>
      <c r="BQ21353" s="197"/>
    </row>
    <row r="21354" spans="66:69" x14ac:dyDescent="0.2">
      <c r="BN21354" s="192"/>
      <c r="BO21354" s="197"/>
      <c r="BP21354" s="197"/>
      <c r="BQ21354" s="197"/>
    </row>
    <row r="21355" spans="66:69" x14ac:dyDescent="0.2">
      <c r="BN21355" s="192"/>
      <c r="BO21355" s="197"/>
      <c r="BP21355" s="197"/>
      <c r="BQ21355" s="197"/>
    </row>
    <row r="21356" spans="66:69" x14ac:dyDescent="0.2">
      <c r="BN21356" s="192"/>
      <c r="BO21356" s="197"/>
      <c r="BP21356" s="197"/>
      <c r="BQ21356" s="197"/>
    </row>
    <row r="21357" spans="66:69" x14ac:dyDescent="0.2">
      <c r="BN21357" s="192"/>
      <c r="BO21357" s="197"/>
      <c r="BP21357" s="197"/>
      <c r="BQ21357" s="197"/>
    </row>
    <row r="21358" spans="66:69" x14ac:dyDescent="0.2">
      <c r="BN21358" s="192"/>
      <c r="BO21358" s="197"/>
      <c r="BP21358" s="197"/>
      <c r="BQ21358" s="197"/>
    </row>
    <row r="21359" spans="66:69" x14ac:dyDescent="0.2">
      <c r="BN21359" s="192"/>
      <c r="BO21359" s="197"/>
      <c r="BP21359" s="197"/>
      <c r="BQ21359" s="197"/>
    </row>
    <row r="21360" spans="66:69" x14ac:dyDescent="0.2">
      <c r="BN21360" s="192"/>
      <c r="BO21360" s="197"/>
      <c r="BP21360" s="197"/>
      <c r="BQ21360" s="197"/>
    </row>
    <row r="21361" spans="66:69" x14ac:dyDescent="0.2">
      <c r="BN21361" s="192"/>
      <c r="BO21361" s="197"/>
      <c r="BP21361" s="197"/>
      <c r="BQ21361" s="197"/>
    </row>
    <row r="21362" spans="66:69" x14ac:dyDescent="0.2">
      <c r="BN21362" s="192"/>
      <c r="BO21362" s="197"/>
      <c r="BP21362" s="197"/>
      <c r="BQ21362" s="197"/>
    </row>
    <row r="21363" spans="66:69" x14ac:dyDescent="0.2">
      <c r="BN21363" s="192"/>
      <c r="BO21363" s="197"/>
      <c r="BP21363" s="197"/>
      <c r="BQ21363" s="197"/>
    </row>
    <row r="21364" spans="66:69" x14ac:dyDescent="0.2">
      <c r="BN21364" s="192"/>
      <c r="BO21364" s="197"/>
      <c r="BP21364" s="197"/>
      <c r="BQ21364" s="197"/>
    </row>
    <row r="21365" spans="66:69" x14ac:dyDescent="0.2">
      <c r="BN21365" s="192"/>
      <c r="BO21365" s="197"/>
      <c r="BP21365" s="197"/>
      <c r="BQ21365" s="197"/>
    </row>
    <row r="21366" spans="66:69" x14ac:dyDescent="0.2">
      <c r="BN21366" s="192"/>
      <c r="BO21366" s="197"/>
      <c r="BP21366" s="197"/>
      <c r="BQ21366" s="197"/>
    </row>
    <row r="21367" spans="66:69" x14ac:dyDescent="0.2">
      <c r="BN21367" s="192"/>
      <c r="BO21367" s="197"/>
      <c r="BP21367" s="197"/>
      <c r="BQ21367" s="197"/>
    </row>
    <row r="21368" spans="66:69" x14ac:dyDescent="0.2">
      <c r="BN21368" s="192"/>
      <c r="BO21368" s="197"/>
      <c r="BP21368" s="197"/>
      <c r="BQ21368" s="197"/>
    </row>
    <row r="21369" spans="66:69" x14ac:dyDescent="0.2">
      <c r="BN21369" s="192"/>
      <c r="BO21369" s="197"/>
      <c r="BP21369" s="197"/>
      <c r="BQ21369" s="197"/>
    </row>
    <row r="21370" spans="66:69" x14ac:dyDescent="0.2">
      <c r="BN21370" s="192"/>
      <c r="BO21370" s="197"/>
      <c r="BP21370" s="197"/>
      <c r="BQ21370" s="197"/>
    </row>
    <row r="21371" spans="66:69" x14ac:dyDescent="0.2">
      <c r="BN21371" s="192"/>
      <c r="BO21371" s="197"/>
      <c r="BP21371" s="197"/>
      <c r="BQ21371" s="197"/>
    </row>
    <row r="21372" spans="66:69" x14ac:dyDescent="0.2">
      <c r="BN21372" s="192"/>
      <c r="BO21372" s="197"/>
      <c r="BP21372" s="197"/>
      <c r="BQ21372" s="197"/>
    </row>
    <row r="21373" spans="66:69" x14ac:dyDescent="0.2">
      <c r="BN21373" s="192"/>
      <c r="BO21373" s="197"/>
      <c r="BP21373" s="197"/>
      <c r="BQ21373" s="197"/>
    </row>
    <row r="21374" spans="66:69" x14ac:dyDescent="0.2">
      <c r="BN21374" s="192"/>
      <c r="BO21374" s="197"/>
      <c r="BP21374" s="197"/>
      <c r="BQ21374" s="197"/>
    </row>
    <row r="21375" spans="66:69" x14ac:dyDescent="0.2">
      <c r="BN21375" s="192"/>
      <c r="BO21375" s="197"/>
      <c r="BP21375" s="197"/>
      <c r="BQ21375" s="197"/>
    </row>
    <row r="21376" spans="66:69" x14ac:dyDescent="0.2">
      <c r="BN21376" s="192"/>
      <c r="BO21376" s="197"/>
      <c r="BP21376" s="197"/>
      <c r="BQ21376" s="197"/>
    </row>
    <row r="21377" spans="66:69" x14ac:dyDescent="0.2">
      <c r="BN21377" s="192"/>
      <c r="BO21377" s="197"/>
      <c r="BP21377" s="197"/>
      <c r="BQ21377" s="197"/>
    </row>
    <row r="21378" spans="66:69" x14ac:dyDescent="0.2">
      <c r="BN21378" s="192"/>
      <c r="BO21378" s="197"/>
      <c r="BP21378" s="197"/>
      <c r="BQ21378" s="197"/>
    </row>
    <row r="21379" spans="66:69" x14ac:dyDescent="0.2">
      <c r="BN21379" s="192"/>
      <c r="BO21379" s="197"/>
      <c r="BP21379" s="197"/>
      <c r="BQ21379" s="197"/>
    </row>
    <row r="21380" spans="66:69" x14ac:dyDescent="0.2">
      <c r="BN21380" s="192"/>
      <c r="BO21380" s="197"/>
      <c r="BP21380" s="197"/>
      <c r="BQ21380" s="197"/>
    </row>
    <row r="21381" spans="66:69" x14ac:dyDescent="0.2">
      <c r="BN21381" s="192"/>
      <c r="BO21381" s="197"/>
      <c r="BP21381" s="197"/>
      <c r="BQ21381" s="197"/>
    </row>
    <row r="21382" spans="66:69" x14ac:dyDescent="0.2">
      <c r="BN21382" s="192"/>
      <c r="BO21382" s="197"/>
      <c r="BP21382" s="197"/>
      <c r="BQ21382" s="197"/>
    </row>
    <row r="21383" spans="66:69" x14ac:dyDescent="0.2">
      <c r="BN21383" s="192"/>
      <c r="BO21383" s="197"/>
      <c r="BP21383" s="197"/>
      <c r="BQ21383" s="197"/>
    </row>
    <row r="21384" spans="66:69" x14ac:dyDescent="0.2">
      <c r="BN21384" s="192"/>
      <c r="BO21384" s="197"/>
      <c r="BP21384" s="197"/>
      <c r="BQ21384" s="197"/>
    </row>
    <row r="21385" spans="66:69" x14ac:dyDescent="0.2">
      <c r="BN21385" s="192"/>
      <c r="BO21385" s="197"/>
      <c r="BP21385" s="197"/>
      <c r="BQ21385" s="197"/>
    </row>
    <row r="21386" spans="66:69" x14ac:dyDescent="0.2">
      <c r="BN21386" s="192"/>
      <c r="BO21386" s="197"/>
      <c r="BP21386" s="197"/>
      <c r="BQ21386" s="197"/>
    </row>
    <row r="21387" spans="66:69" x14ac:dyDescent="0.2">
      <c r="BN21387" s="192"/>
      <c r="BO21387" s="197"/>
      <c r="BP21387" s="197"/>
      <c r="BQ21387" s="197"/>
    </row>
    <row r="21388" spans="66:69" x14ac:dyDescent="0.2">
      <c r="BN21388" s="192"/>
      <c r="BO21388" s="197"/>
      <c r="BP21388" s="197"/>
      <c r="BQ21388" s="197"/>
    </row>
    <row r="21389" spans="66:69" x14ac:dyDescent="0.2">
      <c r="BN21389" s="192"/>
      <c r="BO21389" s="197"/>
      <c r="BP21389" s="197"/>
      <c r="BQ21389" s="197"/>
    </row>
    <row r="21390" spans="66:69" x14ac:dyDescent="0.2">
      <c r="BN21390" s="192"/>
      <c r="BO21390" s="197"/>
      <c r="BP21390" s="197"/>
      <c r="BQ21390" s="197"/>
    </row>
    <row r="21391" spans="66:69" x14ac:dyDescent="0.2">
      <c r="BN21391" s="192"/>
      <c r="BO21391" s="197"/>
      <c r="BP21391" s="197"/>
      <c r="BQ21391" s="197"/>
    </row>
    <row r="21392" spans="66:69" x14ac:dyDescent="0.2">
      <c r="BN21392" s="192"/>
      <c r="BO21392" s="197"/>
      <c r="BP21392" s="197"/>
      <c r="BQ21392" s="197"/>
    </row>
    <row r="21393" spans="66:69" x14ac:dyDescent="0.2">
      <c r="BN21393" s="192"/>
      <c r="BO21393" s="197"/>
      <c r="BP21393" s="197"/>
      <c r="BQ21393" s="197"/>
    </row>
    <row r="21394" spans="66:69" x14ac:dyDescent="0.2">
      <c r="BN21394" s="192"/>
      <c r="BO21394" s="197"/>
      <c r="BP21394" s="197"/>
      <c r="BQ21394" s="197"/>
    </row>
    <row r="21395" spans="66:69" x14ac:dyDescent="0.2">
      <c r="BN21395" s="192"/>
      <c r="BO21395" s="197"/>
      <c r="BP21395" s="197"/>
      <c r="BQ21395" s="197"/>
    </row>
    <row r="21396" spans="66:69" x14ac:dyDescent="0.2">
      <c r="BN21396" s="192"/>
      <c r="BO21396" s="197"/>
      <c r="BP21396" s="197"/>
      <c r="BQ21396" s="197"/>
    </row>
    <row r="21397" spans="66:69" x14ac:dyDescent="0.2">
      <c r="BN21397" s="192"/>
      <c r="BO21397" s="197"/>
      <c r="BP21397" s="197"/>
      <c r="BQ21397" s="197"/>
    </row>
    <row r="21398" spans="66:69" x14ac:dyDescent="0.2">
      <c r="BN21398" s="192"/>
      <c r="BO21398" s="197"/>
      <c r="BP21398" s="197"/>
      <c r="BQ21398" s="197"/>
    </row>
    <row r="21399" spans="66:69" x14ac:dyDescent="0.2">
      <c r="BN21399" s="192"/>
      <c r="BO21399" s="197"/>
      <c r="BP21399" s="197"/>
      <c r="BQ21399" s="197"/>
    </row>
    <row r="21400" spans="66:69" x14ac:dyDescent="0.2">
      <c r="BN21400" s="192"/>
      <c r="BO21400" s="197"/>
      <c r="BP21400" s="197"/>
      <c r="BQ21400" s="197"/>
    </row>
    <row r="21401" spans="66:69" x14ac:dyDescent="0.2">
      <c r="BN21401" s="192"/>
      <c r="BO21401" s="197"/>
      <c r="BP21401" s="197"/>
      <c r="BQ21401" s="197"/>
    </row>
    <row r="21402" spans="66:69" x14ac:dyDescent="0.2">
      <c r="BN21402" s="192"/>
      <c r="BO21402" s="197"/>
      <c r="BP21402" s="197"/>
      <c r="BQ21402" s="197"/>
    </row>
    <row r="21403" spans="66:69" x14ac:dyDescent="0.2">
      <c r="BN21403" s="192"/>
      <c r="BO21403" s="197"/>
      <c r="BP21403" s="197"/>
      <c r="BQ21403" s="197"/>
    </row>
    <row r="21404" spans="66:69" x14ac:dyDescent="0.2">
      <c r="BN21404" s="192"/>
      <c r="BO21404" s="197"/>
      <c r="BP21404" s="197"/>
      <c r="BQ21404" s="197"/>
    </row>
    <row r="21405" spans="66:69" x14ac:dyDescent="0.2">
      <c r="BN21405" s="192"/>
      <c r="BO21405" s="197"/>
      <c r="BP21405" s="197"/>
      <c r="BQ21405" s="197"/>
    </row>
    <row r="21406" spans="66:69" x14ac:dyDescent="0.2">
      <c r="BN21406" s="192"/>
      <c r="BO21406" s="197"/>
      <c r="BP21406" s="197"/>
      <c r="BQ21406" s="197"/>
    </row>
    <row r="21407" spans="66:69" x14ac:dyDescent="0.2">
      <c r="BN21407" s="192"/>
      <c r="BO21407" s="197"/>
      <c r="BP21407" s="197"/>
      <c r="BQ21407" s="197"/>
    </row>
    <row r="21408" spans="66:69" x14ac:dyDescent="0.2">
      <c r="BN21408" s="192"/>
      <c r="BO21408" s="197"/>
      <c r="BP21408" s="197"/>
      <c r="BQ21408" s="197"/>
    </row>
    <row r="21409" spans="66:69" x14ac:dyDescent="0.2">
      <c r="BN21409" s="192"/>
      <c r="BO21409" s="197"/>
      <c r="BP21409" s="197"/>
      <c r="BQ21409" s="197"/>
    </row>
    <row r="21410" spans="66:69" x14ac:dyDescent="0.2">
      <c r="BN21410" s="192"/>
      <c r="BO21410" s="197"/>
      <c r="BP21410" s="197"/>
      <c r="BQ21410" s="197"/>
    </row>
    <row r="21411" spans="66:69" x14ac:dyDescent="0.2">
      <c r="BN21411" s="192"/>
      <c r="BO21411" s="197"/>
      <c r="BP21411" s="197"/>
      <c r="BQ21411" s="197"/>
    </row>
    <row r="21412" spans="66:69" x14ac:dyDescent="0.2">
      <c r="BN21412" s="192"/>
      <c r="BO21412" s="197"/>
      <c r="BP21412" s="197"/>
      <c r="BQ21412" s="197"/>
    </row>
    <row r="21413" spans="66:69" x14ac:dyDescent="0.2">
      <c r="BN21413" s="192"/>
      <c r="BO21413" s="197"/>
      <c r="BP21413" s="197"/>
      <c r="BQ21413" s="197"/>
    </row>
    <row r="21414" spans="66:69" x14ac:dyDescent="0.2">
      <c r="BN21414" s="192"/>
      <c r="BO21414" s="197"/>
      <c r="BP21414" s="197"/>
      <c r="BQ21414" s="197"/>
    </row>
    <row r="21415" spans="66:69" x14ac:dyDescent="0.2">
      <c r="BN21415" s="192"/>
      <c r="BO21415" s="197"/>
      <c r="BP21415" s="197"/>
      <c r="BQ21415" s="197"/>
    </row>
    <row r="21416" spans="66:69" x14ac:dyDescent="0.2">
      <c r="BN21416" s="192"/>
      <c r="BO21416" s="197"/>
      <c r="BP21416" s="197"/>
      <c r="BQ21416" s="197"/>
    </row>
    <row r="21417" spans="66:69" x14ac:dyDescent="0.2">
      <c r="BN21417" s="192"/>
      <c r="BO21417" s="197"/>
      <c r="BP21417" s="197"/>
      <c r="BQ21417" s="197"/>
    </row>
    <row r="21418" spans="66:69" x14ac:dyDescent="0.2">
      <c r="BN21418" s="192"/>
      <c r="BO21418" s="197"/>
      <c r="BP21418" s="197"/>
      <c r="BQ21418" s="197"/>
    </row>
    <row r="21419" spans="66:69" x14ac:dyDescent="0.2">
      <c r="BN21419" s="192"/>
      <c r="BO21419" s="197"/>
      <c r="BP21419" s="197"/>
      <c r="BQ21419" s="197"/>
    </row>
    <row r="21420" spans="66:69" x14ac:dyDescent="0.2">
      <c r="BN21420" s="192"/>
      <c r="BO21420" s="197"/>
      <c r="BP21420" s="197"/>
      <c r="BQ21420" s="197"/>
    </row>
    <row r="21421" spans="66:69" x14ac:dyDescent="0.2">
      <c r="BN21421" s="192"/>
      <c r="BO21421" s="197"/>
      <c r="BP21421" s="197"/>
      <c r="BQ21421" s="197"/>
    </row>
    <row r="21422" spans="66:69" x14ac:dyDescent="0.2">
      <c r="BN21422" s="192"/>
      <c r="BO21422" s="197"/>
      <c r="BP21422" s="197"/>
      <c r="BQ21422" s="197"/>
    </row>
    <row r="21423" spans="66:69" x14ac:dyDescent="0.2">
      <c r="BN21423" s="192"/>
      <c r="BO21423" s="197"/>
      <c r="BP21423" s="197"/>
      <c r="BQ21423" s="197"/>
    </row>
    <row r="21424" spans="66:69" x14ac:dyDescent="0.2">
      <c r="BN21424" s="192"/>
      <c r="BO21424" s="197"/>
      <c r="BP21424" s="197"/>
      <c r="BQ21424" s="197"/>
    </row>
    <row r="21425" spans="66:69" x14ac:dyDescent="0.2">
      <c r="BN21425" s="192"/>
      <c r="BO21425" s="197"/>
      <c r="BP21425" s="197"/>
      <c r="BQ21425" s="197"/>
    </row>
    <row r="21426" spans="66:69" x14ac:dyDescent="0.2">
      <c r="BN21426" s="192"/>
      <c r="BO21426" s="197"/>
      <c r="BP21426" s="197"/>
      <c r="BQ21426" s="197"/>
    </row>
    <row r="21427" spans="66:69" x14ac:dyDescent="0.2">
      <c r="BN21427" s="192"/>
      <c r="BO21427" s="197"/>
      <c r="BP21427" s="197"/>
      <c r="BQ21427" s="197"/>
    </row>
    <row r="21428" spans="66:69" x14ac:dyDescent="0.2">
      <c r="BN21428" s="192"/>
      <c r="BO21428" s="197"/>
      <c r="BP21428" s="197"/>
      <c r="BQ21428" s="197"/>
    </row>
    <row r="21429" spans="66:69" x14ac:dyDescent="0.2">
      <c r="BN21429" s="192"/>
      <c r="BO21429" s="197"/>
      <c r="BP21429" s="197"/>
      <c r="BQ21429" s="197"/>
    </row>
    <row r="21430" spans="66:69" x14ac:dyDescent="0.2">
      <c r="BN21430" s="192"/>
      <c r="BO21430" s="197"/>
      <c r="BP21430" s="197"/>
      <c r="BQ21430" s="197"/>
    </row>
    <row r="21431" spans="66:69" x14ac:dyDescent="0.2">
      <c r="BN21431" s="192"/>
      <c r="BO21431" s="197"/>
      <c r="BP21431" s="197"/>
      <c r="BQ21431" s="197"/>
    </row>
    <row r="21432" spans="66:69" x14ac:dyDescent="0.2">
      <c r="BN21432" s="192"/>
      <c r="BO21432" s="197"/>
      <c r="BP21432" s="197"/>
      <c r="BQ21432" s="197"/>
    </row>
    <row r="21433" spans="66:69" x14ac:dyDescent="0.2">
      <c r="BN21433" s="192"/>
      <c r="BO21433" s="197"/>
      <c r="BP21433" s="197"/>
      <c r="BQ21433" s="197"/>
    </row>
    <row r="21434" spans="66:69" x14ac:dyDescent="0.2">
      <c r="BN21434" s="192"/>
      <c r="BO21434" s="197"/>
      <c r="BP21434" s="197"/>
      <c r="BQ21434" s="197"/>
    </row>
    <row r="21435" spans="66:69" x14ac:dyDescent="0.2">
      <c r="BN21435" s="192"/>
      <c r="BO21435" s="197"/>
      <c r="BP21435" s="197"/>
      <c r="BQ21435" s="197"/>
    </row>
    <row r="21436" spans="66:69" x14ac:dyDescent="0.2">
      <c r="BN21436" s="192"/>
      <c r="BO21436" s="197"/>
      <c r="BP21436" s="197"/>
      <c r="BQ21436" s="197"/>
    </row>
    <row r="21437" spans="66:69" x14ac:dyDescent="0.2">
      <c r="BN21437" s="192"/>
      <c r="BO21437" s="197"/>
      <c r="BP21437" s="197"/>
      <c r="BQ21437" s="197"/>
    </row>
    <row r="21438" spans="66:69" x14ac:dyDescent="0.2">
      <c r="BN21438" s="192"/>
      <c r="BO21438" s="197"/>
      <c r="BP21438" s="197"/>
      <c r="BQ21438" s="197"/>
    </row>
    <row r="21439" spans="66:69" x14ac:dyDescent="0.2">
      <c r="BN21439" s="192"/>
      <c r="BO21439" s="197"/>
      <c r="BP21439" s="197"/>
      <c r="BQ21439" s="197"/>
    </row>
    <row r="21440" spans="66:69" x14ac:dyDescent="0.2">
      <c r="BN21440" s="192"/>
      <c r="BO21440" s="197"/>
      <c r="BP21440" s="197"/>
      <c r="BQ21440" s="197"/>
    </row>
    <row r="21441" spans="66:69" x14ac:dyDescent="0.2">
      <c r="BN21441" s="192"/>
      <c r="BO21441" s="197"/>
      <c r="BP21441" s="197"/>
      <c r="BQ21441" s="197"/>
    </row>
    <row r="21442" spans="66:69" x14ac:dyDescent="0.2">
      <c r="BN21442" s="192"/>
      <c r="BO21442" s="197"/>
      <c r="BP21442" s="197"/>
      <c r="BQ21442" s="197"/>
    </row>
    <row r="21443" spans="66:69" x14ac:dyDescent="0.2">
      <c r="BN21443" s="192"/>
      <c r="BO21443" s="197"/>
      <c r="BP21443" s="197"/>
      <c r="BQ21443" s="197"/>
    </row>
    <row r="21444" spans="66:69" x14ac:dyDescent="0.2">
      <c r="BN21444" s="192"/>
      <c r="BO21444" s="197"/>
      <c r="BP21444" s="197"/>
      <c r="BQ21444" s="197"/>
    </row>
    <row r="21445" spans="66:69" x14ac:dyDescent="0.2">
      <c r="BN21445" s="192"/>
      <c r="BO21445" s="197"/>
      <c r="BP21445" s="197"/>
      <c r="BQ21445" s="197"/>
    </row>
    <row r="21446" spans="66:69" x14ac:dyDescent="0.2">
      <c r="BN21446" s="192"/>
      <c r="BO21446" s="197"/>
      <c r="BP21446" s="197"/>
      <c r="BQ21446" s="197"/>
    </row>
    <row r="21447" spans="66:69" x14ac:dyDescent="0.2">
      <c r="BN21447" s="192"/>
      <c r="BO21447" s="197"/>
      <c r="BP21447" s="197"/>
      <c r="BQ21447" s="197"/>
    </row>
    <row r="21448" spans="66:69" x14ac:dyDescent="0.2">
      <c r="BN21448" s="192"/>
      <c r="BO21448" s="197"/>
      <c r="BP21448" s="197"/>
      <c r="BQ21448" s="197"/>
    </row>
    <row r="21449" spans="66:69" x14ac:dyDescent="0.2">
      <c r="BN21449" s="192"/>
      <c r="BO21449" s="197"/>
      <c r="BP21449" s="197"/>
      <c r="BQ21449" s="197"/>
    </row>
    <row r="21450" spans="66:69" x14ac:dyDescent="0.2">
      <c r="BN21450" s="192"/>
      <c r="BO21450" s="197"/>
      <c r="BP21450" s="197"/>
      <c r="BQ21450" s="197"/>
    </row>
    <row r="21451" spans="66:69" x14ac:dyDescent="0.2">
      <c r="BN21451" s="192"/>
      <c r="BO21451" s="197"/>
      <c r="BP21451" s="197"/>
      <c r="BQ21451" s="197"/>
    </row>
    <row r="21452" spans="66:69" x14ac:dyDescent="0.2">
      <c r="BN21452" s="192"/>
      <c r="BO21452" s="197"/>
      <c r="BP21452" s="197"/>
      <c r="BQ21452" s="197"/>
    </row>
    <row r="21453" spans="66:69" x14ac:dyDescent="0.2">
      <c r="BN21453" s="192"/>
      <c r="BO21453" s="197"/>
      <c r="BP21453" s="197"/>
      <c r="BQ21453" s="197"/>
    </row>
    <row r="21454" spans="66:69" x14ac:dyDescent="0.2">
      <c r="BN21454" s="192"/>
      <c r="BO21454" s="197"/>
      <c r="BP21454" s="197"/>
      <c r="BQ21454" s="197"/>
    </row>
    <row r="21455" spans="66:69" x14ac:dyDescent="0.2">
      <c r="BN21455" s="192"/>
      <c r="BO21455" s="197"/>
      <c r="BP21455" s="197"/>
      <c r="BQ21455" s="197"/>
    </row>
    <row r="21456" spans="66:69" x14ac:dyDescent="0.2">
      <c r="BN21456" s="192"/>
      <c r="BO21456" s="197"/>
      <c r="BP21456" s="197"/>
      <c r="BQ21456" s="197"/>
    </row>
    <row r="21457" spans="66:69" x14ac:dyDescent="0.2">
      <c r="BN21457" s="192"/>
      <c r="BO21457" s="197"/>
      <c r="BP21457" s="197"/>
      <c r="BQ21457" s="197"/>
    </row>
    <row r="21458" spans="66:69" x14ac:dyDescent="0.2">
      <c r="BN21458" s="192"/>
      <c r="BO21458" s="197"/>
      <c r="BP21458" s="197"/>
      <c r="BQ21458" s="197"/>
    </row>
    <row r="21459" spans="66:69" x14ac:dyDescent="0.2">
      <c r="BN21459" s="192"/>
      <c r="BO21459" s="197"/>
      <c r="BP21459" s="197"/>
      <c r="BQ21459" s="197"/>
    </row>
    <row r="21460" spans="66:69" x14ac:dyDescent="0.2">
      <c r="BN21460" s="192"/>
      <c r="BO21460" s="197"/>
      <c r="BP21460" s="197"/>
      <c r="BQ21460" s="197"/>
    </row>
    <row r="21461" spans="66:69" x14ac:dyDescent="0.2">
      <c r="BN21461" s="192"/>
      <c r="BO21461" s="197"/>
      <c r="BP21461" s="197"/>
      <c r="BQ21461" s="197"/>
    </row>
    <row r="21462" spans="66:69" x14ac:dyDescent="0.2">
      <c r="BN21462" s="192"/>
      <c r="BO21462" s="197"/>
      <c r="BP21462" s="197"/>
      <c r="BQ21462" s="197"/>
    </row>
    <row r="21463" spans="66:69" x14ac:dyDescent="0.2">
      <c r="BN21463" s="192"/>
      <c r="BO21463" s="197"/>
      <c r="BP21463" s="197"/>
      <c r="BQ21463" s="197"/>
    </row>
    <row r="21464" spans="66:69" x14ac:dyDescent="0.2">
      <c r="BN21464" s="192"/>
      <c r="BO21464" s="197"/>
      <c r="BP21464" s="197"/>
      <c r="BQ21464" s="197"/>
    </row>
    <row r="21465" spans="66:69" x14ac:dyDescent="0.2">
      <c r="BN21465" s="192"/>
      <c r="BO21465" s="197"/>
      <c r="BP21465" s="197"/>
      <c r="BQ21465" s="197"/>
    </row>
    <row r="21466" spans="66:69" x14ac:dyDescent="0.2">
      <c r="BN21466" s="192"/>
      <c r="BO21466" s="197"/>
      <c r="BP21466" s="197"/>
      <c r="BQ21466" s="197"/>
    </row>
    <row r="21467" spans="66:69" x14ac:dyDescent="0.2">
      <c r="BN21467" s="192"/>
      <c r="BO21467" s="197"/>
      <c r="BP21467" s="197"/>
      <c r="BQ21467" s="197"/>
    </row>
    <row r="21468" spans="66:69" x14ac:dyDescent="0.2">
      <c r="BN21468" s="192"/>
      <c r="BO21468" s="197"/>
      <c r="BP21468" s="197"/>
      <c r="BQ21468" s="197"/>
    </row>
    <row r="21469" spans="66:69" x14ac:dyDescent="0.2">
      <c r="BN21469" s="192"/>
      <c r="BO21469" s="197"/>
      <c r="BP21469" s="197"/>
      <c r="BQ21469" s="197"/>
    </row>
    <row r="21470" spans="66:69" x14ac:dyDescent="0.2">
      <c r="BN21470" s="192"/>
      <c r="BO21470" s="197"/>
      <c r="BP21470" s="197"/>
      <c r="BQ21470" s="197"/>
    </row>
    <row r="21471" spans="66:69" x14ac:dyDescent="0.2">
      <c r="BN21471" s="192"/>
      <c r="BO21471" s="197"/>
      <c r="BP21471" s="197"/>
      <c r="BQ21471" s="197"/>
    </row>
    <row r="21472" spans="66:69" x14ac:dyDescent="0.2">
      <c r="BN21472" s="192"/>
      <c r="BO21472" s="197"/>
      <c r="BP21472" s="197"/>
      <c r="BQ21472" s="197"/>
    </row>
    <row r="21473" spans="66:69" x14ac:dyDescent="0.2">
      <c r="BN21473" s="192"/>
      <c r="BO21473" s="197"/>
      <c r="BP21473" s="197"/>
      <c r="BQ21473" s="197"/>
    </row>
    <row r="21474" spans="66:69" x14ac:dyDescent="0.2">
      <c r="BN21474" s="192"/>
      <c r="BO21474" s="197"/>
      <c r="BP21474" s="197"/>
      <c r="BQ21474" s="197"/>
    </row>
    <row r="21475" spans="66:69" x14ac:dyDescent="0.2">
      <c r="BN21475" s="192"/>
      <c r="BO21475" s="197"/>
      <c r="BP21475" s="197"/>
      <c r="BQ21475" s="197"/>
    </row>
    <row r="21476" spans="66:69" x14ac:dyDescent="0.2">
      <c r="BN21476" s="192"/>
      <c r="BO21476" s="197"/>
      <c r="BP21476" s="197"/>
      <c r="BQ21476" s="197"/>
    </row>
    <row r="21477" spans="66:69" x14ac:dyDescent="0.2">
      <c r="BN21477" s="192"/>
      <c r="BO21477" s="197"/>
      <c r="BP21477" s="197"/>
      <c r="BQ21477" s="197"/>
    </row>
    <row r="21478" spans="66:69" x14ac:dyDescent="0.2">
      <c r="BN21478" s="192"/>
      <c r="BO21478" s="197"/>
      <c r="BP21478" s="197"/>
      <c r="BQ21478" s="197"/>
    </row>
    <row r="21479" spans="66:69" x14ac:dyDescent="0.2">
      <c r="BN21479" s="192"/>
      <c r="BO21479" s="197"/>
      <c r="BP21479" s="197"/>
      <c r="BQ21479" s="197"/>
    </row>
    <row r="21480" spans="66:69" x14ac:dyDescent="0.2">
      <c r="BN21480" s="192"/>
      <c r="BO21480" s="197"/>
      <c r="BP21480" s="197"/>
      <c r="BQ21480" s="197"/>
    </row>
    <row r="21481" spans="66:69" x14ac:dyDescent="0.2">
      <c r="BN21481" s="192"/>
      <c r="BO21481" s="197"/>
      <c r="BP21481" s="197"/>
      <c r="BQ21481" s="197"/>
    </row>
    <row r="21482" spans="66:69" x14ac:dyDescent="0.2">
      <c r="BN21482" s="192"/>
      <c r="BO21482" s="197"/>
      <c r="BP21482" s="197"/>
      <c r="BQ21482" s="197"/>
    </row>
    <row r="21483" spans="66:69" x14ac:dyDescent="0.2">
      <c r="BN21483" s="192"/>
      <c r="BO21483" s="197"/>
      <c r="BP21483" s="197"/>
      <c r="BQ21483" s="197"/>
    </row>
    <row r="21484" spans="66:69" x14ac:dyDescent="0.2">
      <c r="BN21484" s="192"/>
      <c r="BO21484" s="197"/>
      <c r="BP21484" s="197"/>
      <c r="BQ21484" s="197"/>
    </row>
    <row r="21485" spans="66:69" x14ac:dyDescent="0.2">
      <c r="BN21485" s="192"/>
      <c r="BO21485" s="197"/>
      <c r="BP21485" s="197"/>
      <c r="BQ21485" s="197"/>
    </row>
    <row r="21486" spans="66:69" x14ac:dyDescent="0.2">
      <c r="BN21486" s="192"/>
      <c r="BO21486" s="197"/>
      <c r="BP21486" s="197"/>
      <c r="BQ21486" s="197"/>
    </row>
    <row r="21487" spans="66:69" x14ac:dyDescent="0.2">
      <c r="BN21487" s="192"/>
      <c r="BO21487" s="197"/>
      <c r="BP21487" s="197"/>
      <c r="BQ21487" s="197"/>
    </row>
    <row r="21488" spans="66:69" x14ac:dyDescent="0.2">
      <c r="BN21488" s="192"/>
      <c r="BO21488" s="197"/>
      <c r="BP21488" s="197"/>
      <c r="BQ21488" s="197"/>
    </row>
    <row r="21489" spans="66:69" x14ac:dyDescent="0.2">
      <c r="BN21489" s="192"/>
      <c r="BO21489" s="197"/>
      <c r="BP21489" s="197"/>
      <c r="BQ21489" s="197"/>
    </row>
    <row r="21490" spans="66:69" x14ac:dyDescent="0.2">
      <c r="BN21490" s="192"/>
      <c r="BO21490" s="197"/>
      <c r="BP21490" s="197"/>
      <c r="BQ21490" s="197"/>
    </row>
    <row r="21491" spans="66:69" x14ac:dyDescent="0.2">
      <c r="BN21491" s="192"/>
      <c r="BO21491" s="197"/>
      <c r="BP21491" s="197"/>
      <c r="BQ21491" s="197"/>
    </row>
    <row r="21492" spans="66:69" x14ac:dyDescent="0.2">
      <c r="BN21492" s="192"/>
      <c r="BO21492" s="197"/>
      <c r="BP21492" s="197"/>
      <c r="BQ21492" s="197"/>
    </row>
    <row r="21493" spans="66:69" x14ac:dyDescent="0.2">
      <c r="BN21493" s="192"/>
      <c r="BO21493" s="197"/>
      <c r="BP21493" s="197"/>
      <c r="BQ21493" s="197"/>
    </row>
    <row r="21494" spans="66:69" x14ac:dyDescent="0.2">
      <c r="BN21494" s="192"/>
      <c r="BO21494" s="197"/>
      <c r="BP21494" s="197"/>
      <c r="BQ21494" s="197"/>
    </row>
    <row r="21495" spans="66:69" x14ac:dyDescent="0.2">
      <c r="BN21495" s="192"/>
      <c r="BO21495" s="197"/>
      <c r="BP21495" s="197"/>
      <c r="BQ21495" s="197"/>
    </row>
    <row r="21496" spans="66:69" x14ac:dyDescent="0.2">
      <c r="BN21496" s="192"/>
      <c r="BO21496" s="197"/>
      <c r="BP21496" s="197"/>
      <c r="BQ21496" s="197"/>
    </row>
    <row r="21497" spans="66:69" x14ac:dyDescent="0.2">
      <c r="BN21497" s="192"/>
      <c r="BO21497" s="197"/>
      <c r="BP21497" s="197"/>
      <c r="BQ21497" s="197"/>
    </row>
    <row r="21498" spans="66:69" x14ac:dyDescent="0.2">
      <c r="BN21498" s="192"/>
      <c r="BO21498" s="197"/>
      <c r="BP21498" s="197"/>
      <c r="BQ21498" s="197"/>
    </row>
    <row r="21499" spans="66:69" x14ac:dyDescent="0.2">
      <c r="BN21499" s="192"/>
      <c r="BO21499" s="197"/>
      <c r="BP21499" s="197"/>
      <c r="BQ21499" s="197"/>
    </row>
    <row r="21500" spans="66:69" x14ac:dyDescent="0.2">
      <c r="BN21500" s="192"/>
      <c r="BO21500" s="197"/>
      <c r="BP21500" s="197"/>
      <c r="BQ21500" s="197"/>
    </row>
    <row r="21501" spans="66:69" x14ac:dyDescent="0.2">
      <c r="BN21501" s="192"/>
      <c r="BO21501" s="197"/>
      <c r="BP21501" s="197"/>
      <c r="BQ21501" s="197"/>
    </row>
    <row r="21502" spans="66:69" x14ac:dyDescent="0.2">
      <c r="BN21502" s="192"/>
      <c r="BO21502" s="197"/>
      <c r="BP21502" s="197"/>
      <c r="BQ21502" s="197"/>
    </row>
    <row r="21503" spans="66:69" x14ac:dyDescent="0.2">
      <c r="BN21503" s="192"/>
      <c r="BO21503" s="197"/>
      <c r="BP21503" s="197"/>
      <c r="BQ21503" s="197"/>
    </row>
    <row r="21504" spans="66:69" x14ac:dyDescent="0.2">
      <c r="BN21504" s="192"/>
      <c r="BO21504" s="197"/>
      <c r="BP21504" s="197"/>
      <c r="BQ21504" s="197"/>
    </row>
    <row r="21505" spans="66:69" x14ac:dyDescent="0.2">
      <c r="BN21505" s="192"/>
      <c r="BO21505" s="197"/>
      <c r="BP21505" s="197"/>
      <c r="BQ21505" s="197"/>
    </row>
    <row r="21506" spans="66:69" x14ac:dyDescent="0.2">
      <c r="BN21506" s="192"/>
      <c r="BO21506" s="197"/>
      <c r="BP21506" s="197"/>
      <c r="BQ21506" s="197"/>
    </row>
    <row r="21507" spans="66:69" x14ac:dyDescent="0.2">
      <c r="BN21507" s="192"/>
      <c r="BO21507" s="197"/>
      <c r="BP21507" s="197"/>
      <c r="BQ21507" s="197"/>
    </row>
    <row r="21508" spans="66:69" x14ac:dyDescent="0.2">
      <c r="BN21508" s="192"/>
      <c r="BO21508" s="197"/>
      <c r="BP21508" s="197"/>
      <c r="BQ21508" s="197"/>
    </row>
    <row r="21509" spans="66:69" x14ac:dyDescent="0.2">
      <c r="BN21509" s="192"/>
      <c r="BO21509" s="197"/>
      <c r="BP21509" s="197"/>
      <c r="BQ21509" s="197"/>
    </row>
    <row r="21510" spans="66:69" x14ac:dyDescent="0.2">
      <c r="BN21510" s="192"/>
      <c r="BO21510" s="197"/>
      <c r="BP21510" s="197"/>
      <c r="BQ21510" s="197"/>
    </row>
    <row r="21511" spans="66:69" x14ac:dyDescent="0.2">
      <c r="BN21511" s="192"/>
      <c r="BO21511" s="197"/>
      <c r="BP21511" s="197"/>
      <c r="BQ21511" s="197"/>
    </row>
    <row r="21512" spans="66:69" x14ac:dyDescent="0.2">
      <c r="BN21512" s="192"/>
      <c r="BO21512" s="197"/>
      <c r="BP21512" s="197"/>
      <c r="BQ21512" s="197"/>
    </row>
    <row r="21513" spans="66:69" x14ac:dyDescent="0.2">
      <c r="BN21513" s="192"/>
      <c r="BO21513" s="197"/>
      <c r="BP21513" s="197"/>
      <c r="BQ21513" s="197"/>
    </row>
    <row r="21514" spans="66:69" x14ac:dyDescent="0.2">
      <c r="BN21514" s="192"/>
      <c r="BO21514" s="197"/>
      <c r="BP21514" s="197"/>
      <c r="BQ21514" s="197"/>
    </row>
    <row r="21515" spans="66:69" x14ac:dyDescent="0.2">
      <c r="BN21515" s="192"/>
      <c r="BO21515" s="197"/>
      <c r="BP21515" s="197"/>
      <c r="BQ21515" s="197"/>
    </row>
    <row r="21516" spans="66:69" x14ac:dyDescent="0.2">
      <c r="BN21516" s="192"/>
      <c r="BO21516" s="197"/>
      <c r="BP21516" s="197"/>
      <c r="BQ21516" s="197"/>
    </row>
    <row r="21517" spans="66:69" x14ac:dyDescent="0.2">
      <c r="BN21517" s="192"/>
      <c r="BO21517" s="197"/>
      <c r="BP21517" s="197"/>
      <c r="BQ21517" s="197"/>
    </row>
    <row r="21518" spans="66:69" x14ac:dyDescent="0.2">
      <c r="BN21518" s="192"/>
      <c r="BO21518" s="197"/>
      <c r="BP21518" s="197"/>
      <c r="BQ21518" s="197"/>
    </row>
    <row r="21519" spans="66:69" x14ac:dyDescent="0.2">
      <c r="BN21519" s="192"/>
      <c r="BO21519" s="197"/>
      <c r="BP21519" s="197"/>
      <c r="BQ21519" s="197"/>
    </row>
    <row r="21520" spans="66:69" x14ac:dyDescent="0.2">
      <c r="BN21520" s="192"/>
      <c r="BO21520" s="197"/>
      <c r="BP21520" s="197"/>
      <c r="BQ21520" s="197"/>
    </row>
    <row r="21521" spans="66:69" x14ac:dyDescent="0.2">
      <c r="BN21521" s="192"/>
      <c r="BO21521" s="197"/>
      <c r="BP21521" s="197"/>
      <c r="BQ21521" s="197"/>
    </row>
    <row r="21522" spans="66:69" x14ac:dyDescent="0.2">
      <c r="BN21522" s="192"/>
      <c r="BO21522" s="197"/>
      <c r="BP21522" s="197"/>
      <c r="BQ21522" s="197"/>
    </row>
    <row r="21523" spans="66:69" x14ac:dyDescent="0.2">
      <c r="BN21523" s="192"/>
      <c r="BO21523" s="197"/>
      <c r="BP21523" s="197"/>
      <c r="BQ21523" s="197"/>
    </row>
    <row r="21524" spans="66:69" x14ac:dyDescent="0.2">
      <c r="BN21524" s="192"/>
      <c r="BO21524" s="197"/>
      <c r="BP21524" s="197"/>
      <c r="BQ21524" s="197"/>
    </row>
    <row r="21525" spans="66:69" x14ac:dyDescent="0.2">
      <c r="BN21525" s="192"/>
      <c r="BO21525" s="197"/>
      <c r="BP21525" s="197"/>
      <c r="BQ21525" s="197"/>
    </row>
    <row r="21526" spans="66:69" x14ac:dyDescent="0.2">
      <c r="BN21526" s="192"/>
      <c r="BO21526" s="197"/>
      <c r="BP21526" s="197"/>
      <c r="BQ21526" s="197"/>
    </row>
    <row r="21527" spans="66:69" x14ac:dyDescent="0.2">
      <c r="BN21527" s="192"/>
      <c r="BO21527" s="197"/>
      <c r="BP21527" s="197"/>
      <c r="BQ21527" s="197"/>
    </row>
    <row r="21528" spans="66:69" x14ac:dyDescent="0.2">
      <c r="BN21528" s="192"/>
      <c r="BO21528" s="197"/>
      <c r="BP21528" s="197"/>
      <c r="BQ21528" s="197"/>
    </row>
    <row r="21529" spans="66:69" x14ac:dyDescent="0.2">
      <c r="BN21529" s="192"/>
      <c r="BO21529" s="197"/>
      <c r="BP21529" s="197"/>
      <c r="BQ21529" s="197"/>
    </row>
    <row r="21530" spans="66:69" x14ac:dyDescent="0.2">
      <c r="BN21530" s="192"/>
      <c r="BO21530" s="197"/>
      <c r="BP21530" s="197"/>
      <c r="BQ21530" s="197"/>
    </row>
    <row r="21531" spans="66:69" x14ac:dyDescent="0.2">
      <c r="BN21531" s="192"/>
      <c r="BO21531" s="197"/>
      <c r="BP21531" s="197"/>
      <c r="BQ21531" s="197"/>
    </row>
    <row r="21532" spans="66:69" x14ac:dyDescent="0.2">
      <c r="BN21532" s="192"/>
      <c r="BO21532" s="197"/>
      <c r="BP21532" s="197"/>
      <c r="BQ21532" s="197"/>
    </row>
    <row r="21533" spans="66:69" x14ac:dyDescent="0.2">
      <c r="BN21533" s="192"/>
      <c r="BO21533" s="197"/>
      <c r="BP21533" s="197"/>
      <c r="BQ21533" s="197"/>
    </row>
    <row r="21534" spans="66:69" x14ac:dyDescent="0.2">
      <c r="BN21534" s="192"/>
      <c r="BO21534" s="197"/>
      <c r="BP21534" s="197"/>
      <c r="BQ21534" s="197"/>
    </row>
    <row r="21535" spans="66:69" x14ac:dyDescent="0.2">
      <c r="BN21535" s="192"/>
      <c r="BO21535" s="197"/>
      <c r="BP21535" s="197"/>
      <c r="BQ21535" s="197"/>
    </row>
    <row r="21536" spans="66:69" x14ac:dyDescent="0.2">
      <c r="BN21536" s="192"/>
      <c r="BO21536" s="197"/>
      <c r="BP21536" s="197"/>
      <c r="BQ21536" s="197"/>
    </row>
    <row r="21537" spans="66:69" x14ac:dyDescent="0.2">
      <c r="BN21537" s="192"/>
      <c r="BO21537" s="197"/>
      <c r="BP21537" s="197"/>
      <c r="BQ21537" s="197"/>
    </row>
    <row r="21538" spans="66:69" x14ac:dyDescent="0.2">
      <c r="BN21538" s="192"/>
      <c r="BO21538" s="197"/>
      <c r="BP21538" s="197"/>
      <c r="BQ21538" s="197"/>
    </row>
    <row r="21539" spans="66:69" x14ac:dyDescent="0.2">
      <c r="BN21539" s="192"/>
      <c r="BO21539" s="197"/>
      <c r="BP21539" s="197"/>
      <c r="BQ21539" s="197"/>
    </row>
    <row r="21540" spans="66:69" x14ac:dyDescent="0.2">
      <c r="BN21540" s="192"/>
      <c r="BO21540" s="197"/>
      <c r="BP21540" s="197"/>
      <c r="BQ21540" s="197"/>
    </row>
    <row r="21541" spans="66:69" x14ac:dyDescent="0.2">
      <c r="BN21541" s="192"/>
      <c r="BO21541" s="197"/>
      <c r="BP21541" s="197"/>
      <c r="BQ21541" s="197"/>
    </row>
    <row r="21542" spans="66:69" x14ac:dyDescent="0.2">
      <c r="BN21542" s="192"/>
      <c r="BO21542" s="197"/>
      <c r="BP21542" s="197"/>
      <c r="BQ21542" s="197"/>
    </row>
    <row r="21543" spans="66:69" x14ac:dyDescent="0.2">
      <c r="BN21543" s="192"/>
      <c r="BO21543" s="197"/>
      <c r="BP21543" s="197"/>
      <c r="BQ21543" s="197"/>
    </row>
    <row r="21544" spans="66:69" x14ac:dyDescent="0.2">
      <c r="BN21544" s="192"/>
      <c r="BO21544" s="197"/>
      <c r="BP21544" s="197"/>
      <c r="BQ21544" s="197"/>
    </row>
    <row r="21545" spans="66:69" x14ac:dyDescent="0.2">
      <c r="BN21545" s="192"/>
      <c r="BO21545" s="197"/>
      <c r="BP21545" s="197"/>
      <c r="BQ21545" s="197"/>
    </row>
    <row r="21546" spans="66:69" x14ac:dyDescent="0.2">
      <c r="BN21546" s="192"/>
      <c r="BO21546" s="197"/>
      <c r="BP21546" s="197"/>
      <c r="BQ21546" s="197"/>
    </row>
    <row r="21547" spans="66:69" x14ac:dyDescent="0.2">
      <c r="BN21547" s="192"/>
      <c r="BO21547" s="197"/>
      <c r="BP21547" s="197"/>
      <c r="BQ21547" s="197"/>
    </row>
    <row r="21548" spans="66:69" x14ac:dyDescent="0.2">
      <c r="BN21548" s="192"/>
      <c r="BO21548" s="197"/>
      <c r="BP21548" s="197"/>
      <c r="BQ21548" s="197"/>
    </row>
    <row r="21549" spans="66:69" x14ac:dyDescent="0.2">
      <c r="BN21549" s="192"/>
      <c r="BO21549" s="197"/>
      <c r="BP21549" s="197"/>
      <c r="BQ21549" s="197"/>
    </row>
    <row r="21550" spans="66:69" x14ac:dyDescent="0.2">
      <c r="BN21550" s="192"/>
      <c r="BO21550" s="197"/>
      <c r="BP21550" s="197"/>
      <c r="BQ21550" s="197"/>
    </row>
    <row r="21551" spans="66:69" x14ac:dyDescent="0.2">
      <c r="BN21551" s="192"/>
      <c r="BO21551" s="197"/>
      <c r="BP21551" s="197"/>
      <c r="BQ21551" s="197"/>
    </row>
    <row r="21552" spans="66:69" x14ac:dyDescent="0.2">
      <c r="BN21552" s="192"/>
      <c r="BO21552" s="197"/>
      <c r="BP21552" s="197"/>
      <c r="BQ21552" s="197"/>
    </row>
    <row r="21553" spans="66:69" x14ac:dyDescent="0.2">
      <c r="BN21553" s="192"/>
      <c r="BO21553" s="197"/>
      <c r="BP21553" s="197"/>
      <c r="BQ21553" s="197"/>
    </row>
    <row r="21554" spans="66:69" x14ac:dyDescent="0.2">
      <c r="BN21554" s="192"/>
      <c r="BO21554" s="197"/>
      <c r="BP21554" s="197"/>
      <c r="BQ21554" s="197"/>
    </row>
    <row r="21555" spans="66:69" x14ac:dyDescent="0.2">
      <c r="BN21555" s="192"/>
      <c r="BO21555" s="197"/>
      <c r="BP21555" s="197"/>
      <c r="BQ21555" s="197"/>
    </row>
    <row r="21556" spans="66:69" x14ac:dyDescent="0.2">
      <c r="BN21556" s="192"/>
      <c r="BO21556" s="197"/>
      <c r="BP21556" s="197"/>
      <c r="BQ21556" s="197"/>
    </row>
    <row r="21557" spans="66:69" x14ac:dyDescent="0.2">
      <c r="BN21557" s="192"/>
      <c r="BO21557" s="197"/>
      <c r="BP21557" s="197"/>
      <c r="BQ21557" s="197"/>
    </row>
    <row r="21558" spans="66:69" x14ac:dyDescent="0.2">
      <c r="BN21558" s="192"/>
      <c r="BO21558" s="197"/>
      <c r="BP21558" s="197"/>
      <c r="BQ21558" s="197"/>
    </row>
    <row r="21559" spans="66:69" x14ac:dyDescent="0.2">
      <c r="BN21559" s="192"/>
      <c r="BO21559" s="197"/>
      <c r="BP21559" s="197"/>
      <c r="BQ21559" s="197"/>
    </row>
    <row r="21560" spans="66:69" x14ac:dyDescent="0.2">
      <c r="BN21560" s="192"/>
      <c r="BO21560" s="197"/>
      <c r="BP21560" s="197"/>
      <c r="BQ21560" s="197"/>
    </row>
    <row r="21561" spans="66:69" x14ac:dyDescent="0.2">
      <c r="BN21561" s="192"/>
      <c r="BO21561" s="197"/>
      <c r="BP21561" s="197"/>
      <c r="BQ21561" s="197"/>
    </row>
    <row r="21562" spans="66:69" x14ac:dyDescent="0.2">
      <c r="BN21562" s="192"/>
      <c r="BO21562" s="197"/>
      <c r="BP21562" s="197"/>
      <c r="BQ21562" s="197"/>
    </row>
    <row r="21563" spans="66:69" x14ac:dyDescent="0.2">
      <c r="BN21563" s="192"/>
      <c r="BO21563" s="197"/>
      <c r="BP21563" s="197"/>
      <c r="BQ21563" s="197"/>
    </row>
    <row r="21564" spans="66:69" x14ac:dyDescent="0.2">
      <c r="BN21564" s="192"/>
      <c r="BO21564" s="197"/>
      <c r="BP21564" s="197"/>
      <c r="BQ21564" s="197"/>
    </row>
    <row r="21565" spans="66:69" x14ac:dyDescent="0.2">
      <c r="BN21565" s="192"/>
      <c r="BO21565" s="197"/>
      <c r="BP21565" s="197"/>
      <c r="BQ21565" s="197"/>
    </row>
    <row r="21566" spans="66:69" x14ac:dyDescent="0.2">
      <c r="BN21566" s="192"/>
      <c r="BO21566" s="197"/>
      <c r="BP21566" s="197"/>
      <c r="BQ21566" s="197"/>
    </row>
    <row r="21567" spans="66:69" x14ac:dyDescent="0.2">
      <c r="BN21567" s="192"/>
      <c r="BO21567" s="197"/>
      <c r="BP21567" s="197"/>
      <c r="BQ21567" s="197"/>
    </row>
    <row r="21568" spans="66:69" x14ac:dyDescent="0.2">
      <c r="BN21568" s="192"/>
      <c r="BO21568" s="197"/>
      <c r="BP21568" s="197"/>
      <c r="BQ21568" s="197"/>
    </row>
    <row r="21569" spans="66:69" x14ac:dyDescent="0.2">
      <c r="BN21569" s="192"/>
      <c r="BO21569" s="197"/>
      <c r="BP21569" s="197"/>
      <c r="BQ21569" s="197"/>
    </row>
    <row r="21570" spans="66:69" x14ac:dyDescent="0.2">
      <c r="BN21570" s="192"/>
      <c r="BO21570" s="197"/>
      <c r="BP21570" s="197"/>
      <c r="BQ21570" s="197"/>
    </row>
    <row r="21571" spans="66:69" x14ac:dyDescent="0.2">
      <c r="BN21571" s="192"/>
      <c r="BO21571" s="197"/>
      <c r="BP21571" s="197"/>
      <c r="BQ21571" s="197"/>
    </row>
    <row r="21572" spans="66:69" x14ac:dyDescent="0.2">
      <c r="BN21572" s="192"/>
      <c r="BO21572" s="197"/>
      <c r="BP21572" s="197"/>
      <c r="BQ21572" s="197"/>
    </row>
    <row r="21573" spans="66:69" x14ac:dyDescent="0.2">
      <c r="BN21573" s="192"/>
      <c r="BO21573" s="197"/>
      <c r="BP21573" s="197"/>
      <c r="BQ21573" s="197"/>
    </row>
    <row r="21574" spans="66:69" x14ac:dyDescent="0.2">
      <c r="BN21574" s="192"/>
      <c r="BO21574" s="197"/>
      <c r="BP21574" s="197"/>
      <c r="BQ21574" s="197"/>
    </row>
    <row r="21575" spans="66:69" x14ac:dyDescent="0.2">
      <c r="BN21575" s="192"/>
      <c r="BO21575" s="197"/>
      <c r="BP21575" s="197"/>
      <c r="BQ21575" s="197"/>
    </row>
    <row r="21576" spans="66:69" x14ac:dyDescent="0.2">
      <c r="BN21576" s="192"/>
      <c r="BO21576" s="197"/>
      <c r="BP21576" s="197"/>
      <c r="BQ21576" s="197"/>
    </row>
    <row r="21577" spans="66:69" x14ac:dyDescent="0.2">
      <c r="BN21577" s="192"/>
      <c r="BO21577" s="197"/>
      <c r="BP21577" s="197"/>
      <c r="BQ21577" s="197"/>
    </row>
    <row r="21578" spans="66:69" x14ac:dyDescent="0.2">
      <c r="BN21578" s="192"/>
      <c r="BO21578" s="197"/>
      <c r="BP21578" s="197"/>
      <c r="BQ21578" s="197"/>
    </row>
    <row r="21579" spans="66:69" x14ac:dyDescent="0.2">
      <c r="BN21579" s="192"/>
      <c r="BO21579" s="197"/>
      <c r="BP21579" s="197"/>
      <c r="BQ21579" s="197"/>
    </row>
    <row r="21580" spans="66:69" x14ac:dyDescent="0.2">
      <c r="BN21580" s="192"/>
      <c r="BO21580" s="197"/>
      <c r="BP21580" s="197"/>
      <c r="BQ21580" s="197"/>
    </row>
    <row r="21581" spans="66:69" x14ac:dyDescent="0.2">
      <c r="BN21581" s="192"/>
      <c r="BO21581" s="197"/>
      <c r="BP21581" s="197"/>
      <c r="BQ21581" s="197"/>
    </row>
    <row r="21582" spans="66:69" x14ac:dyDescent="0.2">
      <c r="BN21582" s="192"/>
      <c r="BO21582" s="197"/>
      <c r="BP21582" s="197"/>
      <c r="BQ21582" s="197"/>
    </row>
    <row r="21583" spans="66:69" x14ac:dyDescent="0.2">
      <c r="BN21583" s="192"/>
      <c r="BO21583" s="197"/>
      <c r="BP21583" s="197"/>
      <c r="BQ21583" s="197"/>
    </row>
    <row r="21584" spans="66:69" x14ac:dyDescent="0.2">
      <c r="BN21584" s="192"/>
      <c r="BO21584" s="197"/>
      <c r="BP21584" s="197"/>
      <c r="BQ21584" s="197"/>
    </row>
    <row r="21585" spans="66:69" x14ac:dyDescent="0.2">
      <c r="BN21585" s="192"/>
      <c r="BO21585" s="197"/>
      <c r="BP21585" s="197"/>
      <c r="BQ21585" s="197"/>
    </row>
    <row r="21586" spans="66:69" x14ac:dyDescent="0.2">
      <c r="BN21586" s="192"/>
      <c r="BO21586" s="197"/>
      <c r="BP21586" s="197"/>
      <c r="BQ21586" s="197"/>
    </row>
    <row r="21587" spans="66:69" x14ac:dyDescent="0.2">
      <c r="BN21587" s="192"/>
      <c r="BO21587" s="197"/>
      <c r="BP21587" s="197"/>
      <c r="BQ21587" s="197"/>
    </row>
    <row r="21588" spans="66:69" x14ac:dyDescent="0.2">
      <c r="BN21588" s="192"/>
      <c r="BO21588" s="197"/>
      <c r="BP21588" s="197"/>
      <c r="BQ21588" s="197"/>
    </row>
    <row r="21589" spans="66:69" x14ac:dyDescent="0.2">
      <c r="BN21589" s="192"/>
      <c r="BO21589" s="197"/>
      <c r="BP21589" s="197"/>
      <c r="BQ21589" s="197"/>
    </row>
    <row r="21590" spans="66:69" x14ac:dyDescent="0.2">
      <c r="BN21590" s="192"/>
      <c r="BO21590" s="197"/>
      <c r="BP21590" s="197"/>
      <c r="BQ21590" s="197"/>
    </row>
    <row r="21591" spans="66:69" x14ac:dyDescent="0.2">
      <c r="BN21591" s="192"/>
      <c r="BO21591" s="197"/>
      <c r="BP21591" s="197"/>
      <c r="BQ21591" s="197"/>
    </row>
    <row r="21592" spans="66:69" x14ac:dyDescent="0.2">
      <c r="BN21592" s="192"/>
      <c r="BO21592" s="197"/>
      <c r="BP21592" s="197"/>
      <c r="BQ21592" s="197"/>
    </row>
    <row r="21593" spans="66:69" x14ac:dyDescent="0.2">
      <c r="BN21593" s="192"/>
      <c r="BO21593" s="197"/>
      <c r="BP21593" s="197"/>
      <c r="BQ21593" s="197"/>
    </row>
    <row r="21594" spans="66:69" x14ac:dyDescent="0.2">
      <c r="BN21594" s="192"/>
      <c r="BO21594" s="197"/>
      <c r="BP21594" s="197"/>
      <c r="BQ21594" s="197"/>
    </row>
    <row r="21595" spans="66:69" x14ac:dyDescent="0.2">
      <c r="BN21595" s="192"/>
      <c r="BO21595" s="197"/>
      <c r="BP21595" s="197"/>
      <c r="BQ21595" s="197"/>
    </row>
    <row r="21596" spans="66:69" x14ac:dyDescent="0.2">
      <c r="BN21596" s="192"/>
      <c r="BO21596" s="197"/>
      <c r="BP21596" s="197"/>
      <c r="BQ21596" s="197"/>
    </row>
    <row r="21597" spans="66:69" x14ac:dyDescent="0.2">
      <c r="BN21597" s="192"/>
      <c r="BO21597" s="197"/>
      <c r="BP21597" s="197"/>
      <c r="BQ21597" s="197"/>
    </row>
    <row r="21598" spans="66:69" x14ac:dyDescent="0.2">
      <c r="BN21598" s="192"/>
      <c r="BO21598" s="197"/>
      <c r="BP21598" s="197"/>
      <c r="BQ21598" s="197"/>
    </row>
    <row r="21599" spans="66:69" x14ac:dyDescent="0.2">
      <c r="BN21599" s="192"/>
      <c r="BO21599" s="197"/>
      <c r="BP21599" s="197"/>
      <c r="BQ21599" s="197"/>
    </row>
    <row r="21600" spans="66:69" x14ac:dyDescent="0.2">
      <c r="BN21600" s="192"/>
      <c r="BO21600" s="197"/>
      <c r="BP21600" s="197"/>
      <c r="BQ21600" s="197"/>
    </row>
    <row r="21601" spans="66:69" x14ac:dyDescent="0.2">
      <c r="BN21601" s="192"/>
      <c r="BO21601" s="197"/>
      <c r="BP21601" s="197"/>
      <c r="BQ21601" s="197"/>
    </row>
    <row r="21602" spans="66:69" x14ac:dyDescent="0.2">
      <c r="BN21602" s="192"/>
      <c r="BO21602" s="197"/>
      <c r="BP21602" s="197"/>
      <c r="BQ21602" s="197"/>
    </row>
    <row r="21603" spans="66:69" x14ac:dyDescent="0.2">
      <c r="BN21603" s="192"/>
      <c r="BO21603" s="197"/>
      <c r="BP21603" s="197"/>
      <c r="BQ21603" s="197"/>
    </row>
    <row r="21604" spans="66:69" x14ac:dyDescent="0.2">
      <c r="BN21604" s="192"/>
      <c r="BO21604" s="197"/>
      <c r="BP21604" s="197"/>
      <c r="BQ21604" s="197"/>
    </row>
    <row r="21605" spans="66:69" x14ac:dyDescent="0.2">
      <c r="BN21605" s="192"/>
      <c r="BO21605" s="197"/>
      <c r="BP21605" s="197"/>
      <c r="BQ21605" s="197"/>
    </row>
    <row r="21606" spans="66:69" x14ac:dyDescent="0.2">
      <c r="BN21606" s="192"/>
      <c r="BO21606" s="197"/>
      <c r="BP21606" s="197"/>
      <c r="BQ21606" s="197"/>
    </row>
    <row r="21607" spans="66:69" x14ac:dyDescent="0.2">
      <c r="BN21607" s="192"/>
      <c r="BO21607" s="197"/>
      <c r="BP21607" s="197"/>
      <c r="BQ21607" s="197"/>
    </row>
    <row r="21608" spans="66:69" x14ac:dyDescent="0.2">
      <c r="BN21608" s="192"/>
      <c r="BO21608" s="197"/>
      <c r="BP21608" s="197"/>
      <c r="BQ21608" s="197"/>
    </row>
    <row r="21609" spans="66:69" x14ac:dyDescent="0.2">
      <c r="BN21609" s="192"/>
      <c r="BO21609" s="197"/>
      <c r="BP21609" s="197"/>
      <c r="BQ21609" s="197"/>
    </row>
    <row r="21610" spans="66:69" x14ac:dyDescent="0.2">
      <c r="BN21610" s="192"/>
      <c r="BO21610" s="197"/>
      <c r="BP21610" s="197"/>
      <c r="BQ21610" s="197"/>
    </row>
    <row r="21611" spans="66:69" x14ac:dyDescent="0.2">
      <c r="BN21611" s="192"/>
      <c r="BO21611" s="197"/>
      <c r="BP21611" s="197"/>
      <c r="BQ21611" s="197"/>
    </row>
    <row r="21612" spans="66:69" x14ac:dyDescent="0.2">
      <c r="BN21612" s="192"/>
      <c r="BO21612" s="197"/>
      <c r="BP21612" s="197"/>
      <c r="BQ21612" s="197"/>
    </row>
    <row r="21613" spans="66:69" x14ac:dyDescent="0.2">
      <c r="BN21613" s="192"/>
      <c r="BO21613" s="197"/>
      <c r="BP21613" s="197"/>
      <c r="BQ21613" s="197"/>
    </row>
    <row r="21614" spans="66:69" x14ac:dyDescent="0.2">
      <c r="BN21614" s="192"/>
      <c r="BO21614" s="197"/>
      <c r="BP21614" s="197"/>
      <c r="BQ21614" s="197"/>
    </row>
    <row r="21615" spans="66:69" x14ac:dyDescent="0.2">
      <c r="BN21615" s="192"/>
      <c r="BO21615" s="197"/>
      <c r="BP21615" s="197"/>
      <c r="BQ21615" s="197"/>
    </row>
    <row r="21616" spans="66:69" x14ac:dyDescent="0.2">
      <c r="BN21616" s="192"/>
      <c r="BO21616" s="197"/>
      <c r="BP21616" s="197"/>
      <c r="BQ21616" s="197"/>
    </row>
    <row r="21617" spans="66:69" x14ac:dyDescent="0.2">
      <c r="BN21617" s="192"/>
      <c r="BO21617" s="197"/>
      <c r="BP21617" s="197"/>
      <c r="BQ21617" s="197"/>
    </row>
    <row r="21618" spans="66:69" x14ac:dyDescent="0.2">
      <c r="BN21618" s="192"/>
      <c r="BO21618" s="197"/>
      <c r="BP21618" s="197"/>
      <c r="BQ21618" s="197"/>
    </row>
    <row r="21619" spans="66:69" x14ac:dyDescent="0.2">
      <c r="BN21619" s="192"/>
      <c r="BO21619" s="197"/>
      <c r="BP21619" s="197"/>
      <c r="BQ21619" s="197"/>
    </row>
    <row r="21620" spans="66:69" x14ac:dyDescent="0.2">
      <c r="BN21620" s="192"/>
      <c r="BO21620" s="197"/>
      <c r="BP21620" s="197"/>
      <c r="BQ21620" s="197"/>
    </row>
    <row r="21621" spans="66:69" x14ac:dyDescent="0.2">
      <c r="BN21621" s="192"/>
      <c r="BO21621" s="197"/>
      <c r="BP21621" s="197"/>
      <c r="BQ21621" s="197"/>
    </row>
    <row r="21622" spans="66:69" x14ac:dyDescent="0.2">
      <c r="BN21622" s="192"/>
      <c r="BO21622" s="197"/>
      <c r="BP21622" s="197"/>
      <c r="BQ21622" s="197"/>
    </row>
    <row r="21623" spans="66:69" x14ac:dyDescent="0.2">
      <c r="BN21623" s="192"/>
      <c r="BO21623" s="197"/>
      <c r="BP21623" s="197"/>
      <c r="BQ21623" s="197"/>
    </row>
    <row r="21624" spans="66:69" x14ac:dyDescent="0.2">
      <c r="BN21624" s="192"/>
      <c r="BO21624" s="197"/>
      <c r="BP21624" s="197"/>
      <c r="BQ21624" s="197"/>
    </row>
    <row r="21625" spans="66:69" x14ac:dyDescent="0.2">
      <c r="BN21625" s="192"/>
      <c r="BO21625" s="197"/>
      <c r="BP21625" s="197"/>
      <c r="BQ21625" s="197"/>
    </row>
    <row r="21626" spans="66:69" x14ac:dyDescent="0.2">
      <c r="BN21626" s="192"/>
      <c r="BO21626" s="197"/>
      <c r="BP21626" s="197"/>
      <c r="BQ21626" s="197"/>
    </row>
    <row r="21627" spans="66:69" x14ac:dyDescent="0.2">
      <c r="BN21627" s="192"/>
      <c r="BO21627" s="197"/>
      <c r="BP21627" s="197"/>
      <c r="BQ21627" s="197"/>
    </row>
    <row r="21628" spans="66:69" x14ac:dyDescent="0.2">
      <c r="BN21628" s="192"/>
      <c r="BO21628" s="197"/>
      <c r="BP21628" s="197"/>
      <c r="BQ21628" s="197"/>
    </row>
    <row r="21629" spans="66:69" x14ac:dyDescent="0.2">
      <c r="BN21629" s="192"/>
      <c r="BO21629" s="197"/>
      <c r="BP21629" s="197"/>
      <c r="BQ21629" s="197"/>
    </row>
    <row r="21630" spans="66:69" x14ac:dyDescent="0.2">
      <c r="BN21630" s="192"/>
      <c r="BO21630" s="197"/>
      <c r="BP21630" s="197"/>
      <c r="BQ21630" s="197"/>
    </row>
    <row r="21631" spans="66:69" x14ac:dyDescent="0.2">
      <c r="BN21631" s="192"/>
      <c r="BO21631" s="197"/>
      <c r="BP21631" s="197"/>
      <c r="BQ21631" s="197"/>
    </row>
    <row r="21632" spans="66:69" x14ac:dyDescent="0.2">
      <c r="BN21632" s="192"/>
      <c r="BO21632" s="197"/>
      <c r="BP21632" s="197"/>
      <c r="BQ21632" s="197"/>
    </row>
    <row r="21633" spans="66:69" x14ac:dyDescent="0.2">
      <c r="BN21633" s="192"/>
      <c r="BO21633" s="197"/>
      <c r="BP21633" s="197"/>
      <c r="BQ21633" s="197"/>
    </row>
    <row r="21634" spans="66:69" x14ac:dyDescent="0.2">
      <c r="BN21634" s="192"/>
      <c r="BO21634" s="197"/>
      <c r="BP21634" s="197"/>
      <c r="BQ21634" s="197"/>
    </row>
    <row r="21635" spans="66:69" x14ac:dyDescent="0.2">
      <c r="BN21635" s="192"/>
      <c r="BO21635" s="197"/>
      <c r="BP21635" s="197"/>
      <c r="BQ21635" s="197"/>
    </row>
    <row r="21636" spans="66:69" x14ac:dyDescent="0.2">
      <c r="BN21636" s="192"/>
      <c r="BO21636" s="197"/>
      <c r="BP21636" s="197"/>
      <c r="BQ21636" s="197"/>
    </row>
    <row r="21637" spans="66:69" x14ac:dyDescent="0.2">
      <c r="BN21637" s="192"/>
      <c r="BO21637" s="197"/>
      <c r="BP21637" s="197"/>
      <c r="BQ21637" s="197"/>
    </row>
    <row r="21638" spans="66:69" x14ac:dyDescent="0.2">
      <c r="BN21638" s="192"/>
      <c r="BO21638" s="197"/>
      <c r="BP21638" s="197"/>
      <c r="BQ21638" s="197"/>
    </row>
    <row r="21639" spans="66:69" x14ac:dyDescent="0.2">
      <c r="BN21639" s="192"/>
      <c r="BO21639" s="197"/>
      <c r="BP21639" s="197"/>
      <c r="BQ21639" s="197"/>
    </row>
    <row r="21640" spans="66:69" x14ac:dyDescent="0.2">
      <c r="BN21640" s="192"/>
      <c r="BO21640" s="197"/>
      <c r="BP21640" s="197"/>
      <c r="BQ21640" s="197"/>
    </row>
    <row r="21641" spans="66:69" x14ac:dyDescent="0.2">
      <c r="BN21641" s="192"/>
      <c r="BO21641" s="197"/>
      <c r="BP21641" s="197"/>
      <c r="BQ21641" s="197"/>
    </row>
    <row r="21642" spans="66:69" x14ac:dyDescent="0.2">
      <c r="BN21642" s="192"/>
      <c r="BO21642" s="197"/>
      <c r="BP21642" s="197"/>
      <c r="BQ21642" s="197"/>
    </row>
    <row r="21643" spans="66:69" x14ac:dyDescent="0.2">
      <c r="BN21643" s="192"/>
      <c r="BO21643" s="197"/>
      <c r="BP21643" s="197"/>
      <c r="BQ21643" s="197"/>
    </row>
    <row r="21644" spans="66:69" x14ac:dyDescent="0.2">
      <c r="BN21644" s="192"/>
      <c r="BO21644" s="197"/>
      <c r="BP21644" s="197"/>
      <c r="BQ21644" s="197"/>
    </row>
    <row r="21645" spans="66:69" x14ac:dyDescent="0.2">
      <c r="BN21645" s="192"/>
      <c r="BO21645" s="197"/>
      <c r="BP21645" s="197"/>
      <c r="BQ21645" s="197"/>
    </row>
    <row r="21646" spans="66:69" x14ac:dyDescent="0.2">
      <c r="BN21646" s="192"/>
      <c r="BO21646" s="197"/>
      <c r="BP21646" s="197"/>
      <c r="BQ21646" s="197"/>
    </row>
    <row r="21647" spans="66:69" x14ac:dyDescent="0.2">
      <c r="BN21647" s="192"/>
      <c r="BO21647" s="197"/>
      <c r="BP21647" s="197"/>
      <c r="BQ21647" s="197"/>
    </row>
    <row r="21648" spans="66:69" x14ac:dyDescent="0.2">
      <c r="BN21648" s="192"/>
      <c r="BO21648" s="197"/>
      <c r="BP21648" s="197"/>
      <c r="BQ21648" s="197"/>
    </row>
    <row r="21649" spans="66:69" x14ac:dyDescent="0.2">
      <c r="BN21649" s="192"/>
      <c r="BO21649" s="197"/>
      <c r="BP21649" s="197"/>
      <c r="BQ21649" s="197"/>
    </row>
    <row r="21650" spans="66:69" x14ac:dyDescent="0.2">
      <c r="BN21650" s="192"/>
      <c r="BO21650" s="197"/>
      <c r="BP21650" s="197"/>
      <c r="BQ21650" s="197"/>
    </row>
    <row r="21651" spans="66:69" x14ac:dyDescent="0.2">
      <c r="BN21651" s="192"/>
      <c r="BO21651" s="197"/>
      <c r="BP21651" s="197"/>
      <c r="BQ21651" s="197"/>
    </row>
    <row r="21652" spans="66:69" x14ac:dyDescent="0.2">
      <c r="BN21652" s="192"/>
      <c r="BO21652" s="197"/>
      <c r="BP21652" s="197"/>
      <c r="BQ21652" s="197"/>
    </row>
    <row r="21653" spans="66:69" x14ac:dyDescent="0.2">
      <c r="BN21653" s="192"/>
      <c r="BO21653" s="197"/>
      <c r="BP21653" s="197"/>
      <c r="BQ21653" s="197"/>
    </row>
    <row r="21654" spans="66:69" x14ac:dyDescent="0.2">
      <c r="BN21654" s="192"/>
      <c r="BO21654" s="197"/>
      <c r="BP21654" s="197"/>
      <c r="BQ21654" s="197"/>
    </row>
    <row r="21655" spans="66:69" x14ac:dyDescent="0.2">
      <c r="BN21655" s="192"/>
      <c r="BO21655" s="197"/>
      <c r="BP21655" s="197"/>
      <c r="BQ21655" s="197"/>
    </row>
    <row r="21656" spans="66:69" x14ac:dyDescent="0.2">
      <c r="BN21656" s="192"/>
      <c r="BO21656" s="197"/>
      <c r="BP21656" s="197"/>
      <c r="BQ21656" s="197"/>
    </row>
    <row r="21657" spans="66:69" x14ac:dyDescent="0.2">
      <c r="BN21657" s="192"/>
      <c r="BO21657" s="197"/>
      <c r="BP21657" s="197"/>
      <c r="BQ21657" s="197"/>
    </row>
    <row r="21658" spans="66:69" x14ac:dyDescent="0.2">
      <c r="BN21658" s="192"/>
      <c r="BO21658" s="197"/>
      <c r="BP21658" s="197"/>
      <c r="BQ21658" s="197"/>
    </row>
    <row r="21659" spans="66:69" x14ac:dyDescent="0.2">
      <c r="BN21659" s="192"/>
      <c r="BO21659" s="197"/>
      <c r="BP21659" s="197"/>
      <c r="BQ21659" s="197"/>
    </row>
    <row r="21660" spans="66:69" x14ac:dyDescent="0.2">
      <c r="BN21660" s="192"/>
      <c r="BO21660" s="197"/>
      <c r="BP21660" s="197"/>
      <c r="BQ21660" s="197"/>
    </row>
    <row r="21661" spans="66:69" x14ac:dyDescent="0.2">
      <c r="BN21661" s="192"/>
      <c r="BO21661" s="197"/>
      <c r="BP21661" s="197"/>
      <c r="BQ21661" s="197"/>
    </row>
    <row r="21662" spans="66:69" x14ac:dyDescent="0.2">
      <c r="BN21662" s="192"/>
      <c r="BO21662" s="197"/>
      <c r="BP21662" s="197"/>
      <c r="BQ21662" s="197"/>
    </row>
    <row r="21663" spans="66:69" x14ac:dyDescent="0.2">
      <c r="BN21663" s="192"/>
      <c r="BO21663" s="197"/>
      <c r="BP21663" s="197"/>
      <c r="BQ21663" s="197"/>
    </row>
    <row r="21664" spans="66:69" x14ac:dyDescent="0.2">
      <c r="BN21664" s="192"/>
      <c r="BO21664" s="197"/>
      <c r="BP21664" s="197"/>
      <c r="BQ21664" s="197"/>
    </row>
    <row r="21665" spans="66:69" x14ac:dyDescent="0.2">
      <c r="BN21665" s="192"/>
      <c r="BO21665" s="197"/>
      <c r="BP21665" s="197"/>
      <c r="BQ21665" s="197"/>
    </row>
    <row r="21666" spans="66:69" x14ac:dyDescent="0.2">
      <c r="BN21666" s="192"/>
      <c r="BO21666" s="197"/>
      <c r="BP21666" s="197"/>
      <c r="BQ21666" s="197"/>
    </row>
    <row r="21667" spans="66:69" x14ac:dyDescent="0.2">
      <c r="BN21667" s="192"/>
      <c r="BO21667" s="197"/>
      <c r="BP21667" s="197"/>
      <c r="BQ21667" s="197"/>
    </row>
    <row r="21668" spans="66:69" x14ac:dyDescent="0.2">
      <c r="BN21668" s="192"/>
      <c r="BO21668" s="197"/>
      <c r="BP21668" s="197"/>
      <c r="BQ21668" s="197"/>
    </row>
    <row r="21669" spans="66:69" x14ac:dyDescent="0.2">
      <c r="BN21669" s="192"/>
      <c r="BO21669" s="197"/>
      <c r="BP21669" s="197"/>
      <c r="BQ21669" s="197"/>
    </row>
    <row r="21670" spans="66:69" x14ac:dyDescent="0.2">
      <c r="BN21670" s="192"/>
      <c r="BO21670" s="197"/>
      <c r="BP21670" s="197"/>
      <c r="BQ21670" s="197"/>
    </row>
    <row r="21671" spans="66:69" x14ac:dyDescent="0.2">
      <c r="BN21671" s="192"/>
      <c r="BO21671" s="197"/>
      <c r="BP21671" s="197"/>
      <c r="BQ21671" s="197"/>
    </row>
    <row r="21672" spans="66:69" x14ac:dyDescent="0.2">
      <c r="BN21672" s="192"/>
      <c r="BO21672" s="197"/>
      <c r="BP21672" s="197"/>
      <c r="BQ21672" s="197"/>
    </row>
    <row r="21673" spans="66:69" x14ac:dyDescent="0.2">
      <c r="BN21673" s="192"/>
      <c r="BO21673" s="197"/>
      <c r="BP21673" s="197"/>
      <c r="BQ21673" s="197"/>
    </row>
    <row r="21674" spans="66:69" x14ac:dyDescent="0.2">
      <c r="BN21674" s="192"/>
      <c r="BO21674" s="197"/>
      <c r="BP21674" s="197"/>
      <c r="BQ21674" s="197"/>
    </row>
    <row r="21675" spans="66:69" x14ac:dyDescent="0.2">
      <c r="BN21675" s="192"/>
      <c r="BO21675" s="197"/>
      <c r="BP21675" s="197"/>
      <c r="BQ21675" s="197"/>
    </row>
    <row r="21676" spans="66:69" x14ac:dyDescent="0.2">
      <c r="BN21676" s="192"/>
      <c r="BO21676" s="197"/>
      <c r="BP21676" s="197"/>
      <c r="BQ21676" s="197"/>
    </row>
    <row r="21677" spans="66:69" x14ac:dyDescent="0.2">
      <c r="BN21677" s="192"/>
      <c r="BO21677" s="197"/>
      <c r="BP21677" s="197"/>
      <c r="BQ21677" s="197"/>
    </row>
    <row r="21678" spans="66:69" x14ac:dyDescent="0.2">
      <c r="BN21678" s="192"/>
      <c r="BO21678" s="197"/>
      <c r="BP21678" s="197"/>
      <c r="BQ21678" s="197"/>
    </row>
    <row r="21679" spans="66:69" x14ac:dyDescent="0.2">
      <c r="BN21679" s="192"/>
      <c r="BO21679" s="197"/>
      <c r="BP21679" s="197"/>
      <c r="BQ21679" s="197"/>
    </row>
    <row r="21680" spans="66:69" x14ac:dyDescent="0.2">
      <c r="BN21680" s="192"/>
      <c r="BO21680" s="197"/>
      <c r="BP21680" s="197"/>
      <c r="BQ21680" s="197"/>
    </row>
    <row r="21681" spans="66:69" x14ac:dyDescent="0.2">
      <c r="BN21681" s="192"/>
      <c r="BO21681" s="197"/>
      <c r="BP21681" s="197"/>
      <c r="BQ21681" s="197"/>
    </row>
    <row r="21682" spans="66:69" x14ac:dyDescent="0.2">
      <c r="BN21682" s="192"/>
      <c r="BO21682" s="197"/>
      <c r="BP21682" s="197"/>
      <c r="BQ21682" s="197"/>
    </row>
    <row r="21683" spans="66:69" x14ac:dyDescent="0.2">
      <c r="BN21683" s="192"/>
      <c r="BO21683" s="197"/>
      <c r="BP21683" s="197"/>
      <c r="BQ21683" s="197"/>
    </row>
    <row r="21684" spans="66:69" x14ac:dyDescent="0.2">
      <c r="BN21684" s="192"/>
      <c r="BO21684" s="197"/>
      <c r="BP21684" s="197"/>
      <c r="BQ21684" s="197"/>
    </row>
    <row r="21685" spans="66:69" x14ac:dyDescent="0.2">
      <c r="BN21685" s="192"/>
      <c r="BO21685" s="197"/>
      <c r="BP21685" s="197"/>
      <c r="BQ21685" s="197"/>
    </row>
    <row r="21686" spans="66:69" x14ac:dyDescent="0.2">
      <c r="BN21686" s="192"/>
      <c r="BO21686" s="197"/>
      <c r="BP21686" s="197"/>
      <c r="BQ21686" s="197"/>
    </row>
    <row r="21687" spans="66:69" x14ac:dyDescent="0.2">
      <c r="BN21687" s="192"/>
      <c r="BO21687" s="197"/>
      <c r="BP21687" s="197"/>
      <c r="BQ21687" s="197"/>
    </row>
    <row r="21688" spans="66:69" x14ac:dyDescent="0.2">
      <c r="BN21688" s="192"/>
      <c r="BO21688" s="197"/>
      <c r="BP21688" s="197"/>
      <c r="BQ21688" s="197"/>
    </row>
    <row r="21689" spans="66:69" x14ac:dyDescent="0.2">
      <c r="BN21689" s="192"/>
      <c r="BO21689" s="197"/>
      <c r="BP21689" s="197"/>
      <c r="BQ21689" s="197"/>
    </row>
    <row r="21690" spans="66:69" x14ac:dyDescent="0.2">
      <c r="BN21690" s="192"/>
      <c r="BO21690" s="197"/>
      <c r="BP21690" s="197"/>
      <c r="BQ21690" s="197"/>
    </row>
    <row r="21691" spans="66:69" x14ac:dyDescent="0.2">
      <c r="BN21691" s="192"/>
      <c r="BO21691" s="197"/>
      <c r="BP21691" s="197"/>
      <c r="BQ21691" s="197"/>
    </row>
    <row r="21692" spans="66:69" x14ac:dyDescent="0.2">
      <c r="BN21692" s="192"/>
      <c r="BO21692" s="197"/>
      <c r="BP21692" s="197"/>
      <c r="BQ21692" s="197"/>
    </row>
    <row r="21693" spans="66:69" x14ac:dyDescent="0.2">
      <c r="BN21693" s="192"/>
      <c r="BO21693" s="197"/>
      <c r="BP21693" s="197"/>
      <c r="BQ21693" s="197"/>
    </row>
    <row r="21694" spans="66:69" x14ac:dyDescent="0.2">
      <c r="BN21694" s="192"/>
      <c r="BO21694" s="197"/>
      <c r="BP21694" s="197"/>
      <c r="BQ21694" s="197"/>
    </row>
    <row r="21695" spans="66:69" x14ac:dyDescent="0.2">
      <c r="BN21695" s="192"/>
      <c r="BO21695" s="197"/>
      <c r="BP21695" s="197"/>
      <c r="BQ21695" s="197"/>
    </row>
    <row r="21696" spans="66:69" x14ac:dyDescent="0.2">
      <c r="BN21696" s="192"/>
      <c r="BO21696" s="197"/>
      <c r="BP21696" s="197"/>
      <c r="BQ21696" s="197"/>
    </row>
    <row r="21697" spans="66:69" x14ac:dyDescent="0.2">
      <c r="BN21697" s="192"/>
      <c r="BO21697" s="197"/>
      <c r="BP21697" s="197"/>
      <c r="BQ21697" s="197"/>
    </row>
    <row r="21698" spans="66:69" x14ac:dyDescent="0.2">
      <c r="BN21698" s="192"/>
      <c r="BO21698" s="197"/>
      <c r="BP21698" s="197"/>
      <c r="BQ21698" s="197"/>
    </row>
    <row r="21699" spans="66:69" x14ac:dyDescent="0.2">
      <c r="BN21699" s="192"/>
      <c r="BO21699" s="197"/>
      <c r="BP21699" s="197"/>
      <c r="BQ21699" s="197"/>
    </row>
    <row r="21700" spans="66:69" x14ac:dyDescent="0.2">
      <c r="BN21700" s="192"/>
      <c r="BO21700" s="197"/>
      <c r="BP21700" s="197"/>
      <c r="BQ21700" s="197"/>
    </row>
    <row r="21701" spans="66:69" x14ac:dyDescent="0.2">
      <c r="BN21701" s="192"/>
      <c r="BO21701" s="197"/>
      <c r="BP21701" s="197"/>
      <c r="BQ21701" s="197"/>
    </row>
    <row r="21702" spans="66:69" x14ac:dyDescent="0.2">
      <c r="BN21702" s="192"/>
      <c r="BO21702" s="197"/>
      <c r="BP21702" s="197"/>
      <c r="BQ21702" s="197"/>
    </row>
    <row r="21703" spans="66:69" x14ac:dyDescent="0.2">
      <c r="BN21703" s="192"/>
      <c r="BO21703" s="197"/>
      <c r="BP21703" s="197"/>
      <c r="BQ21703" s="197"/>
    </row>
    <row r="21704" spans="66:69" x14ac:dyDescent="0.2">
      <c r="BN21704" s="192"/>
      <c r="BO21704" s="197"/>
      <c r="BP21704" s="197"/>
      <c r="BQ21704" s="197"/>
    </row>
    <row r="21705" spans="66:69" x14ac:dyDescent="0.2">
      <c r="BN21705" s="192"/>
      <c r="BO21705" s="197"/>
      <c r="BP21705" s="197"/>
      <c r="BQ21705" s="197"/>
    </row>
    <row r="21706" spans="66:69" x14ac:dyDescent="0.2">
      <c r="BN21706" s="192"/>
      <c r="BO21706" s="197"/>
      <c r="BP21706" s="197"/>
      <c r="BQ21706" s="197"/>
    </row>
    <row r="21707" spans="66:69" x14ac:dyDescent="0.2">
      <c r="BN21707" s="192"/>
      <c r="BO21707" s="197"/>
      <c r="BP21707" s="197"/>
      <c r="BQ21707" s="197"/>
    </row>
    <row r="21708" spans="66:69" x14ac:dyDescent="0.2">
      <c r="BN21708" s="192"/>
      <c r="BO21708" s="197"/>
      <c r="BP21708" s="197"/>
      <c r="BQ21708" s="197"/>
    </row>
    <row r="21709" spans="66:69" x14ac:dyDescent="0.2">
      <c r="BN21709" s="192"/>
      <c r="BO21709" s="197"/>
      <c r="BP21709" s="197"/>
      <c r="BQ21709" s="197"/>
    </row>
    <row r="21710" spans="66:69" x14ac:dyDescent="0.2">
      <c r="BN21710" s="192"/>
      <c r="BO21710" s="197"/>
      <c r="BP21710" s="197"/>
      <c r="BQ21710" s="197"/>
    </row>
    <row r="21711" spans="66:69" x14ac:dyDescent="0.2">
      <c r="BN21711" s="192"/>
      <c r="BO21711" s="197"/>
      <c r="BP21711" s="197"/>
      <c r="BQ21711" s="197"/>
    </row>
    <row r="21712" spans="66:69" x14ac:dyDescent="0.2">
      <c r="BN21712" s="192"/>
      <c r="BO21712" s="197"/>
      <c r="BP21712" s="197"/>
      <c r="BQ21712" s="197"/>
    </row>
    <row r="21713" spans="66:69" x14ac:dyDescent="0.2">
      <c r="BN21713" s="192"/>
      <c r="BO21713" s="197"/>
      <c r="BP21713" s="197"/>
      <c r="BQ21713" s="197"/>
    </row>
    <row r="21714" spans="66:69" x14ac:dyDescent="0.2">
      <c r="BN21714" s="192"/>
      <c r="BO21714" s="197"/>
      <c r="BP21714" s="197"/>
      <c r="BQ21714" s="197"/>
    </row>
    <row r="21715" spans="66:69" x14ac:dyDescent="0.2">
      <c r="BN21715" s="192"/>
      <c r="BO21715" s="197"/>
      <c r="BP21715" s="197"/>
      <c r="BQ21715" s="197"/>
    </row>
    <row r="21716" spans="66:69" x14ac:dyDescent="0.2">
      <c r="BN21716" s="192"/>
      <c r="BO21716" s="197"/>
      <c r="BP21716" s="197"/>
      <c r="BQ21716" s="197"/>
    </row>
    <row r="21717" spans="66:69" x14ac:dyDescent="0.2">
      <c r="BN21717" s="192"/>
      <c r="BO21717" s="197"/>
      <c r="BP21717" s="197"/>
      <c r="BQ21717" s="197"/>
    </row>
    <row r="21718" spans="66:69" x14ac:dyDescent="0.2">
      <c r="BN21718" s="192"/>
      <c r="BO21718" s="197"/>
      <c r="BP21718" s="197"/>
      <c r="BQ21718" s="197"/>
    </row>
    <row r="21719" spans="66:69" x14ac:dyDescent="0.2">
      <c r="BN21719" s="192"/>
      <c r="BO21719" s="197"/>
      <c r="BP21719" s="197"/>
      <c r="BQ21719" s="197"/>
    </row>
    <row r="21720" spans="66:69" x14ac:dyDescent="0.2">
      <c r="BN21720" s="192"/>
      <c r="BO21720" s="197"/>
      <c r="BP21720" s="197"/>
      <c r="BQ21720" s="197"/>
    </row>
    <row r="21721" spans="66:69" x14ac:dyDescent="0.2">
      <c r="BN21721" s="192"/>
      <c r="BO21721" s="197"/>
      <c r="BP21721" s="197"/>
      <c r="BQ21721" s="197"/>
    </row>
    <row r="21722" spans="66:69" x14ac:dyDescent="0.2">
      <c r="BN21722" s="192"/>
      <c r="BO21722" s="197"/>
      <c r="BP21722" s="197"/>
      <c r="BQ21722" s="197"/>
    </row>
    <row r="21723" spans="66:69" x14ac:dyDescent="0.2">
      <c r="BN21723" s="192"/>
      <c r="BO21723" s="197"/>
      <c r="BP21723" s="197"/>
      <c r="BQ21723" s="197"/>
    </row>
    <row r="21724" spans="66:69" x14ac:dyDescent="0.2">
      <c r="BN21724" s="192"/>
      <c r="BO21724" s="197"/>
      <c r="BP21724" s="197"/>
      <c r="BQ21724" s="197"/>
    </row>
    <row r="21725" spans="66:69" x14ac:dyDescent="0.2">
      <c r="BN21725" s="192"/>
      <c r="BO21725" s="197"/>
      <c r="BP21725" s="197"/>
      <c r="BQ21725" s="197"/>
    </row>
    <row r="21726" spans="66:69" x14ac:dyDescent="0.2">
      <c r="BN21726" s="192"/>
      <c r="BO21726" s="197"/>
      <c r="BP21726" s="197"/>
      <c r="BQ21726" s="197"/>
    </row>
    <row r="21727" spans="66:69" x14ac:dyDescent="0.2">
      <c r="BN21727" s="192"/>
      <c r="BO21727" s="197"/>
      <c r="BP21727" s="197"/>
      <c r="BQ21727" s="197"/>
    </row>
    <row r="21728" spans="66:69" x14ac:dyDescent="0.2">
      <c r="BN21728" s="192"/>
      <c r="BO21728" s="197"/>
      <c r="BP21728" s="197"/>
      <c r="BQ21728" s="197"/>
    </row>
    <row r="21729" spans="66:69" x14ac:dyDescent="0.2">
      <c r="BN21729" s="192"/>
      <c r="BO21729" s="197"/>
      <c r="BP21729" s="197"/>
      <c r="BQ21729" s="197"/>
    </row>
    <row r="21730" spans="66:69" x14ac:dyDescent="0.2">
      <c r="BN21730" s="192"/>
      <c r="BO21730" s="197"/>
      <c r="BP21730" s="197"/>
      <c r="BQ21730" s="197"/>
    </row>
    <row r="21731" spans="66:69" x14ac:dyDescent="0.2">
      <c r="BN21731" s="192"/>
      <c r="BO21731" s="197"/>
      <c r="BP21731" s="197"/>
      <c r="BQ21731" s="197"/>
    </row>
    <row r="21732" spans="66:69" x14ac:dyDescent="0.2">
      <c r="BN21732" s="192"/>
      <c r="BO21732" s="197"/>
      <c r="BP21732" s="197"/>
      <c r="BQ21732" s="197"/>
    </row>
    <row r="21733" spans="66:69" x14ac:dyDescent="0.2">
      <c r="BN21733" s="192"/>
      <c r="BO21733" s="197"/>
      <c r="BP21733" s="197"/>
      <c r="BQ21733" s="197"/>
    </row>
    <row r="21734" spans="66:69" x14ac:dyDescent="0.2">
      <c r="BN21734" s="192"/>
      <c r="BO21734" s="197"/>
      <c r="BP21734" s="197"/>
      <c r="BQ21734" s="197"/>
    </row>
    <row r="21735" spans="66:69" x14ac:dyDescent="0.2">
      <c r="BN21735" s="192"/>
      <c r="BO21735" s="197"/>
      <c r="BP21735" s="197"/>
      <c r="BQ21735" s="197"/>
    </row>
    <row r="21736" spans="66:69" x14ac:dyDescent="0.2">
      <c r="BN21736" s="192"/>
      <c r="BO21736" s="197"/>
      <c r="BP21736" s="197"/>
      <c r="BQ21736" s="197"/>
    </row>
    <row r="21737" spans="66:69" x14ac:dyDescent="0.2">
      <c r="BN21737" s="192"/>
      <c r="BO21737" s="197"/>
      <c r="BP21737" s="197"/>
      <c r="BQ21737" s="197"/>
    </row>
    <row r="21738" spans="66:69" x14ac:dyDescent="0.2">
      <c r="BN21738" s="192"/>
      <c r="BO21738" s="197"/>
      <c r="BP21738" s="197"/>
      <c r="BQ21738" s="197"/>
    </row>
    <row r="21739" spans="66:69" x14ac:dyDescent="0.2">
      <c r="BN21739" s="192"/>
      <c r="BO21739" s="197"/>
      <c r="BP21739" s="197"/>
      <c r="BQ21739" s="197"/>
    </row>
    <row r="21740" spans="66:69" x14ac:dyDescent="0.2">
      <c r="BN21740" s="192"/>
      <c r="BO21740" s="197"/>
      <c r="BP21740" s="197"/>
      <c r="BQ21740" s="197"/>
    </row>
    <row r="21741" spans="66:69" x14ac:dyDescent="0.2">
      <c r="BN21741" s="192"/>
      <c r="BO21741" s="197"/>
      <c r="BP21741" s="197"/>
      <c r="BQ21741" s="197"/>
    </row>
    <row r="21742" spans="66:69" x14ac:dyDescent="0.2">
      <c r="BN21742" s="192"/>
      <c r="BO21742" s="197"/>
      <c r="BP21742" s="197"/>
      <c r="BQ21742" s="197"/>
    </row>
    <row r="21743" spans="66:69" x14ac:dyDescent="0.2">
      <c r="BN21743" s="192"/>
      <c r="BO21743" s="197"/>
      <c r="BP21743" s="197"/>
      <c r="BQ21743" s="197"/>
    </row>
    <row r="21744" spans="66:69" x14ac:dyDescent="0.2">
      <c r="BN21744" s="192"/>
      <c r="BO21744" s="197"/>
      <c r="BP21744" s="197"/>
      <c r="BQ21744" s="197"/>
    </row>
    <row r="21745" spans="66:69" x14ac:dyDescent="0.2">
      <c r="BN21745" s="192"/>
      <c r="BO21745" s="197"/>
      <c r="BP21745" s="197"/>
      <c r="BQ21745" s="197"/>
    </row>
    <row r="21746" spans="66:69" x14ac:dyDescent="0.2">
      <c r="BN21746" s="192"/>
      <c r="BO21746" s="197"/>
      <c r="BP21746" s="197"/>
      <c r="BQ21746" s="197"/>
    </row>
    <row r="21747" spans="66:69" x14ac:dyDescent="0.2">
      <c r="BN21747" s="192"/>
      <c r="BO21747" s="197"/>
      <c r="BP21747" s="197"/>
      <c r="BQ21747" s="197"/>
    </row>
    <row r="21748" spans="66:69" x14ac:dyDescent="0.2">
      <c r="BN21748" s="192"/>
      <c r="BO21748" s="197"/>
      <c r="BP21748" s="197"/>
      <c r="BQ21748" s="197"/>
    </row>
    <row r="21749" spans="66:69" x14ac:dyDescent="0.2">
      <c r="BN21749" s="192"/>
      <c r="BO21749" s="197"/>
      <c r="BP21749" s="197"/>
      <c r="BQ21749" s="197"/>
    </row>
    <row r="21750" spans="66:69" x14ac:dyDescent="0.2">
      <c r="BN21750" s="192"/>
      <c r="BO21750" s="197"/>
      <c r="BP21750" s="197"/>
      <c r="BQ21750" s="197"/>
    </row>
    <row r="21751" spans="66:69" x14ac:dyDescent="0.2">
      <c r="BN21751" s="192"/>
      <c r="BO21751" s="197"/>
      <c r="BP21751" s="197"/>
      <c r="BQ21751" s="197"/>
    </row>
    <row r="21752" spans="66:69" x14ac:dyDescent="0.2">
      <c r="BN21752" s="192"/>
      <c r="BO21752" s="197"/>
      <c r="BP21752" s="197"/>
      <c r="BQ21752" s="197"/>
    </row>
    <row r="21753" spans="66:69" x14ac:dyDescent="0.2">
      <c r="BN21753" s="192"/>
      <c r="BO21753" s="197"/>
      <c r="BP21753" s="197"/>
      <c r="BQ21753" s="197"/>
    </row>
    <row r="21754" spans="66:69" x14ac:dyDescent="0.2">
      <c r="BN21754" s="192"/>
      <c r="BO21754" s="197"/>
      <c r="BP21754" s="197"/>
      <c r="BQ21754" s="197"/>
    </row>
    <row r="21755" spans="66:69" x14ac:dyDescent="0.2">
      <c r="BN21755" s="192"/>
      <c r="BO21755" s="197"/>
      <c r="BP21755" s="197"/>
      <c r="BQ21755" s="197"/>
    </row>
    <row r="21756" spans="66:69" x14ac:dyDescent="0.2">
      <c r="BN21756" s="192"/>
      <c r="BO21756" s="197"/>
      <c r="BP21756" s="197"/>
      <c r="BQ21756" s="197"/>
    </row>
    <row r="21757" spans="66:69" x14ac:dyDescent="0.2">
      <c r="BN21757" s="192"/>
      <c r="BO21757" s="197"/>
      <c r="BP21757" s="197"/>
      <c r="BQ21757" s="197"/>
    </row>
    <row r="21758" spans="66:69" x14ac:dyDescent="0.2">
      <c r="BN21758" s="192"/>
      <c r="BO21758" s="197"/>
      <c r="BP21758" s="197"/>
      <c r="BQ21758" s="197"/>
    </row>
    <row r="21759" spans="66:69" x14ac:dyDescent="0.2">
      <c r="BN21759" s="192"/>
      <c r="BO21759" s="197"/>
      <c r="BP21759" s="197"/>
      <c r="BQ21759" s="197"/>
    </row>
    <row r="21760" spans="66:69" x14ac:dyDescent="0.2">
      <c r="BN21760" s="192"/>
      <c r="BO21760" s="197"/>
      <c r="BP21760" s="197"/>
      <c r="BQ21760" s="197"/>
    </row>
    <row r="21761" spans="66:69" x14ac:dyDescent="0.2">
      <c r="BN21761" s="192"/>
      <c r="BO21761" s="197"/>
      <c r="BP21761" s="197"/>
      <c r="BQ21761" s="197"/>
    </row>
    <row r="21762" spans="66:69" x14ac:dyDescent="0.2">
      <c r="BN21762" s="192"/>
      <c r="BO21762" s="197"/>
      <c r="BP21762" s="197"/>
      <c r="BQ21762" s="197"/>
    </row>
    <row r="21763" spans="66:69" x14ac:dyDescent="0.2">
      <c r="BN21763" s="192"/>
      <c r="BO21763" s="197"/>
      <c r="BP21763" s="197"/>
      <c r="BQ21763" s="197"/>
    </row>
    <row r="21764" spans="66:69" x14ac:dyDescent="0.2">
      <c r="BN21764" s="192"/>
      <c r="BO21764" s="197"/>
      <c r="BP21764" s="197"/>
      <c r="BQ21764" s="197"/>
    </row>
    <row r="21765" spans="66:69" x14ac:dyDescent="0.2">
      <c r="BN21765" s="192"/>
      <c r="BO21765" s="197"/>
      <c r="BP21765" s="197"/>
      <c r="BQ21765" s="197"/>
    </row>
    <row r="21766" spans="66:69" x14ac:dyDescent="0.2">
      <c r="BN21766" s="192"/>
      <c r="BO21766" s="197"/>
      <c r="BP21766" s="197"/>
      <c r="BQ21766" s="197"/>
    </row>
    <row r="21767" spans="66:69" x14ac:dyDescent="0.2">
      <c r="BN21767" s="192"/>
      <c r="BO21767" s="197"/>
      <c r="BP21767" s="197"/>
      <c r="BQ21767" s="197"/>
    </row>
    <row r="21768" spans="66:69" x14ac:dyDescent="0.2">
      <c r="BN21768" s="192"/>
      <c r="BO21768" s="197"/>
      <c r="BP21768" s="197"/>
      <c r="BQ21768" s="197"/>
    </row>
    <row r="21769" spans="66:69" x14ac:dyDescent="0.2">
      <c r="BN21769" s="192"/>
      <c r="BO21769" s="197"/>
      <c r="BP21769" s="197"/>
      <c r="BQ21769" s="197"/>
    </row>
    <row r="21770" spans="66:69" x14ac:dyDescent="0.2">
      <c r="BN21770" s="192"/>
      <c r="BO21770" s="197"/>
      <c r="BP21770" s="197"/>
      <c r="BQ21770" s="197"/>
    </row>
    <row r="21771" spans="66:69" x14ac:dyDescent="0.2">
      <c r="BN21771" s="192"/>
      <c r="BO21771" s="197"/>
      <c r="BP21771" s="197"/>
      <c r="BQ21771" s="197"/>
    </row>
    <row r="21772" spans="66:69" x14ac:dyDescent="0.2">
      <c r="BN21772" s="192"/>
      <c r="BO21772" s="197"/>
      <c r="BP21772" s="197"/>
      <c r="BQ21772" s="197"/>
    </row>
    <row r="21773" spans="66:69" x14ac:dyDescent="0.2">
      <c r="BN21773" s="192"/>
      <c r="BO21773" s="197"/>
      <c r="BP21773" s="197"/>
      <c r="BQ21773" s="197"/>
    </row>
    <row r="21774" spans="66:69" x14ac:dyDescent="0.2">
      <c r="BN21774" s="192"/>
      <c r="BO21774" s="197"/>
      <c r="BP21774" s="197"/>
      <c r="BQ21774" s="197"/>
    </row>
    <row r="21775" spans="66:69" x14ac:dyDescent="0.2">
      <c r="BN21775" s="192"/>
      <c r="BO21775" s="197"/>
      <c r="BP21775" s="197"/>
      <c r="BQ21775" s="197"/>
    </row>
    <row r="21776" spans="66:69" x14ac:dyDescent="0.2">
      <c r="BN21776" s="192"/>
      <c r="BO21776" s="197"/>
      <c r="BP21776" s="197"/>
      <c r="BQ21776" s="197"/>
    </row>
    <row r="21777" spans="66:69" x14ac:dyDescent="0.2">
      <c r="BN21777" s="192"/>
      <c r="BO21777" s="197"/>
      <c r="BP21777" s="197"/>
      <c r="BQ21777" s="197"/>
    </row>
    <row r="21778" spans="66:69" x14ac:dyDescent="0.2">
      <c r="BN21778" s="192"/>
      <c r="BO21778" s="197"/>
      <c r="BP21778" s="197"/>
      <c r="BQ21778" s="197"/>
    </row>
    <row r="21779" spans="66:69" x14ac:dyDescent="0.2">
      <c r="BN21779" s="192"/>
      <c r="BO21779" s="197"/>
      <c r="BP21779" s="197"/>
      <c r="BQ21779" s="197"/>
    </row>
    <row r="21780" spans="66:69" x14ac:dyDescent="0.2">
      <c r="BN21780" s="192"/>
      <c r="BO21780" s="197"/>
      <c r="BP21780" s="197"/>
      <c r="BQ21780" s="197"/>
    </row>
    <row r="21781" spans="66:69" x14ac:dyDescent="0.2">
      <c r="BN21781" s="192"/>
      <c r="BO21781" s="197"/>
      <c r="BP21781" s="197"/>
      <c r="BQ21781" s="197"/>
    </row>
    <row r="21782" spans="66:69" x14ac:dyDescent="0.2">
      <c r="BN21782" s="192"/>
      <c r="BO21782" s="197"/>
      <c r="BP21782" s="197"/>
      <c r="BQ21782" s="197"/>
    </row>
    <row r="21783" spans="66:69" x14ac:dyDescent="0.2">
      <c r="BN21783" s="192"/>
      <c r="BO21783" s="197"/>
      <c r="BP21783" s="197"/>
      <c r="BQ21783" s="197"/>
    </row>
    <row r="21784" spans="66:69" x14ac:dyDescent="0.2">
      <c r="BN21784" s="192"/>
      <c r="BO21784" s="197"/>
      <c r="BP21784" s="197"/>
      <c r="BQ21784" s="197"/>
    </row>
    <row r="21785" spans="66:69" x14ac:dyDescent="0.2">
      <c r="BN21785" s="192"/>
      <c r="BO21785" s="197"/>
      <c r="BP21785" s="197"/>
      <c r="BQ21785" s="197"/>
    </row>
    <row r="21786" spans="66:69" x14ac:dyDescent="0.2">
      <c r="BN21786" s="192"/>
      <c r="BO21786" s="197"/>
      <c r="BP21786" s="197"/>
      <c r="BQ21786" s="197"/>
    </row>
    <row r="21787" spans="66:69" x14ac:dyDescent="0.2">
      <c r="BN21787" s="192"/>
      <c r="BO21787" s="197"/>
      <c r="BP21787" s="197"/>
      <c r="BQ21787" s="197"/>
    </row>
    <row r="21788" spans="66:69" x14ac:dyDescent="0.2">
      <c r="BN21788" s="192"/>
      <c r="BO21788" s="197"/>
      <c r="BP21788" s="197"/>
      <c r="BQ21788" s="197"/>
    </row>
    <row r="21789" spans="66:69" x14ac:dyDescent="0.2">
      <c r="BN21789" s="192"/>
      <c r="BO21789" s="197"/>
      <c r="BP21789" s="197"/>
      <c r="BQ21789" s="197"/>
    </row>
    <row r="21790" spans="66:69" x14ac:dyDescent="0.2">
      <c r="BN21790" s="192"/>
      <c r="BO21790" s="197"/>
      <c r="BP21790" s="197"/>
      <c r="BQ21790" s="197"/>
    </row>
    <row r="21791" spans="66:69" x14ac:dyDescent="0.2">
      <c r="BN21791" s="192"/>
      <c r="BO21791" s="197"/>
      <c r="BP21791" s="197"/>
      <c r="BQ21791" s="197"/>
    </row>
    <row r="21792" spans="66:69" x14ac:dyDescent="0.2">
      <c r="BN21792" s="192"/>
      <c r="BO21792" s="197"/>
      <c r="BP21792" s="197"/>
      <c r="BQ21792" s="197"/>
    </row>
    <row r="21793" spans="66:69" x14ac:dyDescent="0.2">
      <c r="BN21793" s="192"/>
      <c r="BO21793" s="197"/>
      <c r="BP21793" s="197"/>
      <c r="BQ21793" s="197"/>
    </row>
    <row r="21794" spans="66:69" x14ac:dyDescent="0.2">
      <c r="BN21794" s="192"/>
      <c r="BO21794" s="197"/>
      <c r="BP21794" s="197"/>
      <c r="BQ21794" s="197"/>
    </row>
    <row r="21795" spans="66:69" x14ac:dyDescent="0.2">
      <c r="BN21795" s="192"/>
      <c r="BO21795" s="197"/>
      <c r="BP21795" s="197"/>
      <c r="BQ21795" s="197"/>
    </row>
    <row r="21796" spans="66:69" x14ac:dyDescent="0.2">
      <c r="BN21796" s="192"/>
      <c r="BO21796" s="197"/>
      <c r="BP21796" s="197"/>
      <c r="BQ21796" s="197"/>
    </row>
    <row r="21797" spans="66:69" x14ac:dyDescent="0.2">
      <c r="BN21797" s="192"/>
      <c r="BO21797" s="197"/>
      <c r="BP21797" s="197"/>
      <c r="BQ21797" s="197"/>
    </row>
    <row r="21798" spans="66:69" x14ac:dyDescent="0.2">
      <c r="BN21798" s="192"/>
      <c r="BO21798" s="197"/>
      <c r="BP21798" s="197"/>
      <c r="BQ21798" s="197"/>
    </row>
    <row r="21799" spans="66:69" x14ac:dyDescent="0.2">
      <c r="BN21799" s="192"/>
      <c r="BO21799" s="197"/>
      <c r="BP21799" s="197"/>
      <c r="BQ21799" s="197"/>
    </row>
    <row r="21800" spans="66:69" x14ac:dyDescent="0.2">
      <c r="BN21800" s="192"/>
      <c r="BO21800" s="197"/>
      <c r="BP21800" s="197"/>
      <c r="BQ21800" s="197"/>
    </row>
    <row r="21801" spans="66:69" x14ac:dyDescent="0.2">
      <c r="BN21801" s="192"/>
      <c r="BO21801" s="197"/>
      <c r="BP21801" s="197"/>
      <c r="BQ21801" s="197"/>
    </row>
    <row r="21802" spans="66:69" x14ac:dyDescent="0.2">
      <c r="BN21802" s="192"/>
      <c r="BO21802" s="197"/>
      <c r="BP21802" s="197"/>
      <c r="BQ21802" s="197"/>
    </row>
    <row r="21803" spans="66:69" x14ac:dyDescent="0.2">
      <c r="BN21803" s="192"/>
      <c r="BO21803" s="197"/>
      <c r="BP21803" s="197"/>
      <c r="BQ21803" s="197"/>
    </row>
    <row r="21804" spans="66:69" x14ac:dyDescent="0.2">
      <c r="BN21804" s="192"/>
      <c r="BO21804" s="197"/>
      <c r="BP21804" s="197"/>
      <c r="BQ21804" s="197"/>
    </row>
    <row r="21805" spans="66:69" x14ac:dyDescent="0.2">
      <c r="BN21805" s="192"/>
      <c r="BO21805" s="197"/>
      <c r="BP21805" s="197"/>
      <c r="BQ21805" s="197"/>
    </row>
    <row r="21806" spans="66:69" x14ac:dyDescent="0.2">
      <c r="BN21806" s="192"/>
      <c r="BO21806" s="197"/>
      <c r="BP21806" s="197"/>
      <c r="BQ21806" s="197"/>
    </row>
    <row r="21807" spans="66:69" x14ac:dyDescent="0.2">
      <c r="BN21807" s="192"/>
      <c r="BO21807" s="197"/>
      <c r="BP21807" s="197"/>
      <c r="BQ21807" s="197"/>
    </row>
    <row r="21808" spans="66:69" x14ac:dyDescent="0.2">
      <c r="BN21808" s="192"/>
      <c r="BO21808" s="197"/>
      <c r="BP21808" s="197"/>
      <c r="BQ21808" s="197"/>
    </row>
    <row r="21809" spans="66:69" x14ac:dyDescent="0.2">
      <c r="BN21809" s="192"/>
      <c r="BO21809" s="197"/>
      <c r="BP21809" s="197"/>
      <c r="BQ21809" s="197"/>
    </row>
    <row r="21810" spans="66:69" x14ac:dyDescent="0.2">
      <c r="BN21810" s="192"/>
      <c r="BO21810" s="197"/>
      <c r="BP21810" s="197"/>
      <c r="BQ21810" s="197"/>
    </row>
    <row r="21811" spans="66:69" x14ac:dyDescent="0.2">
      <c r="BN21811" s="192"/>
      <c r="BO21811" s="197"/>
      <c r="BP21811" s="197"/>
      <c r="BQ21811" s="197"/>
    </row>
    <row r="21812" spans="66:69" x14ac:dyDescent="0.2">
      <c r="BN21812" s="192"/>
      <c r="BO21812" s="197"/>
      <c r="BP21812" s="197"/>
      <c r="BQ21812" s="197"/>
    </row>
    <row r="21813" spans="66:69" x14ac:dyDescent="0.2">
      <c r="BN21813" s="192"/>
      <c r="BO21813" s="197"/>
      <c r="BP21813" s="197"/>
      <c r="BQ21813" s="197"/>
    </row>
    <row r="21814" spans="66:69" x14ac:dyDescent="0.2">
      <c r="BN21814" s="192"/>
      <c r="BO21814" s="197"/>
      <c r="BP21814" s="197"/>
      <c r="BQ21814" s="197"/>
    </row>
    <row r="21815" spans="66:69" x14ac:dyDescent="0.2">
      <c r="BN21815" s="192"/>
      <c r="BO21815" s="197"/>
      <c r="BP21815" s="197"/>
      <c r="BQ21815" s="197"/>
    </row>
    <row r="21816" spans="66:69" x14ac:dyDescent="0.2">
      <c r="BN21816" s="192"/>
      <c r="BO21816" s="197"/>
      <c r="BP21816" s="197"/>
      <c r="BQ21816" s="197"/>
    </row>
    <row r="21817" spans="66:69" x14ac:dyDescent="0.2">
      <c r="BN21817" s="192"/>
      <c r="BO21817" s="197"/>
      <c r="BP21817" s="197"/>
      <c r="BQ21817" s="197"/>
    </row>
    <row r="21818" spans="66:69" x14ac:dyDescent="0.2">
      <c r="BN21818" s="192"/>
      <c r="BO21818" s="197"/>
      <c r="BP21818" s="197"/>
      <c r="BQ21818" s="197"/>
    </row>
    <row r="21819" spans="66:69" x14ac:dyDescent="0.2">
      <c r="BN21819" s="192"/>
      <c r="BO21819" s="197"/>
      <c r="BP21819" s="197"/>
      <c r="BQ21819" s="197"/>
    </row>
    <row r="21820" spans="66:69" x14ac:dyDescent="0.2">
      <c r="BN21820" s="192"/>
      <c r="BO21820" s="197"/>
      <c r="BP21820" s="197"/>
      <c r="BQ21820" s="197"/>
    </row>
    <row r="21821" spans="66:69" x14ac:dyDescent="0.2">
      <c r="BN21821" s="192"/>
      <c r="BO21821" s="197"/>
      <c r="BP21821" s="197"/>
      <c r="BQ21821" s="197"/>
    </row>
    <row r="21822" spans="66:69" x14ac:dyDescent="0.2">
      <c r="BN21822" s="192"/>
      <c r="BO21822" s="197"/>
      <c r="BP21822" s="197"/>
      <c r="BQ21822" s="197"/>
    </row>
    <row r="21823" spans="66:69" x14ac:dyDescent="0.2">
      <c r="BN21823" s="192"/>
      <c r="BO21823" s="197"/>
      <c r="BP21823" s="197"/>
      <c r="BQ21823" s="197"/>
    </row>
    <row r="21824" spans="66:69" x14ac:dyDescent="0.2">
      <c r="BN21824" s="192"/>
      <c r="BO21824" s="197"/>
      <c r="BP21824" s="197"/>
      <c r="BQ21824" s="197"/>
    </row>
    <row r="21825" spans="66:69" x14ac:dyDescent="0.2">
      <c r="BN21825" s="192"/>
      <c r="BO21825" s="197"/>
      <c r="BP21825" s="197"/>
      <c r="BQ21825" s="197"/>
    </row>
    <row r="21826" spans="66:69" x14ac:dyDescent="0.2">
      <c r="BN21826" s="192"/>
      <c r="BO21826" s="197"/>
      <c r="BP21826" s="197"/>
      <c r="BQ21826" s="197"/>
    </row>
    <row r="21827" spans="66:69" x14ac:dyDescent="0.2">
      <c r="BN21827" s="192"/>
      <c r="BO21827" s="197"/>
      <c r="BP21827" s="197"/>
      <c r="BQ21827" s="197"/>
    </row>
    <row r="21828" spans="66:69" x14ac:dyDescent="0.2">
      <c r="BN21828" s="192"/>
      <c r="BO21828" s="197"/>
      <c r="BP21828" s="197"/>
      <c r="BQ21828" s="197"/>
    </row>
    <row r="21829" spans="66:69" x14ac:dyDescent="0.2">
      <c r="BN21829" s="192"/>
      <c r="BO21829" s="197"/>
      <c r="BP21829" s="197"/>
      <c r="BQ21829" s="197"/>
    </row>
    <row r="21830" spans="66:69" x14ac:dyDescent="0.2">
      <c r="BN21830" s="192"/>
      <c r="BO21830" s="197"/>
      <c r="BP21830" s="197"/>
      <c r="BQ21830" s="197"/>
    </row>
    <row r="21831" spans="66:69" x14ac:dyDescent="0.2">
      <c r="BN21831" s="192"/>
      <c r="BO21831" s="197"/>
      <c r="BP21831" s="197"/>
      <c r="BQ21831" s="197"/>
    </row>
    <row r="21832" spans="66:69" x14ac:dyDescent="0.2">
      <c r="BN21832" s="192"/>
      <c r="BO21832" s="197"/>
      <c r="BP21832" s="197"/>
      <c r="BQ21832" s="197"/>
    </row>
    <row r="21833" spans="66:69" x14ac:dyDescent="0.2">
      <c r="BN21833" s="192"/>
      <c r="BO21833" s="197"/>
      <c r="BP21833" s="197"/>
      <c r="BQ21833" s="197"/>
    </row>
    <row r="21834" spans="66:69" x14ac:dyDescent="0.2">
      <c r="BN21834" s="192"/>
      <c r="BO21834" s="197"/>
      <c r="BP21834" s="197"/>
      <c r="BQ21834" s="197"/>
    </row>
    <row r="21835" spans="66:69" x14ac:dyDescent="0.2">
      <c r="BN21835" s="192"/>
      <c r="BO21835" s="197"/>
      <c r="BP21835" s="197"/>
      <c r="BQ21835" s="197"/>
    </row>
    <row r="21836" spans="66:69" x14ac:dyDescent="0.2">
      <c r="BN21836" s="192"/>
      <c r="BO21836" s="197"/>
      <c r="BP21836" s="197"/>
      <c r="BQ21836" s="197"/>
    </row>
    <row r="21837" spans="66:69" x14ac:dyDescent="0.2">
      <c r="BN21837" s="192"/>
      <c r="BO21837" s="197"/>
      <c r="BP21837" s="197"/>
      <c r="BQ21837" s="197"/>
    </row>
    <row r="21838" spans="66:69" x14ac:dyDescent="0.2">
      <c r="BN21838" s="192"/>
      <c r="BO21838" s="197"/>
      <c r="BP21838" s="197"/>
      <c r="BQ21838" s="197"/>
    </row>
    <row r="21839" spans="66:69" x14ac:dyDescent="0.2">
      <c r="BN21839" s="192"/>
      <c r="BO21839" s="197"/>
      <c r="BP21839" s="197"/>
      <c r="BQ21839" s="197"/>
    </row>
    <row r="21840" spans="66:69" x14ac:dyDescent="0.2">
      <c r="BN21840" s="192"/>
      <c r="BO21840" s="197"/>
      <c r="BP21840" s="197"/>
      <c r="BQ21840" s="197"/>
    </row>
    <row r="21841" spans="66:69" x14ac:dyDescent="0.2">
      <c r="BN21841" s="192"/>
      <c r="BO21841" s="197"/>
      <c r="BP21841" s="197"/>
      <c r="BQ21841" s="197"/>
    </row>
    <row r="21842" spans="66:69" x14ac:dyDescent="0.2">
      <c r="BN21842" s="192"/>
      <c r="BO21842" s="197"/>
      <c r="BP21842" s="197"/>
      <c r="BQ21842" s="197"/>
    </row>
    <row r="21843" spans="66:69" x14ac:dyDescent="0.2">
      <c r="BN21843" s="192"/>
      <c r="BO21843" s="197"/>
      <c r="BP21843" s="197"/>
      <c r="BQ21843" s="197"/>
    </row>
    <row r="21844" spans="66:69" x14ac:dyDescent="0.2">
      <c r="BN21844" s="192"/>
      <c r="BO21844" s="197"/>
      <c r="BP21844" s="197"/>
      <c r="BQ21844" s="197"/>
    </row>
    <row r="21845" spans="66:69" x14ac:dyDescent="0.2">
      <c r="BN21845" s="192"/>
      <c r="BO21845" s="197"/>
      <c r="BP21845" s="197"/>
      <c r="BQ21845" s="197"/>
    </row>
    <row r="21846" spans="66:69" x14ac:dyDescent="0.2">
      <c r="BN21846" s="192"/>
      <c r="BO21846" s="197"/>
      <c r="BP21846" s="197"/>
      <c r="BQ21846" s="197"/>
    </row>
    <row r="21847" spans="66:69" x14ac:dyDescent="0.2">
      <c r="BN21847" s="192"/>
      <c r="BO21847" s="197"/>
      <c r="BP21847" s="197"/>
      <c r="BQ21847" s="197"/>
    </row>
    <row r="21848" spans="66:69" x14ac:dyDescent="0.2">
      <c r="BN21848" s="192"/>
      <c r="BO21848" s="197"/>
      <c r="BP21848" s="197"/>
      <c r="BQ21848" s="197"/>
    </row>
    <row r="21849" spans="66:69" x14ac:dyDescent="0.2">
      <c r="BN21849" s="192"/>
      <c r="BO21849" s="197"/>
      <c r="BP21849" s="197"/>
      <c r="BQ21849" s="197"/>
    </row>
    <row r="21850" spans="66:69" x14ac:dyDescent="0.2">
      <c r="BN21850" s="192"/>
      <c r="BO21850" s="197"/>
      <c r="BP21850" s="197"/>
      <c r="BQ21850" s="197"/>
    </row>
    <row r="21851" spans="66:69" x14ac:dyDescent="0.2">
      <c r="BN21851" s="192"/>
      <c r="BO21851" s="197"/>
      <c r="BP21851" s="197"/>
      <c r="BQ21851" s="197"/>
    </row>
    <row r="21852" spans="66:69" x14ac:dyDescent="0.2">
      <c r="BN21852" s="192"/>
      <c r="BO21852" s="197"/>
      <c r="BP21852" s="197"/>
      <c r="BQ21852" s="197"/>
    </row>
    <row r="21853" spans="66:69" x14ac:dyDescent="0.2">
      <c r="BN21853" s="192"/>
      <c r="BO21853" s="197"/>
      <c r="BP21853" s="197"/>
      <c r="BQ21853" s="197"/>
    </row>
    <row r="21854" spans="66:69" x14ac:dyDescent="0.2">
      <c r="BN21854" s="192"/>
      <c r="BO21854" s="197"/>
      <c r="BP21854" s="197"/>
      <c r="BQ21854" s="197"/>
    </row>
    <row r="21855" spans="66:69" x14ac:dyDescent="0.2">
      <c r="BN21855" s="192"/>
      <c r="BO21855" s="197"/>
      <c r="BP21855" s="197"/>
      <c r="BQ21855" s="197"/>
    </row>
    <row r="21856" spans="66:69" x14ac:dyDescent="0.2">
      <c r="BN21856" s="192"/>
      <c r="BO21856" s="197"/>
      <c r="BP21856" s="197"/>
      <c r="BQ21856" s="197"/>
    </row>
    <row r="21857" spans="66:69" x14ac:dyDescent="0.2">
      <c r="BN21857" s="192"/>
      <c r="BO21857" s="197"/>
      <c r="BP21857" s="197"/>
      <c r="BQ21857" s="197"/>
    </row>
    <row r="21858" spans="66:69" x14ac:dyDescent="0.2">
      <c r="BN21858" s="192"/>
      <c r="BO21858" s="197"/>
      <c r="BP21858" s="197"/>
      <c r="BQ21858" s="197"/>
    </row>
    <row r="21859" spans="66:69" x14ac:dyDescent="0.2">
      <c r="BN21859" s="192"/>
      <c r="BO21859" s="197"/>
      <c r="BP21859" s="197"/>
      <c r="BQ21859" s="197"/>
    </row>
    <row r="21860" spans="66:69" x14ac:dyDescent="0.2">
      <c r="BN21860" s="192"/>
      <c r="BO21860" s="197"/>
      <c r="BP21860" s="197"/>
      <c r="BQ21860" s="197"/>
    </row>
    <row r="21861" spans="66:69" x14ac:dyDescent="0.2">
      <c r="BN21861" s="192"/>
      <c r="BO21861" s="197"/>
      <c r="BP21861" s="197"/>
      <c r="BQ21861" s="197"/>
    </row>
    <row r="21862" spans="66:69" x14ac:dyDescent="0.2">
      <c r="BN21862" s="192"/>
      <c r="BO21862" s="197"/>
      <c r="BP21862" s="197"/>
      <c r="BQ21862" s="197"/>
    </row>
    <row r="21863" spans="66:69" x14ac:dyDescent="0.2">
      <c r="BN21863" s="192"/>
      <c r="BO21863" s="197"/>
      <c r="BP21863" s="197"/>
      <c r="BQ21863" s="197"/>
    </row>
    <row r="21864" spans="66:69" x14ac:dyDescent="0.2">
      <c r="BN21864" s="192"/>
      <c r="BO21864" s="197"/>
      <c r="BP21864" s="197"/>
      <c r="BQ21864" s="197"/>
    </row>
    <row r="21865" spans="66:69" x14ac:dyDescent="0.2">
      <c r="BN21865" s="192"/>
      <c r="BO21865" s="197"/>
      <c r="BP21865" s="197"/>
      <c r="BQ21865" s="197"/>
    </row>
    <row r="21866" spans="66:69" x14ac:dyDescent="0.2">
      <c r="BN21866" s="192"/>
      <c r="BO21866" s="197"/>
      <c r="BP21866" s="197"/>
      <c r="BQ21866" s="197"/>
    </row>
    <row r="21867" spans="66:69" x14ac:dyDescent="0.2">
      <c r="BN21867" s="192"/>
      <c r="BO21867" s="197"/>
      <c r="BP21867" s="197"/>
      <c r="BQ21867" s="197"/>
    </row>
    <row r="21868" spans="66:69" x14ac:dyDescent="0.2">
      <c r="BN21868" s="192"/>
      <c r="BO21868" s="197"/>
      <c r="BP21868" s="197"/>
      <c r="BQ21868" s="197"/>
    </row>
    <row r="21869" spans="66:69" x14ac:dyDescent="0.2">
      <c r="BN21869" s="192"/>
      <c r="BO21869" s="197"/>
      <c r="BP21869" s="197"/>
      <c r="BQ21869" s="197"/>
    </row>
    <row r="21870" spans="66:69" x14ac:dyDescent="0.2">
      <c r="BN21870" s="192"/>
      <c r="BO21870" s="197"/>
      <c r="BP21870" s="197"/>
      <c r="BQ21870" s="197"/>
    </row>
    <row r="21871" spans="66:69" x14ac:dyDescent="0.2">
      <c r="BN21871" s="192"/>
      <c r="BO21871" s="197"/>
      <c r="BP21871" s="197"/>
      <c r="BQ21871" s="197"/>
    </row>
    <row r="21872" spans="66:69" x14ac:dyDescent="0.2">
      <c r="BN21872" s="192"/>
      <c r="BO21872" s="197"/>
      <c r="BP21872" s="197"/>
      <c r="BQ21872" s="197"/>
    </row>
    <row r="21873" spans="66:69" x14ac:dyDescent="0.2">
      <c r="BN21873" s="192"/>
      <c r="BO21873" s="197"/>
      <c r="BP21873" s="197"/>
      <c r="BQ21873" s="197"/>
    </row>
    <row r="21874" spans="66:69" x14ac:dyDescent="0.2">
      <c r="BN21874" s="192"/>
      <c r="BO21874" s="197"/>
      <c r="BP21874" s="197"/>
      <c r="BQ21874" s="197"/>
    </row>
    <row r="21875" spans="66:69" x14ac:dyDescent="0.2">
      <c r="BN21875" s="192"/>
      <c r="BO21875" s="197"/>
      <c r="BP21875" s="197"/>
      <c r="BQ21875" s="197"/>
    </row>
    <row r="21876" spans="66:69" x14ac:dyDescent="0.2">
      <c r="BN21876" s="192"/>
      <c r="BO21876" s="197"/>
      <c r="BP21876" s="197"/>
      <c r="BQ21876" s="197"/>
    </row>
    <row r="21877" spans="66:69" x14ac:dyDescent="0.2">
      <c r="BN21877" s="192"/>
      <c r="BO21877" s="197"/>
      <c r="BP21877" s="197"/>
      <c r="BQ21877" s="197"/>
    </row>
    <row r="21878" spans="66:69" x14ac:dyDescent="0.2">
      <c r="BN21878" s="192"/>
      <c r="BO21878" s="197"/>
      <c r="BP21878" s="197"/>
      <c r="BQ21878" s="197"/>
    </row>
    <row r="21879" spans="66:69" x14ac:dyDescent="0.2">
      <c r="BN21879" s="192"/>
      <c r="BO21879" s="197"/>
      <c r="BP21879" s="197"/>
      <c r="BQ21879" s="197"/>
    </row>
    <row r="21880" spans="66:69" x14ac:dyDescent="0.2">
      <c r="BN21880" s="192"/>
      <c r="BO21880" s="197"/>
      <c r="BP21880" s="197"/>
      <c r="BQ21880" s="197"/>
    </row>
    <row r="21881" spans="66:69" x14ac:dyDescent="0.2">
      <c r="BN21881" s="192"/>
      <c r="BO21881" s="197"/>
      <c r="BP21881" s="197"/>
      <c r="BQ21881" s="197"/>
    </row>
    <row r="21882" spans="66:69" x14ac:dyDescent="0.2">
      <c r="BN21882" s="192"/>
      <c r="BO21882" s="197"/>
      <c r="BP21882" s="197"/>
      <c r="BQ21882" s="197"/>
    </row>
    <row r="21883" spans="66:69" x14ac:dyDescent="0.2">
      <c r="BN21883" s="192"/>
      <c r="BO21883" s="197"/>
      <c r="BP21883" s="197"/>
      <c r="BQ21883" s="197"/>
    </row>
    <row r="21884" spans="66:69" x14ac:dyDescent="0.2">
      <c r="BN21884" s="192"/>
      <c r="BO21884" s="197"/>
      <c r="BP21884" s="197"/>
      <c r="BQ21884" s="197"/>
    </row>
    <row r="21885" spans="66:69" x14ac:dyDescent="0.2">
      <c r="BN21885" s="192"/>
      <c r="BO21885" s="197"/>
      <c r="BP21885" s="197"/>
      <c r="BQ21885" s="197"/>
    </row>
    <row r="21886" spans="66:69" x14ac:dyDescent="0.2">
      <c r="BN21886" s="192"/>
      <c r="BO21886" s="197"/>
      <c r="BP21886" s="197"/>
      <c r="BQ21886" s="197"/>
    </row>
    <row r="21887" spans="66:69" x14ac:dyDescent="0.2">
      <c r="BN21887" s="192"/>
      <c r="BO21887" s="197"/>
      <c r="BP21887" s="197"/>
      <c r="BQ21887" s="197"/>
    </row>
    <row r="21888" spans="66:69" x14ac:dyDescent="0.2">
      <c r="BN21888" s="192"/>
      <c r="BO21888" s="197"/>
      <c r="BP21888" s="197"/>
      <c r="BQ21888" s="197"/>
    </row>
    <row r="21889" spans="66:69" x14ac:dyDescent="0.2">
      <c r="BN21889" s="192"/>
      <c r="BO21889" s="197"/>
      <c r="BP21889" s="197"/>
      <c r="BQ21889" s="197"/>
    </row>
    <row r="21890" spans="66:69" x14ac:dyDescent="0.2">
      <c r="BN21890" s="192"/>
      <c r="BO21890" s="197"/>
      <c r="BP21890" s="197"/>
      <c r="BQ21890" s="197"/>
    </row>
    <row r="21891" spans="66:69" x14ac:dyDescent="0.2">
      <c r="BN21891" s="192"/>
      <c r="BO21891" s="197"/>
      <c r="BP21891" s="197"/>
      <c r="BQ21891" s="197"/>
    </row>
    <row r="21892" spans="66:69" x14ac:dyDescent="0.2">
      <c r="BN21892" s="192"/>
      <c r="BO21892" s="197"/>
      <c r="BP21892" s="197"/>
      <c r="BQ21892" s="197"/>
    </row>
    <row r="21893" spans="66:69" x14ac:dyDescent="0.2">
      <c r="BN21893" s="192"/>
      <c r="BO21893" s="197"/>
      <c r="BP21893" s="197"/>
      <c r="BQ21893" s="197"/>
    </row>
    <row r="21894" spans="66:69" x14ac:dyDescent="0.2">
      <c r="BN21894" s="192"/>
      <c r="BO21894" s="197"/>
      <c r="BP21894" s="197"/>
      <c r="BQ21894" s="197"/>
    </row>
    <row r="21895" spans="66:69" x14ac:dyDescent="0.2">
      <c r="BN21895" s="192"/>
      <c r="BO21895" s="197"/>
      <c r="BP21895" s="197"/>
      <c r="BQ21895" s="197"/>
    </row>
    <row r="21896" spans="66:69" x14ac:dyDescent="0.2">
      <c r="BN21896" s="192"/>
      <c r="BO21896" s="197"/>
      <c r="BP21896" s="197"/>
      <c r="BQ21896" s="197"/>
    </row>
    <row r="21897" spans="66:69" x14ac:dyDescent="0.2">
      <c r="BN21897" s="192"/>
      <c r="BO21897" s="197"/>
      <c r="BP21897" s="197"/>
      <c r="BQ21897" s="197"/>
    </row>
    <row r="21898" spans="66:69" x14ac:dyDescent="0.2">
      <c r="BN21898" s="192"/>
      <c r="BO21898" s="197"/>
      <c r="BP21898" s="197"/>
      <c r="BQ21898" s="197"/>
    </row>
    <row r="21899" spans="66:69" x14ac:dyDescent="0.2">
      <c r="BN21899" s="192"/>
      <c r="BO21899" s="197"/>
      <c r="BP21899" s="197"/>
      <c r="BQ21899" s="197"/>
    </row>
    <row r="21900" spans="66:69" x14ac:dyDescent="0.2">
      <c r="BN21900" s="192"/>
      <c r="BO21900" s="197"/>
      <c r="BP21900" s="197"/>
      <c r="BQ21900" s="197"/>
    </row>
    <row r="21901" spans="66:69" x14ac:dyDescent="0.2">
      <c r="BN21901" s="192"/>
      <c r="BO21901" s="197"/>
      <c r="BP21901" s="197"/>
      <c r="BQ21901" s="197"/>
    </row>
    <row r="21902" spans="66:69" x14ac:dyDescent="0.2">
      <c r="BN21902" s="192"/>
      <c r="BO21902" s="197"/>
      <c r="BP21902" s="197"/>
      <c r="BQ21902" s="197"/>
    </row>
    <row r="21903" spans="66:69" x14ac:dyDescent="0.2">
      <c r="BN21903" s="192"/>
      <c r="BO21903" s="197"/>
      <c r="BP21903" s="197"/>
      <c r="BQ21903" s="197"/>
    </row>
    <row r="21904" spans="66:69" x14ac:dyDescent="0.2">
      <c r="BN21904" s="192"/>
      <c r="BO21904" s="197"/>
      <c r="BP21904" s="197"/>
      <c r="BQ21904" s="197"/>
    </row>
    <row r="21905" spans="66:69" x14ac:dyDescent="0.2">
      <c r="BN21905" s="192"/>
      <c r="BO21905" s="197"/>
      <c r="BP21905" s="197"/>
      <c r="BQ21905" s="197"/>
    </row>
    <row r="21906" spans="66:69" x14ac:dyDescent="0.2">
      <c r="BN21906" s="192"/>
      <c r="BO21906" s="197"/>
      <c r="BP21906" s="197"/>
      <c r="BQ21906" s="197"/>
    </row>
    <row r="21907" spans="66:69" x14ac:dyDescent="0.2">
      <c r="BN21907" s="192"/>
      <c r="BO21907" s="197"/>
      <c r="BP21907" s="197"/>
      <c r="BQ21907" s="197"/>
    </row>
    <row r="21908" spans="66:69" x14ac:dyDescent="0.2">
      <c r="BN21908" s="192"/>
      <c r="BO21908" s="197"/>
      <c r="BP21908" s="197"/>
      <c r="BQ21908" s="197"/>
    </row>
    <row r="21909" spans="66:69" x14ac:dyDescent="0.2">
      <c r="BN21909" s="192"/>
      <c r="BO21909" s="197"/>
      <c r="BP21909" s="197"/>
      <c r="BQ21909" s="197"/>
    </row>
    <row r="21910" spans="66:69" x14ac:dyDescent="0.2">
      <c r="BN21910" s="192"/>
      <c r="BO21910" s="197"/>
      <c r="BP21910" s="197"/>
      <c r="BQ21910" s="197"/>
    </row>
    <row r="21911" spans="66:69" x14ac:dyDescent="0.2">
      <c r="BN21911" s="192"/>
      <c r="BO21911" s="197"/>
      <c r="BP21911" s="197"/>
      <c r="BQ21911" s="197"/>
    </row>
    <row r="21912" spans="66:69" x14ac:dyDescent="0.2">
      <c r="BN21912" s="192"/>
      <c r="BO21912" s="197"/>
      <c r="BP21912" s="197"/>
      <c r="BQ21912" s="197"/>
    </row>
    <row r="21913" spans="66:69" x14ac:dyDescent="0.2">
      <c r="BN21913" s="192"/>
      <c r="BO21913" s="197"/>
      <c r="BP21913" s="197"/>
      <c r="BQ21913" s="197"/>
    </row>
    <row r="21914" spans="66:69" x14ac:dyDescent="0.2">
      <c r="BN21914" s="192"/>
      <c r="BO21914" s="197"/>
      <c r="BP21914" s="197"/>
      <c r="BQ21914" s="197"/>
    </row>
    <row r="21915" spans="66:69" x14ac:dyDescent="0.2">
      <c r="BN21915" s="192"/>
      <c r="BO21915" s="197"/>
      <c r="BP21915" s="197"/>
      <c r="BQ21915" s="197"/>
    </row>
    <row r="21916" spans="66:69" x14ac:dyDescent="0.2">
      <c r="BN21916" s="192"/>
      <c r="BO21916" s="197"/>
      <c r="BP21916" s="197"/>
      <c r="BQ21916" s="197"/>
    </row>
    <row r="21917" spans="66:69" x14ac:dyDescent="0.2">
      <c r="BN21917" s="192"/>
      <c r="BO21917" s="197"/>
      <c r="BP21917" s="197"/>
      <c r="BQ21917" s="197"/>
    </row>
    <row r="21918" spans="66:69" x14ac:dyDescent="0.2">
      <c r="BN21918" s="192"/>
      <c r="BO21918" s="197"/>
      <c r="BP21918" s="197"/>
      <c r="BQ21918" s="197"/>
    </row>
    <row r="21919" spans="66:69" x14ac:dyDescent="0.2">
      <c r="BN21919" s="192"/>
      <c r="BO21919" s="197"/>
      <c r="BP21919" s="197"/>
      <c r="BQ21919" s="197"/>
    </row>
    <row r="21920" spans="66:69" x14ac:dyDescent="0.2">
      <c r="BN21920" s="192"/>
      <c r="BO21920" s="197"/>
      <c r="BP21920" s="197"/>
      <c r="BQ21920" s="197"/>
    </row>
    <row r="21921" spans="66:69" x14ac:dyDescent="0.2">
      <c r="BN21921" s="192"/>
      <c r="BO21921" s="197"/>
      <c r="BP21921" s="197"/>
      <c r="BQ21921" s="197"/>
    </row>
    <row r="21922" spans="66:69" x14ac:dyDescent="0.2">
      <c r="BN21922" s="192"/>
      <c r="BO21922" s="197"/>
      <c r="BP21922" s="197"/>
      <c r="BQ21922" s="197"/>
    </row>
    <row r="21923" spans="66:69" x14ac:dyDescent="0.2">
      <c r="BN21923" s="192"/>
      <c r="BO21923" s="197"/>
      <c r="BP21923" s="197"/>
      <c r="BQ21923" s="197"/>
    </row>
    <row r="21924" spans="66:69" x14ac:dyDescent="0.2">
      <c r="BN21924" s="192"/>
      <c r="BO21924" s="197"/>
      <c r="BP21924" s="197"/>
      <c r="BQ21924" s="197"/>
    </row>
    <row r="21925" spans="66:69" x14ac:dyDescent="0.2">
      <c r="BN21925" s="192"/>
      <c r="BO21925" s="197"/>
      <c r="BP21925" s="197"/>
      <c r="BQ21925" s="197"/>
    </row>
    <row r="21926" spans="66:69" x14ac:dyDescent="0.2">
      <c r="BN21926" s="192"/>
      <c r="BO21926" s="197"/>
      <c r="BP21926" s="197"/>
      <c r="BQ21926" s="197"/>
    </row>
    <row r="21927" spans="66:69" x14ac:dyDescent="0.2">
      <c r="BN21927" s="192"/>
      <c r="BO21927" s="197"/>
      <c r="BP21927" s="197"/>
      <c r="BQ21927" s="197"/>
    </row>
    <row r="21928" spans="66:69" x14ac:dyDescent="0.2">
      <c r="BN21928" s="192"/>
      <c r="BO21928" s="197"/>
      <c r="BP21928" s="197"/>
      <c r="BQ21928" s="197"/>
    </row>
    <row r="21929" spans="66:69" x14ac:dyDescent="0.2">
      <c r="BN21929" s="192"/>
      <c r="BO21929" s="197"/>
      <c r="BP21929" s="197"/>
      <c r="BQ21929" s="197"/>
    </row>
    <row r="21930" spans="66:69" x14ac:dyDescent="0.2">
      <c r="BN21930" s="192"/>
      <c r="BO21930" s="197"/>
      <c r="BP21930" s="197"/>
      <c r="BQ21930" s="197"/>
    </row>
    <row r="21931" spans="66:69" x14ac:dyDescent="0.2">
      <c r="BN21931" s="192"/>
      <c r="BO21931" s="197"/>
      <c r="BP21931" s="197"/>
      <c r="BQ21931" s="197"/>
    </row>
    <row r="21932" spans="66:69" x14ac:dyDescent="0.2">
      <c r="BN21932" s="192"/>
      <c r="BO21932" s="197"/>
      <c r="BP21932" s="197"/>
      <c r="BQ21932" s="197"/>
    </row>
    <row r="21933" spans="66:69" x14ac:dyDescent="0.2">
      <c r="BN21933" s="192"/>
      <c r="BO21933" s="197"/>
      <c r="BP21933" s="197"/>
      <c r="BQ21933" s="197"/>
    </row>
    <row r="21934" spans="66:69" x14ac:dyDescent="0.2">
      <c r="BN21934" s="192"/>
      <c r="BO21934" s="197"/>
      <c r="BP21934" s="197"/>
      <c r="BQ21934" s="197"/>
    </row>
    <row r="21935" spans="66:69" x14ac:dyDescent="0.2">
      <c r="BN21935" s="192"/>
      <c r="BO21935" s="197"/>
      <c r="BP21935" s="197"/>
      <c r="BQ21935" s="197"/>
    </row>
    <row r="21936" spans="66:69" x14ac:dyDescent="0.2">
      <c r="BN21936" s="192"/>
      <c r="BO21936" s="197"/>
      <c r="BP21936" s="197"/>
      <c r="BQ21936" s="197"/>
    </row>
    <row r="21937" spans="66:69" x14ac:dyDescent="0.2">
      <c r="BN21937" s="192"/>
      <c r="BO21937" s="197"/>
      <c r="BP21937" s="197"/>
      <c r="BQ21937" s="197"/>
    </row>
    <row r="21938" spans="66:69" x14ac:dyDescent="0.2">
      <c r="BN21938" s="192"/>
      <c r="BO21938" s="197"/>
      <c r="BP21938" s="197"/>
      <c r="BQ21938" s="197"/>
    </row>
    <row r="21939" spans="66:69" x14ac:dyDescent="0.2">
      <c r="BN21939" s="192"/>
      <c r="BO21939" s="197"/>
      <c r="BP21939" s="197"/>
      <c r="BQ21939" s="197"/>
    </row>
    <row r="21940" spans="66:69" x14ac:dyDescent="0.2">
      <c r="BN21940" s="192"/>
      <c r="BO21940" s="197"/>
      <c r="BP21940" s="197"/>
      <c r="BQ21940" s="197"/>
    </row>
    <row r="21941" spans="66:69" x14ac:dyDescent="0.2">
      <c r="BN21941" s="192"/>
      <c r="BO21941" s="197"/>
      <c r="BP21941" s="197"/>
      <c r="BQ21941" s="197"/>
    </row>
    <row r="21942" spans="66:69" x14ac:dyDescent="0.2">
      <c r="BN21942" s="192"/>
      <c r="BO21942" s="197"/>
      <c r="BP21942" s="197"/>
      <c r="BQ21942" s="197"/>
    </row>
    <row r="21943" spans="66:69" x14ac:dyDescent="0.2">
      <c r="BN21943" s="192"/>
      <c r="BO21943" s="197"/>
      <c r="BP21943" s="197"/>
      <c r="BQ21943" s="197"/>
    </row>
    <row r="21944" spans="66:69" x14ac:dyDescent="0.2">
      <c r="BN21944" s="192"/>
      <c r="BO21944" s="197"/>
      <c r="BP21944" s="197"/>
      <c r="BQ21944" s="197"/>
    </row>
    <row r="21945" spans="66:69" x14ac:dyDescent="0.2">
      <c r="BN21945" s="192"/>
      <c r="BO21945" s="197"/>
      <c r="BP21945" s="197"/>
      <c r="BQ21945" s="197"/>
    </row>
    <row r="21946" spans="66:69" x14ac:dyDescent="0.2">
      <c r="BN21946" s="192"/>
      <c r="BO21946" s="197"/>
      <c r="BP21946" s="197"/>
      <c r="BQ21946" s="197"/>
    </row>
    <row r="21947" spans="66:69" x14ac:dyDescent="0.2">
      <c r="BN21947" s="192"/>
      <c r="BO21947" s="197"/>
      <c r="BP21947" s="197"/>
      <c r="BQ21947" s="197"/>
    </row>
    <row r="21948" spans="66:69" x14ac:dyDescent="0.2">
      <c r="BN21948" s="192"/>
      <c r="BO21948" s="197"/>
      <c r="BP21948" s="197"/>
      <c r="BQ21948" s="197"/>
    </row>
    <row r="21949" spans="66:69" x14ac:dyDescent="0.2">
      <c r="BN21949" s="192"/>
      <c r="BO21949" s="197"/>
      <c r="BP21949" s="197"/>
      <c r="BQ21949" s="197"/>
    </row>
    <row r="21950" spans="66:69" x14ac:dyDescent="0.2">
      <c r="BN21950" s="192"/>
      <c r="BO21950" s="197"/>
      <c r="BP21950" s="197"/>
      <c r="BQ21950" s="197"/>
    </row>
    <row r="21951" spans="66:69" x14ac:dyDescent="0.2">
      <c r="BN21951" s="192"/>
      <c r="BO21951" s="197"/>
      <c r="BP21951" s="197"/>
      <c r="BQ21951" s="197"/>
    </row>
    <row r="21952" spans="66:69" x14ac:dyDescent="0.2">
      <c r="BN21952" s="192"/>
      <c r="BO21952" s="197"/>
      <c r="BP21952" s="197"/>
      <c r="BQ21952" s="197"/>
    </row>
    <row r="21953" spans="66:69" x14ac:dyDescent="0.2">
      <c r="BN21953" s="192"/>
      <c r="BO21953" s="197"/>
      <c r="BP21953" s="197"/>
      <c r="BQ21953" s="197"/>
    </row>
    <row r="21954" spans="66:69" x14ac:dyDescent="0.2">
      <c r="BN21954" s="192"/>
      <c r="BO21954" s="197"/>
      <c r="BP21954" s="197"/>
      <c r="BQ21954" s="197"/>
    </row>
    <row r="21955" spans="66:69" x14ac:dyDescent="0.2">
      <c r="BN21955" s="192"/>
      <c r="BO21955" s="197"/>
      <c r="BP21955" s="197"/>
      <c r="BQ21955" s="197"/>
    </row>
    <row r="21956" spans="66:69" x14ac:dyDescent="0.2">
      <c r="BN21956" s="192"/>
      <c r="BO21956" s="197"/>
      <c r="BP21956" s="197"/>
      <c r="BQ21956" s="197"/>
    </row>
    <row r="21957" spans="66:69" x14ac:dyDescent="0.2">
      <c r="BN21957" s="192"/>
      <c r="BO21957" s="197"/>
      <c r="BP21957" s="197"/>
      <c r="BQ21957" s="197"/>
    </row>
    <row r="21958" spans="66:69" x14ac:dyDescent="0.2">
      <c r="BN21958" s="192"/>
      <c r="BO21958" s="197"/>
      <c r="BP21958" s="197"/>
      <c r="BQ21958" s="197"/>
    </row>
    <row r="21959" spans="66:69" x14ac:dyDescent="0.2">
      <c r="BN21959" s="192"/>
      <c r="BO21959" s="197"/>
      <c r="BP21959" s="197"/>
      <c r="BQ21959" s="197"/>
    </row>
    <row r="21960" spans="66:69" x14ac:dyDescent="0.2">
      <c r="BN21960" s="192"/>
      <c r="BO21960" s="197"/>
      <c r="BP21960" s="197"/>
      <c r="BQ21960" s="197"/>
    </row>
    <row r="21961" spans="66:69" x14ac:dyDescent="0.2">
      <c r="BN21961" s="192"/>
      <c r="BO21961" s="197"/>
      <c r="BP21961" s="197"/>
      <c r="BQ21961" s="197"/>
    </row>
    <row r="21962" spans="66:69" x14ac:dyDescent="0.2">
      <c r="BN21962" s="192"/>
      <c r="BO21962" s="197"/>
      <c r="BP21962" s="197"/>
      <c r="BQ21962" s="197"/>
    </row>
    <row r="21963" spans="66:69" x14ac:dyDescent="0.2">
      <c r="BN21963" s="192"/>
      <c r="BO21963" s="197"/>
      <c r="BP21963" s="197"/>
      <c r="BQ21963" s="197"/>
    </row>
    <row r="21964" spans="66:69" x14ac:dyDescent="0.2">
      <c r="BN21964" s="192"/>
      <c r="BO21964" s="197"/>
      <c r="BP21964" s="197"/>
      <c r="BQ21964" s="197"/>
    </row>
    <row r="21965" spans="66:69" x14ac:dyDescent="0.2">
      <c r="BN21965" s="192"/>
      <c r="BO21965" s="197"/>
      <c r="BP21965" s="197"/>
      <c r="BQ21965" s="197"/>
    </row>
    <row r="21966" spans="66:69" x14ac:dyDescent="0.2">
      <c r="BN21966" s="192"/>
      <c r="BO21966" s="197"/>
      <c r="BP21966" s="197"/>
      <c r="BQ21966" s="197"/>
    </row>
    <row r="21967" spans="66:69" x14ac:dyDescent="0.2">
      <c r="BN21967" s="192"/>
      <c r="BO21967" s="197"/>
      <c r="BP21967" s="197"/>
      <c r="BQ21967" s="197"/>
    </row>
    <row r="21968" spans="66:69" x14ac:dyDescent="0.2">
      <c r="BN21968" s="192"/>
      <c r="BO21968" s="197"/>
      <c r="BP21968" s="197"/>
      <c r="BQ21968" s="197"/>
    </row>
    <row r="21969" spans="66:69" x14ac:dyDescent="0.2">
      <c r="BN21969" s="192"/>
      <c r="BO21969" s="197"/>
      <c r="BP21969" s="197"/>
      <c r="BQ21969" s="197"/>
    </row>
    <row r="21970" spans="66:69" x14ac:dyDescent="0.2">
      <c r="BN21970" s="192"/>
      <c r="BO21970" s="197"/>
      <c r="BP21970" s="197"/>
      <c r="BQ21970" s="197"/>
    </row>
    <row r="21971" spans="66:69" x14ac:dyDescent="0.2">
      <c r="BN21971" s="192"/>
      <c r="BO21971" s="197"/>
      <c r="BP21971" s="197"/>
      <c r="BQ21971" s="197"/>
    </row>
    <row r="21972" spans="66:69" x14ac:dyDescent="0.2">
      <c r="BN21972" s="192"/>
      <c r="BO21972" s="197"/>
      <c r="BP21972" s="197"/>
      <c r="BQ21972" s="197"/>
    </row>
    <row r="21973" spans="66:69" x14ac:dyDescent="0.2">
      <c r="BN21973" s="192"/>
      <c r="BO21973" s="197"/>
      <c r="BP21973" s="197"/>
      <c r="BQ21973" s="197"/>
    </row>
    <row r="21974" spans="66:69" x14ac:dyDescent="0.2">
      <c r="BN21974" s="192"/>
      <c r="BO21974" s="197"/>
      <c r="BP21974" s="197"/>
      <c r="BQ21974" s="197"/>
    </row>
    <row r="21975" spans="66:69" x14ac:dyDescent="0.2">
      <c r="BN21975" s="192"/>
      <c r="BO21975" s="197"/>
      <c r="BP21975" s="197"/>
      <c r="BQ21975" s="197"/>
    </row>
    <row r="21976" spans="66:69" x14ac:dyDescent="0.2">
      <c r="BN21976" s="192"/>
      <c r="BO21976" s="197"/>
      <c r="BP21976" s="197"/>
      <c r="BQ21976" s="197"/>
    </row>
    <row r="21977" spans="66:69" x14ac:dyDescent="0.2">
      <c r="BN21977" s="192"/>
      <c r="BO21977" s="197"/>
      <c r="BP21977" s="197"/>
      <c r="BQ21977" s="197"/>
    </row>
    <row r="21978" spans="66:69" x14ac:dyDescent="0.2">
      <c r="BN21978" s="192"/>
      <c r="BO21978" s="197"/>
      <c r="BP21978" s="197"/>
      <c r="BQ21978" s="197"/>
    </row>
    <row r="21979" spans="66:69" x14ac:dyDescent="0.2">
      <c r="BN21979" s="192"/>
      <c r="BO21979" s="197"/>
      <c r="BP21979" s="197"/>
      <c r="BQ21979" s="197"/>
    </row>
    <row r="21980" spans="66:69" x14ac:dyDescent="0.2">
      <c r="BN21980" s="192"/>
      <c r="BO21980" s="197"/>
      <c r="BP21980" s="197"/>
      <c r="BQ21980" s="197"/>
    </row>
    <row r="21981" spans="66:69" x14ac:dyDescent="0.2">
      <c r="BN21981" s="192"/>
      <c r="BO21981" s="197"/>
      <c r="BP21981" s="197"/>
      <c r="BQ21981" s="197"/>
    </row>
    <row r="21982" spans="66:69" x14ac:dyDescent="0.2">
      <c r="BN21982" s="192"/>
      <c r="BO21982" s="197"/>
      <c r="BP21982" s="197"/>
      <c r="BQ21982" s="197"/>
    </row>
    <row r="21983" spans="66:69" x14ac:dyDescent="0.2">
      <c r="BN21983" s="192"/>
      <c r="BO21983" s="197"/>
      <c r="BP21983" s="197"/>
      <c r="BQ21983" s="197"/>
    </row>
    <row r="21984" spans="66:69" x14ac:dyDescent="0.2">
      <c r="BN21984" s="192"/>
      <c r="BO21984" s="197"/>
      <c r="BP21984" s="197"/>
      <c r="BQ21984" s="197"/>
    </row>
    <row r="21985" spans="66:69" x14ac:dyDescent="0.2">
      <c r="BN21985" s="192"/>
      <c r="BO21985" s="197"/>
      <c r="BP21985" s="197"/>
      <c r="BQ21985" s="197"/>
    </row>
    <row r="21986" spans="66:69" x14ac:dyDescent="0.2">
      <c r="BN21986" s="192"/>
      <c r="BO21986" s="197"/>
      <c r="BP21986" s="197"/>
      <c r="BQ21986" s="197"/>
    </row>
    <row r="21987" spans="66:69" x14ac:dyDescent="0.2">
      <c r="BN21987" s="192"/>
      <c r="BO21987" s="197"/>
      <c r="BP21987" s="197"/>
      <c r="BQ21987" s="197"/>
    </row>
    <row r="21988" spans="66:69" x14ac:dyDescent="0.2">
      <c r="BN21988" s="192"/>
      <c r="BO21988" s="197"/>
      <c r="BP21988" s="197"/>
      <c r="BQ21988" s="197"/>
    </row>
    <row r="21989" spans="66:69" x14ac:dyDescent="0.2">
      <c r="BN21989" s="192"/>
      <c r="BO21989" s="197"/>
      <c r="BP21989" s="197"/>
      <c r="BQ21989" s="197"/>
    </row>
    <row r="21990" spans="66:69" x14ac:dyDescent="0.2">
      <c r="BN21990" s="192"/>
      <c r="BO21990" s="197"/>
      <c r="BP21990" s="197"/>
      <c r="BQ21990" s="197"/>
    </row>
    <row r="21991" spans="66:69" x14ac:dyDescent="0.2">
      <c r="BN21991" s="192"/>
      <c r="BO21991" s="197"/>
      <c r="BP21991" s="197"/>
      <c r="BQ21991" s="197"/>
    </row>
    <row r="21992" spans="66:69" x14ac:dyDescent="0.2">
      <c r="BN21992" s="192"/>
      <c r="BO21992" s="197"/>
      <c r="BP21992" s="197"/>
      <c r="BQ21992" s="197"/>
    </row>
    <row r="21993" spans="66:69" x14ac:dyDescent="0.2">
      <c r="BN21993" s="192"/>
      <c r="BO21993" s="197"/>
      <c r="BP21993" s="197"/>
      <c r="BQ21993" s="197"/>
    </row>
    <row r="21994" spans="66:69" x14ac:dyDescent="0.2">
      <c r="BN21994" s="192"/>
      <c r="BO21994" s="197"/>
      <c r="BP21994" s="197"/>
      <c r="BQ21994" s="197"/>
    </row>
    <row r="21995" spans="66:69" x14ac:dyDescent="0.2">
      <c r="BN21995" s="192"/>
      <c r="BO21995" s="197"/>
      <c r="BP21995" s="197"/>
      <c r="BQ21995" s="197"/>
    </row>
    <row r="21996" spans="66:69" x14ac:dyDescent="0.2">
      <c r="BN21996" s="192"/>
      <c r="BO21996" s="197"/>
      <c r="BP21996" s="197"/>
      <c r="BQ21996" s="197"/>
    </row>
    <row r="21997" spans="66:69" x14ac:dyDescent="0.2">
      <c r="BN21997" s="192"/>
      <c r="BO21997" s="197"/>
      <c r="BP21997" s="197"/>
      <c r="BQ21997" s="197"/>
    </row>
    <row r="21998" spans="66:69" x14ac:dyDescent="0.2">
      <c r="BN21998" s="192"/>
      <c r="BO21998" s="197"/>
      <c r="BP21998" s="197"/>
      <c r="BQ21998" s="197"/>
    </row>
    <row r="21999" spans="66:69" x14ac:dyDescent="0.2">
      <c r="BN21999" s="192"/>
      <c r="BO21999" s="197"/>
      <c r="BP21999" s="197"/>
      <c r="BQ21999" s="197"/>
    </row>
    <row r="22000" spans="66:69" x14ac:dyDescent="0.2">
      <c r="BN22000" s="192"/>
      <c r="BO22000" s="197"/>
      <c r="BP22000" s="197"/>
      <c r="BQ22000" s="197"/>
    </row>
    <row r="22001" spans="66:69" x14ac:dyDescent="0.2">
      <c r="BN22001" s="192"/>
      <c r="BO22001" s="197"/>
      <c r="BP22001" s="197"/>
      <c r="BQ22001" s="197"/>
    </row>
    <row r="22002" spans="66:69" x14ac:dyDescent="0.2">
      <c r="BN22002" s="192"/>
      <c r="BO22002" s="197"/>
      <c r="BP22002" s="197"/>
      <c r="BQ22002" s="197"/>
    </row>
    <row r="22003" spans="66:69" x14ac:dyDescent="0.2">
      <c r="BN22003" s="192"/>
      <c r="BO22003" s="197"/>
      <c r="BP22003" s="197"/>
      <c r="BQ22003" s="197"/>
    </row>
    <row r="22004" spans="66:69" x14ac:dyDescent="0.2">
      <c r="BN22004" s="192"/>
      <c r="BO22004" s="197"/>
      <c r="BP22004" s="197"/>
      <c r="BQ22004" s="197"/>
    </row>
    <row r="22005" spans="66:69" x14ac:dyDescent="0.2">
      <c r="BN22005" s="192"/>
      <c r="BO22005" s="197"/>
      <c r="BP22005" s="197"/>
      <c r="BQ22005" s="197"/>
    </row>
    <row r="22006" spans="66:69" x14ac:dyDescent="0.2">
      <c r="BN22006" s="192"/>
      <c r="BO22006" s="197"/>
      <c r="BP22006" s="197"/>
      <c r="BQ22006" s="197"/>
    </row>
    <row r="22007" spans="66:69" x14ac:dyDescent="0.2">
      <c r="BN22007" s="192"/>
      <c r="BO22007" s="197"/>
      <c r="BP22007" s="197"/>
      <c r="BQ22007" s="197"/>
    </row>
    <row r="22008" spans="66:69" x14ac:dyDescent="0.2">
      <c r="BN22008" s="192"/>
      <c r="BO22008" s="197"/>
      <c r="BP22008" s="197"/>
      <c r="BQ22008" s="197"/>
    </row>
    <row r="22009" spans="66:69" x14ac:dyDescent="0.2">
      <c r="BN22009" s="192"/>
      <c r="BO22009" s="197"/>
      <c r="BP22009" s="197"/>
      <c r="BQ22009" s="197"/>
    </row>
    <row r="22010" spans="66:69" x14ac:dyDescent="0.2">
      <c r="BN22010" s="192"/>
      <c r="BO22010" s="197"/>
      <c r="BP22010" s="197"/>
      <c r="BQ22010" s="197"/>
    </row>
    <row r="22011" spans="66:69" x14ac:dyDescent="0.2">
      <c r="BN22011" s="192"/>
      <c r="BO22011" s="197"/>
      <c r="BP22011" s="197"/>
      <c r="BQ22011" s="197"/>
    </row>
    <row r="22012" spans="66:69" x14ac:dyDescent="0.2">
      <c r="BN22012" s="192"/>
      <c r="BO22012" s="197"/>
      <c r="BP22012" s="197"/>
      <c r="BQ22012" s="197"/>
    </row>
    <row r="22013" spans="66:69" x14ac:dyDescent="0.2">
      <c r="BN22013" s="192"/>
      <c r="BO22013" s="197"/>
      <c r="BP22013" s="197"/>
      <c r="BQ22013" s="197"/>
    </row>
    <row r="22014" spans="66:69" x14ac:dyDescent="0.2">
      <c r="BN22014" s="192"/>
      <c r="BO22014" s="197"/>
      <c r="BP22014" s="197"/>
      <c r="BQ22014" s="197"/>
    </row>
    <row r="22015" spans="66:69" x14ac:dyDescent="0.2">
      <c r="BN22015" s="192"/>
      <c r="BO22015" s="197"/>
      <c r="BP22015" s="197"/>
      <c r="BQ22015" s="197"/>
    </row>
    <row r="22016" spans="66:69" x14ac:dyDescent="0.2">
      <c r="BN22016" s="192"/>
      <c r="BO22016" s="197"/>
      <c r="BP22016" s="197"/>
      <c r="BQ22016" s="197"/>
    </row>
    <row r="22017" spans="66:69" x14ac:dyDescent="0.2">
      <c r="BN22017" s="192"/>
      <c r="BO22017" s="197"/>
      <c r="BP22017" s="197"/>
      <c r="BQ22017" s="197"/>
    </row>
    <row r="22018" spans="66:69" x14ac:dyDescent="0.2">
      <c r="BN22018" s="192"/>
      <c r="BO22018" s="197"/>
      <c r="BP22018" s="197"/>
      <c r="BQ22018" s="197"/>
    </row>
    <row r="22019" spans="66:69" x14ac:dyDescent="0.2">
      <c r="BN22019" s="192"/>
      <c r="BO22019" s="197"/>
      <c r="BP22019" s="197"/>
      <c r="BQ22019" s="197"/>
    </row>
    <row r="22020" spans="66:69" x14ac:dyDescent="0.2">
      <c r="BN22020" s="192"/>
      <c r="BO22020" s="197"/>
      <c r="BP22020" s="197"/>
      <c r="BQ22020" s="197"/>
    </row>
    <row r="22021" spans="66:69" x14ac:dyDescent="0.2">
      <c r="BN22021" s="192"/>
      <c r="BO22021" s="197"/>
      <c r="BP22021" s="197"/>
      <c r="BQ22021" s="197"/>
    </row>
    <row r="22022" spans="66:69" x14ac:dyDescent="0.2">
      <c r="BN22022" s="192"/>
      <c r="BO22022" s="197"/>
      <c r="BP22022" s="197"/>
      <c r="BQ22022" s="197"/>
    </row>
    <row r="22023" spans="66:69" x14ac:dyDescent="0.2">
      <c r="BN22023" s="192"/>
      <c r="BO22023" s="197"/>
      <c r="BP22023" s="197"/>
      <c r="BQ22023" s="197"/>
    </row>
    <row r="22024" spans="66:69" x14ac:dyDescent="0.2">
      <c r="BN22024" s="192"/>
      <c r="BO22024" s="197"/>
      <c r="BP22024" s="197"/>
      <c r="BQ22024" s="197"/>
    </row>
    <row r="22025" spans="66:69" x14ac:dyDescent="0.2">
      <c r="BN22025" s="192"/>
      <c r="BO22025" s="197"/>
      <c r="BP22025" s="197"/>
      <c r="BQ22025" s="197"/>
    </row>
    <row r="22026" spans="66:69" x14ac:dyDescent="0.2">
      <c r="BN22026" s="192"/>
      <c r="BO22026" s="197"/>
      <c r="BP22026" s="197"/>
      <c r="BQ22026" s="197"/>
    </row>
    <row r="22027" spans="66:69" x14ac:dyDescent="0.2">
      <c r="BN22027" s="192"/>
      <c r="BO22027" s="197"/>
      <c r="BP22027" s="197"/>
      <c r="BQ22027" s="197"/>
    </row>
    <row r="22028" spans="66:69" x14ac:dyDescent="0.2">
      <c r="BN22028" s="192"/>
      <c r="BO22028" s="197"/>
      <c r="BP22028" s="197"/>
      <c r="BQ22028" s="197"/>
    </row>
    <row r="22029" spans="66:69" x14ac:dyDescent="0.2">
      <c r="BN22029" s="192"/>
      <c r="BO22029" s="197"/>
      <c r="BP22029" s="197"/>
      <c r="BQ22029" s="197"/>
    </row>
    <row r="22030" spans="66:69" x14ac:dyDescent="0.2">
      <c r="BN22030" s="192"/>
      <c r="BO22030" s="197"/>
      <c r="BP22030" s="197"/>
      <c r="BQ22030" s="197"/>
    </row>
    <row r="22031" spans="66:69" x14ac:dyDescent="0.2">
      <c r="BN22031" s="192"/>
      <c r="BO22031" s="197"/>
      <c r="BP22031" s="197"/>
      <c r="BQ22031" s="197"/>
    </row>
    <row r="22032" spans="66:69" x14ac:dyDescent="0.2">
      <c r="BN22032" s="192"/>
      <c r="BO22032" s="197"/>
      <c r="BP22032" s="197"/>
      <c r="BQ22032" s="197"/>
    </row>
    <row r="22033" spans="66:69" x14ac:dyDescent="0.2">
      <c r="BN22033" s="192"/>
      <c r="BO22033" s="197"/>
      <c r="BP22033" s="197"/>
      <c r="BQ22033" s="197"/>
    </row>
    <row r="22034" spans="66:69" x14ac:dyDescent="0.2">
      <c r="BN22034" s="192"/>
      <c r="BO22034" s="197"/>
      <c r="BP22034" s="197"/>
      <c r="BQ22034" s="197"/>
    </row>
    <row r="22035" spans="66:69" x14ac:dyDescent="0.2">
      <c r="BN22035" s="192"/>
      <c r="BO22035" s="197"/>
      <c r="BP22035" s="197"/>
      <c r="BQ22035" s="197"/>
    </row>
    <row r="22036" spans="66:69" x14ac:dyDescent="0.2">
      <c r="BN22036" s="192"/>
      <c r="BO22036" s="197"/>
      <c r="BP22036" s="197"/>
      <c r="BQ22036" s="197"/>
    </row>
    <row r="22037" spans="66:69" x14ac:dyDescent="0.2">
      <c r="BN22037" s="192"/>
      <c r="BO22037" s="197"/>
      <c r="BP22037" s="197"/>
      <c r="BQ22037" s="197"/>
    </row>
    <row r="22038" spans="66:69" x14ac:dyDescent="0.2">
      <c r="BN22038" s="192"/>
      <c r="BO22038" s="197"/>
      <c r="BP22038" s="197"/>
      <c r="BQ22038" s="197"/>
    </row>
    <row r="22039" spans="66:69" x14ac:dyDescent="0.2">
      <c r="BN22039" s="192"/>
      <c r="BO22039" s="197"/>
      <c r="BP22039" s="197"/>
      <c r="BQ22039" s="197"/>
    </row>
    <row r="22040" spans="66:69" x14ac:dyDescent="0.2">
      <c r="BN22040" s="192"/>
      <c r="BO22040" s="197"/>
      <c r="BP22040" s="197"/>
      <c r="BQ22040" s="197"/>
    </row>
    <row r="22041" spans="66:69" x14ac:dyDescent="0.2">
      <c r="BN22041" s="192"/>
      <c r="BO22041" s="197"/>
      <c r="BP22041" s="197"/>
      <c r="BQ22041" s="197"/>
    </row>
    <row r="22042" spans="66:69" x14ac:dyDescent="0.2">
      <c r="BN22042" s="192"/>
      <c r="BO22042" s="197"/>
      <c r="BP22042" s="197"/>
      <c r="BQ22042" s="197"/>
    </row>
    <row r="22043" spans="66:69" x14ac:dyDescent="0.2">
      <c r="BN22043" s="192"/>
      <c r="BO22043" s="197"/>
      <c r="BP22043" s="197"/>
      <c r="BQ22043" s="197"/>
    </row>
    <row r="22044" spans="66:69" x14ac:dyDescent="0.2">
      <c r="BN22044" s="192"/>
      <c r="BO22044" s="197"/>
      <c r="BP22044" s="197"/>
      <c r="BQ22044" s="197"/>
    </row>
    <row r="22045" spans="66:69" x14ac:dyDescent="0.2">
      <c r="BN22045" s="192"/>
      <c r="BO22045" s="197"/>
      <c r="BP22045" s="197"/>
      <c r="BQ22045" s="197"/>
    </row>
    <row r="22046" spans="66:69" x14ac:dyDescent="0.2">
      <c r="BN22046" s="192"/>
      <c r="BO22046" s="197"/>
      <c r="BP22046" s="197"/>
      <c r="BQ22046" s="197"/>
    </row>
    <row r="22047" spans="66:69" x14ac:dyDescent="0.2">
      <c r="BN22047" s="192"/>
      <c r="BO22047" s="197"/>
      <c r="BP22047" s="197"/>
      <c r="BQ22047" s="197"/>
    </row>
    <row r="22048" spans="66:69" x14ac:dyDescent="0.2">
      <c r="BN22048" s="192"/>
      <c r="BO22048" s="197"/>
      <c r="BP22048" s="197"/>
      <c r="BQ22048" s="197"/>
    </row>
    <row r="22049" spans="66:69" x14ac:dyDescent="0.2">
      <c r="BN22049" s="192"/>
      <c r="BO22049" s="197"/>
      <c r="BP22049" s="197"/>
      <c r="BQ22049" s="197"/>
    </row>
    <row r="22050" spans="66:69" x14ac:dyDescent="0.2">
      <c r="BN22050" s="192"/>
      <c r="BO22050" s="197"/>
      <c r="BP22050" s="197"/>
      <c r="BQ22050" s="197"/>
    </row>
    <row r="22051" spans="66:69" x14ac:dyDescent="0.2">
      <c r="BN22051" s="192"/>
      <c r="BO22051" s="197"/>
      <c r="BP22051" s="197"/>
      <c r="BQ22051" s="197"/>
    </row>
    <row r="22052" spans="66:69" x14ac:dyDescent="0.2">
      <c r="BN22052" s="192"/>
      <c r="BO22052" s="197"/>
      <c r="BP22052" s="197"/>
      <c r="BQ22052" s="197"/>
    </row>
    <row r="22053" spans="66:69" x14ac:dyDescent="0.2">
      <c r="BN22053" s="192"/>
      <c r="BO22053" s="197"/>
      <c r="BP22053" s="197"/>
      <c r="BQ22053" s="197"/>
    </row>
    <row r="22054" spans="66:69" x14ac:dyDescent="0.2">
      <c r="BN22054" s="192"/>
      <c r="BO22054" s="197"/>
      <c r="BP22054" s="197"/>
      <c r="BQ22054" s="197"/>
    </row>
    <row r="22055" spans="66:69" x14ac:dyDescent="0.2">
      <c r="BN22055" s="192"/>
      <c r="BO22055" s="197"/>
      <c r="BP22055" s="197"/>
      <c r="BQ22055" s="197"/>
    </row>
    <row r="22056" spans="66:69" x14ac:dyDescent="0.2">
      <c r="BN22056" s="192"/>
      <c r="BO22056" s="197"/>
      <c r="BP22056" s="197"/>
      <c r="BQ22056" s="197"/>
    </row>
    <row r="22057" spans="66:69" x14ac:dyDescent="0.2">
      <c r="BN22057" s="192"/>
      <c r="BO22057" s="197"/>
      <c r="BP22057" s="197"/>
      <c r="BQ22057" s="197"/>
    </row>
    <row r="22058" spans="66:69" x14ac:dyDescent="0.2">
      <c r="BN22058" s="192"/>
      <c r="BO22058" s="197"/>
      <c r="BP22058" s="197"/>
      <c r="BQ22058" s="197"/>
    </row>
    <row r="22059" spans="66:69" x14ac:dyDescent="0.2">
      <c r="BN22059" s="192"/>
      <c r="BO22059" s="197"/>
      <c r="BP22059" s="197"/>
      <c r="BQ22059" s="197"/>
    </row>
    <row r="22060" spans="66:69" x14ac:dyDescent="0.2">
      <c r="BN22060" s="192"/>
      <c r="BO22060" s="197"/>
      <c r="BP22060" s="197"/>
      <c r="BQ22060" s="197"/>
    </row>
    <row r="22061" spans="66:69" x14ac:dyDescent="0.2">
      <c r="BN22061" s="192"/>
      <c r="BO22061" s="197"/>
      <c r="BP22061" s="197"/>
      <c r="BQ22061" s="197"/>
    </row>
    <row r="22062" spans="66:69" x14ac:dyDescent="0.2">
      <c r="BN22062" s="192"/>
      <c r="BO22062" s="197"/>
      <c r="BP22062" s="197"/>
      <c r="BQ22062" s="197"/>
    </row>
    <row r="22063" spans="66:69" x14ac:dyDescent="0.2">
      <c r="BN22063" s="192"/>
      <c r="BO22063" s="197"/>
      <c r="BP22063" s="197"/>
      <c r="BQ22063" s="197"/>
    </row>
    <row r="22064" spans="66:69" x14ac:dyDescent="0.2">
      <c r="BN22064" s="192"/>
      <c r="BO22064" s="197"/>
      <c r="BP22064" s="197"/>
      <c r="BQ22064" s="197"/>
    </row>
    <row r="22065" spans="66:69" x14ac:dyDescent="0.2">
      <c r="BN22065" s="192"/>
      <c r="BO22065" s="197"/>
      <c r="BP22065" s="197"/>
      <c r="BQ22065" s="197"/>
    </row>
    <row r="22066" spans="66:69" x14ac:dyDescent="0.2">
      <c r="BN22066" s="192"/>
      <c r="BO22066" s="197"/>
      <c r="BP22066" s="197"/>
      <c r="BQ22066" s="197"/>
    </row>
    <row r="22067" spans="66:69" x14ac:dyDescent="0.2">
      <c r="BN22067" s="192"/>
      <c r="BO22067" s="197"/>
      <c r="BP22067" s="197"/>
      <c r="BQ22067" s="197"/>
    </row>
    <row r="22068" spans="66:69" x14ac:dyDescent="0.2">
      <c r="BN22068" s="192"/>
      <c r="BO22068" s="197"/>
      <c r="BP22068" s="197"/>
      <c r="BQ22068" s="197"/>
    </row>
    <row r="22069" spans="66:69" x14ac:dyDescent="0.2">
      <c r="BN22069" s="192"/>
      <c r="BO22069" s="197"/>
      <c r="BP22069" s="197"/>
      <c r="BQ22069" s="197"/>
    </row>
    <row r="22070" spans="66:69" x14ac:dyDescent="0.2">
      <c r="BN22070" s="192"/>
      <c r="BO22070" s="197"/>
      <c r="BP22070" s="197"/>
      <c r="BQ22070" s="197"/>
    </row>
    <row r="22071" spans="66:69" x14ac:dyDescent="0.2">
      <c r="BN22071" s="192"/>
      <c r="BO22071" s="197"/>
      <c r="BP22071" s="197"/>
      <c r="BQ22071" s="197"/>
    </row>
    <row r="22072" spans="66:69" x14ac:dyDescent="0.2">
      <c r="BN22072" s="192"/>
      <c r="BO22072" s="197"/>
      <c r="BP22072" s="197"/>
      <c r="BQ22072" s="197"/>
    </row>
    <row r="22073" spans="66:69" x14ac:dyDescent="0.2">
      <c r="BN22073" s="192"/>
      <c r="BO22073" s="197"/>
      <c r="BP22073" s="197"/>
      <c r="BQ22073" s="197"/>
    </row>
    <row r="22074" spans="66:69" x14ac:dyDescent="0.2">
      <c r="BN22074" s="192"/>
      <c r="BO22074" s="197"/>
      <c r="BP22074" s="197"/>
      <c r="BQ22074" s="197"/>
    </row>
    <row r="22075" spans="66:69" x14ac:dyDescent="0.2">
      <c r="BN22075" s="192"/>
      <c r="BO22075" s="197"/>
      <c r="BP22075" s="197"/>
      <c r="BQ22075" s="197"/>
    </row>
    <row r="22076" spans="66:69" x14ac:dyDescent="0.2">
      <c r="BN22076" s="192"/>
      <c r="BO22076" s="197"/>
      <c r="BP22076" s="197"/>
      <c r="BQ22076" s="197"/>
    </row>
    <row r="22077" spans="66:69" x14ac:dyDescent="0.2">
      <c r="BN22077" s="192"/>
      <c r="BO22077" s="197"/>
      <c r="BP22077" s="197"/>
      <c r="BQ22077" s="197"/>
    </row>
    <row r="22078" spans="66:69" x14ac:dyDescent="0.2">
      <c r="BN22078" s="192"/>
      <c r="BO22078" s="197"/>
      <c r="BP22078" s="197"/>
      <c r="BQ22078" s="197"/>
    </row>
    <row r="22079" spans="66:69" x14ac:dyDescent="0.2">
      <c r="BN22079" s="192"/>
      <c r="BO22079" s="197"/>
      <c r="BP22079" s="197"/>
      <c r="BQ22079" s="197"/>
    </row>
    <row r="22080" spans="66:69" x14ac:dyDescent="0.2">
      <c r="BN22080" s="192"/>
      <c r="BO22080" s="197"/>
      <c r="BP22080" s="197"/>
      <c r="BQ22080" s="197"/>
    </row>
    <row r="22081" spans="66:69" x14ac:dyDescent="0.2">
      <c r="BN22081" s="192"/>
      <c r="BO22081" s="197"/>
      <c r="BP22081" s="197"/>
      <c r="BQ22081" s="197"/>
    </row>
    <row r="22082" spans="66:69" x14ac:dyDescent="0.2">
      <c r="BN22082" s="192"/>
      <c r="BO22082" s="197"/>
      <c r="BP22082" s="197"/>
      <c r="BQ22082" s="197"/>
    </row>
    <row r="22083" spans="66:69" x14ac:dyDescent="0.2">
      <c r="BN22083" s="192"/>
      <c r="BO22083" s="197"/>
      <c r="BP22083" s="197"/>
      <c r="BQ22083" s="197"/>
    </row>
    <row r="22084" spans="66:69" x14ac:dyDescent="0.2">
      <c r="BN22084" s="192"/>
      <c r="BO22084" s="197"/>
      <c r="BP22084" s="197"/>
      <c r="BQ22084" s="197"/>
    </row>
    <row r="22085" spans="66:69" x14ac:dyDescent="0.2">
      <c r="BN22085" s="192"/>
      <c r="BO22085" s="197"/>
      <c r="BP22085" s="197"/>
      <c r="BQ22085" s="197"/>
    </row>
    <row r="22086" spans="66:69" x14ac:dyDescent="0.2">
      <c r="BN22086" s="192"/>
      <c r="BO22086" s="197"/>
      <c r="BP22086" s="197"/>
      <c r="BQ22086" s="197"/>
    </row>
    <row r="22087" spans="66:69" x14ac:dyDescent="0.2">
      <c r="BN22087" s="192"/>
      <c r="BO22087" s="197"/>
      <c r="BP22087" s="197"/>
      <c r="BQ22087" s="197"/>
    </row>
    <row r="22088" spans="66:69" x14ac:dyDescent="0.2">
      <c r="BN22088" s="192"/>
      <c r="BO22088" s="197"/>
      <c r="BP22088" s="197"/>
      <c r="BQ22088" s="197"/>
    </row>
    <row r="22089" spans="66:69" x14ac:dyDescent="0.2">
      <c r="BN22089" s="192"/>
      <c r="BO22089" s="197"/>
      <c r="BP22089" s="197"/>
      <c r="BQ22089" s="197"/>
    </row>
    <row r="22090" spans="66:69" x14ac:dyDescent="0.2">
      <c r="BN22090" s="192"/>
      <c r="BO22090" s="197"/>
      <c r="BP22090" s="197"/>
      <c r="BQ22090" s="197"/>
    </row>
    <row r="22091" spans="66:69" x14ac:dyDescent="0.2">
      <c r="BN22091" s="192"/>
      <c r="BO22091" s="197"/>
      <c r="BP22091" s="197"/>
      <c r="BQ22091" s="197"/>
    </row>
    <row r="22092" spans="66:69" x14ac:dyDescent="0.2">
      <c r="BN22092" s="192"/>
      <c r="BO22092" s="197"/>
      <c r="BP22092" s="197"/>
      <c r="BQ22092" s="197"/>
    </row>
    <row r="22093" spans="66:69" x14ac:dyDescent="0.2">
      <c r="BN22093" s="192"/>
      <c r="BO22093" s="197"/>
      <c r="BP22093" s="197"/>
      <c r="BQ22093" s="197"/>
    </row>
    <row r="22094" spans="66:69" x14ac:dyDescent="0.2">
      <c r="BN22094" s="192"/>
      <c r="BO22094" s="197"/>
      <c r="BP22094" s="197"/>
      <c r="BQ22094" s="197"/>
    </row>
    <row r="22095" spans="66:69" x14ac:dyDescent="0.2">
      <c r="BN22095" s="192"/>
      <c r="BO22095" s="197"/>
      <c r="BP22095" s="197"/>
      <c r="BQ22095" s="197"/>
    </row>
    <row r="22096" spans="66:69" x14ac:dyDescent="0.2">
      <c r="BN22096" s="192"/>
      <c r="BO22096" s="197"/>
      <c r="BP22096" s="197"/>
      <c r="BQ22096" s="197"/>
    </row>
    <row r="22097" spans="66:69" x14ac:dyDescent="0.2">
      <c r="BN22097" s="192"/>
      <c r="BO22097" s="197"/>
      <c r="BP22097" s="197"/>
      <c r="BQ22097" s="197"/>
    </row>
    <row r="22098" spans="66:69" x14ac:dyDescent="0.2">
      <c r="BN22098" s="192"/>
      <c r="BO22098" s="197"/>
      <c r="BP22098" s="197"/>
      <c r="BQ22098" s="197"/>
    </row>
    <row r="22099" spans="66:69" x14ac:dyDescent="0.2">
      <c r="BN22099" s="192"/>
      <c r="BO22099" s="197"/>
      <c r="BP22099" s="197"/>
      <c r="BQ22099" s="197"/>
    </row>
    <row r="22100" spans="66:69" x14ac:dyDescent="0.2">
      <c r="BN22100" s="192"/>
      <c r="BO22100" s="197"/>
      <c r="BP22100" s="197"/>
      <c r="BQ22100" s="197"/>
    </row>
    <row r="22101" spans="66:69" x14ac:dyDescent="0.2">
      <c r="BN22101" s="192"/>
      <c r="BO22101" s="197"/>
      <c r="BP22101" s="197"/>
      <c r="BQ22101" s="197"/>
    </row>
    <row r="22102" spans="66:69" x14ac:dyDescent="0.2">
      <c r="BN22102" s="192"/>
      <c r="BO22102" s="197"/>
      <c r="BP22102" s="197"/>
      <c r="BQ22102" s="197"/>
    </row>
    <row r="22103" spans="66:69" x14ac:dyDescent="0.2">
      <c r="BN22103" s="192"/>
      <c r="BO22103" s="197"/>
      <c r="BP22103" s="197"/>
      <c r="BQ22103" s="197"/>
    </row>
    <row r="22104" spans="66:69" x14ac:dyDescent="0.2">
      <c r="BN22104" s="192"/>
      <c r="BO22104" s="197"/>
      <c r="BP22104" s="197"/>
      <c r="BQ22104" s="197"/>
    </row>
    <row r="22105" spans="66:69" x14ac:dyDescent="0.2">
      <c r="BN22105" s="192"/>
      <c r="BO22105" s="197"/>
      <c r="BP22105" s="197"/>
      <c r="BQ22105" s="197"/>
    </row>
    <row r="22106" spans="66:69" x14ac:dyDescent="0.2">
      <c r="BN22106" s="192"/>
      <c r="BO22106" s="197"/>
      <c r="BP22106" s="197"/>
      <c r="BQ22106" s="197"/>
    </row>
    <row r="22107" spans="66:69" x14ac:dyDescent="0.2">
      <c r="BN22107" s="192"/>
      <c r="BO22107" s="197"/>
      <c r="BP22107" s="197"/>
      <c r="BQ22107" s="197"/>
    </row>
    <row r="22108" spans="66:69" x14ac:dyDescent="0.2">
      <c r="BN22108" s="192"/>
      <c r="BO22108" s="197"/>
      <c r="BP22108" s="197"/>
      <c r="BQ22108" s="197"/>
    </row>
    <row r="22109" spans="66:69" x14ac:dyDescent="0.2">
      <c r="BN22109" s="192"/>
      <c r="BO22109" s="197"/>
      <c r="BP22109" s="197"/>
      <c r="BQ22109" s="197"/>
    </row>
    <row r="22110" spans="66:69" x14ac:dyDescent="0.2">
      <c r="BN22110" s="192"/>
      <c r="BO22110" s="197"/>
      <c r="BP22110" s="197"/>
      <c r="BQ22110" s="197"/>
    </row>
    <row r="22111" spans="66:69" x14ac:dyDescent="0.2">
      <c r="BN22111" s="192"/>
      <c r="BO22111" s="197"/>
      <c r="BP22111" s="197"/>
      <c r="BQ22111" s="197"/>
    </row>
    <row r="22112" spans="66:69" x14ac:dyDescent="0.2">
      <c r="BN22112" s="192"/>
      <c r="BO22112" s="197"/>
      <c r="BP22112" s="197"/>
      <c r="BQ22112" s="197"/>
    </row>
    <row r="22113" spans="66:69" x14ac:dyDescent="0.2">
      <c r="BN22113" s="192"/>
      <c r="BO22113" s="197"/>
      <c r="BP22113" s="197"/>
      <c r="BQ22113" s="197"/>
    </row>
    <row r="22114" spans="66:69" x14ac:dyDescent="0.2">
      <c r="BN22114" s="192"/>
      <c r="BO22114" s="197"/>
      <c r="BP22114" s="197"/>
      <c r="BQ22114" s="197"/>
    </row>
    <row r="22115" spans="66:69" x14ac:dyDescent="0.2">
      <c r="BN22115" s="192"/>
      <c r="BO22115" s="197"/>
      <c r="BP22115" s="197"/>
      <c r="BQ22115" s="197"/>
    </row>
    <row r="22116" spans="66:69" x14ac:dyDescent="0.2">
      <c r="BN22116" s="192"/>
      <c r="BO22116" s="197"/>
      <c r="BP22116" s="197"/>
      <c r="BQ22116" s="197"/>
    </row>
    <row r="22117" spans="66:69" x14ac:dyDescent="0.2">
      <c r="BN22117" s="192"/>
      <c r="BO22117" s="197"/>
      <c r="BP22117" s="197"/>
      <c r="BQ22117" s="197"/>
    </row>
    <row r="22118" spans="66:69" x14ac:dyDescent="0.2">
      <c r="BN22118" s="192"/>
      <c r="BO22118" s="197"/>
      <c r="BP22118" s="197"/>
      <c r="BQ22118" s="197"/>
    </row>
    <row r="22119" spans="66:69" x14ac:dyDescent="0.2">
      <c r="BN22119" s="192"/>
      <c r="BO22119" s="197"/>
      <c r="BP22119" s="197"/>
      <c r="BQ22119" s="197"/>
    </row>
    <row r="22120" spans="66:69" x14ac:dyDescent="0.2">
      <c r="BN22120" s="192"/>
      <c r="BO22120" s="197"/>
      <c r="BP22120" s="197"/>
      <c r="BQ22120" s="197"/>
    </row>
    <row r="22121" spans="66:69" x14ac:dyDescent="0.2">
      <c r="BN22121" s="192"/>
      <c r="BO22121" s="197"/>
      <c r="BP22121" s="197"/>
      <c r="BQ22121" s="197"/>
    </row>
    <row r="22122" spans="66:69" x14ac:dyDescent="0.2">
      <c r="BN22122" s="192"/>
      <c r="BO22122" s="197"/>
      <c r="BP22122" s="197"/>
      <c r="BQ22122" s="197"/>
    </row>
    <row r="22123" spans="66:69" x14ac:dyDescent="0.2">
      <c r="BN22123" s="192"/>
      <c r="BO22123" s="197"/>
      <c r="BP22123" s="197"/>
      <c r="BQ22123" s="197"/>
    </row>
    <row r="22124" spans="66:69" x14ac:dyDescent="0.2">
      <c r="BN22124" s="192"/>
      <c r="BO22124" s="197"/>
      <c r="BP22124" s="197"/>
      <c r="BQ22124" s="197"/>
    </row>
    <row r="22125" spans="66:69" x14ac:dyDescent="0.2">
      <c r="BN22125" s="192"/>
      <c r="BO22125" s="197"/>
      <c r="BP22125" s="197"/>
      <c r="BQ22125" s="197"/>
    </row>
    <row r="22126" spans="66:69" x14ac:dyDescent="0.2">
      <c r="BN22126" s="192"/>
      <c r="BO22126" s="197"/>
      <c r="BP22126" s="197"/>
      <c r="BQ22126" s="197"/>
    </row>
    <row r="22127" spans="66:69" x14ac:dyDescent="0.2">
      <c r="BN22127" s="192"/>
      <c r="BO22127" s="197"/>
      <c r="BP22127" s="197"/>
      <c r="BQ22127" s="197"/>
    </row>
    <row r="22128" spans="66:69" x14ac:dyDescent="0.2">
      <c r="BN22128" s="192"/>
      <c r="BO22128" s="197"/>
      <c r="BP22128" s="197"/>
      <c r="BQ22128" s="197"/>
    </row>
    <row r="22129" spans="66:69" x14ac:dyDescent="0.2">
      <c r="BN22129" s="192"/>
      <c r="BO22129" s="197"/>
      <c r="BP22129" s="197"/>
      <c r="BQ22129" s="197"/>
    </row>
    <row r="22130" spans="66:69" x14ac:dyDescent="0.2">
      <c r="BN22130" s="192"/>
      <c r="BO22130" s="197"/>
      <c r="BP22130" s="197"/>
      <c r="BQ22130" s="197"/>
    </row>
    <row r="22131" spans="66:69" x14ac:dyDescent="0.2">
      <c r="BN22131" s="192"/>
      <c r="BO22131" s="197"/>
      <c r="BP22131" s="197"/>
      <c r="BQ22131" s="197"/>
    </row>
    <row r="22132" spans="66:69" x14ac:dyDescent="0.2">
      <c r="BN22132" s="192"/>
      <c r="BO22132" s="197"/>
      <c r="BP22132" s="197"/>
      <c r="BQ22132" s="197"/>
    </row>
    <row r="22133" spans="66:69" x14ac:dyDescent="0.2">
      <c r="BN22133" s="192"/>
      <c r="BO22133" s="197"/>
      <c r="BP22133" s="197"/>
      <c r="BQ22133" s="197"/>
    </row>
    <row r="22134" spans="66:69" x14ac:dyDescent="0.2">
      <c r="BN22134" s="192"/>
      <c r="BO22134" s="197"/>
      <c r="BP22134" s="197"/>
      <c r="BQ22134" s="197"/>
    </row>
    <row r="22135" spans="66:69" x14ac:dyDescent="0.2">
      <c r="BN22135" s="192"/>
      <c r="BO22135" s="197"/>
      <c r="BP22135" s="197"/>
      <c r="BQ22135" s="197"/>
    </row>
    <row r="22136" spans="66:69" x14ac:dyDescent="0.2">
      <c r="BN22136" s="192"/>
      <c r="BO22136" s="197"/>
      <c r="BP22136" s="197"/>
      <c r="BQ22136" s="197"/>
    </row>
    <row r="22137" spans="66:69" x14ac:dyDescent="0.2">
      <c r="BN22137" s="192"/>
      <c r="BO22137" s="197"/>
      <c r="BP22137" s="197"/>
      <c r="BQ22137" s="197"/>
    </row>
    <row r="22138" spans="66:69" x14ac:dyDescent="0.2">
      <c r="BN22138" s="192"/>
      <c r="BO22138" s="197"/>
      <c r="BP22138" s="197"/>
      <c r="BQ22138" s="197"/>
    </row>
    <row r="22139" spans="66:69" x14ac:dyDescent="0.2">
      <c r="BN22139" s="192"/>
      <c r="BO22139" s="197"/>
      <c r="BP22139" s="197"/>
      <c r="BQ22139" s="197"/>
    </row>
    <row r="22140" spans="66:69" x14ac:dyDescent="0.2">
      <c r="BN22140" s="192"/>
      <c r="BO22140" s="197"/>
      <c r="BP22140" s="197"/>
      <c r="BQ22140" s="197"/>
    </row>
    <row r="22141" spans="66:69" x14ac:dyDescent="0.2">
      <c r="BN22141" s="192"/>
      <c r="BO22141" s="197"/>
      <c r="BP22141" s="197"/>
      <c r="BQ22141" s="197"/>
    </row>
    <row r="22142" spans="66:69" x14ac:dyDescent="0.2">
      <c r="BN22142" s="192"/>
      <c r="BO22142" s="197"/>
      <c r="BP22142" s="197"/>
      <c r="BQ22142" s="197"/>
    </row>
    <row r="22143" spans="66:69" x14ac:dyDescent="0.2">
      <c r="BN22143" s="192"/>
      <c r="BO22143" s="197"/>
      <c r="BP22143" s="197"/>
      <c r="BQ22143" s="197"/>
    </row>
    <row r="22144" spans="66:69" x14ac:dyDescent="0.2">
      <c r="BN22144" s="192"/>
      <c r="BO22144" s="197"/>
      <c r="BP22144" s="197"/>
      <c r="BQ22144" s="197"/>
    </row>
    <row r="22145" spans="66:69" x14ac:dyDescent="0.2">
      <c r="BN22145" s="192"/>
      <c r="BO22145" s="197"/>
      <c r="BP22145" s="197"/>
      <c r="BQ22145" s="197"/>
    </row>
    <row r="22146" spans="66:69" x14ac:dyDescent="0.2">
      <c r="BN22146" s="192"/>
      <c r="BO22146" s="197"/>
      <c r="BP22146" s="197"/>
      <c r="BQ22146" s="197"/>
    </row>
    <row r="22147" spans="66:69" x14ac:dyDescent="0.2">
      <c r="BN22147" s="192"/>
      <c r="BO22147" s="197"/>
      <c r="BP22147" s="197"/>
      <c r="BQ22147" s="197"/>
    </row>
    <row r="22148" spans="66:69" x14ac:dyDescent="0.2">
      <c r="BN22148" s="192"/>
      <c r="BO22148" s="197"/>
      <c r="BP22148" s="197"/>
      <c r="BQ22148" s="197"/>
    </row>
    <row r="22149" spans="66:69" x14ac:dyDescent="0.2">
      <c r="BN22149" s="192"/>
      <c r="BO22149" s="197"/>
      <c r="BP22149" s="197"/>
      <c r="BQ22149" s="197"/>
    </row>
    <row r="22150" spans="66:69" x14ac:dyDescent="0.2">
      <c r="BN22150" s="192"/>
      <c r="BO22150" s="197"/>
      <c r="BP22150" s="197"/>
      <c r="BQ22150" s="197"/>
    </row>
    <row r="22151" spans="66:69" x14ac:dyDescent="0.2">
      <c r="BN22151" s="192"/>
      <c r="BO22151" s="197"/>
      <c r="BP22151" s="197"/>
      <c r="BQ22151" s="197"/>
    </row>
    <row r="22152" spans="66:69" x14ac:dyDescent="0.2">
      <c r="BN22152" s="192"/>
      <c r="BO22152" s="197"/>
      <c r="BP22152" s="197"/>
      <c r="BQ22152" s="197"/>
    </row>
    <row r="22153" spans="66:69" x14ac:dyDescent="0.2">
      <c r="BN22153" s="192"/>
      <c r="BO22153" s="197"/>
      <c r="BP22153" s="197"/>
      <c r="BQ22153" s="197"/>
    </row>
    <row r="22154" spans="66:69" x14ac:dyDescent="0.2">
      <c r="BN22154" s="192"/>
      <c r="BO22154" s="197"/>
      <c r="BP22154" s="197"/>
      <c r="BQ22154" s="197"/>
    </row>
  </sheetData>
  <sheetProtection sheet="1" objects="1" scenarios="1" selectLockedCells="1"/>
  <phoneticPr fontId="1"/>
  <dataValidations count="1">
    <dataValidation showInputMessage="1" showErrorMessage="1" sqref="X1:X5"/>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14:formula1>
            <xm:f>点数表!$C$59:$C$62</xm:f>
          </x14:formula1>
          <xm:sqref>F6:F1048576</xm:sqref>
        </x14:dataValidation>
        <x14:dataValidation type="list" allowBlank="1" showInputMessage="1" showErrorMessage="1">
          <x14:formula1>
            <xm:f>点数表!$C$67:$C$78</xm:f>
          </x14:formula1>
          <xm:sqref>O6:O1048576</xm:sqref>
        </x14:dataValidation>
        <x14:dataValidation type="list" showInputMessage="1" showErrorMessage="1">
          <x14:formula1>
            <xm:f>点数表!$C$79:$C$95</xm:f>
          </x14:formula1>
          <xm:sqref>X6:X1048576</xm:sqref>
        </x14:dataValidation>
        <x14:dataValidation type="list" showInputMessage="1" showErrorMessage="1">
          <x14:formula1>
            <xm:f>点数表!$C$96:$C$97</xm:f>
          </x14:formula1>
          <xm:sqref>Y1:Y1048576</xm:sqref>
        </x14:dataValidation>
        <x14:dataValidation type="list" allowBlank="1" showInputMessage="1" showErrorMessage="1">
          <x14:formula1>
            <xm:f>点数表!$C$96:$C$97</xm:f>
          </x14:formula1>
          <xm:sqref>AO1:AO1048576 BF1:BF1048576</xm:sqref>
        </x14:dataValidation>
        <x14:dataValidation type="list" allowBlank="1" showInputMessage="1" showErrorMessage="1">
          <x14:formula1>
            <xm:f>点数表!$E$59:$E$66</xm:f>
          </x14:formula1>
          <xm:sqref>AJ1:AJ1048576</xm:sqref>
        </x14:dataValidation>
        <x14:dataValidation type="list" allowBlank="1" showInputMessage="1" showErrorMessage="1">
          <x14:formula1>
            <xm:f>点数表!$E$67:$E$69</xm:f>
          </x14:formula1>
          <xm:sqref>AW1:AW1048576</xm:sqref>
        </x14:dataValidation>
        <x14:dataValidation type="list" allowBlank="1" showInputMessage="1" showErrorMessage="1">
          <x14:formula1>
            <xm:f>点数表!$E$70:$E$73</xm:f>
          </x14:formula1>
          <xm:sqref>AY1:AY1048576</xm:sqref>
        </x14:dataValidation>
        <x14:dataValidation type="list" allowBlank="1" showInputMessage="1" showErrorMessage="1">
          <x14:formula1>
            <xm:f>点数表!$E$74:$E$79</xm:f>
          </x14:formula1>
          <xm:sqref>BA1:BA1048576</xm:sqref>
        </x14:dataValidation>
        <x14:dataValidation type="list" allowBlank="1" showInputMessage="1" showErrorMessage="1">
          <x14:formula1>
            <xm:f>点数表!$E$80:$E$82</xm:f>
          </x14:formula1>
          <xm:sqref>BC1:BC1048576</xm:sqref>
        </x14:dataValidation>
        <x14:dataValidation type="list" allowBlank="1" showInputMessage="1" showErrorMessage="1">
          <x14:formula1>
            <xm:f>点数表!$C$63:$C$66</xm:f>
          </x14:formula1>
          <xm:sqref>M6:M34 M36:M1048576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F1965"/>
  <sheetViews>
    <sheetView workbookViewId="0"/>
  </sheetViews>
  <sheetFormatPr defaultRowHeight="13.2" x14ac:dyDescent="0.2"/>
  <cols>
    <col min="1" max="1" width="6.44140625" bestFit="1" customWidth="1"/>
    <col min="2" max="2" width="21.6640625" customWidth="1"/>
    <col min="3" max="3" width="34.33203125" bestFit="1" customWidth="1"/>
    <col min="4" max="4" width="20.33203125" bestFit="1" customWidth="1"/>
    <col min="5" max="5" width="20.6640625" customWidth="1"/>
  </cols>
  <sheetData>
    <row r="1" spans="1:5" s="136" customFormat="1" x14ac:dyDescent="0.2">
      <c r="A1" s="135" t="s">
        <v>0</v>
      </c>
      <c r="B1" s="135" t="s">
        <v>1</v>
      </c>
      <c r="C1" s="135" t="s">
        <v>8497</v>
      </c>
      <c r="D1" s="135" t="s">
        <v>2</v>
      </c>
      <c r="E1" s="135" t="s">
        <v>3</v>
      </c>
    </row>
    <row r="2" spans="1:5" s="136" customFormat="1" x14ac:dyDescent="0.2">
      <c r="A2" s="138" t="s">
        <v>8116</v>
      </c>
      <c r="B2" s="137" t="s">
        <v>8117</v>
      </c>
      <c r="C2" s="135" t="s">
        <v>8496</v>
      </c>
      <c r="D2" s="135"/>
      <c r="E2" s="135"/>
    </row>
    <row r="3" spans="1:5" s="136" customFormat="1" x14ac:dyDescent="0.2">
      <c r="A3" s="138" t="s">
        <v>8118</v>
      </c>
      <c r="B3" s="137" t="s">
        <v>8161</v>
      </c>
      <c r="C3" s="135" t="s">
        <v>8496</v>
      </c>
      <c r="D3" s="135"/>
      <c r="E3" s="135"/>
    </row>
    <row r="4" spans="1:5" s="136" customFormat="1" x14ac:dyDescent="0.2">
      <c r="A4" s="138" t="s">
        <v>2793</v>
      </c>
      <c r="B4" s="137" t="s">
        <v>8162</v>
      </c>
      <c r="C4" s="135" t="s">
        <v>8496</v>
      </c>
      <c r="D4" s="135"/>
      <c r="E4" s="135"/>
    </row>
    <row r="5" spans="1:5" s="136" customFormat="1" x14ac:dyDescent="0.2">
      <c r="A5" s="138" t="s">
        <v>2312</v>
      </c>
      <c r="B5" s="137" t="s">
        <v>8163</v>
      </c>
      <c r="C5" s="135" t="s">
        <v>8496</v>
      </c>
      <c r="D5" s="135"/>
      <c r="E5" s="135"/>
    </row>
    <row r="6" spans="1:5" s="136" customFormat="1" x14ac:dyDescent="0.2">
      <c r="A6" s="138" t="s">
        <v>8119</v>
      </c>
      <c r="B6" s="137" t="s">
        <v>8164</v>
      </c>
      <c r="C6" s="135" t="s">
        <v>8496</v>
      </c>
      <c r="D6" s="135"/>
      <c r="E6" s="135"/>
    </row>
    <row r="7" spans="1:5" s="136" customFormat="1" x14ac:dyDescent="0.2">
      <c r="A7" s="138" t="s">
        <v>5159</v>
      </c>
      <c r="B7" s="137" t="s">
        <v>8165</v>
      </c>
      <c r="C7" s="135" t="s">
        <v>8496</v>
      </c>
      <c r="D7" s="135"/>
      <c r="E7" s="135"/>
    </row>
    <row r="8" spans="1:5" s="136" customFormat="1" x14ac:dyDescent="0.2">
      <c r="A8" s="138" t="s">
        <v>8120</v>
      </c>
      <c r="B8" s="137" t="s">
        <v>8166</v>
      </c>
      <c r="C8" s="135" t="s">
        <v>8496</v>
      </c>
      <c r="D8" s="135"/>
      <c r="E8" s="135"/>
    </row>
    <row r="9" spans="1:5" s="136" customFormat="1" x14ac:dyDescent="0.2">
      <c r="A9" s="138" t="s">
        <v>8121</v>
      </c>
      <c r="B9" s="137" t="s">
        <v>8167</v>
      </c>
      <c r="C9" s="135" t="s">
        <v>8496</v>
      </c>
      <c r="D9" s="135"/>
      <c r="E9" s="135"/>
    </row>
    <row r="10" spans="1:5" s="136" customFormat="1" x14ac:dyDescent="0.2">
      <c r="A10" s="138" t="s">
        <v>8122</v>
      </c>
      <c r="B10" s="137" t="s">
        <v>8168</v>
      </c>
      <c r="C10" s="135"/>
      <c r="D10" s="135"/>
      <c r="E10" s="135"/>
    </row>
    <row r="11" spans="1:5" s="136" customFormat="1" x14ac:dyDescent="0.2">
      <c r="A11" s="138" t="s">
        <v>8123</v>
      </c>
      <c r="B11" s="137" t="s">
        <v>8169</v>
      </c>
      <c r="C11" s="135" t="s">
        <v>8496</v>
      </c>
      <c r="D11" s="135"/>
      <c r="E11" s="135"/>
    </row>
    <row r="12" spans="1:5" s="136" customFormat="1" x14ac:dyDescent="0.2">
      <c r="A12" s="138" t="s">
        <v>8124</v>
      </c>
      <c r="B12" s="137" t="s">
        <v>8170</v>
      </c>
      <c r="C12" s="135" t="s">
        <v>8496</v>
      </c>
      <c r="D12" s="135"/>
      <c r="E12" s="135"/>
    </row>
    <row r="13" spans="1:5" s="136" customFormat="1" x14ac:dyDescent="0.2">
      <c r="A13" s="138" t="s">
        <v>8125</v>
      </c>
      <c r="B13" s="137" t="s">
        <v>8171</v>
      </c>
      <c r="C13" s="135" t="s">
        <v>8496</v>
      </c>
      <c r="D13" s="135"/>
      <c r="E13" s="135"/>
    </row>
    <row r="14" spans="1:5" s="136" customFormat="1" x14ac:dyDescent="0.2">
      <c r="A14" s="138" t="s">
        <v>8126</v>
      </c>
      <c r="B14" s="137" t="s">
        <v>8172</v>
      </c>
      <c r="C14" s="135"/>
      <c r="D14" s="135"/>
      <c r="E14" s="135"/>
    </row>
    <row r="15" spans="1:5" s="136" customFormat="1" x14ac:dyDescent="0.2">
      <c r="A15" s="138" t="s">
        <v>8127</v>
      </c>
      <c r="B15" s="137" t="s">
        <v>8173</v>
      </c>
      <c r="C15" s="135"/>
      <c r="D15" s="135"/>
      <c r="E15" s="135"/>
    </row>
    <row r="16" spans="1:5" s="136" customFormat="1" x14ac:dyDescent="0.2">
      <c r="A16" s="138" t="s">
        <v>8128</v>
      </c>
      <c r="B16" s="137" t="s">
        <v>8174</v>
      </c>
      <c r="C16" s="135" t="s">
        <v>8496</v>
      </c>
      <c r="D16" s="135"/>
      <c r="E16" s="135"/>
    </row>
    <row r="17" spans="1:5" s="136" customFormat="1" x14ac:dyDescent="0.2">
      <c r="A17" s="138" t="s">
        <v>8129</v>
      </c>
      <c r="B17" s="137" t="s">
        <v>8175</v>
      </c>
      <c r="C17" s="135"/>
      <c r="D17" s="135"/>
      <c r="E17" s="135"/>
    </row>
    <row r="18" spans="1:5" s="136" customFormat="1" x14ac:dyDescent="0.2">
      <c r="A18" s="138" t="s">
        <v>8130</v>
      </c>
      <c r="B18" s="137" t="s">
        <v>8176</v>
      </c>
      <c r="C18" s="135"/>
      <c r="D18" s="135"/>
      <c r="E18" s="135"/>
    </row>
    <row r="19" spans="1:5" s="136" customFormat="1" x14ac:dyDescent="0.2">
      <c r="A19" s="138" t="s">
        <v>8131</v>
      </c>
      <c r="B19" s="137" t="s">
        <v>8177</v>
      </c>
      <c r="C19" s="135" t="s">
        <v>8496</v>
      </c>
      <c r="D19" s="135"/>
      <c r="E19" s="135"/>
    </row>
    <row r="20" spans="1:5" s="136" customFormat="1" x14ac:dyDescent="0.2">
      <c r="A20" s="138" t="s">
        <v>8132</v>
      </c>
      <c r="B20" s="137" t="s">
        <v>8178</v>
      </c>
      <c r="C20" s="135" t="s">
        <v>8496</v>
      </c>
      <c r="D20" s="135"/>
      <c r="E20" s="135"/>
    </row>
    <row r="21" spans="1:5" s="136" customFormat="1" x14ac:dyDescent="0.2">
      <c r="A21" s="138" t="s">
        <v>8133</v>
      </c>
      <c r="B21" s="137" t="s">
        <v>8179</v>
      </c>
      <c r="C21" s="135" t="s">
        <v>8496</v>
      </c>
      <c r="D21" s="135"/>
      <c r="E21" s="135"/>
    </row>
    <row r="22" spans="1:5" s="136" customFormat="1" x14ac:dyDescent="0.2">
      <c r="A22" s="138" t="s">
        <v>8134</v>
      </c>
      <c r="B22" s="137" t="s">
        <v>8180</v>
      </c>
      <c r="C22" s="135"/>
      <c r="D22" s="135"/>
      <c r="E22" s="135"/>
    </row>
    <row r="23" spans="1:5" s="136" customFormat="1" x14ac:dyDescent="0.2">
      <c r="A23" s="138" t="s">
        <v>8135</v>
      </c>
      <c r="B23" s="137" t="s">
        <v>8181</v>
      </c>
      <c r="C23" s="135"/>
      <c r="D23" s="135"/>
      <c r="E23" s="135"/>
    </row>
    <row r="24" spans="1:5" s="136" customFormat="1" x14ac:dyDescent="0.2">
      <c r="A24" s="138" t="s">
        <v>8136</v>
      </c>
      <c r="B24" s="137" t="s">
        <v>8182</v>
      </c>
      <c r="C24" s="135"/>
      <c r="D24" s="135"/>
      <c r="E24" s="135"/>
    </row>
    <row r="25" spans="1:5" s="136" customFormat="1" x14ac:dyDescent="0.2">
      <c r="A25" s="138" t="s">
        <v>8137</v>
      </c>
      <c r="B25" s="137" t="s">
        <v>8183</v>
      </c>
      <c r="C25" s="135"/>
      <c r="D25" s="135"/>
      <c r="E25" s="135"/>
    </row>
    <row r="26" spans="1:5" s="136" customFormat="1" x14ac:dyDescent="0.2">
      <c r="A26" s="138" t="s">
        <v>8138</v>
      </c>
      <c r="B26" s="137" t="s">
        <v>8184</v>
      </c>
      <c r="C26" s="135" t="s">
        <v>8496</v>
      </c>
      <c r="D26" s="135"/>
      <c r="E26" s="135"/>
    </row>
    <row r="27" spans="1:5" s="136" customFormat="1" x14ac:dyDescent="0.2">
      <c r="A27" s="138" t="s">
        <v>8139</v>
      </c>
      <c r="B27" s="137" t="s">
        <v>8185</v>
      </c>
      <c r="C27" s="135" t="s">
        <v>8496</v>
      </c>
      <c r="D27" s="135"/>
      <c r="E27" s="135"/>
    </row>
    <row r="28" spans="1:5" s="136" customFormat="1" x14ac:dyDescent="0.2">
      <c r="A28" s="138" t="s">
        <v>8140</v>
      </c>
      <c r="B28" s="137" t="s">
        <v>8186</v>
      </c>
      <c r="C28" s="135" t="s">
        <v>8496</v>
      </c>
      <c r="D28" s="135"/>
      <c r="E28" s="135"/>
    </row>
    <row r="29" spans="1:5" s="136" customFormat="1" x14ac:dyDescent="0.2">
      <c r="A29" s="138" t="s">
        <v>8141</v>
      </c>
      <c r="B29" s="137" t="s">
        <v>8187</v>
      </c>
      <c r="C29" s="135" t="s">
        <v>8496</v>
      </c>
      <c r="D29" s="135"/>
      <c r="E29" s="135"/>
    </row>
    <row r="30" spans="1:5" s="136" customFormat="1" x14ac:dyDescent="0.2">
      <c r="A30" s="138" t="s">
        <v>8142</v>
      </c>
      <c r="B30" s="137" t="s">
        <v>8188</v>
      </c>
      <c r="C30" s="135"/>
      <c r="D30" s="135"/>
      <c r="E30" s="135"/>
    </row>
    <row r="31" spans="1:5" s="136" customFormat="1" x14ac:dyDescent="0.2">
      <c r="A31" s="138" t="s">
        <v>8143</v>
      </c>
      <c r="B31" s="137" t="s">
        <v>8189</v>
      </c>
      <c r="C31" s="135"/>
      <c r="D31" s="135"/>
      <c r="E31" s="135"/>
    </row>
    <row r="32" spans="1:5" s="136" customFormat="1" x14ac:dyDescent="0.2">
      <c r="A32" s="138" t="s">
        <v>8144</v>
      </c>
      <c r="B32" s="137" t="s">
        <v>8190</v>
      </c>
      <c r="C32" s="135" t="s">
        <v>8496</v>
      </c>
      <c r="D32" s="135"/>
      <c r="E32" s="135"/>
    </row>
    <row r="33" spans="1:5" s="136" customFormat="1" x14ac:dyDescent="0.2">
      <c r="A33" s="138" t="s">
        <v>8145</v>
      </c>
      <c r="B33" s="137" t="s">
        <v>8191</v>
      </c>
      <c r="C33" s="135" t="s">
        <v>8496</v>
      </c>
      <c r="D33" s="135"/>
      <c r="E33" s="135"/>
    </row>
    <row r="34" spans="1:5" s="136" customFormat="1" x14ac:dyDescent="0.2">
      <c r="A34" s="138" t="s">
        <v>8146</v>
      </c>
      <c r="B34" s="137" t="s">
        <v>8192</v>
      </c>
      <c r="C34" s="135" t="s">
        <v>8496</v>
      </c>
      <c r="D34" s="135"/>
      <c r="E34" s="135"/>
    </row>
    <row r="35" spans="1:5" s="136" customFormat="1" x14ac:dyDescent="0.2">
      <c r="A35" s="138" t="s">
        <v>8147</v>
      </c>
      <c r="B35" s="137" t="s">
        <v>8193</v>
      </c>
      <c r="C35" s="135" t="s">
        <v>8496</v>
      </c>
      <c r="D35" s="135"/>
      <c r="E35" s="135"/>
    </row>
    <row r="36" spans="1:5" s="136" customFormat="1" x14ac:dyDescent="0.2">
      <c r="A36" s="138" t="s">
        <v>8148</v>
      </c>
      <c r="B36" s="137" t="s">
        <v>8194</v>
      </c>
      <c r="C36" s="135"/>
      <c r="D36" s="135"/>
      <c r="E36" s="135"/>
    </row>
    <row r="37" spans="1:5" s="136" customFormat="1" x14ac:dyDescent="0.2">
      <c r="A37" s="138" t="s">
        <v>8149</v>
      </c>
      <c r="B37" s="137" t="s">
        <v>8195</v>
      </c>
      <c r="C37" s="135"/>
      <c r="D37" s="135"/>
      <c r="E37" s="135"/>
    </row>
    <row r="38" spans="1:5" s="136" customFormat="1" x14ac:dyDescent="0.2">
      <c r="A38" s="138" t="s">
        <v>8150</v>
      </c>
      <c r="B38" s="137" t="s">
        <v>8196</v>
      </c>
      <c r="C38" s="135" t="s">
        <v>8496</v>
      </c>
      <c r="D38" s="135"/>
      <c r="E38" s="135"/>
    </row>
    <row r="39" spans="1:5" s="136" customFormat="1" x14ac:dyDescent="0.2">
      <c r="A39" s="138" t="s">
        <v>8151</v>
      </c>
      <c r="B39" s="137" t="s">
        <v>8197</v>
      </c>
      <c r="C39" s="135"/>
      <c r="D39" s="135"/>
      <c r="E39" s="135"/>
    </row>
    <row r="40" spans="1:5" s="136" customFormat="1" x14ac:dyDescent="0.2">
      <c r="A40" s="138" t="s">
        <v>8152</v>
      </c>
      <c r="B40" s="137" t="s">
        <v>8198</v>
      </c>
      <c r="C40" s="135"/>
      <c r="D40" s="135"/>
      <c r="E40" s="135"/>
    </row>
    <row r="41" spans="1:5" s="136" customFormat="1" x14ac:dyDescent="0.2">
      <c r="A41" s="138" t="s">
        <v>8153</v>
      </c>
      <c r="B41" s="137" t="s">
        <v>8199</v>
      </c>
      <c r="C41" s="135"/>
      <c r="D41" s="135"/>
      <c r="E41" s="135"/>
    </row>
    <row r="42" spans="1:5" s="136" customFormat="1" x14ac:dyDescent="0.2">
      <c r="A42" s="138" t="s">
        <v>8154</v>
      </c>
      <c r="B42" s="137" t="s">
        <v>8200</v>
      </c>
      <c r="C42" s="135"/>
      <c r="D42" s="135"/>
      <c r="E42" s="135"/>
    </row>
    <row r="43" spans="1:5" s="136" customFormat="1" x14ac:dyDescent="0.2">
      <c r="A43" s="138" t="s">
        <v>8155</v>
      </c>
      <c r="B43" s="137" t="s">
        <v>8201</v>
      </c>
      <c r="C43" s="135"/>
      <c r="D43" s="135"/>
      <c r="E43" s="135"/>
    </row>
    <row r="44" spans="1:5" s="136" customFormat="1" x14ac:dyDescent="0.2">
      <c r="A44" s="138" t="s">
        <v>8156</v>
      </c>
      <c r="B44" s="137" t="s">
        <v>8202</v>
      </c>
      <c r="C44" s="135"/>
      <c r="D44" s="135"/>
      <c r="E44" s="135"/>
    </row>
    <row r="45" spans="1:5" s="136" customFormat="1" x14ac:dyDescent="0.2">
      <c r="A45" s="138" t="s">
        <v>8157</v>
      </c>
      <c r="B45" s="137" t="s">
        <v>8203</v>
      </c>
      <c r="C45" s="135"/>
      <c r="D45" s="135"/>
      <c r="E45" s="135"/>
    </row>
    <row r="46" spans="1:5" s="136" customFormat="1" x14ac:dyDescent="0.2">
      <c r="A46" s="138" t="s">
        <v>8158</v>
      </c>
      <c r="B46" s="137" t="s">
        <v>8204</v>
      </c>
      <c r="C46" s="135"/>
      <c r="D46" s="135"/>
      <c r="E46" s="135"/>
    </row>
    <row r="47" spans="1:5" s="136" customFormat="1" x14ac:dyDescent="0.2">
      <c r="A47" s="138" t="s">
        <v>8159</v>
      </c>
      <c r="B47" s="137" t="s">
        <v>8205</v>
      </c>
      <c r="C47" s="135"/>
      <c r="D47" s="135"/>
      <c r="E47" s="135"/>
    </row>
    <row r="48" spans="1:5" s="136" customFormat="1" x14ac:dyDescent="0.2">
      <c r="A48" s="138" t="s">
        <v>8160</v>
      </c>
      <c r="B48" s="137" t="s">
        <v>8206</v>
      </c>
      <c r="C48" s="135"/>
      <c r="D48" s="135"/>
      <c r="E48" s="135"/>
    </row>
    <row r="49" spans="1:5" s="136" customFormat="1" x14ac:dyDescent="0.2">
      <c r="A49" s="135" t="s">
        <v>4</v>
      </c>
      <c r="B49" s="135" t="s">
        <v>5</v>
      </c>
      <c r="C49" s="135" t="s">
        <v>6</v>
      </c>
    </row>
    <row r="50" spans="1:5" s="136" customFormat="1" x14ac:dyDescent="0.2">
      <c r="A50" s="135" t="s">
        <v>7</v>
      </c>
      <c r="B50" s="135" t="s">
        <v>8</v>
      </c>
      <c r="C50" s="135" t="s">
        <v>9</v>
      </c>
      <c r="D50" s="135" t="s">
        <v>10</v>
      </c>
      <c r="E50" s="135" t="s">
        <v>11</v>
      </c>
    </row>
    <row r="51" spans="1:5" s="136" customFormat="1" x14ac:dyDescent="0.2">
      <c r="A51" s="135" t="s">
        <v>12</v>
      </c>
      <c r="B51" s="135" t="s">
        <v>13</v>
      </c>
      <c r="C51" s="135" t="s">
        <v>14</v>
      </c>
      <c r="D51" s="135" t="s">
        <v>10</v>
      </c>
      <c r="E51" s="135" t="s">
        <v>15</v>
      </c>
    </row>
    <row r="52" spans="1:5" s="136" customFormat="1" x14ac:dyDescent="0.2">
      <c r="A52" s="135" t="s">
        <v>16</v>
      </c>
      <c r="B52" s="135" t="s">
        <v>17</v>
      </c>
      <c r="C52" s="135" t="s">
        <v>18</v>
      </c>
      <c r="D52" s="135" t="s">
        <v>10</v>
      </c>
      <c r="E52" s="135" t="s">
        <v>19</v>
      </c>
    </row>
    <row r="53" spans="1:5" s="136" customFormat="1" x14ac:dyDescent="0.2">
      <c r="A53" s="135" t="s">
        <v>20</v>
      </c>
      <c r="B53" s="135" t="s">
        <v>21</v>
      </c>
      <c r="C53" s="135" t="s">
        <v>22</v>
      </c>
      <c r="D53" s="135" t="s">
        <v>10</v>
      </c>
      <c r="E53" s="135" t="s">
        <v>23</v>
      </c>
    </row>
    <row r="54" spans="1:5" s="136" customFormat="1" x14ac:dyDescent="0.2">
      <c r="A54" s="135" t="s">
        <v>24</v>
      </c>
      <c r="B54" s="135" t="s">
        <v>25</v>
      </c>
      <c r="C54" s="135" t="s">
        <v>26</v>
      </c>
      <c r="D54" s="135" t="s">
        <v>10</v>
      </c>
      <c r="E54" s="135" t="s">
        <v>27</v>
      </c>
    </row>
    <row r="55" spans="1:5" s="136" customFormat="1" x14ac:dyDescent="0.2">
      <c r="A55" s="135" t="s">
        <v>28</v>
      </c>
      <c r="B55" s="135" t="s">
        <v>29</v>
      </c>
      <c r="C55" s="135" t="s">
        <v>30</v>
      </c>
      <c r="D55" s="135" t="s">
        <v>10</v>
      </c>
      <c r="E55" s="135" t="s">
        <v>31</v>
      </c>
    </row>
    <row r="56" spans="1:5" s="136" customFormat="1" x14ac:dyDescent="0.2">
      <c r="A56" s="135" t="s">
        <v>32</v>
      </c>
      <c r="B56" s="135" t="s">
        <v>33</v>
      </c>
      <c r="C56" s="135" t="s">
        <v>34</v>
      </c>
      <c r="D56" s="135" t="s">
        <v>10</v>
      </c>
      <c r="E56" s="135" t="s">
        <v>35</v>
      </c>
    </row>
    <row r="57" spans="1:5" s="136" customFormat="1" x14ac:dyDescent="0.2">
      <c r="A57" s="135" t="s">
        <v>36</v>
      </c>
      <c r="B57" s="135" t="s">
        <v>37</v>
      </c>
      <c r="C57" s="135" t="s">
        <v>38</v>
      </c>
      <c r="D57" s="135" t="s">
        <v>10</v>
      </c>
      <c r="E57" s="135" t="s">
        <v>39</v>
      </c>
    </row>
    <row r="58" spans="1:5" s="136" customFormat="1" x14ac:dyDescent="0.2">
      <c r="A58" s="135" t="s">
        <v>40</v>
      </c>
      <c r="B58" s="135" t="s">
        <v>41</v>
      </c>
      <c r="C58" s="135" t="s">
        <v>42</v>
      </c>
      <c r="D58" s="135" t="s">
        <v>10</v>
      </c>
      <c r="E58" s="135" t="s">
        <v>43</v>
      </c>
    </row>
    <row r="59" spans="1:5" s="136" customFormat="1" x14ac:dyDescent="0.2">
      <c r="A59" s="135" t="s">
        <v>44</v>
      </c>
      <c r="B59" s="135" t="s">
        <v>45</v>
      </c>
      <c r="C59" s="135" t="s">
        <v>46</v>
      </c>
      <c r="D59" s="135" t="s">
        <v>10</v>
      </c>
      <c r="E59" s="135" t="s">
        <v>47</v>
      </c>
    </row>
    <row r="60" spans="1:5" s="136" customFormat="1" x14ac:dyDescent="0.2">
      <c r="A60" s="135" t="s">
        <v>48</v>
      </c>
      <c r="B60" s="135" t="s">
        <v>49</v>
      </c>
      <c r="C60" s="135" t="s">
        <v>50</v>
      </c>
      <c r="D60" s="135" t="s">
        <v>51</v>
      </c>
      <c r="E60" s="135" t="s">
        <v>52</v>
      </c>
    </row>
    <row r="61" spans="1:5" s="136" customFormat="1" x14ac:dyDescent="0.2">
      <c r="A61" s="135" t="s">
        <v>53</v>
      </c>
      <c r="B61" s="135" t="s">
        <v>54</v>
      </c>
      <c r="C61" s="135" t="s">
        <v>55</v>
      </c>
      <c r="D61" s="135" t="s">
        <v>56</v>
      </c>
      <c r="E61" s="135" t="s">
        <v>57</v>
      </c>
    </row>
    <row r="62" spans="1:5" s="136" customFormat="1" x14ac:dyDescent="0.2">
      <c r="A62" s="135" t="s">
        <v>58</v>
      </c>
      <c r="B62" s="135" t="s">
        <v>59</v>
      </c>
      <c r="C62" s="135" t="s">
        <v>60</v>
      </c>
      <c r="D62" s="135" t="s">
        <v>61</v>
      </c>
      <c r="E62" s="135" t="s">
        <v>62</v>
      </c>
    </row>
    <row r="63" spans="1:5" s="136" customFormat="1" x14ac:dyDescent="0.2">
      <c r="A63" s="135" t="s">
        <v>63</v>
      </c>
      <c r="B63" s="135" t="s">
        <v>64</v>
      </c>
      <c r="C63" s="135" t="s">
        <v>65</v>
      </c>
      <c r="D63" s="135" t="s">
        <v>66</v>
      </c>
      <c r="E63" s="135" t="s">
        <v>67</v>
      </c>
    </row>
    <row r="64" spans="1:5" s="136" customFormat="1" x14ac:dyDescent="0.2">
      <c r="A64" s="135" t="s">
        <v>68</v>
      </c>
      <c r="B64" s="135" t="s">
        <v>69</v>
      </c>
      <c r="C64" s="135" t="s">
        <v>70</v>
      </c>
      <c r="D64" s="135" t="s">
        <v>71</v>
      </c>
      <c r="E64" s="135" t="s">
        <v>72</v>
      </c>
    </row>
    <row r="65" spans="1:5" s="136" customFormat="1" x14ac:dyDescent="0.2">
      <c r="A65" s="135" t="s">
        <v>73</v>
      </c>
      <c r="B65" s="135" t="s">
        <v>74</v>
      </c>
      <c r="C65" s="135" t="s">
        <v>75</v>
      </c>
      <c r="D65" s="135" t="s">
        <v>76</v>
      </c>
      <c r="E65" s="135" t="s">
        <v>77</v>
      </c>
    </row>
    <row r="66" spans="1:5" s="136" customFormat="1" x14ac:dyDescent="0.2">
      <c r="A66" s="135" t="s">
        <v>78</v>
      </c>
      <c r="B66" s="135" t="s">
        <v>79</v>
      </c>
      <c r="C66" s="135" t="s">
        <v>80</v>
      </c>
      <c r="D66" s="135" t="s">
        <v>81</v>
      </c>
      <c r="E66" s="135" t="s">
        <v>82</v>
      </c>
    </row>
    <row r="67" spans="1:5" s="136" customFormat="1" x14ac:dyDescent="0.2">
      <c r="A67" s="135" t="s">
        <v>83</v>
      </c>
      <c r="B67" s="135" t="s">
        <v>84</v>
      </c>
      <c r="C67" s="135" t="s">
        <v>85</v>
      </c>
      <c r="D67" s="135" t="s">
        <v>86</v>
      </c>
      <c r="E67" s="135" t="s">
        <v>87</v>
      </c>
    </row>
    <row r="68" spans="1:5" s="136" customFormat="1" x14ac:dyDescent="0.2">
      <c r="A68" s="135" t="s">
        <v>88</v>
      </c>
      <c r="B68" s="135" t="s">
        <v>89</v>
      </c>
      <c r="C68" s="135" t="s">
        <v>90</v>
      </c>
      <c r="D68" s="135" t="s">
        <v>91</v>
      </c>
      <c r="E68" s="135" t="s">
        <v>92</v>
      </c>
    </row>
    <row r="69" spans="1:5" s="136" customFormat="1" x14ac:dyDescent="0.2">
      <c r="A69" s="135" t="s">
        <v>93</v>
      </c>
      <c r="B69" s="135" t="s">
        <v>94</v>
      </c>
      <c r="C69" s="135" t="s">
        <v>95</v>
      </c>
      <c r="D69" s="135" t="s">
        <v>96</v>
      </c>
      <c r="E69" s="135" t="s">
        <v>97</v>
      </c>
    </row>
    <row r="70" spans="1:5" s="136" customFormat="1" x14ac:dyDescent="0.2">
      <c r="A70" s="135" t="s">
        <v>98</v>
      </c>
      <c r="B70" s="135" t="s">
        <v>99</v>
      </c>
      <c r="C70" s="135" t="s">
        <v>100</v>
      </c>
      <c r="D70" s="135" t="s">
        <v>101</v>
      </c>
      <c r="E70" s="135" t="s">
        <v>102</v>
      </c>
    </row>
    <row r="71" spans="1:5" s="136" customFormat="1" x14ac:dyDescent="0.2">
      <c r="A71" s="135" t="s">
        <v>103</v>
      </c>
      <c r="B71" s="135" t="s">
        <v>104</v>
      </c>
      <c r="C71" s="135" t="s">
        <v>105</v>
      </c>
      <c r="D71" s="135" t="s">
        <v>106</v>
      </c>
      <c r="E71" s="135" t="s">
        <v>107</v>
      </c>
    </row>
    <row r="72" spans="1:5" s="136" customFormat="1" x14ac:dyDescent="0.2">
      <c r="A72" s="135" t="s">
        <v>108</v>
      </c>
      <c r="B72" s="135" t="s">
        <v>109</v>
      </c>
      <c r="C72" s="135" t="s">
        <v>110</v>
      </c>
      <c r="D72" s="135" t="s">
        <v>111</v>
      </c>
      <c r="E72" s="135" t="s">
        <v>112</v>
      </c>
    </row>
    <row r="73" spans="1:5" s="136" customFormat="1" x14ac:dyDescent="0.2">
      <c r="A73" s="135" t="s">
        <v>113</v>
      </c>
      <c r="B73" s="135" t="s">
        <v>114</v>
      </c>
      <c r="C73" s="135" t="s">
        <v>115</v>
      </c>
      <c r="D73" s="135" t="s">
        <v>116</v>
      </c>
      <c r="E73" s="135" t="s">
        <v>117</v>
      </c>
    </row>
    <row r="74" spans="1:5" s="136" customFormat="1" x14ac:dyDescent="0.2">
      <c r="A74" s="135" t="s">
        <v>118</v>
      </c>
      <c r="B74" s="135" t="s">
        <v>119</v>
      </c>
      <c r="C74" s="135" t="s">
        <v>120</v>
      </c>
      <c r="D74" s="135" t="s">
        <v>121</v>
      </c>
      <c r="E74" s="135" t="s">
        <v>122</v>
      </c>
    </row>
    <row r="75" spans="1:5" s="136" customFormat="1" x14ac:dyDescent="0.2">
      <c r="A75" s="135" t="s">
        <v>123</v>
      </c>
      <c r="B75" s="135" t="s">
        <v>124</v>
      </c>
      <c r="C75" s="135" t="s">
        <v>125</v>
      </c>
      <c r="D75" s="135" t="s">
        <v>10</v>
      </c>
      <c r="E75" s="135" t="s">
        <v>126</v>
      </c>
    </row>
    <row r="76" spans="1:5" s="136" customFormat="1" x14ac:dyDescent="0.2">
      <c r="A76" s="135" t="s">
        <v>127</v>
      </c>
      <c r="B76" s="135" t="s">
        <v>128</v>
      </c>
      <c r="C76" s="135" t="s">
        <v>129</v>
      </c>
      <c r="D76" s="135" t="s">
        <v>130</v>
      </c>
      <c r="E76" s="135" t="s">
        <v>131</v>
      </c>
    </row>
    <row r="77" spans="1:5" s="136" customFormat="1" x14ac:dyDescent="0.2">
      <c r="A77" s="135" t="s">
        <v>132</v>
      </c>
      <c r="B77" s="135" t="s">
        <v>133</v>
      </c>
      <c r="C77" s="135" t="s">
        <v>134</v>
      </c>
      <c r="D77" s="135" t="s">
        <v>135</v>
      </c>
      <c r="E77" s="135" t="s">
        <v>136</v>
      </c>
    </row>
    <row r="78" spans="1:5" s="136" customFormat="1" x14ac:dyDescent="0.2">
      <c r="A78" s="135" t="s">
        <v>137</v>
      </c>
      <c r="B78" s="135" t="s">
        <v>138</v>
      </c>
      <c r="C78" s="135" t="s">
        <v>139</v>
      </c>
      <c r="D78" s="135" t="s">
        <v>140</v>
      </c>
      <c r="E78" s="135" t="s">
        <v>141</v>
      </c>
    </row>
    <row r="79" spans="1:5" s="136" customFormat="1" x14ac:dyDescent="0.2">
      <c r="A79" s="135" t="s">
        <v>142</v>
      </c>
      <c r="B79" s="135" t="s">
        <v>143</v>
      </c>
      <c r="C79" s="135" t="s">
        <v>144</v>
      </c>
      <c r="D79" s="135" t="s">
        <v>145</v>
      </c>
      <c r="E79" s="135" t="s">
        <v>146</v>
      </c>
    </row>
    <row r="80" spans="1:5" s="136" customFormat="1" x14ac:dyDescent="0.2">
      <c r="A80" s="135" t="s">
        <v>147</v>
      </c>
      <c r="B80" s="135" t="s">
        <v>148</v>
      </c>
      <c r="C80" s="135" t="s">
        <v>149</v>
      </c>
      <c r="D80" s="135" t="s">
        <v>150</v>
      </c>
      <c r="E80" s="135" t="s">
        <v>151</v>
      </c>
    </row>
    <row r="81" spans="1:5" s="136" customFormat="1" x14ac:dyDescent="0.2">
      <c r="A81" s="135" t="s">
        <v>152</v>
      </c>
      <c r="B81" s="135" t="s">
        <v>153</v>
      </c>
      <c r="C81" s="135" t="s">
        <v>154</v>
      </c>
      <c r="D81" s="135" t="s">
        <v>155</v>
      </c>
      <c r="E81" s="135" t="s">
        <v>156</v>
      </c>
    </row>
    <row r="82" spans="1:5" s="136" customFormat="1" x14ac:dyDescent="0.2">
      <c r="A82" s="135" t="s">
        <v>157</v>
      </c>
      <c r="B82" s="135" t="s">
        <v>158</v>
      </c>
      <c r="C82" s="135" t="s">
        <v>159</v>
      </c>
      <c r="D82" s="135" t="s">
        <v>86</v>
      </c>
      <c r="E82" s="135" t="s">
        <v>160</v>
      </c>
    </row>
    <row r="83" spans="1:5" s="136" customFormat="1" x14ac:dyDescent="0.2">
      <c r="A83" s="135" t="s">
        <v>161</v>
      </c>
      <c r="B83" s="135" t="s">
        <v>162</v>
      </c>
      <c r="C83" s="135" t="s">
        <v>163</v>
      </c>
      <c r="D83" s="135" t="s">
        <v>130</v>
      </c>
      <c r="E83" s="135" t="s">
        <v>164</v>
      </c>
    </row>
    <row r="84" spans="1:5" s="136" customFormat="1" x14ac:dyDescent="0.2">
      <c r="A84" s="135" t="s">
        <v>165</v>
      </c>
      <c r="B84" s="135" t="s">
        <v>166</v>
      </c>
      <c r="C84" s="135" t="s">
        <v>167</v>
      </c>
      <c r="D84" s="135" t="s">
        <v>130</v>
      </c>
      <c r="E84" s="135" t="s">
        <v>168</v>
      </c>
    </row>
    <row r="85" spans="1:5" s="136" customFormat="1" x14ac:dyDescent="0.2">
      <c r="A85" s="135" t="s">
        <v>169</v>
      </c>
      <c r="B85" s="135" t="s">
        <v>170</v>
      </c>
      <c r="C85" s="135" t="s">
        <v>171</v>
      </c>
      <c r="D85" s="135" t="s">
        <v>130</v>
      </c>
      <c r="E85" s="135" t="s">
        <v>172</v>
      </c>
    </row>
    <row r="86" spans="1:5" s="136" customFormat="1" x14ac:dyDescent="0.2">
      <c r="A86" s="135" t="s">
        <v>173</v>
      </c>
      <c r="B86" s="135" t="s">
        <v>174</v>
      </c>
      <c r="C86" s="135" t="s">
        <v>175</v>
      </c>
      <c r="D86" s="135" t="s">
        <v>101</v>
      </c>
      <c r="E86" s="135" t="s">
        <v>176</v>
      </c>
    </row>
    <row r="87" spans="1:5" s="136" customFormat="1" x14ac:dyDescent="0.2">
      <c r="A87" s="135" t="s">
        <v>177</v>
      </c>
      <c r="B87" s="135" t="s">
        <v>178</v>
      </c>
      <c r="C87" s="135" t="s">
        <v>179</v>
      </c>
      <c r="D87" s="135" t="s">
        <v>180</v>
      </c>
      <c r="E87" s="135" t="s">
        <v>181</v>
      </c>
    </row>
    <row r="88" spans="1:5" s="136" customFormat="1" x14ac:dyDescent="0.2">
      <c r="A88" s="135" t="s">
        <v>182</v>
      </c>
      <c r="B88" s="135" t="s">
        <v>183</v>
      </c>
      <c r="C88" s="135" t="s">
        <v>184</v>
      </c>
      <c r="D88" s="135" t="s">
        <v>66</v>
      </c>
      <c r="E88" s="135" t="s">
        <v>185</v>
      </c>
    </row>
    <row r="89" spans="1:5" s="136" customFormat="1" x14ac:dyDescent="0.2">
      <c r="A89" s="135" t="s">
        <v>186</v>
      </c>
      <c r="B89" s="135" t="s">
        <v>187</v>
      </c>
      <c r="C89" s="135" t="s">
        <v>188</v>
      </c>
      <c r="D89" s="135" t="s">
        <v>86</v>
      </c>
      <c r="E89" s="135" t="s">
        <v>189</v>
      </c>
    </row>
    <row r="90" spans="1:5" s="136" customFormat="1" x14ac:dyDescent="0.2">
      <c r="A90" s="135" t="s">
        <v>190</v>
      </c>
      <c r="B90" s="135" t="s">
        <v>191</v>
      </c>
      <c r="C90" s="135" t="s">
        <v>192</v>
      </c>
      <c r="D90" s="135" t="s">
        <v>193</v>
      </c>
      <c r="E90" s="135" t="s">
        <v>194</v>
      </c>
    </row>
    <row r="91" spans="1:5" s="136" customFormat="1" x14ac:dyDescent="0.2">
      <c r="A91" s="135" t="s">
        <v>195</v>
      </c>
      <c r="B91" s="135" t="s">
        <v>196</v>
      </c>
      <c r="C91" s="135" t="s">
        <v>197</v>
      </c>
      <c r="D91" s="135" t="s">
        <v>10</v>
      </c>
      <c r="E91" s="135" t="s">
        <v>198</v>
      </c>
    </row>
    <row r="92" spans="1:5" s="136" customFormat="1" x14ac:dyDescent="0.2">
      <c r="A92" s="135" t="s">
        <v>199</v>
      </c>
      <c r="B92" s="135" t="s">
        <v>200</v>
      </c>
      <c r="C92" s="135" t="s">
        <v>201</v>
      </c>
      <c r="D92" s="135" t="s">
        <v>202</v>
      </c>
      <c r="E92" s="135" t="s">
        <v>203</v>
      </c>
    </row>
    <row r="93" spans="1:5" s="136" customFormat="1" x14ac:dyDescent="0.2">
      <c r="A93" s="135" t="s">
        <v>204</v>
      </c>
      <c r="B93" s="135" t="s">
        <v>205</v>
      </c>
      <c r="C93" s="135" t="s">
        <v>206</v>
      </c>
      <c r="D93" s="135" t="s">
        <v>51</v>
      </c>
      <c r="E93" s="135" t="s">
        <v>207</v>
      </c>
    </row>
    <row r="94" spans="1:5" s="136" customFormat="1" x14ac:dyDescent="0.2">
      <c r="A94" s="135" t="s">
        <v>208</v>
      </c>
      <c r="B94" s="135" t="s">
        <v>209</v>
      </c>
      <c r="C94" s="135" t="s">
        <v>210</v>
      </c>
      <c r="D94" s="135" t="s">
        <v>202</v>
      </c>
      <c r="E94" s="135" t="s">
        <v>211</v>
      </c>
    </row>
    <row r="95" spans="1:5" s="136" customFormat="1" x14ac:dyDescent="0.2">
      <c r="A95" s="135" t="s">
        <v>212</v>
      </c>
      <c r="B95" s="135" t="s">
        <v>213</v>
      </c>
      <c r="C95" s="135" t="s">
        <v>214</v>
      </c>
      <c r="D95" s="135" t="s">
        <v>116</v>
      </c>
      <c r="E95" s="135" t="s">
        <v>215</v>
      </c>
    </row>
    <row r="96" spans="1:5" s="136" customFormat="1" x14ac:dyDescent="0.2">
      <c r="A96" s="135" t="s">
        <v>216</v>
      </c>
      <c r="B96" s="135" t="s">
        <v>217</v>
      </c>
      <c r="C96" s="135" t="s">
        <v>218</v>
      </c>
      <c r="D96" s="135" t="s">
        <v>219</v>
      </c>
      <c r="E96" s="135" t="s">
        <v>220</v>
      </c>
    </row>
    <row r="97" spans="1:5" s="136" customFormat="1" x14ac:dyDescent="0.2">
      <c r="A97" s="135" t="s">
        <v>221</v>
      </c>
      <c r="B97" s="135" t="s">
        <v>222</v>
      </c>
      <c r="C97" s="135" t="s">
        <v>223</v>
      </c>
      <c r="D97" s="135" t="s">
        <v>219</v>
      </c>
      <c r="E97" s="135" t="s">
        <v>224</v>
      </c>
    </row>
    <row r="98" spans="1:5" s="136" customFormat="1" x14ac:dyDescent="0.2">
      <c r="A98" s="135" t="s">
        <v>225</v>
      </c>
      <c r="B98" s="135" t="s">
        <v>226</v>
      </c>
      <c r="C98" s="135" t="s">
        <v>227</v>
      </c>
      <c r="D98" s="135" t="s">
        <v>228</v>
      </c>
      <c r="E98" s="135" t="s">
        <v>229</v>
      </c>
    </row>
    <row r="99" spans="1:5" s="136" customFormat="1" x14ac:dyDescent="0.2">
      <c r="A99" s="135" t="s">
        <v>230</v>
      </c>
      <c r="B99" s="135" t="s">
        <v>231</v>
      </c>
      <c r="C99" s="135" t="s">
        <v>232</v>
      </c>
      <c r="D99" s="135" t="s">
        <v>228</v>
      </c>
      <c r="E99" s="135" t="s">
        <v>233</v>
      </c>
    </row>
    <row r="100" spans="1:5" s="136" customFormat="1" x14ac:dyDescent="0.2">
      <c r="A100" s="135" t="s">
        <v>234</v>
      </c>
      <c r="B100" s="135" t="s">
        <v>235</v>
      </c>
      <c r="C100" s="135" t="s">
        <v>236</v>
      </c>
      <c r="D100" s="135" t="s">
        <v>51</v>
      </c>
      <c r="E100" s="135" t="s">
        <v>237</v>
      </c>
    </row>
    <row r="101" spans="1:5" s="136" customFormat="1" x14ac:dyDescent="0.2">
      <c r="A101" s="135" t="s">
        <v>238</v>
      </c>
      <c r="B101" s="135" t="s">
        <v>239</v>
      </c>
      <c r="C101" s="135" t="s">
        <v>240</v>
      </c>
      <c r="D101" s="135" t="s">
        <v>241</v>
      </c>
      <c r="E101" s="135" t="s">
        <v>242</v>
      </c>
    </row>
    <row r="102" spans="1:5" s="136" customFormat="1" x14ac:dyDescent="0.2">
      <c r="A102" s="135" t="s">
        <v>243</v>
      </c>
      <c r="B102" s="135" t="s">
        <v>244</v>
      </c>
      <c r="C102" s="135" t="s">
        <v>245</v>
      </c>
      <c r="D102" s="135" t="s">
        <v>246</v>
      </c>
      <c r="E102" s="135" t="s">
        <v>247</v>
      </c>
    </row>
    <row r="103" spans="1:5" s="136" customFormat="1" x14ac:dyDescent="0.2">
      <c r="A103" s="135" t="s">
        <v>248</v>
      </c>
      <c r="B103" s="135" t="s">
        <v>249</v>
      </c>
      <c r="C103" s="135" t="s">
        <v>250</v>
      </c>
      <c r="D103" s="135" t="s">
        <v>251</v>
      </c>
      <c r="E103" s="135" t="s">
        <v>252</v>
      </c>
    </row>
    <row r="104" spans="1:5" s="136" customFormat="1" x14ac:dyDescent="0.2">
      <c r="A104" s="135" t="s">
        <v>253</v>
      </c>
      <c r="B104" s="135" t="s">
        <v>254</v>
      </c>
      <c r="C104" s="135" t="s">
        <v>255</v>
      </c>
      <c r="D104" s="135" t="s">
        <v>256</v>
      </c>
      <c r="E104" s="135" t="s">
        <v>257</v>
      </c>
    </row>
    <row r="105" spans="1:5" s="136" customFormat="1" x14ac:dyDescent="0.2">
      <c r="A105" s="135" t="s">
        <v>258</v>
      </c>
      <c r="B105" s="135" t="s">
        <v>259</v>
      </c>
      <c r="C105" s="135" t="s">
        <v>260</v>
      </c>
      <c r="D105" s="135" t="s">
        <v>219</v>
      </c>
      <c r="E105" s="135" t="s">
        <v>261</v>
      </c>
    </row>
    <row r="106" spans="1:5" s="136" customFormat="1" x14ac:dyDescent="0.2">
      <c r="A106" s="135" t="s">
        <v>262</v>
      </c>
      <c r="B106" s="135" t="s">
        <v>263</v>
      </c>
      <c r="C106" s="135" t="s">
        <v>264</v>
      </c>
      <c r="D106" s="135" t="s">
        <v>219</v>
      </c>
      <c r="E106" s="135" t="s">
        <v>265</v>
      </c>
    </row>
    <row r="107" spans="1:5" s="136" customFormat="1" x14ac:dyDescent="0.2">
      <c r="A107" s="135" t="s">
        <v>266</v>
      </c>
      <c r="B107" s="135" t="s">
        <v>267</v>
      </c>
      <c r="C107" s="135" t="s">
        <v>268</v>
      </c>
      <c r="D107" s="135" t="s">
        <v>219</v>
      </c>
      <c r="E107" s="135" t="s">
        <v>269</v>
      </c>
    </row>
    <row r="108" spans="1:5" s="136" customFormat="1" x14ac:dyDescent="0.2">
      <c r="A108" s="135" t="s">
        <v>270</v>
      </c>
      <c r="B108" s="135" t="s">
        <v>271</v>
      </c>
      <c r="C108" s="135" t="s">
        <v>272</v>
      </c>
      <c r="D108" s="135" t="s">
        <v>219</v>
      </c>
      <c r="E108" s="135" t="s">
        <v>273</v>
      </c>
    </row>
    <row r="109" spans="1:5" s="136" customFormat="1" x14ac:dyDescent="0.2">
      <c r="A109" s="135" t="s">
        <v>274</v>
      </c>
      <c r="B109" s="135" t="s">
        <v>275</v>
      </c>
      <c r="C109" s="135" t="s">
        <v>276</v>
      </c>
      <c r="D109" s="135" t="s">
        <v>277</v>
      </c>
      <c r="E109" s="135" t="s">
        <v>278</v>
      </c>
    </row>
    <row r="110" spans="1:5" s="136" customFormat="1" x14ac:dyDescent="0.2">
      <c r="A110" s="135" t="s">
        <v>279</v>
      </c>
      <c r="B110" s="135" t="s">
        <v>280</v>
      </c>
      <c r="C110" s="135" t="s">
        <v>281</v>
      </c>
      <c r="D110" s="135" t="s">
        <v>282</v>
      </c>
      <c r="E110" s="135" t="s">
        <v>283</v>
      </c>
    </row>
    <row r="111" spans="1:5" s="136" customFormat="1" x14ac:dyDescent="0.2">
      <c r="A111" s="135" t="s">
        <v>284</v>
      </c>
      <c r="B111" s="135" t="s">
        <v>285</v>
      </c>
      <c r="C111" s="135" t="s">
        <v>286</v>
      </c>
      <c r="D111" s="135" t="s">
        <v>287</v>
      </c>
      <c r="E111" s="135" t="s">
        <v>288</v>
      </c>
    </row>
    <row r="112" spans="1:5" s="136" customFormat="1" x14ac:dyDescent="0.2">
      <c r="A112" s="135" t="s">
        <v>289</v>
      </c>
      <c r="B112" s="135" t="s">
        <v>290</v>
      </c>
      <c r="C112" s="135" t="s">
        <v>291</v>
      </c>
      <c r="D112" s="135" t="s">
        <v>292</v>
      </c>
      <c r="E112" s="135" t="s">
        <v>293</v>
      </c>
    </row>
    <row r="113" spans="1:5" s="136" customFormat="1" x14ac:dyDescent="0.2">
      <c r="A113" s="135" t="s">
        <v>228</v>
      </c>
      <c r="B113" s="135" t="s">
        <v>294</v>
      </c>
      <c r="C113" s="135" t="s">
        <v>295</v>
      </c>
      <c r="D113" s="135" t="s">
        <v>292</v>
      </c>
      <c r="E113" s="135" t="s">
        <v>296</v>
      </c>
    </row>
    <row r="114" spans="1:5" s="136" customFormat="1" x14ac:dyDescent="0.2">
      <c r="A114" s="135" t="s">
        <v>297</v>
      </c>
      <c r="B114" s="135" t="s">
        <v>298</v>
      </c>
      <c r="C114" s="135" t="s">
        <v>299</v>
      </c>
      <c r="D114" s="135" t="s">
        <v>292</v>
      </c>
      <c r="E114" s="135" t="s">
        <v>300</v>
      </c>
    </row>
    <row r="115" spans="1:5" s="136" customFormat="1" x14ac:dyDescent="0.2">
      <c r="A115" s="135" t="s">
        <v>301</v>
      </c>
      <c r="B115" s="135" t="s">
        <v>302</v>
      </c>
      <c r="C115" s="135" t="s">
        <v>303</v>
      </c>
      <c r="D115" s="135" t="s">
        <v>292</v>
      </c>
      <c r="E115" s="135" t="s">
        <v>304</v>
      </c>
    </row>
    <row r="116" spans="1:5" s="136" customFormat="1" x14ac:dyDescent="0.2">
      <c r="A116" s="135" t="s">
        <v>305</v>
      </c>
      <c r="B116" s="135" t="s">
        <v>306</v>
      </c>
      <c r="C116" s="135" t="s">
        <v>307</v>
      </c>
      <c r="D116" s="135" t="s">
        <v>292</v>
      </c>
      <c r="E116" s="135" t="s">
        <v>308</v>
      </c>
    </row>
    <row r="117" spans="1:5" s="136" customFormat="1" x14ac:dyDescent="0.2">
      <c r="A117" s="135" t="s">
        <v>309</v>
      </c>
      <c r="B117" s="135" t="s">
        <v>310</v>
      </c>
      <c r="C117" s="135" t="s">
        <v>311</v>
      </c>
      <c r="D117" s="135" t="s">
        <v>292</v>
      </c>
      <c r="E117" s="135" t="s">
        <v>312</v>
      </c>
    </row>
    <row r="118" spans="1:5" s="136" customFormat="1" x14ac:dyDescent="0.2">
      <c r="A118" s="135" t="s">
        <v>277</v>
      </c>
      <c r="B118" s="135" t="s">
        <v>313</v>
      </c>
      <c r="C118" s="135" t="s">
        <v>314</v>
      </c>
      <c r="D118" s="135" t="s">
        <v>292</v>
      </c>
      <c r="E118" s="135" t="s">
        <v>315</v>
      </c>
    </row>
    <row r="119" spans="1:5" s="136" customFormat="1" x14ac:dyDescent="0.2">
      <c r="A119" s="135" t="s">
        <v>316</v>
      </c>
      <c r="B119" s="135" t="s">
        <v>317</v>
      </c>
      <c r="C119" s="135" t="s">
        <v>318</v>
      </c>
      <c r="D119" s="135" t="s">
        <v>292</v>
      </c>
      <c r="E119" s="135" t="s">
        <v>319</v>
      </c>
    </row>
    <row r="120" spans="1:5" s="136" customFormat="1" x14ac:dyDescent="0.2">
      <c r="A120" s="135" t="s">
        <v>320</v>
      </c>
      <c r="B120" s="135" t="s">
        <v>321</v>
      </c>
      <c r="C120" s="135" t="s">
        <v>322</v>
      </c>
      <c r="D120" s="135" t="s">
        <v>292</v>
      </c>
      <c r="E120" s="135" t="s">
        <v>323</v>
      </c>
    </row>
    <row r="121" spans="1:5" s="136" customFormat="1" x14ac:dyDescent="0.2">
      <c r="A121" s="135" t="s">
        <v>324</v>
      </c>
      <c r="B121" s="135" t="s">
        <v>325</v>
      </c>
      <c r="C121" s="135" t="s">
        <v>326</v>
      </c>
      <c r="D121" s="135" t="s">
        <v>292</v>
      </c>
      <c r="E121" s="135" t="s">
        <v>327</v>
      </c>
    </row>
    <row r="122" spans="1:5" s="136" customFormat="1" x14ac:dyDescent="0.2">
      <c r="A122" s="135" t="s">
        <v>328</v>
      </c>
      <c r="B122" s="135" t="s">
        <v>329</v>
      </c>
      <c r="C122" s="135" t="s">
        <v>330</v>
      </c>
      <c r="D122" s="135" t="s">
        <v>331</v>
      </c>
      <c r="E122" s="135" t="s">
        <v>332</v>
      </c>
    </row>
    <row r="123" spans="1:5" s="136" customFormat="1" x14ac:dyDescent="0.2">
      <c r="A123" s="135" t="s">
        <v>333</v>
      </c>
      <c r="B123" s="135" t="s">
        <v>334</v>
      </c>
      <c r="C123" s="135" t="s">
        <v>335</v>
      </c>
      <c r="D123" s="135" t="s">
        <v>331</v>
      </c>
      <c r="E123" s="135" t="s">
        <v>336</v>
      </c>
    </row>
    <row r="124" spans="1:5" s="136" customFormat="1" x14ac:dyDescent="0.2">
      <c r="A124" s="135" t="s">
        <v>337</v>
      </c>
      <c r="B124" s="135" t="s">
        <v>338</v>
      </c>
      <c r="C124" s="135" t="s">
        <v>339</v>
      </c>
      <c r="D124" s="135" t="s">
        <v>331</v>
      </c>
      <c r="E124" s="135" t="s">
        <v>340</v>
      </c>
    </row>
    <row r="125" spans="1:5" s="136" customFormat="1" x14ac:dyDescent="0.2">
      <c r="A125" s="135" t="s">
        <v>341</v>
      </c>
      <c r="B125" s="135" t="s">
        <v>342</v>
      </c>
      <c r="C125" s="135" t="s">
        <v>343</v>
      </c>
      <c r="D125" s="135" t="s">
        <v>331</v>
      </c>
      <c r="E125" s="135" t="s">
        <v>344</v>
      </c>
    </row>
    <row r="126" spans="1:5" s="136" customFormat="1" x14ac:dyDescent="0.2">
      <c r="A126" s="135" t="s">
        <v>345</v>
      </c>
      <c r="B126" s="135" t="s">
        <v>346</v>
      </c>
      <c r="C126" s="135" t="s">
        <v>347</v>
      </c>
      <c r="D126" s="135" t="s">
        <v>331</v>
      </c>
      <c r="E126" s="135" t="s">
        <v>348</v>
      </c>
    </row>
    <row r="127" spans="1:5" s="136" customFormat="1" x14ac:dyDescent="0.2">
      <c r="A127" s="135" t="s">
        <v>349</v>
      </c>
      <c r="B127" s="135" t="s">
        <v>350</v>
      </c>
      <c r="C127" s="135" t="s">
        <v>351</v>
      </c>
      <c r="D127" s="135" t="s">
        <v>331</v>
      </c>
      <c r="E127" s="135" t="s">
        <v>352</v>
      </c>
    </row>
    <row r="128" spans="1:5" s="136" customFormat="1" x14ac:dyDescent="0.2">
      <c r="A128" s="135" t="s">
        <v>353</v>
      </c>
      <c r="B128" s="135" t="s">
        <v>354</v>
      </c>
      <c r="C128" s="135" t="s">
        <v>355</v>
      </c>
      <c r="D128" s="135" t="s">
        <v>331</v>
      </c>
      <c r="E128" s="135" t="s">
        <v>356</v>
      </c>
    </row>
    <row r="129" spans="1:5" s="136" customFormat="1" x14ac:dyDescent="0.2">
      <c r="A129" s="135" t="s">
        <v>357</v>
      </c>
      <c r="B129" s="135" t="s">
        <v>358</v>
      </c>
      <c r="C129" s="135" t="s">
        <v>359</v>
      </c>
      <c r="D129" s="135" t="s">
        <v>331</v>
      </c>
      <c r="E129" s="135" t="s">
        <v>360</v>
      </c>
    </row>
    <row r="130" spans="1:5" s="136" customFormat="1" x14ac:dyDescent="0.2">
      <c r="A130" s="135" t="s">
        <v>361</v>
      </c>
      <c r="B130" s="135" t="s">
        <v>362</v>
      </c>
      <c r="C130" s="135" t="s">
        <v>363</v>
      </c>
      <c r="D130" s="135" t="s">
        <v>331</v>
      </c>
      <c r="E130" s="135" t="s">
        <v>364</v>
      </c>
    </row>
    <row r="131" spans="1:5" s="136" customFormat="1" x14ac:dyDescent="0.2">
      <c r="A131" s="135" t="s">
        <v>365</v>
      </c>
      <c r="B131" s="135" t="s">
        <v>366</v>
      </c>
      <c r="C131" s="135" t="s">
        <v>367</v>
      </c>
      <c r="D131" s="135" t="s">
        <v>10</v>
      </c>
      <c r="E131" s="135" t="s">
        <v>368</v>
      </c>
    </row>
    <row r="132" spans="1:5" s="136" customFormat="1" x14ac:dyDescent="0.2">
      <c r="A132" s="135" t="s">
        <v>369</v>
      </c>
      <c r="B132" s="135" t="s">
        <v>370</v>
      </c>
      <c r="C132" s="135" t="s">
        <v>371</v>
      </c>
      <c r="D132" s="135" t="s">
        <v>130</v>
      </c>
      <c r="E132" s="135" t="s">
        <v>372</v>
      </c>
    </row>
    <row r="133" spans="1:5" s="136" customFormat="1" x14ac:dyDescent="0.2">
      <c r="A133" s="135" t="s">
        <v>373</v>
      </c>
      <c r="B133" s="135" t="s">
        <v>374</v>
      </c>
      <c r="C133" s="135" t="s">
        <v>375</v>
      </c>
      <c r="D133" s="135" t="s">
        <v>130</v>
      </c>
      <c r="E133" s="135" t="s">
        <v>376</v>
      </c>
    </row>
    <row r="134" spans="1:5" s="136" customFormat="1" x14ac:dyDescent="0.2">
      <c r="A134" s="135" t="s">
        <v>377</v>
      </c>
      <c r="B134" s="135" t="s">
        <v>378</v>
      </c>
      <c r="C134" s="135" t="s">
        <v>379</v>
      </c>
      <c r="D134" s="135" t="s">
        <v>86</v>
      </c>
      <c r="E134" s="135" t="s">
        <v>380</v>
      </c>
    </row>
    <row r="135" spans="1:5" s="136" customFormat="1" x14ac:dyDescent="0.2">
      <c r="A135" s="135" t="s">
        <v>381</v>
      </c>
      <c r="B135" s="135" t="s">
        <v>382</v>
      </c>
      <c r="C135" s="135" t="s">
        <v>383</v>
      </c>
      <c r="D135" s="135" t="s">
        <v>86</v>
      </c>
      <c r="E135" s="135" t="s">
        <v>384</v>
      </c>
    </row>
    <row r="136" spans="1:5" s="136" customFormat="1" x14ac:dyDescent="0.2">
      <c r="A136" s="135" t="s">
        <v>385</v>
      </c>
      <c r="B136" s="135" t="s">
        <v>386</v>
      </c>
      <c r="C136" s="135" t="s">
        <v>387</v>
      </c>
      <c r="D136" s="135" t="s">
        <v>86</v>
      </c>
      <c r="E136" s="135" t="s">
        <v>388</v>
      </c>
    </row>
    <row r="137" spans="1:5" s="136" customFormat="1" x14ac:dyDescent="0.2">
      <c r="A137" s="135" t="s">
        <v>389</v>
      </c>
      <c r="B137" s="135" t="s">
        <v>390</v>
      </c>
      <c r="C137" s="135" t="s">
        <v>391</v>
      </c>
      <c r="D137" s="135" t="s">
        <v>116</v>
      </c>
      <c r="E137" s="135" t="s">
        <v>392</v>
      </c>
    </row>
    <row r="138" spans="1:5" s="136" customFormat="1" x14ac:dyDescent="0.2">
      <c r="A138" s="135" t="s">
        <v>393</v>
      </c>
      <c r="B138" s="135" t="s">
        <v>394</v>
      </c>
      <c r="C138" s="135" t="s">
        <v>395</v>
      </c>
      <c r="D138" s="135" t="s">
        <v>130</v>
      </c>
      <c r="E138" s="135" t="s">
        <v>396</v>
      </c>
    </row>
    <row r="139" spans="1:5" s="136" customFormat="1" x14ac:dyDescent="0.2">
      <c r="A139" s="135" t="s">
        <v>397</v>
      </c>
      <c r="B139" s="135" t="s">
        <v>398</v>
      </c>
      <c r="C139" s="135" t="s">
        <v>399</v>
      </c>
      <c r="D139" s="135" t="s">
        <v>130</v>
      </c>
      <c r="E139" s="135" t="s">
        <v>400</v>
      </c>
    </row>
    <row r="140" spans="1:5" s="136" customFormat="1" x14ac:dyDescent="0.2">
      <c r="A140" s="135" t="s">
        <v>401</v>
      </c>
      <c r="B140" s="135" t="s">
        <v>402</v>
      </c>
      <c r="C140" s="135" t="s">
        <v>403</v>
      </c>
      <c r="D140" s="135" t="s">
        <v>101</v>
      </c>
      <c r="E140" s="135" t="s">
        <v>404</v>
      </c>
    </row>
    <row r="141" spans="1:5" s="136" customFormat="1" x14ac:dyDescent="0.2">
      <c r="A141" s="135" t="s">
        <v>405</v>
      </c>
      <c r="B141" s="135" t="s">
        <v>406</v>
      </c>
      <c r="C141" s="135" t="s">
        <v>407</v>
      </c>
      <c r="D141" s="135" t="s">
        <v>101</v>
      </c>
      <c r="E141" s="135" t="s">
        <v>408</v>
      </c>
    </row>
    <row r="142" spans="1:5" s="136" customFormat="1" x14ac:dyDescent="0.2">
      <c r="A142" s="135" t="s">
        <v>409</v>
      </c>
      <c r="B142" s="135" t="s">
        <v>410</v>
      </c>
      <c r="C142" s="135" t="s">
        <v>411</v>
      </c>
      <c r="D142" s="135" t="s">
        <v>130</v>
      </c>
      <c r="E142" s="135" t="s">
        <v>412</v>
      </c>
    </row>
    <row r="143" spans="1:5" s="136" customFormat="1" x14ac:dyDescent="0.2">
      <c r="A143" s="135" t="s">
        <v>413</v>
      </c>
      <c r="B143" s="135" t="s">
        <v>414</v>
      </c>
      <c r="C143" s="135" t="s">
        <v>415</v>
      </c>
      <c r="D143" s="135" t="s">
        <v>101</v>
      </c>
      <c r="E143" s="135" t="s">
        <v>416</v>
      </c>
    </row>
    <row r="144" spans="1:5" s="136" customFormat="1" x14ac:dyDescent="0.2">
      <c r="A144" s="135" t="s">
        <v>417</v>
      </c>
      <c r="B144" s="135" t="s">
        <v>418</v>
      </c>
      <c r="C144" s="135" t="s">
        <v>419</v>
      </c>
      <c r="D144" s="135" t="s">
        <v>101</v>
      </c>
      <c r="E144" s="135" t="s">
        <v>420</v>
      </c>
    </row>
    <row r="145" spans="1:5" s="136" customFormat="1" x14ac:dyDescent="0.2">
      <c r="A145" s="135" t="s">
        <v>421</v>
      </c>
      <c r="B145" s="135" t="s">
        <v>422</v>
      </c>
      <c r="C145" s="135" t="s">
        <v>423</v>
      </c>
      <c r="D145" s="135" t="s">
        <v>61</v>
      </c>
      <c r="E145" s="135" t="s">
        <v>424</v>
      </c>
    </row>
    <row r="146" spans="1:5" s="136" customFormat="1" x14ac:dyDescent="0.2">
      <c r="A146" s="135" t="s">
        <v>425</v>
      </c>
      <c r="B146" s="135" t="s">
        <v>426</v>
      </c>
      <c r="C146" s="135" t="s">
        <v>427</v>
      </c>
      <c r="D146" s="135" t="s">
        <v>61</v>
      </c>
      <c r="E146" s="135" t="s">
        <v>428</v>
      </c>
    </row>
    <row r="147" spans="1:5" s="136" customFormat="1" x14ac:dyDescent="0.2">
      <c r="A147" s="135" t="s">
        <v>429</v>
      </c>
      <c r="B147" s="135" t="s">
        <v>430</v>
      </c>
      <c r="C147" s="135" t="s">
        <v>431</v>
      </c>
      <c r="D147" s="135" t="s">
        <v>61</v>
      </c>
      <c r="E147" s="135" t="s">
        <v>432</v>
      </c>
    </row>
    <row r="148" spans="1:5" s="136" customFormat="1" x14ac:dyDescent="0.2">
      <c r="A148" s="135" t="s">
        <v>433</v>
      </c>
      <c r="B148" s="135" t="s">
        <v>434</v>
      </c>
      <c r="C148" s="135" t="s">
        <v>435</v>
      </c>
      <c r="D148" s="135" t="s">
        <v>61</v>
      </c>
      <c r="E148" s="135" t="s">
        <v>436</v>
      </c>
    </row>
    <row r="149" spans="1:5" s="136" customFormat="1" x14ac:dyDescent="0.2">
      <c r="A149" s="135" t="s">
        <v>437</v>
      </c>
      <c r="B149" s="135" t="s">
        <v>438</v>
      </c>
      <c r="C149" s="135" t="s">
        <v>439</v>
      </c>
      <c r="D149" s="135" t="s">
        <v>440</v>
      </c>
      <c r="E149" s="135" t="s">
        <v>441</v>
      </c>
    </row>
    <row r="150" spans="1:5" s="136" customFormat="1" x14ac:dyDescent="0.2">
      <c r="A150" s="135" t="s">
        <v>442</v>
      </c>
      <c r="B150" s="135" t="s">
        <v>443</v>
      </c>
      <c r="C150" s="135" t="s">
        <v>444</v>
      </c>
      <c r="D150" s="135" t="s">
        <v>440</v>
      </c>
      <c r="E150" s="135" t="s">
        <v>445</v>
      </c>
    </row>
    <row r="151" spans="1:5" s="136" customFormat="1" x14ac:dyDescent="0.2">
      <c r="A151" s="135" t="s">
        <v>446</v>
      </c>
      <c r="B151" s="135" t="s">
        <v>447</v>
      </c>
      <c r="C151" s="135" t="s">
        <v>448</v>
      </c>
      <c r="D151" s="135" t="s">
        <v>61</v>
      </c>
      <c r="E151" s="135" t="s">
        <v>449</v>
      </c>
    </row>
    <row r="152" spans="1:5" s="136" customFormat="1" x14ac:dyDescent="0.2">
      <c r="A152" s="135" t="s">
        <v>450</v>
      </c>
      <c r="B152" s="135" t="s">
        <v>451</v>
      </c>
      <c r="C152" s="135" t="s">
        <v>452</v>
      </c>
      <c r="D152" s="135" t="s">
        <v>61</v>
      </c>
      <c r="E152" s="135" t="s">
        <v>453</v>
      </c>
    </row>
    <row r="153" spans="1:5" s="136" customFormat="1" x14ac:dyDescent="0.2">
      <c r="A153" s="135" t="s">
        <v>454</v>
      </c>
      <c r="B153" s="135" t="s">
        <v>455</v>
      </c>
      <c r="C153" s="135" t="s">
        <v>456</v>
      </c>
      <c r="D153" s="135" t="s">
        <v>180</v>
      </c>
      <c r="E153" s="135" t="s">
        <v>457</v>
      </c>
    </row>
    <row r="154" spans="1:5" s="136" customFormat="1" x14ac:dyDescent="0.2">
      <c r="A154" s="135" t="s">
        <v>458</v>
      </c>
      <c r="B154" s="135" t="s">
        <v>459</v>
      </c>
      <c r="C154" s="135" t="s">
        <v>460</v>
      </c>
      <c r="D154" s="135" t="s">
        <v>180</v>
      </c>
      <c r="E154" s="135" t="s">
        <v>461</v>
      </c>
    </row>
    <row r="155" spans="1:5" s="136" customFormat="1" x14ac:dyDescent="0.2">
      <c r="A155" s="135" t="s">
        <v>462</v>
      </c>
      <c r="B155" s="135" t="s">
        <v>463</v>
      </c>
      <c r="C155" s="135" t="s">
        <v>464</v>
      </c>
      <c r="D155" s="135" t="s">
        <v>180</v>
      </c>
      <c r="E155" s="135" t="s">
        <v>465</v>
      </c>
    </row>
    <row r="156" spans="1:5" s="136" customFormat="1" x14ac:dyDescent="0.2">
      <c r="A156" s="135" t="s">
        <v>466</v>
      </c>
      <c r="B156" s="135" t="s">
        <v>467</v>
      </c>
      <c r="C156" s="135" t="s">
        <v>468</v>
      </c>
      <c r="D156" s="135" t="s">
        <v>180</v>
      </c>
      <c r="E156" s="135" t="s">
        <v>469</v>
      </c>
    </row>
    <row r="157" spans="1:5" s="136" customFormat="1" x14ac:dyDescent="0.2">
      <c r="A157" s="135" t="s">
        <v>470</v>
      </c>
      <c r="B157" s="135" t="s">
        <v>471</v>
      </c>
      <c r="C157" s="135" t="s">
        <v>472</v>
      </c>
      <c r="D157" s="135" t="s">
        <v>140</v>
      </c>
      <c r="E157" s="135" t="s">
        <v>473</v>
      </c>
    </row>
    <row r="158" spans="1:5" s="136" customFormat="1" x14ac:dyDescent="0.2">
      <c r="A158" s="135" t="s">
        <v>474</v>
      </c>
      <c r="B158" s="135" t="s">
        <v>475</v>
      </c>
      <c r="C158" s="135" t="s">
        <v>476</v>
      </c>
      <c r="D158" s="135" t="s">
        <v>140</v>
      </c>
      <c r="E158" s="135" t="s">
        <v>477</v>
      </c>
    </row>
    <row r="159" spans="1:5" s="136" customFormat="1" x14ac:dyDescent="0.2">
      <c r="A159" s="135" t="s">
        <v>478</v>
      </c>
      <c r="B159" s="135" t="s">
        <v>479</v>
      </c>
      <c r="C159" s="135" t="s">
        <v>480</v>
      </c>
      <c r="D159" s="135" t="s">
        <v>481</v>
      </c>
      <c r="E159" s="135" t="s">
        <v>482</v>
      </c>
    </row>
    <row r="160" spans="1:5" s="136" customFormat="1" x14ac:dyDescent="0.2">
      <c r="A160" s="135" t="s">
        <v>483</v>
      </c>
      <c r="B160" s="135" t="s">
        <v>484</v>
      </c>
      <c r="C160" s="135" t="s">
        <v>485</v>
      </c>
      <c r="D160" s="135" t="s">
        <v>486</v>
      </c>
      <c r="E160" s="135" t="s">
        <v>487</v>
      </c>
    </row>
    <row r="161" spans="1:6" s="136" customFormat="1" x14ac:dyDescent="0.2">
      <c r="A161" s="135" t="s">
        <v>488</v>
      </c>
      <c r="B161" s="135" t="s">
        <v>489</v>
      </c>
      <c r="C161" s="135" t="s">
        <v>490</v>
      </c>
      <c r="D161" s="135" t="s">
        <v>486</v>
      </c>
      <c r="E161" s="135" t="s">
        <v>491</v>
      </c>
    </row>
    <row r="162" spans="1:6" s="136" customFormat="1" x14ac:dyDescent="0.2">
      <c r="A162" s="135" t="s">
        <v>492</v>
      </c>
      <c r="B162" s="135" t="s">
        <v>493</v>
      </c>
      <c r="C162" s="135" t="s">
        <v>494</v>
      </c>
      <c r="D162" s="135" t="s">
        <v>486</v>
      </c>
      <c r="E162" s="135" t="s">
        <v>495</v>
      </c>
    </row>
    <row r="163" spans="1:6" s="136" customFormat="1" x14ac:dyDescent="0.2">
      <c r="A163" s="135" t="s">
        <v>496</v>
      </c>
      <c r="B163" s="135" t="s">
        <v>8412</v>
      </c>
      <c r="C163" s="135" t="s">
        <v>497</v>
      </c>
      <c r="D163" s="135" t="s">
        <v>140</v>
      </c>
      <c r="E163" s="135" t="s">
        <v>498</v>
      </c>
      <c r="F163" s="136" t="s">
        <v>8413</v>
      </c>
    </row>
    <row r="164" spans="1:6" s="136" customFormat="1" x14ac:dyDescent="0.2">
      <c r="A164" s="135" t="s">
        <v>499</v>
      </c>
      <c r="B164" s="135" t="s">
        <v>500</v>
      </c>
      <c r="C164" s="135" t="s">
        <v>501</v>
      </c>
      <c r="D164" s="135" t="s">
        <v>101</v>
      </c>
      <c r="E164" s="135" t="s">
        <v>502</v>
      </c>
    </row>
    <row r="165" spans="1:6" s="136" customFormat="1" x14ac:dyDescent="0.2">
      <c r="A165" s="135" t="s">
        <v>503</v>
      </c>
      <c r="B165" s="135" t="s">
        <v>504</v>
      </c>
      <c r="C165" s="135" t="s">
        <v>505</v>
      </c>
      <c r="D165" s="135" t="s">
        <v>101</v>
      </c>
      <c r="E165" s="135" t="s">
        <v>506</v>
      </c>
    </row>
    <row r="166" spans="1:6" s="136" customFormat="1" x14ac:dyDescent="0.2">
      <c r="A166" s="135" t="s">
        <v>507</v>
      </c>
      <c r="B166" s="135" t="s">
        <v>508</v>
      </c>
      <c r="C166" s="135" t="s">
        <v>509</v>
      </c>
      <c r="D166" s="135" t="s">
        <v>101</v>
      </c>
      <c r="E166" s="135" t="s">
        <v>510</v>
      </c>
    </row>
    <row r="167" spans="1:6" s="136" customFormat="1" x14ac:dyDescent="0.2">
      <c r="A167" s="135" t="s">
        <v>511</v>
      </c>
      <c r="B167" s="135" t="s">
        <v>512</v>
      </c>
      <c r="C167" s="135" t="s">
        <v>513</v>
      </c>
      <c r="D167" s="135" t="s">
        <v>514</v>
      </c>
      <c r="E167" s="135" t="s">
        <v>515</v>
      </c>
    </row>
    <row r="168" spans="1:6" s="136" customFormat="1" x14ac:dyDescent="0.2">
      <c r="A168" s="135" t="s">
        <v>516</v>
      </c>
      <c r="B168" s="135" t="s">
        <v>517</v>
      </c>
      <c r="C168" s="135" t="s">
        <v>518</v>
      </c>
      <c r="D168" s="135" t="s">
        <v>101</v>
      </c>
      <c r="E168" s="135" t="s">
        <v>519</v>
      </c>
    </row>
    <row r="169" spans="1:6" s="136" customFormat="1" x14ac:dyDescent="0.2">
      <c r="A169" s="135" t="s">
        <v>520</v>
      </c>
      <c r="B169" s="135" t="s">
        <v>521</v>
      </c>
      <c r="C169" s="135" t="s">
        <v>522</v>
      </c>
      <c r="D169" s="135" t="s">
        <v>523</v>
      </c>
      <c r="E169" s="135" t="s">
        <v>524</v>
      </c>
    </row>
    <row r="170" spans="1:6" s="136" customFormat="1" x14ac:dyDescent="0.2">
      <c r="A170" s="135" t="s">
        <v>525</v>
      </c>
      <c r="B170" s="135" t="s">
        <v>526</v>
      </c>
      <c r="C170" s="135" t="s">
        <v>527</v>
      </c>
      <c r="D170" s="135" t="s">
        <v>523</v>
      </c>
      <c r="E170" s="135" t="s">
        <v>528</v>
      </c>
    </row>
    <row r="171" spans="1:6" s="136" customFormat="1" x14ac:dyDescent="0.2">
      <c r="A171" s="135" t="s">
        <v>529</v>
      </c>
      <c r="B171" s="135" t="s">
        <v>530</v>
      </c>
      <c r="C171" s="135" t="s">
        <v>531</v>
      </c>
      <c r="D171" s="135" t="s">
        <v>532</v>
      </c>
      <c r="E171" s="135" t="s">
        <v>533</v>
      </c>
    </row>
    <row r="172" spans="1:6" s="136" customFormat="1" x14ac:dyDescent="0.2">
      <c r="A172" s="135" t="s">
        <v>534</v>
      </c>
      <c r="B172" s="135" t="s">
        <v>535</v>
      </c>
      <c r="C172" s="135" t="s">
        <v>536</v>
      </c>
      <c r="D172" s="135" t="s">
        <v>537</v>
      </c>
      <c r="E172" s="135" t="s">
        <v>538</v>
      </c>
    </row>
    <row r="173" spans="1:6" s="136" customFormat="1" x14ac:dyDescent="0.2">
      <c r="A173" s="135" t="s">
        <v>539</v>
      </c>
      <c r="B173" s="135" t="s">
        <v>540</v>
      </c>
      <c r="C173" s="135" t="s">
        <v>541</v>
      </c>
      <c r="D173" s="135" t="s">
        <v>537</v>
      </c>
      <c r="E173" s="135" t="s">
        <v>542</v>
      </c>
    </row>
    <row r="174" spans="1:6" s="136" customFormat="1" x14ac:dyDescent="0.2">
      <c r="A174" s="135" t="s">
        <v>543</v>
      </c>
      <c r="B174" s="135" t="s">
        <v>544</v>
      </c>
      <c r="C174" s="135" t="s">
        <v>545</v>
      </c>
      <c r="D174" s="135" t="s">
        <v>546</v>
      </c>
      <c r="E174" s="135" t="s">
        <v>547</v>
      </c>
    </row>
    <row r="175" spans="1:6" s="136" customFormat="1" x14ac:dyDescent="0.2">
      <c r="A175" s="135" t="s">
        <v>548</v>
      </c>
      <c r="B175" s="135" t="s">
        <v>549</v>
      </c>
      <c r="C175" s="135" t="s">
        <v>550</v>
      </c>
      <c r="D175" s="135" t="s">
        <v>111</v>
      </c>
      <c r="E175" s="135" t="s">
        <v>551</v>
      </c>
    </row>
    <row r="176" spans="1:6" s="136" customFormat="1" x14ac:dyDescent="0.2">
      <c r="A176" s="135" t="s">
        <v>552</v>
      </c>
      <c r="B176" s="135" t="s">
        <v>553</v>
      </c>
      <c r="C176" s="135" t="s">
        <v>554</v>
      </c>
      <c r="D176" s="135" t="s">
        <v>546</v>
      </c>
      <c r="E176" s="135" t="s">
        <v>555</v>
      </c>
    </row>
    <row r="177" spans="1:6" s="136" customFormat="1" x14ac:dyDescent="0.2">
      <c r="A177" s="135" t="s">
        <v>556</v>
      </c>
      <c r="B177" s="135" t="s">
        <v>557</v>
      </c>
      <c r="C177" s="135" t="s">
        <v>558</v>
      </c>
      <c r="D177" s="135" t="s">
        <v>546</v>
      </c>
      <c r="E177" s="135" t="s">
        <v>559</v>
      </c>
    </row>
    <row r="178" spans="1:6" s="136" customFormat="1" x14ac:dyDescent="0.2">
      <c r="A178" s="135" t="s">
        <v>560</v>
      </c>
      <c r="B178" s="135" t="s">
        <v>561</v>
      </c>
      <c r="C178" s="135" t="s">
        <v>562</v>
      </c>
      <c r="D178" s="135" t="s">
        <v>546</v>
      </c>
      <c r="E178" s="135" t="s">
        <v>563</v>
      </c>
    </row>
    <row r="179" spans="1:6" s="136" customFormat="1" x14ac:dyDescent="0.2">
      <c r="A179" s="135" t="s">
        <v>564</v>
      </c>
      <c r="B179" s="135" t="s">
        <v>8414</v>
      </c>
      <c r="C179" s="135" t="s">
        <v>565</v>
      </c>
      <c r="D179" s="135" t="s">
        <v>523</v>
      </c>
      <c r="E179" s="135" t="s">
        <v>566</v>
      </c>
      <c r="F179" s="136" t="s">
        <v>8415</v>
      </c>
    </row>
    <row r="180" spans="1:6" s="136" customFormat="1" x14ac:dyDescent="0.2">
      <c r="A180" s="135" t="s">
        <v>567</v>
      </c>
      <c r="B180" s="135" t="s">
        <v>568</v>
      </c>
      <c r="C180" s="135" t="s">
        <v>569</v>
      </c>
      <c r="D180" s="135" t="s">
        <v>96</v>
      </c>
      <c r="E180" s="135" t="s">
        <v>570</v>
      </c>
    </row>
    <row r="181" spans="1:6" s="136" customFormat="1" x14ac:dyDescent="0.2">
      <c r="A181" s="135" t="s">
        <v>571</v>
      </c>
      <c r="B181" s="135" t="s">
        <v>572</v>
      </c>
      <c r="C181" s="135" t="s">
        <v>573</v>
      </c>
      <c r="D181" s="135" t="s">
        <v>96</v>
      </c>
      <c r="E181" s="135" t="s">
        <v>574</v>
      </c>
    </row>
    <row r="182" spans="1:6" s="136" customFormat="1" x14ac:dyDescent="0.2">
      <c r="A182" s="135" t="s">
        <v>575</v>
      </c>
      <c r="B182" s="135" t="s">
        <v>576</v>
      </c>
      <c r="C182" s="135" t="s">
        <v>577</v>
      </c>
      <c r="D182" s="135" t="s">
        <v>96</v>
      </c>
      <c r="E182" s="135" t="s">
        <v>578</v>
      </c>
    </row>
    <row r="183" spans="1:6" s="136" customFormat="1" x14ac:dyDescent="0.2">
      <c r="A183" s="135" t="s">
        <v>579</v>
      </c>
      <c r="B183" s="135" t="s">
        <v>580</v>
      </c>
      <c r="C183" s="135" t="s">
        <v>581</v>
      </c>
      <c r="D183" s="135" t="s">
        <v>96</v>
      </c>
      <c r="E183" s="135" t="s">
        <v>582</v>
      </c>
    </row>
    <row r="184" spans="1:6" s="136" customFormat="1" x14ac:dyDescent="0.2">
      <c r="A184" s="135" t="s">
        <v>583</v>
      </c>
      <c r="B184" s="135" t="s">
        <v>584</v>
      </c>
      <c r="C184" s="135" t="s">
        <v>585</v>
      </c>
      <c r="D184" s="135" t="s">
        <v>96</v>
      </c>
      <c r="E184" s="135" t="s">
        <v>586</v>
      </c>
    </row>
    <row r="185" spans="1:6" s="136" customFormat="1" x14ac:dyDescent="0.2">
      <c r="A185" s="135" t="s">
        <v>587</v>
      </c>
      <c r="B185" s="135" t="s">
        <v>588</v>
      </c>
      <c r="C185" s="135" t="s">
        <v>589</v>
      </c>
      <c r="D185" s="135" t="s">
        <v>590</v>
      </c>
      <c r="E185" s="135" t="s">
        <v>591</v>
      </c>
    </row>
    <row r="186" spans="1:6" s="136" customFormat="1" x14ac:dyDescent="0.2">
      <c r="A186" s="135" t="s">
        <v>592</v>
      </c>
      <c r="B186" s="135" t="s">
        <v>593</v>
      </c>
      <c r="C186" s="135" t="s">
        <v>594</v>
      </c>
      <c r="D186" s="135" t="s">
        <v>590</v>
      </c>
      <c r="E186" s="135" t="s">
        <v>595</v>
      </c>
    </row>
    <row r="187" spans="1:6" s="136" customFormat="1" x14ac:dyDescent="0.2">
      <c r="A187" s="135" t="s">
        <v>596</v>
      </c>
      <c r="B187" s="135" t="s">
        <v>597</v>
      </c>
      <c r="C187" s="135" t="s">
        <v>598</v>
      </c>
      <c r="D187" s="135" t="s">
        <v>599</v>
      </c>
      <c r="E187" s="135" t="s">
        <v>600</v>
      </c>
    </row>
    <row r="188" spans="1:6" s="136" customFormat="1" x14ac:dyDescent="0.2">
      <c r="A188" s="135" t="s">
        <v>601</v>
      </c>
      <c r="B188" s="135" t="s">
        <v>602</v>
      </c>
      <c r="C188" s="135" t="s">
        <v>603</v>
      </c>
      <c r="D188" s="135" t="s">
        <v>135</v>
      </c>
      <c r="E188" s="135" t="s">
        <v>604</v>
      </c>
    </row>
    <row r="189" spans="1:6" s="136" customFormat="1" x14ac:dyDescent="0.2">
      <c r="A189" s="135" t="s">
        <v>605</v>
      </c>
      <c r="B189" s="135" t="s">
        <v>606</v>
      </c>
      <c r="C189" s="135" t="s">
        <v>607</v>
      </c>
      <c r="D189" s="135" t="s">
        <v>608</v>
      </c>
      <c r="E189" s="135" t="s">
        <v>609</v>
      </c>
    </row>
    <row r="190" spans="1:6" s="136" customFormat="1" x14ac:dyDescent="0.2">
      <c r="A190" s="135" t="s">
        <v>610</v>
      </c>
      <c r="B190" s="135" t="s">
        <v>611</v>
      </c>
      <c r="C190" s="135" t="s">
        <v>612</v>
      </c>
      <c r="D190" s="135" t="s">
        <v>135</v>
      </c>
      <c r="E190" s="135" t="s">
        <v>613</v>
      </c>
    </row>
    <row r="191" spans="1:6" s="136" customFormat="1" x14ac:dyDescent="0.2">
      <c r="A191" s="135" t="s">
        <v>614</v>
      </c>
      <c r="B191" s="135" t="s">
        <v>615</v>
      </c>
      <c r="C191" s="135" t="s">
        <v>616</v>
      </c>
      <c r="D191" s="135" t="s">
        <v>135</v>
      </c>
      <c r="E191" s="135" t="s">
        <v>617</v>
      </c>
    </row>
    <row r="192" spans="1:6" s="136" customFormat="1" x14ac:dyDescent="0.2">
      <c r="A192" s="135" t="s">
        <v>618</v>
      </c>
      <c r="B192" s="135" t="s">
        <v>619</v>
      </c>
      <c r="C192" s="135" t="s">
        <v>620</v>
      </c>
      <c r="D192" s="135" t="s">
        <v>135</v>
      </c>
      <c r="E192" s="135" t="s">
        <v>621</v>
      </c>
    </row>
    <row r="193" spans="1:5" s="136" customFormat="1" x14ac:dyDescent="0.2">
      <c r="A193" s="135" t="s">
        <v>622</v>
      </c>
      <c r="B193" s="135" t="s">
        <v>623</v>
      </c>
      <c r="C193" s="135" t="s">
        <v>624</v>
      </c>
      <c r="D193" s="135" t="s">
        <v>135</v>
      </c>
      <c r="E193" s="135" t="s">
        <v>625</v>
      </c>
    </row>
    <row r="194" spans="1:5" s="136" customFormat="1" x14ac:dyDescent="0.2">
      <c r="A194" s="135" t="s">
        <v>626</v>
      </c>
      <c r="B194" s="135" t="s">
        <v>627</v>
      </c>
      <c r="C194" s="135" t="s">
        <v>628</v>
      </c>
      <c r="D194" s="135" t="s">
        <v>96</v>
      </c>
      <c r="E194" s="135" t="s">
        <v>629</v>
      </c>
    </row>
    <row r="195" spans="1:5" s="136" customFormat="1" x14ac:dyDescent="0.2">
      <c r="A195" s="135" t="s">
        <v>630</v>
      </c>
      <c r="B195" s="135" t="s">
        <v>631</v>
      </c>
      <c r="C195" s="135" t="s">
        <v>632</v>
      </c>
      <c r="D195" s="135" t="s">
        <v>193</v>
      </c>
      <c r="E195" s="135" t="s">
        <v>633</v>
      </c>
    </row>
    <row r="196" spans="1:5" s="136" customFormat="1" x14ac:dyDescent="0.2">
      <c r="A196" s="135" t="s">
        <v>634</v>
      </c>
      <c r="B196" s="135" t="s">
        <v>635</v>
      </c>
      <c r="C196" s="135" t="s">
        <v>636</v>
      </c>
      <c r="D196" s="135" t="s">
        <v>193</v>
      </c>
      <c r="E196" s="135" t="s">
        <v>637</v>
      </c>
    </row>
    <row r="197" spans="1:5" s="136" customFormat="1" x14ac:dyDescent="0.2">
      <c r="A197" s="135" t="s">
        <v>638</v>
      </c>
      <c r="B197" s="135" t="s">
        <v>639</v>
      </c>
      <c r="C197" s="135" t="s">
        <v>640</v>
      </c>
      <c r="D197" s="135" t="s">
        <v>106</v>
      </c>
      <c r="E197" s="135" t="s">
        <v>641</v>
      </c>
    </row>
    <row r="198" spans="1:5" s="136" customFormat="1" x14ac:dyDescent="0.2">
      <c r="A198" s="135" t="s">
        <v>642</v>
      </c>
      <c r="B198" s="135" t="s">
        <v>643</v>
      </c>
      <c r="C198" s="135" t="s">
        <v>644</v>
      </c>
      <c r="D198" s="135" t="s">
        <v>645</v>
      </c>
      <c r="E198" s="135" t="s">
        <v>646</v>
      </c>
    </row>
    <row r="199" spans="1:5" s="136" customFormat="1" x14ac:dyDescent="0.2">
      <c r="A199" s="135" t="s">
        <v>647</v>
      </c>
      <c r="B199" s="135" t="s">
        <v>648</v>
      </c>
      <c r="C199" s="135" t="s">
        <v>649</v>
      </c>
      <c r="D199" s="135" t="s">
        <v>193</v>
      </c>
      <c r="E199" s="135" t="s">
        <v>650</v>
      </c>
    </row>
    <row r="200" spans="1:5" s="136" customFormat="1" x14ac:dyDescent="0.2">
      <c r="A200" s="135" t="s">
        <v>651</v>
      </c>
      <c r="B200" s="135" t="s">
        <v>652</v>
      </c>
      <c r="C200" s="135" t="s">
        <v>653</v>
      </c>
      <c r="D200" s="135" t="s">
        <v>645</v>
      </c>
      <c r="E200" s="135" t="s">
        <v>654</v>
      </c>
    </row>
    <row r="201" spans="1:5" s="136" customFormat="1" x14ac:dyDescent="0.2">
      <c r="A201" s="135" t="s">
        <v>608</v>
      </c>
      <c r="B201" s="135" t="s">
        <v>655</v>
      </c>
      <c r="C201" s="135" t="s">
        <v>656</v>
      </c>
      <c r="D201" s="135" t="s">
        <v>645</v>
      </c>
      <c r="E201" s="135" t="s">
        <v>657</v>
      </c>
    </row>
    <row r="202" spans="1:5" s="136" customFormat="1" x14ac:dyDescent="0.2">
      <c r="A202" s="135" t="s">
        <v>658</v>
      </c>
      <c r="B202" s="135" t="s">
        <v>659</v>
      </c>
      <c r="C202" s="135" t="s">
        <v>660</v>
      </c>
      <c r="D202" s="135" t="s">
        <v>661</v>
      </c>
      <c r="E202" s="135" t="s">
        <v>662</v>
      </c>
    </row>
    <row r="203" spans="1:5" s="136" customFormat="1" x14ac:dyDescent="0.2">
      <c r="A203" s="135" t="s">
        <v>663</v>
      </c>
      <c r="B203" s="135" t="s">
        <v>664</v>
      </c>
      <c r="C203" s="135" t="s">
        <v>665</v>
      </c>
      <c r="D203" s="135" t="s">
        <v>442</v>
      </c>
      <c r="E203" s="135" t="s">
        <v>666</v>
      </c>
    </row>
    <row r="204" spans="1:5" s="136" customFormat="1" x14ac:dyDescent="0.2">
      <c r="A204" s="135" t="s">
        <v>667</v>
      </c>
      <c r="B204" s="135" t="s">
        <v>668</v>
      </c>
      <c r="C204" s="135" t="s">
        <v>669</v>
      </c>
      <c r="D204" s="135" t="s">
        <v>670</v>
      </c>
      <c r="E204" s="135" t="s">
        <v>671</v>
      </c>
    </row>
    <row r="205" spans="1:5" s="136" customFormat="1" x14ac:dyDescent="0.2">
      <c r="A205" s="135" t="s">
        <v>672</v>
      </c>
      <c r="B205" s="135" t="s">
        <v>673</v>
      </c>
      <c r="C205" s="135" t="s">
        <v>674</v>
      </c>
      <c r="D205" s="135" t="s">
        <v>675</v>
      </c>
      <c r="E205" s="135" t="s">
        <v>676</v>
      </c>
    </row>
    <row r="206" spans="1:5" s="136" customFormat="1" x14ac:dyDescent="0.2">
      <c r="A206" s="135" t="s">
        <v>677</v>
      </c>
      <c r="B206" s="135" t="s">
        <v>678</v>
      </c>
      <c r="C206" s="135" t="s">
        <v>679</v>
      </c>
      <c r="D206" s="135" t="s">
        <v>675</v>
      </c>
      <c r="E206" s="135" t="s">
        <v>680</v>
      </c>
    </row>
    <row r="207" spans="1:5" s="136" customFormat="1" x14ac:dyDescent="0.2">
      <c r="A207" s="135" t="s">
        <v>681</v>
      </c>
      <c r="B207" s="135" t="s">
        <v>682</v>
      </c>
      <c r="C207" s="135" t="s">
        <v>683</v>
      </c>
      <c r="D207" s="135" t="s">
        <v>684</v>
      </c>
      <c r="E207" s="135" t="s">
        <v>685</v>
      </c>
    </row>
    <row r="208" spans="1:5" s="136" customFormat="1" x14ac:dyDescent="0.2">
      <c r="A208" s="135" t="s">
        <v>686</v>
      </c>
      <c r="B208" s="135" t="s">
        <v>687</v>
      </c>
      <c r="C208" s="135" t="s">
        <v>688</v>
      </c>
      <c r="D208" s="135" t="s">
        <v>675</v>
      </c>
      <c r="E208" s="135" t="s">
        <v>689</v>
      </c>
    </row>
    <row r="209" spans="1:5" s="136" customFormat="1" x14ac:dyDescent="0.2">
      <c r="A209" s="135" t="s">
        <v>690</v>
      </c>
      <c r="B209" s="135" t="s">
        <v>691</v>
      </c>
      <c r="C209" s="135" t="s">
        <v>692</v>
      </c>
      <c r="D209" s="135" t="s">
        <v>76</v>
      </c>
      <c r="E209" s="135" t="s">
        <v>693</v>
      </c>
    </row>
    <row r="210" spans="1:5" s="136" customFormat="1" x14ac:dyDescent="0.2">
      <c r="A210" s="135" t="s">
        <v>523</v>
      </c>
      <c r="B210" s="135" t="s">
        <v>694</v>
      </c>
      <c r="C210" s="135" t="s">
        <v>695</v>
      </c>
      <c r="D210" s="135" t="s">
        <v>626</v>
      </c>
      <c r="E210" s="135" t="s">
        <v>696</v>
      </c>
    </row>
    <row r="211" spans="1:5" s="136" customFormat="1" x14ac:dyDescent="0.2">
      <c r="A211" s="135" t="s">
        <v>697</v>
      </c>
      <c r="B211" s="135" t="s">
        <v>698</v>
      </c>
      <c r="C211" s="135" t="s">
        <v>699</v>
      </c>
      <c r="D211" s="135" t="s">
        <v>626</v>
      </c>
      <c r="E211" s="135" t="s">
        <v>700</v>
      </c>
    </row>
    <row r="212" spans="1:5" s="136" customFormat="1" x14ac:dyDescent="0.2">
      <c r="A212" s="135" t="s">
        <v>537</v>
      </c>
      <c r="B212" s="135" t="s">
        <v>701</v>
      </c>
      <c r="C212" s="135" t="s">
        <v>702</v>
      </c>
      <c r="D212" s="135" t="s">
        <v>703</v>
      </c>
      <c r="E212" s="135" t="s">
        <v>704</v>
      </c>
    </row>
    <row r="213" spans="1:5" s="136" customFormat="1" x14ac:dyDescent="0.2">
      <c r="A213" s="135" t="s">
        <v>532</v>
      </c>
      <c r="B213" s="135" t="s">
        <v>705</v>
      </c>
      <c r="C213" s="135" t="s">
        <v>706</v>
      </c>
      <c r="D213" s="135" t="s">
        <v>703</v>
      </c>
      <c r="E213" s="135" t="s">
        <v>707</v>
      </c>
    </row>
    <row r="214" spans="1:5" s="136" customFormat="1" x14ac:dyDescent="0.2">
      <c r="A214" s="135" t="s">
        <v>708</v>
      </c>
      <c r="B214" s="135" t="s">
        <v>709</v>
      </c>
      <c r="C214" s="135" t="s">
        <v>710</v>
      </c>
      <c r="D214" s="135" t="s">
        <v>703</v>
      </c>
      <c r="E214" s="135" t="s">
        <v>711</v>
      </c>
    </row>
    <row r="215" spans="1:5" s="136" customFormat="1" x14ac:dyDescent="0.2">
      <c r="A215" s="135" t="s">
        <v>712</v>
      </c>
      <c r="B215" s="135" t="s">
        <v>713</v>
      </c>
      <c r="C215" s="135" t="s">
        <v>714</v>
      </c>
      <c r="D215" s="135" t="s">
        <v>76</v>
      </c>
      <c r="E215" s="135" t="s">
        <v>715</v>
      </c>
    </row>
    <row r="216" spans="1:5" s="136" customFormat="1" x14ac:dyDescent="0.2">
      <c r="A216" s="135" t="s">
        <v>716</v>
      </c>
      <c r="B216" s="135" t="s">
        <v>717</v>
      </c>
      <c r="C216" s="135" t="s">
        <v>718</v>
      </c>
      <c r="D216" s="135" t="s">
        <v>76</v>
      </c>
      <c r="E216" s="135" t="s">
        <v>719</v>
      </c>
    </row>
    <row r="217" spans="1:5" s="136" customFormat="1" x14ac:dyDescent="0.2">
      <c r="A217" s="135" t="s">
        <v>720</v>
      </c>
      <c r="B217" s="135" t="s">
        <v>721</v>
      </c>
      <c r="C217" s="135" t="s">
        <v>722</v>
      </c>
      <c r="D217" s="135" t="s">
        <v>76</v>
      </c>
      <c r="E217" s="135" t="s">
        <v>723</v>
      </c>
    </row>
    <row r="218" spans="1:5" s="136" customFormat="1" x14ac:dyDescent="0.2">
      <c r="A218" s="135" t="s">
        <v>724</v>
      </c>
      <c r="B218" s="135" t="s">
        <v>725</v>
      </c>
      <c r="C218" s="135" t="s">
        <v>726</v>
      </c>
      <c r="D218" s="135" t="s">
        <v>727</v>
      </c>
      <c r="E218" s="135" t="s">
        <v>728</v>
      </c>
    </row>
    <row r="219" spans="1:5" s="136" customFormat="1" x14ac:dyDescent="0.2">
      <c r="A219" s="135" t="s">
        <v>729</v>
      </c>
      <c r="B219" s="135" t="s">
        <v>730</v>
      </c>
      <c r="C219" s="135" t="s">
        <v>731</v>
      </c>
      <c r="D219" s="135" t="s">
        <v>727</v>
      </c>
      <c r="E219" s="135" t="s">
        <v>732</v>
      </c>
    </row>
    <row r="220" spans="1:5" s="136" customFormat="1" x14ac:dyDescent="0.2">
      <c r="A220" s="135" t="s">
        <v>733</v>
      </c>
      <c r="B220" s="135" t="s">
        <v>734</v>
      </c>
      <c r="C220" s="135" t="s">
        <v>735</v>
      </c>
      <c r="D220" s="135" t="s">
        <v>736</v>
      </c>
      <c r="E220" s="135" t="s">
        <v>737</v>
      </c>
    </row>
    <row r="221" spans="1:5" s="136" customFormat="1" x14ac:dyDescent="0.2">
      <c r="A221" s="135" t="s">
        <v>738</v>
      </c>
      <c r="B221" s="135" t="s">
        <v>739</v>
      </c>
      <c r="C221" s="135" t="s">
        <v>740</v>
      </c>
      <c r="D221" s="135" t="s">
        <v>741</v>
      </c>
      <c r="E221" s="135" t="s">
        <v>742</v>
      </c>
    </row>
    <row r="222" spans="1:5" s="136" customFormat="1" x14ac:dyDescent="0.2">
      <c r="A222" s="135" t="s">
        <v>743</v>
      </c>
      <c r="B222" s="135" t="s">
        <v>744</v>
      </c>
      <c r="C222" s="135" t="s">
        <v>745</v>
      </c>
      <c r="D222" s="135" t="s">
        <v>741</v>
      </c>
      <c r="E222" s="135" t="s">
        <v>746</v>
      </c>
    </row>
    <row r="223" spans="1:5" s="136" customFormat="1" x14ac:dyDescent="0.2">
      <c r="A223" s="135" t="s">
        <v>747</v>
      </c>
      <c r="B223" s="135" t="s">
        <v>748</v>
      </c>
      <c r="C223" s="135" t="s">
        <v>749</v>
      </c>
      <c r="D223" s="135" t="s">
        <v>703</v>
      </c>
      <c r="E223" s="135" t="s">
        <v>750</v>
      </c>
    </row>
    <row r="224" spans="1:5" s="136" customFormat="1" x14ac:dyDescent="0.2">
      <c r="A224" s="135" t="s">
        <v>751</v>
      </c>
      <c r="B224" s="135" t="s">
        <v>752</v>
      </c>
      <c r="C224" s="135" t="s">
        <v>753</v>
      </c>
      <c r="D224" s="135" t="s">
        <v>703</v>
      </c>
      <c r="E224" s="135" t="s">
        <v>754</v>
      </c>
    </row>
    <row r="225" spans="1:5" s="136" customFormat="1" x14ac:dyDescent="0.2">
      <c r="A225" s="135" t="s">
        <v>755</v>
      </c>
      <c r="B225" s="135" t="s">
        <v>756</v>
      </c>
      <c r="C225" s="135" t="s">
        <v>757</v>
      </c>
      <c r="D225" s="135" t="s">
        <v>703</v>
      </c>
      <c r="E225" s="135" t="s">
        <v>758</v>
      </c>
    </row>
    <row r="226" spans="1:5" s="136" customFormat="1" x14ac:dyDescent="0.2">
      <c r="A226" s="135" t="s">
        <v>759</v>
      </c>
      <c r="B226" s="135" t="s">
        <v>760</v>
      </c>
      <c r="C226" s="135" t="s">
        <v>761</v>
      </c>
      <c r="D226" s="135" t="s">
        <v>741</v>
      </c>
      <c r="E226" s="135" t="s">
        <v>762</v>
      </c>
    </row>
    <row r="227" spans="1:5" s="136" customFormat="1" x14ac:dyDescent="0.2">
      <c r="A227" s="135" t="s">
        <v>763</v>
      </c>
      <c r="B227" s="135" t="s">
        <v>764</v>
      </c>
      <c r="C227" s="135" t="s">
        <v>765</v>
      </c>
      <c r="D227" s="135" t="s">
        <v>766</v>
      </c>
      <c r="E227" s="135" t="s">
        <v>767</v>
      </c>
    </row>
    <row r="228" spans="1:5" s="136" customFormat="1" x14ac:dyDescent="0.2">
      <c r="A228" s="135" t="s">
        <v>768</v>
      </c>
      <c r="B228" s="135" t="s">
        <v>769</v>
      </c>
      <c r="C228" s="135" t="s">
        <v>770</v>
      </c>
      <c r="D228" s="135" t="s">
        <v>155</v>
      </c>
      <c r="E228" s="135" t="s">
        <v>771</v>
      </c>
    </row>
    <row r="229" spans="1:5" s="136" customFormat="1" x14ac:dyDescent="0.2">
      <c r="A229" s="135" t="s">
        <v>772</v>
      </c>
      <c r="B229" s="135" t="s">
        <v>773</v>
      </c>
      <c r="C229" s="135" t="s">
        <v>774</v>
      </c>
      <c r="D229" s="135" t="s">
        <v>155</v>
      </c>
      <c r="E229" s="135" t="s">
        <v>775</v>
      </c>
    </row>
    <row r="230" spans="1:5" s="136" customFormat="1" x14ac:dyDescent="0.2">
      <c r="A230" s="135" t="s">
        <v>776</v>
      </c>
      <c r="B230" s="135" t="s">
        <v>777</v>
      </c>
      <c r="C230" s="135" t="s">
        <v>778</v>
      </c>
      <c r="D230" s="135" t="s">
        <v>741</v>
      </c>
      <c r="E230" s="135" t="s">
        <v>779</v>
      </c>
    </row>
    <row r="231" spans="1:5" s="136" customFormat="1" x14ac:dyDescent="0.2">
      <c r="A231" s="135" t="s">
        <v>780</v>
      </c>
      <c r="B231" s="135" t="s">
        <v>781</v>
      </c>
      <c r="C231" s="135" t="s">
        <v>782</v>
      </c>
      <c r="D231" s="135" t="s">
        <v>741</v>
      </c>
      <c r="E231" s="135" t="s">
        <v>783</v>
      </c>
    </row>
    <row r="232" spans="1:5" s="136" customFormat="1" x14ac:dyDescent="0.2">
      <c r="A232" s="135" t="s">
        <v>784</v>
      </c>
      <c r="B232" s="135" t="s">
        <v>785</v>
      </c>
      <c r="C232" s="135" t="s">
        <v>786</v>
      </c>
      <c r="D232" s="135" t="s">
        <v>766</v>
      </c>
      <c r="E232" s="135" t="s">
        <v>787</v>
      </c>
    </row>
    <row r="233" spans="1:5" s="136" customFormat="1" x14ac:dyDescent="0.2">
      <c r="A233" s="135" t="s">
        <v>788</v>
      </c>
      <c r="B233" s="135" t="s">
        <v>789</v>
      </c>
      <c r="C233" s="135" t="s">
        <v>790</v>
      </c>
      <c r="D233" s="135" t="s">
        <v>583</v>
      </c>
      <c r="E233" s="135" t="s">
        <v>791</v>
      </c>
    </row>
    <row r="234" spans="1:5" s="136" customFormat="1" x14ac:dyDescent="0.2">
      <c r="A234" s="135" t="s">
        <v>792</v>
      </c>
      <c r="B234" s="135" t="s">
        <v>793</v>
      </c>
      <c r="C234" s="135" t="s">
        <v>794</v>
      </c>
      <c r="D234" s="135" t="s">
        <v>155</v>
      </c>
      <c r="E234" s="135" t="s">
        <v>795</v>
      </c>
    </row>
    <row r="235" spans="1:5" s="136" customFormat="1" x14ac:dyDescent="0.2">
      <c r="A235" s="135" t="s">
        <v>796</v>
      </c>
      <c r="B235" s="135" t="s">
        <v>797</v>
      </c>
      <c r="C235" s="135" t="s">
        <v>798</v>
      </c>
      <c r="D235" s="135" t="s">
        <v>155</v>
      </c>
      <c r="E235" s="135" t="s">
        <v>799</v>
      </c>
    </row>
    <row r="236" spans="1:5" s="136" customFormat="1" x14ac:dyDescent="0.2">
      <c r="A236" s="135" t="s">
        <v>800</v>
      </c>
      <c r="B236" s="135" t="s">
        <v>801</v>
      </c>
      <c r="C236" s="135" t="s">
        <v>802</v>
      </c>
      <c r="D236" s="135" t="s">
        <v>155</v>
      </c>
      <c r="E236" s="135" t="s">
        <v>803</v>
      </c>
    </row>
    <row r="237" spans="1:5" s="136" customFormat="1" x14ac:dyDescent="0.2">
      <c r="A237" s="135" t="s">
        <v>804</v>
      </c>
      <c r="B237" s="135" t="s">
        <v>805</v>
      </c>
      <c r="C237" s="135" t="s">
        <v>806</v>
      </c>
      <c r="D237" s="135" t="s">
        <v>155</v>
      </c>
      <c r="E237" s="135" t="s">
        <v>807</v>
      </c>
    </row>
    <row r="238" spans="1:5" s="136" customFormat="1" x14ac:dyDescent="0.2">
      <c r="A238" s="135" t="s">
        <v>808</v>
      </c>
      <c r="B238" s="135" t="s">
        <v>809</v>
      </c>
      <c r="C238" s="135" t="s">
        <v>810</v>
      </c>
      <c r="D238" s="135" t="s">
        <v>811</v>
      </c>
      <c r="E238" s="135" t="s">
        <v>812</v>
      </c>
    </row>
    <row r="239" spans="1:5" s="136" customFormat="1" x14ac:dyDescent="0.2">
      <c r="A239" s="135" t="s">
        <v>813</v>
      </c>
      <c r="B239" s="135" t="s">
        <v>814</v>
      </c>
      <c r="C239" s="135" t="s">
        <v>815</v>
      </c>
      <c r="D239" s="135" t="s">
        <v>816</v>
      </c>
      <c r="E239" s="135" t="s">
        <v>817</v>
      </c>
    </row>
    <row r="240" spans="1:5" s="136" customFormat="1" x14ac:dyDescent="0.2">
      <c r="A240" s="135" t="s">
        <v>818</v>
      </c>
      <c r="B240" s="135" t="s">
        <v>819</v>
      </c>
      <c r="C240" s="135" t="s">
        <v>820</v>
      </c>
      <c r="D240" s="135" t="s">
        <v>821</v>
      </c>
      <c r="E240" s="135" t="s">
        <v>822</v>
      </c>
    </row>
    <row r="241" spans="1:5" s="136" customFormat="1" x14ac:dyDescent="0.2">
      <c r="A241" s="135" t="s">
        <v>823</v>
      </c>
      <c r="B241" s="135" t="s">
        <v>824</v>
      </c>
      <c r="C241" s="135" t="s">
        <v>825</v>
      </c>
      <c r="D241" s="135" t="s">
        <v>816</v>
      </c>
      <c r="E241" s="135" t="s">
        <v>826</v>
      </c>
    </row>
    <row r="242" spans="1:5" s="136" customFormat="1" x14ac:dyDescent="0.2">
      <c r="A242" s="135" t="s">
        <v>827</v>
      </c>
      <c r="B242" s="135" t="s">
        <v>828</v>
      </c>
      <c r="C242" s="135" t="s">
        <v>829</v>
      </c>
      <c r="D242" s="135" t="s">
        <v>830</v>
      </c>
      <c r="E242" s="135" t="s">
        <v>831</v>
      </c>
    </row>
    <row r="243" spans="1:5" s="136" customFormat="1" x14ac:dyDescent="0.2">
      <c r="A243" s="135" t="s">
        <v>832</v>
      </c>
      <c r="B243" s="135" t="s">
        <v>833</v>
      </c>
      <c r="C243" s="135" t="s">
        <v>834</v>
      </c>
      <c r="D243" s="135" t="s">
        <v>835</v>
      </c>
      <c r="E243" s="135" t="s">
        <v>836</v>
      </c>
    </row>
    <row r="244" spans="1:5" s="136" customFormat="1" x14ac:dyDescent="0.2">
      <c r="A244" s="135" t="s">
        <v>837</v>
      </c>
      <c r="B244" s="135" t="s">
        <v>838</v>
      </c>
      <c r="C244" s="135" t="s">
        <v>839</v>
      </c>
      <c r="D244" s="135" t="s">
        <v>835</v>
      </c>
      <c r="E244" s="135" t="s">
        <v>840</v>
      </c>
    </row>
    <row r="245" spans="1:5" s="136" customFormat="1" x14ac:dyDescent="0.2">
      <c r="A245" s="135" t="s">
        <v>841</v>
      </c>
      <c r="B245" s="135" t="s">
        <v>842</v>
      </c>
      <c r="C245" s="135" t="s">
        <v>843</v>
      </c>
      <c r="D245" s="135" t="s">
        <v>844</v>
      </c>
      <c r="E245" s="135" t="s">
        <v>845</v>
      </c>
    </row>
    <row r="246" spans="1:5" s="136" customFormat="1" x14ac:dyDescent="0.2">
      <c r="A246" s="135" t="s">
        <v>846</v>
      </c>
      <c r="B246" s="135" t="s">
        <v>847</v>
      </c>
      <c r="C246" s="135" t="s">
        <v>848</v>
      </c>
      <c r="D246" s="135" t="s">
        <v>830</v>
      </c>
      <c r="E246" s="135" t="s">
        <v>849</v>
      </c>
    </row>
    <row r="247" spans="1:5" s="136" customFormat="1" x14ac:dyDescent="0.2">
      <c r="A247" s="135" t="s">
        <v>850</v>
      </c>
      <c r="B247" s="135" t="s">
        <v>851</v>
      </c>
      <c r="C247" s="135" t="s">
        <v>852</v>
      </c>
      <c r="D247" s="135" t="s">
        <v>816</v>
      </c>
      <c r="E247" s="135" t="s">
        <v>853</v>
      </c>
    </row>
    <row r="248" spans="1:5" s="136" customFormat="1" x14ac:dyDescent="0.2">
      <c r="A248" s="135" t="s">
        <v>854</v>
      </c>
      <c r="B248" s="135" t="s">
        <v>855</v>
      </c>
      <c r="C248" s="135" t="s">
        <v>856</v>
      </c>
      <c r="D248" s="135" t="s">
        <v>857</v>
      </c>
      <c r="E248" s="135" t="s">
        <v>858</v>
      </c>
    </row>
    <row r="249" spans="1:5" s="136" customFormat="1" x14ac:dyDescent="0.2">
      <c r="A249" s="135" t="s">
        <v>859</v>
      </c>
      <c r="B249" s="135" t="s">
        <v>860</v>
      </c>
      <c r="C249" s="135" t="s">
        <v>861</v>
      </c>
      <c r="D249" s="135" t="s">
        <v>862</v>
      </c>
      <c r="E249" s="135" t="s">
        <v>863</v>
      </c>
    </row>
    <row r="250" spans="1:5" s="136" customFormat="1" x14ac:dyDescent="0.2">
      <c r="A250" s="135" t="s">
        <v>864</v>
      </c>
      <c r="B250" s="135" t="s">
        <v>865</v>
      </c>
      <c r="C250" s="135" t="s">
        <v>866</v>
      </c>
      <c r="D250" s="135" t="s">
        <v>862</v>
      </c>
      <c r="E250" s="135" t="s">
        <v>867</v>
      </c>
    </row>
    <row r="251" spans="1:5" s="136" customFormat="1" x14ac:dyDescent="0.2">
      <c r="A251" s="135" t="s">
        <v>868</v>
      </c>
      <c r="B251" s="135" t="s">
        <v>869</v>
      </c>
      <c r="C251" s="135" t="s">
        <v>870</v>
      </c>
      <c r="D251" s="135" t="s">
        <v>862</v>
      </c>
      <c r="E251" s="135" t="s">
        <v>871</v>
      </c>
    </row>
    <row r="252" spans="1:5" s="136" customFormat="1" x14ac:dyDescent="0.2">
      <c r="A252" s="135" t="s">
        <v>872</v>
      </c>
      <c r="B252" s="135" t="s">
        <v>873</v>
      </c>
      <c r="C252" s="135" t="s">
        <v>874</v>
      </c>
      <c r="D252" s="135" t="s">
        <v>830</v>
      </c>
      <c r="E252" s="135" t="s">
        <v>875</v>
      </c>
    </row>
    <row r="253" spans="1:5" s="136" customFormat="1" x14ac:dyDescent="0.2">
      <c r="A253" s="135" t="s">
        <v>876</v>
      </c>
      <c r="B253" s="135" t="s">
        <v>877</v>
      </c>
      <c r="C253" s="135" t="s">
        <v>878</v>
      </c>
      <c r="D253" s="135" t="s">
        <v>830</v>
      </c>
      <c r="E253" s="135" t="s">
        <v>879</v>
      </c>
    </row>
    <row r="254" spans="1:5" s="136" customFormat="1" x14ac:dyDescent="0.2">
      <c r="A254" s="135" t="s">
        <v>880</v>
      </c>
      <c r="B254" s="135" t="s">
        <v>881</v>
      </c>
      <c r="C254" s="135" t="s">
        <v>882</v>
      </c>
      <c r="D254" s="135" t="s">
        <v>816</v>
      </c>
      <c r="E254" s="135" t="s">
        <v>883</v>
      </c>
    </row>
    <row r="255" spans="1:5" s="136" customFormat="1" x14ac:dyDescent="0.2">
      <c r="A255" s="135" t="s">
        <v>884</v>
      </c>
      <c r="B255" s="135" t="s">
        <v>885</v>
      </c>
      <c r="C255" s="135" t="s">
        <v>886</v>
      </c>
      <c r="D255" s="135" t="s">
        <v>816</v>
      </c>
      <c r="E255" s="135" t="s">
        <v>887</v>
      </c>
    </row>
    <row r="256" spans="1:5" s="136" customFormat="1" x14ac:dyDescent="0.2">
      <c r="A256" s="135" t="s">
        <v>888</v>
      </c>
      <c r="B256" s="135" t="s">
        <v>889</v>
      </c>
      <c r="C256" s="135" t="s">
        <v>890</v>
      </c>
      <c r="D256" s="135" t="s">
        <v>816</v>
      </c>
      <c r="E256" s="135" t="s">
        <v>891</v>
      </c>
    </row>
    <row r="257" spans="1:5" s="136" customFormat="1" x14ac:dyDescent="0.2">
      <c r="A257" s="135" t="s">
        <v>892</v>
      </c>
      <c r="B257" s="135" t="s">
        <v>893</v>
      </c>
      <c r="C257" s="135" t="s">
        <v>894</v>
      </c>
      <c r="D257" s="135" t="s">
        <v>816</v>
      </c>
      <c r="E257" s="135" t="s">
        <v>895</v>
      </c>
    </row>
    <row r="258" spans="1:5" s="136" customFormat="1" x14ac:dyDescent="0.2">
      <c r="A258" s="135" t="s">
        <v>896</v>
      </c>
      <c r="B258" s="135" t="s">
        <v>897</v>
      </c>
      <c r="C258" s="135" t="s">
        <v>898</v>
      </c>
      <c r="D258" s="135" t="s">
        <v>816</v>
      </c>
      <c r="E258" s="135" t="s">
        <v>899</v>
      </c>
    </row>
    <row r="259" spans="1:5" s="136" customFormat="1" x14ac:dyDescent="0.2">
      <c r="A259" s="135" t="s">
        <v>900</v>
      </c>
      <c r="B259" s="135" t="s">
        <v>901</v>
      </c>
      <c r="C259" s="135" t="s">
        <v>902</v>
      </c>
      <c r="D259" s="135" t="s">
        <v>830</v>
      </c>
      <c r="E259" s="135" t="s">
        <v>903</v>
      </c>
    </row>
    <row r="260" spans="1:5" s="136" customFormat="1" x14ac:dyDescent="0.2">
      <c r="A260" s="135" t="s">
        <v>904</v>
      </c>
      <c r="B260" s="135" t="s">
        <v>905</v>
      </c>
      <c r="C260" s="135" t="s">
        <v>906</v>
      </c>
      <c r="D260" s="135" t="s">
        <v>830</v>
      </c>
      <c r="E260" s="135" t="s">
        <v>907</v>
      </c>
    </row>
    <row r="261" spans="1:5" s="136" customFormat="1" x14ac:dyDescent="0.2">
      <c r="A261" s="135" t="s">
        <v>908</v>
      </c>
      <c r="B261" s="135" t="s">
        <v>909</v>
      </c>
      <c r="C261" s="135" t="s">
        <v>910</v>
      </c>
      <c r="D261" s="135" t="s">
        <v>844</v>
      </c>
      <c r="E261" s="135" t="s">
        <v>911</v>
      </c>
    </row>
    <row r="262" spans="1:5" s="136" customFormat="1" x14ac:dyDescent="0.2">
      <c r="A262" s="135" t="s">
        <v>912</v>
      </c>
      <c r="B262" s="135" t="s">
        <v>913</v>
      </c>
      <c r="C262" s="135" t="s">
        <v>914</v>
      </c>
      <c r="D262" s="135" t="s">
        <v>835</v>
      </c>
      <c r="E262" s="135" t="s">
        <v>915</v>
      </c>
    </row>
    <row r="263" spans="1:5" s="136" customFormat="1" x14ac:dyDescent="0.2">
      <c r="A263" s="135" t="s">
        <v>916</v>
      </c>
      <c r="B263" s="135" t="s">
        <v>917</v>
      </c>
      <c r="C263" s="135" t="s">
        <v>918</v>
      </c>
      <c r="D263" s="135" t="s">
        <v>835</v>
      </c>
      <c r="E263" s="135" t="s">
        <v>919</v>
      </c>
    </row>
    <row r="264" spans="1:5" s="136" customFormat="1" x14ac:dyDescent="0.2">
      <c r="A264" s="135" t="s">
        <v>920</v>
      </c>
      <c r="B264" s="135" t="s">
        <v>921</v>
      </c>
      <c r="C264" s="135" t="s">
        <v>922</v>
      </c>
      <c r="D264" s="135" t="s">
        <v>844</v>
      </c>
      <c r="E264" s="135" t="s">
        <v>923</v>
      </c>
    </row>
    <row r="265" spans="1:5" s="136" customFormat="1" x14ac:dyDescent="0.2">
      <c r="A265" s="135" t="s">
        <v>924</v>
      </c>
      <c r="B265" s="135" t="s">
        <v>925</v>
      </c>
      <c r="C265" s="135" t="s">
        <v>926</v>
      </c>
      <c r="D265" s="135" t="s">
        <v>927</v>
      </c>
      <c r="E265" s="135" t="s">
        <v>928</v>
      </c>
    </row>
    <row r="266" spans="1:5" s="136" customFormat="1" x14ac:dyDescent="0.2">
      <c r="A266" s="135" t="s">
        <v>929</v>
      </c>
      <c r="B266" s="135" t="s">
        <v>930</v>
      </c>
      <c r="C266" s="135" t="s">
        <v>931</v>
      </c>
      <c r="D266" s="135" t="s">
        <v>844</v>
      </c>
      <c r="E266" s="135" t="s">
        <v>932</v>
      </c>
    </row>
    <row r="267" spans="1:5" s="136" customFormat="1" x14ac:dyDescent="0.2">
      <c r="A267" s="135" t="s">
        <v>933</v>
      </c>
      <c r="B267" s="135" t="s">
        <v>934</v>
      </c>
      <c r="C267" s="135" t="s">
        <v>935</v>
      </c>
      <c r="D267" s="135" t="s">
        <v>821</v>
      </c>
      <c r="E267" s="135" t="s">
        <v>936</v>
      </c>
    </row>
    <row r="268" spans="1:5" s="136" customFormat="1" x14ac:dyDescent="0.2">
      <c r="A268" s="135" t="s">
        <v>937</v>
      </c>
      <c r="B268" s="135" t="s">
        <v>938</v>
      </c>
      <c r="C268" s="135" t="s">
        <v>939</v>
      </c>
      <c r="D268" s="135" t="s">
        <v>844</v>
      </c>
      <c r="E268" s="135" t="s">
        <v>940</v>
      </c>
    </row>
    <row r="269" spans="1:5" s="136" customFormat="1" x14ac:dyDescent="0.2">
      <c r="A269" s="135" t="s">
        <v>941</v>
      </c>
      <c r="B269" s="135" t="s">
        <v>942</v>
      </c>
      <c r="C269" s="135" t="s">
        <v>943</v>
      </c>
      <c r="D269" s="135" t="s">
        <v>844</v>
      </c>
      <c r="E269" s="135" t="s">
        <v>944</v>
      </c>
    </row>
    <row r="270" spans="1:5" s="136" customFormat="1" x14ac:dyDescent="0.2">
      <c r="A270" s="135" t="s">
        <v>945</v>
      </c>
      <c r="B270" s="135" t="s">
        <v>946</v>
      </c>
      <c r="C270" s="135" t="s">
        <v>947</v>
      </c>
      <c r="D270" s="135" t="s">
        <v>844</v>
      </c>
      <c r="E270" s="135" t="s">
        <v>948</v>
      </c>
    </row>
    <row r="271" spans="1:5" s="136" customFormat="1" x14ac:dyDescent="0.2">
      <c r="A271" s="135" t="s">
        <v>949</v>
      </c>
      <c r="B271" s="135" t="s">
        <v>950</v>
      </c>
      <c r="C271" s="135" t="s">
        <v>951</v>
      </c>
      <c r="D271" s="135" t="s">
        <v>844</v>
      </c>
      <c r="E271" s="135" t="s">
        <v>952</v>
      </c>
    </row>
    <row r="272" spans="1:5" s="136" customFormat="1" x14ac:dyDescent="0.2">
      <c r="A272" s="135" t="s">
        <v>953</v>
      </c>
      <c r="B272" s="135" t="s">
        <v>954</v>
      </c>
      <c r="C272" s="135" t="s">
        <v>955</v>
      </c>
      <c r="D272" s="135" t="s">
        <v>956</v>
      </c>
      <c r="E272" s="135" t="s">
        <v>957</v>
      </c>
    </row>
    <row r="273" spans="1:5" s="136" customFormat="1" x14ac:dyDescent="0.2">
      <c r="A273" s="135" t="s">
        <v>958</v>
      </c>
      <c r="B273" s="135" t="s">
        <v>959</v>
      </c>
      <c r="C273" s="135" t="s">
        <v>960</v>
      </c>
      <c r="D273" s="135" t="s">
        <v>821</v>
      </c>
      <c r="E273" s="135" t="s">
        <v>961</v>
      </c>
    </row>
    <row r="274" spans="1:5" s="136" customFormat="1" x14ac:dyDescent="0.2">
      <c r="A274" s="135" t="s">
        <v>962</v>
      </c>
      <c r="B274" s="135" t="s">
        <v>963</v>
      </c>
      <c r="C274" s="135" t="s">
        <v>964</v>
      </c>
      <c r="D274" s="135" t="s">
        <v>956</v>
      </c>
      <c r="E274" s="135" t="s">
        <v>965</v>
      </c>
    </row>
    <row r="275" spans="1:5" s="136" customFormat="1" x14ac:dyDescent="0.2">
      <c r="A275" s="135" t="s">
        <v>966</v>
      </c>
      <c r="B275" s="135" t="s">
        <v>967</v>
      </c>
      <c r="C275" s="135" t="s">
        <v>968</v>
      </c>
      <c r="D275" s="135" t="s">
        <v>969</v>
      </c>
      <c r="E275" s="135" t="s">
        <v>970</v>
      </c>
    </row>
    <row r="276" spans="1:5" s="136" customFormat="1" x14ac:dyDescent="0.2">
      <c r="A276" s="135" t="s">
        <v>971</v>
      </c>
      <c r="B276" s="135" t="s">
        <v>972</v>
      </c>
      <c r="C276" s="135" t="s">
        <v>973</v>
      </c>
      <c r="D276" s="135" t="s">
        <v>821</v>
      </c>
      <c r="E276" s="135" t="s">
        <v>974</v>
      </c>
    </row>
    <row r="277" spans="1:5" s="136" customFormat="1" x14ac:dyDescent="0.2">
      <c r="A277" s="135" t="s">
        <v>975</v>
      </c>
      <c r="B277" s="135" t="s">
        <v>976</v>
      </c>
      <c r="C277" s="135" t="s">
        <v>977</v>
      </c>
      <c r="D277" s="135" t="s">
        <v>821</v>
      </c>
      <c r="E277" s="135" t="s">
        <v>978</v>
      </c>
    </row>
    <row r="278" spans="1:5" s="136" customFormat="1" x14ac:dyDescent="0.2">
      <c r="A278" s="135" t="s">
        <v>979</v>
      </c>
      <c r="B278" s="135" t="s">
        <v>980</v>
      </c>
      <c r="C278" s="135" t="s">
        <v>981</v>
      </c>
      <c r="D278" s="135" t="s">
        <v>982</v>
      </c>
      <c r="E278" s="135" t="s">
        <v>983</v>
      </c>
    </row>
    <row r="279" spans="1:5" s="136" customFormat="1" x14ac:dyDescent="0.2">
      <c r="A279" s="135" t="s">
        <v>984</v>
      </c>
      <c r="B279" s="135" t="s">
        <v>985</v>
      </c>
      <c r="C279" s="135" t="s">
        <v>986</v>
      </c>
      <c r="D279" s="135" t="s">
        <v>987</v>
      </c>
      <c r="E279" s="135" t="s">
        <v>988</v>
      </c>
    </row>
    <row r="280" spans="1:5" s="136" customFormat="1" x14ac:dyDescent="0.2">
      <c r="A280" s="135" t="s">
        <v>989</v>
      </c>
      <c r="B280" s="135" t="s">
        <v>990</v>
      </c>
      <c r="C280" s="135" t="s">
        <v>991</v>
      </c>
      <c r="D280" s="135" t="s">
        <v>992</v>
      </c>
      <c r="E280" s="135" t="s">
        <v>993</v>
      </c>
    </row>
    <row r="281" spans="1:5" s="136" customFormat="1" x14ac:dyDescent="0.2">
      <c r="A281" s="135" t="s">
        <v>994</v>
      </c>
      <c r="B281" s="135" t="s">
        <v>995</v>
      </c>
      <c r="C281" s="135" t="s">
        <v>996</v>
      </c>
      <c r="D281" s="135" t="s">
        <v>997</v>
      </c>
      <c r="E281" s="135" t="s">
        <v>998</v>
      </c>
    </row>
    <row r="282" spans="1:5" s="136" customFormat="1" x14ac:dyDescent="0.2">
      <c r="A282" s="135" t="s">
        <v>999</v>
      </c>
      <c r="B282" s="135" t="s">
        <v>1000</v>
      </c>
      <c r="C282" s="135" t="s">
        <v>1001</v>
      </c>
      <c r="D282" s="135" t="s">
        <v>1002</v>
      </c>
      <c r="E282" s="135" t="s">
        <v>1003</v>
      </c>
    </row>
    <row r="283" spans="1:5" s="136" customFormat="1" x14ac:dyDescent="0.2">
      <c r="A283" s="135" t="s">
        <v>1004</v>
      </c>
      <c r="B283" s="135" t="s">
        <v>1005</v>
      </c>
      <c r="C283" s="135" t="s">
        <v>1006</v>
      </c>
      <c r="D283" s="135" t="s">
        <v>1007</v>
      </c>
      <c r="E283" s="135" t="s">
        <v>1008</v>
      </c>
    </row>
    <row r="284" spans="1:5" s="136" customFormat="1" x14ac:dyDescent="0.2">
      <c r="A284" s="135" t="s">
        <v>1009</v>
      </c>
      <c r="B284" s="135" t="s">
        <v>1010</v>
      </c>
      <c r="C284" s="135" t="s">
        <v>1011</v>
      </c>
      <c r="D284" s="135" t="s">
        <v>997</v>
      </c>
      <c r="E284" s="135" t="s">
        <v>1012</v>
      </c>
    </row>
    <row r="285" spans="1:5" s="136" customFormat="1" x14ac:dyDescent="0.2">
      <c r="A285" s="135" t="s">
        <v>1013</v>
      </c>
      <c r="B285" s="135" t="s">
        <v>1014</v>
      </c>
      <c r="C285" s="135" t="s">
        <v>1015</v>
      </c>
      <c r="D285" s="135" t="s">
        <v>1016</v>
      </c>
      <c r="E285" s="135" t="s">
        <v>1017</v>
      </c>
    </row>
    <row r="286" spans="1:5" s="136" customFormat="1" x14ac:dyDescent="0.2">
      <c r="A286" s="135" t="s">
        <v>1018</v>
      </c>
      <c r="B286" s="135" t="s">
        <v>1019</v>
      </c>
      <c r="C286" s="135" t="s">
        <v>1020</v>
      </c>
      <c r="D286" s="135" t="s">
        <v>992</v>
      </c>
      <c r="E286" s="135" t="s">
        <v>1021</v>
      </c>
    </row>
    <row r="287" spans="1:5" s="136" customFormat="1" x14ac:dyDescent="0.2">
      <c r="A287" s="135" t="s">
        <v>1022</v>
      </c>
      <c r="B287" s="135" t="s">
        <v>1023</v>
      </c>
      <c r="C287" s="135" t="s">
        <v>1024</v>
      </c>
      <c r="D287" s="135" t="s">
        <v>987</v>
      </c>
      <c r="E287" s="135" t="s">
        <v>1025</v>
      </c>
    </row>
    <row r="288" spans="1:5" s="136" customFormat="1" x14ac:dyDescent="0.2">
      <c r="A288" s="135" t="s">
        <v>1026</v>
      </c>
      <c r="B288" s="135" t="s">
        <v>1027</v>
      </c>
      <c r="C288" s="135" t="s">
        <v>1028</v>
      </c>
      <c r="D288" s="135" t="s">
        <v>1029</v>
      </c>
      <c r="E288" s="135" t="s">
        <v>1030</v>
      </c>
    </row>
    <row r="289" spans="1:5" s="136" customFormat="1" x14ac:dyDescent="0.2">
      <c r="A289" s="135" t="s">
        <v>1031</v>
      </c>
      <c r="B289" s="135" t="s">
        <v>1032</v>
      </c>
      <c r="C289" s="135" t="s">
        <v>1033</v>
      </c>
      <c r="D289" s="135" t="s">
        <v>1029</v>
      </c>
      <c r="E289" s="135" t="s">
        <v>1034</v>
      </c>
    </row>
    <row r="290" spans="1:5" s="136" customFormat="1" x14ac:dyDescent="0.2">
      <c r="A290" s="135" t="s">
        <v>1035</v>
      </c>
      <c r="B290" s="135" t="s">
        <v>1036</v>
      </c>
      <c r="C290" s="135" t="s">
        <v>1037</v>
      </c>
      <c r="D290" s="135" t="s">
        <v>1002</v>
      </c>
      <c r="E290" s="135" t="s">
        <v>1038</v>
      </c>
    </row>
    <row r="291" spans="1:5" s="136" customFormat="1" x14ac:dyDescent="0.2">
      <c r="A291" s="135" t="s">
        <v>1039</v>
      </c>
      <c r="B291" s="135" t="s">
        <v>1040</v>
      </c>
      <c r="C291" s="135" t="s">
        <v>1041</v>
      </c>
      <c r="D291" s="135" t="s">
        <v>982</v>
      </c>
      <c r="E291" s="135" t="s">
        <v>1042</v>
      </c>
    </row>
    <row r="292" spans="1:5" s="136" customFormat="1" x14ac:dyDescent="0.2">
      <c r="A292" s="135" t="s">
        <v>1043</v>
      </c>
      <c r="B292" s="135" t="s">
        <v>1044</v>
      </c>
      <c r="C292" s="135" t="s">
        <v>1045</v>
      </c>
      <c r="D292" s="135" t="s">
        <v>1029</v>
      </c>
      <c r="E292" s="135" t="s">
        <v>1046</v>
      </c>
    </row>
    <row r="293" spans="1:5" s="136" customFormat="1" x14ac:dyDescent="0.2">
      <c r="A293" s="135" t="s">
        <v>1047</v>
      </c>
      <c r="B293" s="135" t="s">
        <v>1048</v>
      </c>
      <c r="C293" s="135" t="s">
        <v>1049</v>
      </c>
      <c r="D293" s="135" t="s">
        <v>1029</v>
      </c>
      <c r="E293" s="135" t="s">
        <v>1050</v>
      </c>
    </row>
    <row r="294" spans="1:5" s="136" customFormat="1" x14ac:dyDescent="0.2">
      <c r="A294" s="135" t="s">
        <v>1051</v>
      </c>
      <c r="B294" s="135" t="s">
        <v>1052</v>
      </c>
      <c r="C294" s="135" t="s">
        <v>1053</v>
      </c>
      <c r="D294" s="135" t="s">
        <v>982</v>
      </c>
      <c r="E294" s="135" t="s">
        <v>1054</v>
      </c>
    </row>
    <row r="295" spans="1:5" s="136" customFormat="1" x14ac:dyDescent="0.2">
      <c r="A295" s="135" t="s">
        <v>1055</v>
      </c>
      <c r="B295" s="135" t="s">
        <v>1056</v>
      </c>
      <c r="C295" s="135" t="s">
        <v>1057</v>
      </c>
      <c r="D295" s="135" t="s">
        <v>982</v>
      </c>
      <c r="E295" s="135" t="s">
        <v>1058</v>
      </c>
    </row>
    <row r="296" spans="1:5" s="136" customFormat="1" x14ac:dyDescent="0.2">
      <c r="A296" s="135" t="s">
        <v>1059</v>
      </c>
      <c r="B296" s="135" t="s">
        <v>1060</v>
      </c>
      <c r="C296" s="135" t="s">
        <v>1061</v>
      </c>
      <c r="D296" s="135" t="s">
        <v>982</v>
      </c>
      <c r="E296" s="135" t="s">
        <v>1062</v>
      </c>
    </row>
    <row r="297" spans="1:5" s="136" customFormat="1" x14ac:dyDescent="0.2">
      <c r="A297" s="135" t="s">
        <v>1063</v>
      </c>
      <c r="B297" s="135" t="s">
        <v>1064</v>
      </c>
      <c r="C297" s="135" t="s">
        <v>1065</v>
      </c>
      <c r="D297" s="135" t="s">
        <v>1002</v>
      </c>
      <c r="E297" s="135" t="s">
        <v>1066</v>
      </c>
    </row>
    <row r="298" spans="1:5" s="136" customFormat="1" x14ac:dyDescent="0.2">
      <c r="A298" s="135" t="s">
        <v>1067</v>
      </c>
      <c r="B298" s="135" t="s">
        <v>1068</v>
      </c>
      <c r="C298" s="135" t="s">
        <v>1069</v>
      </c>
      <c r="D298" s="135" t="s">
        <v>1002</v>
      </c>
      <c r="E298" s="135" t="s">
        <v>1070</v>
      </c>
    </row>
    <row r="299" spans="1:5" s="136" customFormat="1" x14ac:dyDescent="0.2">
      <c r="A299" s="135" t="s">
        <v>1071</v>
      </c>
      <c r="B299" s="135" t="s">
        <v>1072</v>
      </c>
      <c r="C299" s="135" t="s">
        <v>1073</v>
      </c>
      <c r="D299" s="135" t="s">
        <v>1016</v>
      </c>
      <c r="E299" s="135" t="s">
        <v>1074</v>
      </c>
    </row>
    <row r="300" spans="1:5" s="136" customFormat="1" x14ac:dyDescent="0.2">
      <c r="A300" s="135" t="s">
        <v>1075</v>
      </c>
      <c r="B300" s="135" t="s">
        <v>1076</v>
      </c>
      <c r="C300" s="135" t="s">
        <v>1077</v>
      </c>
      <c r="D300" s="135" t="s">
        <v>992</v>
      </c>
      <c r="E300" s="135" t="s">
        <v>1078</v>
      </c>
    </row>
    <row r="301" spans="1:5" s="136" customFormat="1" x14ac:dyDescent="0.2">
      <c r="A301" s="135" t="s">
        <v>1079</v>
      </c>
      <c r="B301" s="135" t="s">
        <v>1080</v>
      </c>
      <c r="C301" s="135" t="s">
        <v>1081</v>
      </c>
      <c r="D301" s="135" t="s">
        <v>987</v>
      </c>
      <c r="E301" s="135" t="s">
        <v>1082</v>
      </c>
    </row>
    <row r="302" spans="1:5" s="136" customFormat="1" x14ac:dyDescent="0.2">
      <c r="A302" s="135" t="s">
        <v>1083</v>
      </c>
      <c r="B302" s="135" t="s">
        <v>1084</v>
      </c>
      <c r="C302" s="135" t="s">
        <v>1085</v>
      </c>
      <c r="D302" s="135" t="s">
        <v>987</v>
      </c>
      <c r="E302" s="135" t="s">
        <v>1086</v>
      </c>
    </row>
    <row r="303" spans="1:5" s="136" customFormat="1" x14ac:dyDescent="0.2">
      <c r="A303" s="135" t="s">
        <v>1087</v>
      </c>
      <c r="B303" s="135" t="s">
        <v>1088</v>
      </c>
      <c r="C303" s="135" t="s">
        <v>1089</v>
      </c>
      <c r="D303" s="135" t="s">
        <v>1007</v>
      </c>
      <c r="E303" s="135" t="s">
        <v>1090</v>
      </c>
    </row>
    <row r="304" spans="1:5" s="136" customFormat="1" x14ac:dyDescent="0.2">
      <c r="A304" s="135" t="s">
        <v>1091</v>
      </c>
      <c r="B304" s="135" t="s">
        <v>1092</v>
      </c>
      <c r="C304" s="135" t="s">
        <v>1093</v>
      </c>
      <c r="D304" s="135" t="s">
        <v>1007</v>
      </c>
      <c r="E304" s="135" t="s">
        <v>1094</v>
      </c>
    </row>
    <row r="305" spans="1:5" s="136" customFormat="1" x14ac:dyDescent="0.2">
      <c r="A305" s="135" t="s">
        <v>1095</v>
      </c>
      <c r="B305" s="135" t="s">
        <v>1096</v>
      </c>
      <c r="C305" s="135" t="s">
        <v>1097</v>
      </c>
      <c r="D305" s="135" t="s">
        <v>1007</v>
      </c>
      <c r="E305" s="135" t="s">
        <v>1098</v>
      </c>
    </row>
    <row r="306" spans="1:5" s="136" customFormat="1" x14ac:dyDescent="0.2">
      <c r="A306" s="135" t="s">
        <v>1099</v>
      </c>
      <c r="B306" s="135" t="s">
        <v>1100</v>
      </c>
      <c r="C306" s="135" t="s">
        <v>1101</v>
      </c>
      <c r="D306" s="135" t="s">
        <v>1029</v>
      </c>
      <c r="E306" s="135" t="s">
        <v>1102</v>
      </c>
    </row>
    <row r="307" spans="1:5" s="136" customFormat="1" x14ac:dyDescent="0.2">
      <c r="A307" s="135" t="s">
        <v>1103</v>
      </c>
      <c r="B307" s="135" t="s">
        <v>1104</v>
      </c>
      <c r="C307" s="135" t="s">
        <v>1105</v>
      </c>
      <c r="D307" s="135" t="s">
        <v>1007</v>
      </c>
      <c r="E307" s="135" t="s">
        <v>1106</v>
      </c>
    </row>
    <row r="308" spans="1:5" s="136" customFormat="1" x14ac:dyDescent="0.2">
      <c r="A308" s="135" t="s">
        <v>1107</v>
      </c>
      <c r="B308" s="135" t="s">
        <v>1108</v>
      </c>
      <c r="C308" s="135" t="s">
        <v>1109</v>
      </c>
      <c r="D308" s="135" t="s">
        <v>1029</v>
      </c>
      <c r="E308" s="135" t="s">
        <v>1110</v>
      </c>
    </row>
    <row r="309" spans="1:5" s="136" customFormat="1" x14ac:dyDescent="0.2">
      <c r="A309" s="135" t="s">
        <v>1111</v>
      </c>
      <c r="B309" s="135" t="s">
        <v>1112</v>
      </c>
      <c r="C309" s="135" t="s">
        <v>1113</v>
      </c>
      <c r="D309" s="135" t="s">
        <v>1007</v>
      </c>
      <c r="E309" s="135" t="s">
        <v>1114</v>
      </c>
    </row>
    <row r="310" spans="1:5" s="136" customFormat="1" x14ac:dyDescent="0.2">
      <c r="A310" s="135" t="s">
        <v>1115</v>
      </c>
      <c r="B310" s="135" t="s">
        <v>1116</v>
      </c>
      <c r="C310" s="135" t="s">
        <v>1117</v>
      </c>
      <c r="D310" s="135" t="s">
        <v>1029</v>
      </c>
      <c r="E310" s="135" t="s">
        <v>1118</v>
      </c>
    </row>
    <row r="311" spans="1:5" s="136" customFormat="1" x14ac:dyDescent="0.2">
      <c r="A311" s="135" t="s">
        <v>1119</v>
      </c>
      <c r="B311" s="135" t="s">
        <v>1120</v>
      </c>
      <c r="C311" s="135" t="s">
        <v>1121</v>
      </c>
    </row>
    <row r="312" spans="1:5" s="136" customFormat="1" x14ac:dyDescent="0.2">
      <c r="A312" s="135" t="s">
        <v>1122</v>
      </c>
      <c r="B312" s="135" t="s">
        <v>1123</v>
      </c>
      <c r="C312" s="135" t="s">
        <v>1124</v>
      </c>
      <c r="D312" s="135" t="s">
        <v>1125</v>
      </c>
      <c r="E312" s="135" t="s">
        <v>1126</v>
      </c>
    </row>
    <row r="313" spans="1:5" s="136" customFormat="1" x14ac:dyDescent="0.2">
      <c r="A313" s="135" t="s">
        <v>1127</v>
      </c>
      <c r="B313" s="135" t="s">
        <v>1128</v>
      </c>
      <c r="C313" s="135" t="s">
        <v>1129</v>
      </c>
      <c r="D313" s="135" t="s">
        <v>1125</v>
      </c>
      <c r="E313" s="135" t="s">
        <v>1130</v>
      </c>
    </row>
    <row r="314" spans="1:5" s="136" customFormat="1" x14ac:dyDescent="0.2">
      <c r="A314" s="135" t="s">
        <v>1131</v>
      </c>
      <c r="B314" s="135" t="s">
        <v>1132</v>
      </c>
      <c r="C314" s="135" t="s">
        <v>1133</v>
      </c>
      <c r="D314" s="135" t="s">
        <v>1125</v>
      </c>
      <c r="E314" s="135" t="s">
        <v>1134</v>
      </c>
    </row>
    <row r="315" spans="1:5" s="136" customFormat="1" x14ac:dyDescent="0.2">
      <c r="A315" s="135" t="s">
        <v>1135</v>
      </c>
      <c r="B315" s="135" t="s">
        <v>1136</v>
      </c>
      <c r="C315" s="135" t="s">
        <v>1137</v>
      </c>
      <c r="D315" s="135" t="s">
        <v>1125</v>
      </c>
      <c r="E315" s="135" t="s">
        <v>1138</v>
      </c>
    </row>
    <row r="316" spans="1:5" s="136" customFormat="1" x14ac:dyDescent="0.2">
      <c r="A316" s="135" t="s">
        <v>1139</v>
      </c>
      <c r="B316" s="135" t="s">
        <v>1140</v>
      </c>
      <c r="C316" s="135" t="s">
        <v>1141</v>
      </c>
      <c r="D316" s="135" t="s">
        <v>1125</v>
      </c>
      <c r="E316" s="135" t="s">
        <v>1142</v>
      </c>
    </row>
    <row r="317" spans="1:5" s="136" customFormat="1" x14ac:dyDescent="0.2">
      <c r="A317" s="135" t="s">
        <v>1143</v>
      </c>
      <c r="B317" s="135" t="s">
        <v>1144</v>
      </c>
      <c r="C317" s="135" t="s">
        <v>1145</v>
      </c>
      <c r="D317" s="135" t="s">
        <v>1146</v>
      </c>
      <c r="E317" s="135" t="s">
        <v>1147</v>
      </c>
    </row>
    <row r="318" spans="1:5" s="136" customFormat="1" x14ac:dyDescent="0.2">
      <c r="A318" s="135" t="s">
        <v>1148</v>
      </c>
      <c r="B318" s="135" t="s">
        <v>1149</v>
      </c>
      <c r="C318" s="135" t="s">
        <v>1150</v>
      </c>
      <c r="D318" s="135" t="s">
        <v>1125</v>
      </c>
      <c r="E318" s="135" t="s">
        <v>1151</v>
      </c>
    </row>
    <row r="319" spans="1:5" s="136" customFormat="1" x14ac:dyDescent="0.2">
      <c r="A319" s="135" t="s">
        <v>1152</v>
      </c>
      <c r="B319" s="135" t="s">
        <v>1153</v>
      </c>
      <c r="C319" s="135" t="s">
        <v>1154</v>
      </c>
      <c r="D319" s="135" t="s">
        <v>1155</v>
      </c>
      <c r="E319" s="135" t="s">
        <v>1156</v>
      </c>
    </row>
    <row r="320" spans="1:5" s="136" customFormat="1" x14ac:dyDescent="0.2">
      <c r="A320" s="135" t="s">
        <v>1157</v>
      </c>
      <c r="B320" s="135" t="s">
        <v>1158</v>
      </c>
      <c r="C320" s="135" t="s">
        <v>1159</v>
      </c>
      <c r="D320" s="135" t="s">
        <v>1160</v>
      </c>
      <c r="E320" s="135" t="s">
        <v>1161</v>
      </c>
    </row>
    <row r="321" spans="1:5" s="136" customFormat="1" x14ac:dyDescent="0.2">
      <c r="A321" s="135" t="s">
        <v>1162</v>
      </c>
      <c r="B321" s="135" t="s">
        <v>1163</v>
      </c>
      <c r="C321" s="135" t="s">
        <v>1164</v>
      </c>
      <c r="D321" s="135" t="s">
        <v>1165</v>
      </c>
      <c r="E321" s="135" t="s">
        <v>1166</v>
      </c>
    </row>
    <row r="322" spans="1:5" s="136" customFormat="1" x14ac:dyDescent="0.2">
      <c r="A322" s="135" t="s">
        <v>1167</v>
      </c>
      <c r="B322" s="135" t="s">
        <v>1168</v>
      </c>
      <c r="C322" s="135" t="s">
        <v>1169</v>
      </c>
      <c r="D322" s="135" t="s">
        <v>1160</v>
      </c>
      <c r="E322" s="135" t="s">
        <v>1170</v>
      </c>
    </row>
    <row r="323" spans="1:5" s="136" customFormat="1" x14ac:dyDescent="0.2">
      <c r="A323" s="135" t="s">
        <v>1171</v>
      </c>
      <c r="B323" s="135" t="s">
        <v>1172</v>
      </c>
      <c r="C323" s="135" t="s">
        <v>1173</v>
      </c>
      <c r="D323" s="135" t="s">
        <v>1125</v>
      </c>
      <c r="E323" s="135" t="s">
        <v>1174</v>
      </c>
    </row>
    <row r="324" spans="1:5" s="136" customFormat="1" x14ac:dyDescent="0.2">
      <c r="A324" s="135" t="s">
        <v>1175</v>
      </c>
      <c r="B324" s="135" t="s">
        <v>1176</v>
      </c>
      <c r="C324" s="135" t="s">
        <v>1177</v>
      </c>
      <c r="D324" s="135" t="s">
        <v>1178</v>
      </c>
      <c r="E324" s="135" t="s">
        <v>1179</v>
      </c>
    </row>
    <row r="325" spans="1:5" s="136" customFormat="1" x14ac:dyDescent="0.2">
      <c r="A325" s="135" t="s">
        <v>1180</v>
      </c>
      <c r="B325" s="135" t="s">
        <v>1181</v>
      </c>
      <c r="C325" s="135" t="s">
        <v>1182</v>
      </c>
      <c r="D325" s="135" t="s">
        <v>1183</v>
      </c>
      <c r="E325" s="135" t="s">
        <v>1184</v>
      </c>
    </row>
    <row r="326" spans="1:5" s="136" customFormat="1" x14ac:dyDescent="0.2">
      <c r="A326" s="135" t="s">
        <v>1185</v>
      </c>
      <c r="B326" s="135" t="s">
        <v>1186</v>
      </c>
      <c r="C326" s="135" t="s">
        <v>1187</v>
      </c>
      <c r="D326" s="135" t="s">
        <v>1188</v>
      </c>
      <c r="E326" s="135" t="s">
        <v>1189</v>
      </c>
    </row>
    <row r="327" spans="1:5" s="136" customFormat="1" x14ac:dyDescent="0.2">
      <c r="A327" s="135" t="s">
        <v>1190</v>
      </c>
      <c r="B327" s="135" t="s">
        <v>1191</v>
      </c>
      <c r="C327" s="135" t="s">
        <v>1192</v>
      </c>
      <c r="D327" s="135" t="s">
        <v>1146</v>
      </c>
      <c r="E327" s="135" t="s">
        <v>1193</v>
      </c>
    </row>
    <row r="328" spans="1:5" s="136" customFormat="1" x14ac:dyDescent="0.2">
      <c r="A328" s="135" t="s">
        <v>1194</v>
      </c>
      <c r="B328" s="135" t="s">
        <v>1195</v>
      </c>
      <c r="C328" s="135" t="s">
        <v>1196</v>
      </c>
      <c r="D328" s="135" t="s">
        <v>1197</v>
      </c>
      <c r="E328" s="135" t="s">
        <v>1198</v>
      </c>
    </row>
    <row r="329" spans="1:5" s="136" customFormat="1" x14ac:dyDescent="0.2">
      <c r="A329" s="135" t="s">
        <v>1199</v>
      </c>
      <c r="B329" s="135" t="s">
        <v>1200</v>
      </c>
      <c r="C329" s="135" t="s">
        <v>1201</v>
      </c>
      <c r="D329" s="135" t="s">
        <v>1160</v>
      </c>
      <c r="E329" s="135" t="s">
        <v>1202</v>
      </c>
    </row>
    <row r="330" spans="1:5" s="136" customFormat="1" x14ac:dyDescent="0.2">
      <c r="A330" s="135" t="s">
        <v>1203</v>
      </c>
      <c r="B330" s="135" t="s">
        <v>1204</v>
      </c>
      <c r="C330" s="135" t="s">
        <v>1205</v>
      </c>
      <c r="D330" s="135" t="s">
        <v>1160</v>
      </c>
      <c r="E330" s="135" t="s">
        <v>1206</v>
      </c>
    </row>
    <row r="331" spans="1:5" s="136" customFormat="1" x14ac:dyDescent="0.2">
      <c r="A331" s="135" t="s">
        <v>1207</v>
      </c>
      <c r="B331" s="135" t="s">
        <v>1208</v>
      </c>
      <c r="C331" s="135" t="s">
        <v>1209</v>
      </c>
      <c r="D331" s="135" t="s">
        <v>1160</v>
      </c>
      <c r="E331" s="135" t="s">
        <v>1210</v>
      </c>
    </row>
    <row r="332" spans="1:5" s="136" customFormat="1" x14ac:dyDescent="0.2">
      <c r="A332" s="135" t="s">
        <v>1211</v>
      </c>
      <c r="B332" s="135" t="s">
        <v>1212</v>
      </c>
      <c r="C332" s="135" t="s">
        <v>1213</v>
      </c>
      <c r="D332" s="135" t="s">
        <v>1160</v>
      </c>
      <c r="E332" s="135" t="s">
        <v>1214</v>
      </c>
    </row>
    <row r="333" spans="1:5" s="136" customFormat="1" x14ac:dyDescent="0.2">
      <c r="A333" s="135" t="s">
        <v>1215</v>
      </c>
      <c r="B333" s="135" t="s">
        <v>1216</v>
      </c>
      <c r="C333" s="135" t="s">
        <v>1217</v>
      </c>
      <c r="D333" s="135" t="s">
        <v>1160</v>
      </c>
      <c r="E333" s="135" t="s">
        <v>1218</v>
      </c>
    </row>
    <row r="334" spans="1:5" s="136" customFormat="1" x14ac:dyDescent="0.2">
      <c r="A334" s="135" t="s">
        <v>1219</v>
      </c>
      <c r="B334" s="135" t="s">
        <v>1220</v>
      </c>
      <c r="C334" s="135" t="s">
        <v>1221</v>
      </c>
      <c r="D334" s="135" t="s">
        <v>1160</v>
      </c>
      <c r="E334" s="135" t="s">
        <v>1222</v>
      </c>
    </row>
    <row r="335" spans="1:5" s="136" customFormat="1" x14ac:dyDescent="0.2">
      <c r="A335" s="135" t="s">
        <v>1223</v>
      </c>
      <c r="B335" s="135" t="s">
        <v>1224</v>
      </c>
      <c r="C335" s="135" t="s">
        <v>1225</v>
      </c>
      <c r="D335" s="135" t="s">
        <v>1160</v>
      </c>
      <c r="E335" s="135" t="s">
        <v>1226</v>
      </c>
    </row>
    <row r="336" spans="1:5" s="136" customFormat="1" x14ac:dyDescent="0.2">
      <c r="A336" s="135" t="s">
        <v>1227</v>
      </c>
      <c r="B336" s="135" t="s">
        <v>1228</v>
      </c>
      <c r="C336" s="135" t="s">
        <v>1229</v>
      </c>
      <c r="D336" s="135" t="s">
        <v>1178</v>
      </c>
      <c r="E336" s="135" t="s">
        <v>1230</v>
      </c>
    </row>
    <row r="337" spans="1:5" s="136" customFormat="1" x14ac:dyDescent="0.2">
      <c r="A337" s="135" t="s">
        <v>1231</v>
      </c>
      <c r="B337" s="135" t="s">
        <v>1232</v>
      </c>
      <c r="C337" s="135" t="s">
        <v>1233</v>
      </c>
      <c r="D337" s="135" t="s">
        <v>1178</v>
      </c>
      <c r="E337" s="135" t="s">
        <v>1234</v>
      </c>
    </row>
    <row r="338" spans="1:5" s="136" customFormat="1" x14ac:dyDescent="0.2">
      <c r="A338" s="135" t="s">
        <v>1235</v>
      </c>
      <c r="B338" s="135" t="s">
        <v>1236</v>
      </c>
      <c r="C338" s="135" t="s">
        <v>1237</v>
      </c>
      <c r="D338" s="135" t="s">
        <v>1125</v>
      </c>
      <c r="E338" s="135" t="s">
        <v>1238</v>
      </c>
    </row>
    <row r="339" spans="1:5" s="136" customFormat="1" x14ac:dyDescent="0.2">
      <c r="A339" s="135" t="s">
        <v>1239</v>
      </c>
      <c r="B339" s="135" t="s">
        <v>1240</v>
      </c>
      <c r="C339" s="135" t="s">
        <v>1241</v>
      </c>
      <c r="D339" s="135" t="s">
        <v>1125</v>
      </c>
      <c r="E339" s="135" t="s">
        <v>1174</v>
      </c>
    </row>
    <row r="340" spans="1:5" s="136" customFormat="1" x14ac:dyDescent="0.2">
      <c r="A340" s="135" t="s">
        <v>1242</v>
      </c>
      <c r="B340" s="135" t="s">
        <v>1243</v>
      </c>
      <c r="C340" s="135" t="s">
        <v>1244</v>
      </c>
      <c r="D340" s="135" t="s">
        <v>1125</v>
      </c>
      <c r="E340" s="135" t="s">
        <v>1245</v>
      </c>
    </row>
    <row r="341" spans="1:5" s="136" customFormat="1" x14ac:dyDescent="0.2">
      <c r="A341" s="135" t="s">
        <v>1246</v>
      </c>
      <c r="B341" s="135" t="s">
        <v>1247</v>
      </c>
      <c r="C341" s="135" t="s">
        <v>1248</v>
      </c>
      <c r="D341" s="135" t="s">
        <v>1125</v>
      </c>
      <c r="E341" s="135" t="s">
        <v>1249</v>
      </c>
    </row>
    <row r="342" spans="1:5" s="136" customFormat="1" x14ac:dyDescent="0.2">
      <c r="A342" s="135" t="s">
        <v>1250</v>
      </c>
      <c r="B342" s="135" t="s">
        <v>1251</v>
      </c>
      <c r="C342" s="135" t="s">
        <v>1252</v>
      </c>
      <c r="D342" s="135" t="s">
        <v>1125</v>
      </c>
      <c r="E342" s="135" t="s">
        <v>1253</v>
      </c>
    </row>
    <row r="343" spans="1:5" s="136" customFormat="1" x14ac:dyDescent="0.2">
      <c r="A343" s="135" t="s">
        <v>1254</v>
      </c>
      <c r="B343" s="135" t="s">
        <v>1255</v>
      </c>
      <c r="C343" s="135" t="s">
        <v>1256</v>
      </c>
      <c r="D343" s="135" t="s">
        <v>1125</v>
      </c>
      <c r="E343" s="135" t="s">
        <v>1257</v>
      </c>
    </row>
    <row r="344" spans="1:5" s="136" customFormat="1" x14ac:dyDescent="0.2">
      <c r="A344" s="135" t="s">
        <v>1258</v>
      </c>
      <c r="B344" s="135" t="s">
        <v>1259</v>
      </c>
      <c r="C344" s="135" t="s">
        <v>1260</v>
      </c>
      <c r="D344" s="135" t="s">
        <v>1125</v>
      </c>
      <c r="E344" s="135" t="s">
        <v>1261</v>
      </c>
    </row>
    <row r="345" spans="1:5" s="136" customFormat="1" x14ac:dyDescent="0.2">
      <c r="A345" s="135" t="s">
        <v>1262</v>
      </c>
      <c r="B345" s="135" t="s">
        <v>1263</v>
      </c>
      <c r="C345" s="135" t="s">
        <v>1264</v>
      </c>
      <c r="D345" s="135" t="s">
        <v>1197</v>
      </c>
      <c r="E345" s="135" t="s">
        <v>1265</v>
      </c>
    </row>
    <row r="346" spans="1:5" s="136" customFormat="1" x14ac:dyDescent="0.2">
      <c r="A346" s="135" t="s">
        <v>1266</v>
      </c>
      <c r="B346" s="135" t="s">
        <v>1267</v>
      </c>
      <c r="C346" s="135" t="s">
        <v>1268</v>
      </c>
      <c r="D346" s="135" t="s">
        <v>1197</v>
      </c>
      <c r="E346" s="135" t="s">
        <v>1269</v>
      </c>
    </row>
    <row r="347" spans="1:5" s="136" customFormat="1" x14ac:dyDescent="0.2">
      <c r="A347" s="135" t="s">
        <v>1270</v>
      </c>
      <c r="B347" s="135" t="s">
        <v>1271</v>
      </c>
      <c r="C347" s="135" t="s">
        <v>1272</v>
      </c>
      <c r="D347" s="135" t="s">
        <v>1197</v>
      </c>
      <c r="E347" s="135" t="s">
        <v>1273</v>
      </c>
    </row>
    <row r="348" spans="1:5" s="136" customFormat="1" x14ac:dyDescent="0.2">
      <c r="A348" s="135" t="s">
        <v>1274</v>
      </c>
      <c r="B348" s="135" t="s">
        <v>1275</v>
      </c>
      <c r="C348" s="135" t="s">
        <v>1276</v>
      </c>
      <c r="D348" s="135" t="s">
        <v>1197</v>
      </c>
      <c r="E348" s="135" t="s">
        <v>1277</v>
      </c>
    </row>
    <row r="349" spans="1:5" s="136" customFormat="1" x14ac:dyDescent="0.2">
      <c r="A349" s="135" t="s">
        <v>1278</v>
      </c>
      <c r="B349" s="135" t="s">
        <v>1279</v>
      </c>
      <c r="C349" s="135" t="s">
        <v>1280</v>
      </c>
      <c r="D349" s="135" t="s">
        <v>1146</v>
      </c>
      <c r="E349" s="135" t="s">
        <v>1281</v>
      </c>
    </row>
    <row r="350" spans="1:5" s="136" customFormat="1" x14ac:dyDescent="0.2">
      <c r="A350" s="135" t="s">
        <v>1282</v>
      </c>
      <c r="B350" s="135" t="s">
        <v>1283</v>
      </c>
      <c r="C350" s="135" t="s">
        <v>1284</v>
      </c>
      <c r="D350" s="135" t="s">
        <v>1155</v>
      </c>
      <c r="E350" s="135" t="s">
        <v>1285</v>
      </c>
    </row>
    <row r="351" spans="1:5" s="136" customFormat="1" x14ac:dyDescent="0.2">
      <c r="A351" s="135" t="s">
        <v>1286</v>
      </c>
      <c r="B351" s="135" t="s">
        <v>1287</v>
      </c>
      <c r="C351" s="135" t="s">
        <v>1288</v>
      </c>
      <c r="D351" s="135" t="s">
        <v>1289</v>
      </c>
      <c r="E351" s="135" t="s">
        <v>1290</v>
      </c>
    </row>
    <row r="352" spans="1:5" s="136" customFormat="1" x14ac:dyDescent="0.2">
      <c r="A352" s="135" t="s">
        <v>1291</v>
      </c>
      <c r="B352" s="135" t="s">
        <v>1292</v>
      </c>
      <c r="C352" s="135" t="s">
        <v>1293</v>
      </c>
      <c r="D352" s="135" t="s">
        <v>1294</v>
      </c>
      <c r="E352" s="135" t="s">
        <v>1295</v>
      </c>
    </row>
    <row r="353" spans="1:5" s="136" customFormat="1" x14ac:dyDescent="0.2">
      <c r="A353" s="135" t="s">
        <v>1296</v>
      </c>
      <c r="B353" s="135" t="s">
        <v>1297</v>
      </c>
      <c r="C353" s="135" t="s">
        <v>1298</v>
      </c>
      <c r="D353" s="135" t="s">
        <v>1299</v>
      </c>
      <c r="E353" s="135" t="s">
        <v>1300</v>
      </c>
    </row>
    <row r="354" spans="1:5" s="136" customFormat="1" x14ac:dyDescent="0.2">
      <c r="A354" s="135" t="s">
        <v>1301</v>
      </c>
      <c r="B354" s="135" t="s">
        <v>1302</v>
      </c>
      <c r="C354" s="135" t="s">
        <v>1303</v>
      </c>
      <c r="D354" s="135" t="s">
        <v>1304</v>
      </c>
      <c r="E354" s="135" t="s">
        <v>1305</v>
      </c>
    </row>
    <row r="355" spans="1:5" s="136" customFormat="1" x14ac:dyDescent="0.2">
      <c r="A355" s="135" t="s">
        <v>1306</v>
      </c>
      <c r="B355" s="135" t="s">
        <v>1307</v>
      </c>
      <c r="C355" s="135" t="s">
        <v>1308</v>
      </c>
      <c r="D355" s="135" t="s">
        <v>1294</v>
      </c>
      <c r="E355" s="135" t="s">
        <v>1309</v>
      </c>
    </row>
    <row r="356" spans="1:5" s="136" customFormat="1" x14ac:dyDescent="0.2">
      <c r="A356" s="135" t="s">
        <v>1310</v>
      </c>
      <c r="B356" s="135" t="s">
        <v>1311</v>
      </c>
      <c r="C356" s="135" t="s">
        <v>1312</v>
      </c>
      <c r="D356" s="135" t="s">
        <v>1313</v>
      </c>
      <c r="E356" s="135" t="s">
        <v>1314</v>
      </c>
    </row>
    <row r="357" spans="1:5" s="136" customFormat="1" x14ac:dyDescent="0.2">
      <c r="A357" s="135" t="s">
        <v>1315</v>
      </c>
      <c r="B357" s="135" t="s">
        <v>1316</v>
      </c>
      <c r="C357" s="135" t="s">
        <v>1317</v>
      </c>
      <c r="D357" s="135" t="s">
        <v>1304</v>
      </c>
      <c r="E357" s="135" t="s">
        <v>1318</v>
      </c>
    </row>
    <row r="358" spans="1:5" s="136" customFormat="1" x14ac:dyDescent="0.2">
      <c r="A358" s="135" t="s">
        <v>1319</v>
      </c>
      <c r="B358" s="135" t="s">
        <v>1320</v>
      </c>
      <c r="C358" s="135" t="s">
        <v>1321</v>
      </c>
      <c r="D358" s="135" t="s">
        <v>1322</v>
      </c>
      <c r="E358" s="135" t="s">
        <v>1323</v>
      </c>
    </row>
    <row r="359" spans="1:5" s="136" customFormat="1" x14ac:dyDescent="0.2">
      <c r="A359" s="135" t="s">
        <v>1324</v>
      </c>
      <c r="B359" s="135" t="s">
        <v>1325</v>
      </c>
      <c r="C359" s="135" t="s">
        <v>1326</v>
      </c>
      <c r="D359" s="135" t="s">
        <v>1289</v>
      </c>
      <c r="E359" s="135" t="s">
        <v>1327</v>
      </c>
    </row>
    <row r="360" spans="1:5" s="136" customFormat="1" x14ac:dyDescent="0.2">
      <c r="A360" s="135" t="s">
        <v>1328</v>
      </c>
      <c r="B360" s="135" t="s">
        <v>1329</v>
      </c>
      <c r="C360" s="135" t="s">
        <v>1330</v>
      </c>
      <c r="D360" s="135" t="s">
        <v>1331</v>
      </c>
      <c r="E360" s="135" t="s">
        <v>1332</v>
      </c>
    </row>
    <row r="361" spans="1:5" s="136" customFormat="1" x14ac:dyDescent="0.2">
      <c r="A361" s="135" t="s">
        <v>1333</v>
      </c>
      <c r="B361" s="135" t="s">
        <v>1334</v>
      </c>
      <c r="C361" s="135" t="s">
        <v>1335</v>
      </c>
      <c r="D361" s="135" t="s">
        <v>1304</v>
      </c>
      <c r="E361" s="135" t="s">
        <v>1336</v>
      </c>
    </row>
    <row r="362" spans="1:5" s="136" customFormat="1" x14ac:dyDescent="0.2">
      <c r="A362" s="135" t="s">
        <v>1337</v>
      </c>
      <c r="B362" s="135" t="s">
        <v>1338</v>
      </c>
      <c r="C362" s="135" t="s">
        <v>1339</v>
      </c>
      <c r="D362" s="135" t="s">
        <v>1322</v>
      </c>
      <c r="E362" s="135" t="s">
        <v>1340</v>
      </c>
    </row>
    <row r="363" spans="1:5" s="136" customFormat="1" x14ac:dyDescent="0.2">
      <c r="A363" s="135" t="s">
        <v>1341</v>
      </c>
      <c r="B363" s="135" t="s">
        <v>1342</v>
      </c>
      <c r="C363" s="135" t="s">
        <v>1343</v>
      </c>
      <c r="D363" s="135" t="s">
        <v>1344</v>
      </c>
      <c r="E363" s="135" t="s">
        <v>1345</v>
      </c>
    </row>
    <row r="364" spans="1:5" s="136" customFormat="1" x14ac:dyDescent="0.2">
      <c r="A364" s="135" t="s">
        <v>1346</v>
      </c>
      <c r="B364" s="135" t="s">
        <v>1347</v>
      </c>
      <c r="C364" s="135" t="s">
        <v>1348</v>
      </c>
      <c r="D364" s="135" t="s">
        <v>1349</v>
      </c>
      <c r="E364" s="135" t="s">
        <v>1350</v>
      </c>
    </row>
    <row r="365" spans="1:5" s="136" customFormat="1" x14ac:dyDescent="0.2">
      <c r="A365" s="135" t="s">
        <v>1351</v>
      </c>
      <c r="B365" s="135" t="s">
        <v>1352</v>
      </c>
      <c r="C365" s="135" t="s">
        <v>1353</v>
      </c>
      <c r="D365" s="135" t="s">
        <v>1304</v>
      </c>
      <c r="E365" s="135" t="s">
        <v>1354</v>
      </c>
    </row>
    <row r="366" spans="1:5" s="136" customFormat="1" x14ac:dyDescent="0.2">
      <c r="A366" s="135" t="s">
        <v>1355</v>
      </c>
      <c r="B366" s="135" t="s">
        <v>1356</v>
      </c>
      <c r="C366" s="135" t="s">
        <v>1357</v>
      </c>
      <c r="D366" s="135" t="s">
        <v>1294</v>
      </c>
      <c r="E366" s="135" t="s">
        <v>1358</v>
      </c>
    </row>
    <row r="367" spans="1:5" s="136" customFormat="1" x14ac:dyDescent="0.2">
      <c r="A367" s="135" t="s">
        <v>1359</v>
      </c>
      <c r="B367" s="135" t="s">
        <v>1360</v>
      </c>
      <c r="C367" s="135" t="s">
        <v>1361</v>
      </c>
      <c r="D367" s="135" t="s">
        <v>1294</v>
      </c>
      <c r="E367" s="135" t="s">
        <v>1362</v>
      </c>
    </row>
    <row r="368" spans="1:5" s="136" customFormat="1" x14ac:dyDescent="0.2">
      <c r="A368" s="135" t="s">
        <v>1363</v>
      </c>
      <c r="B368" s="135" t="s">
        <v>1364</v>
      </c>
      <c r="C368" s="135" t="s">
        <v>1365</v>
      </c>
      <c r="D368" s="135" t="s">
        <v>1294</v>
      </c>
      <c r="E368" s="135" t="s">
        <v>1366</v>
      </c>
    </row>
    <row r="369" spans="1:5" s="136" customFormat="1" x14ac:dyDescent="0.2">
      <c r="A369" s="135" t="s">
        <v>1367</v>
      </c>
      <c r="B369" s="135" t="s">
        <v>1368</v>
      </c>
      <c r="C369" s="135" t="s">
        <v>1369</v>
      </c>
      <c r="D369" s="135" t="s">
        <v>1289</v>
      </c>
      <c r="E369" s="135" t="s">
        <v>1370</v>
      </c>
    </row>
    <row r="370" spans="1:5" s="136" customFormat="1" x14ac:dyDescent="0.2">
      <c r="A370" s="135" t="s">
        <v>1371</v>
      </c>
      <c r="B370" s="135" t="s">
        <v>1372</v>
      </c>
      <c r="C370" s="135" t="s">
        <v>1373</v>
      </c>
      <c r="D370" s="135" t="s">
        <v>1289</v>
      </c>
      <c r="E370" s="135" t="s">
        <v>1374</v>
      </c>
    </row>
    <row r="371" spans="1:5" s="136" customFormat="1" x14ac:dyDescent="0.2">
      <c r="A371" s="135" t="s">
        <v>1375</v>
      </c>
      <c r="B371" s="135" t="s">
        <v>1376</v>
      </c>
      <c r="C371" s="135" t="s">
        <v>1377</v>
      </c>
      <c r="D371" s="135" t="s">
        <v>1289</v>
      </c>
      <c r="E371" s="135" t="s">
        <v>1378</v>
      </c>
    </row>
    <row r="372" spans="1:5" s="136" customFormat="1" x14ac:dyDescent="0.2">
      <c r="A372" s="135" t="s">
        <v>1379</v>
      </c>
      <c r="B372" s="135" t="s">
        <v>1380</v>
      </c>
      <c r="C372" s="135" t="s">
        <v>1381</v>
      </c>
      <c r="D372" s="135" t="s">
        <v>1294</v>
      </c>
      <c r="E372" s="135" t="s">
        <v>1382</v>
      </c>
    </row>
    <row r="373" spans="1:5" s="136" customFormat="1" x14ac:dyDescent="0.2">
      <c r="A373" s="135" t="s">
        <v>1383</v>
      </c>
      <c r="B373" s="135" t="s">
        <v>1384</v>
      </c>
      <c r="C373" s="135" t="s">
        <v>1385</v>
      </c>
      <c r="D373" s="135" t="s">
        <v>1386</v>
      </c>
      <c r="E373" s="135" t="s">
        <v>1387</v>
      </c>
    </row>
    <row r="374" spans="1:5" s="136" customFormat="1" x14ac:dyDescent="0.2">
      <c r="A374" s="135" t="s">
        <v>1388</v>
      </c>
      <c r="B374" s="135" t="s">
        <v>1389</v>
      </c>
      <c r="C374" s="135" t="s">
        <v>1390</v>
      </c>
      <c r="D374" s="135" t="s">
        <v>1313</v>
      </c>
      <c r="E374" s="135" t="s">
        <v>1391</v>
      </c>
    </row>
    <row r="375" spans="1:5" s="136" customFormat="1" x14ac:dyDescent="0.2">
      <c r="A375" s="135" t="s">
        <v>1392</v>
      </c>
      <c r="B375" s="135" t="s">
        <v>1393</v>
      </c>
      <c r="C375" s="135" t="s">
        <v>1394</v>
      </c>
      <c r="D375" s="135" t="s">
        <v>1299</v>
      </c>
      <c r="E375" s="135" t="s">
        <v>1395</v>
      </c>
    </row>
    <row r="376" spans="1:5" s="136" customFormat="1" x14ac:dyDescent="0.2">
      <c r="A376" s="135" t="s">
        <v>1396</v>
      </c>
      <c r="B376" s="135" t="s">
        <v>1397</v>
      </c>
      <c r="C376" s="135" t="s">
        <v>1398</v>
      </c>
      <c r="D376" s="135" t="s">
        <v>1399</v>
      </c>
      <c r="E376" s="135" t="s">
        <v>1400</v>
      </c>
    </row>
    <row r="377" spans="1:5" s="136" customFormat="1" x14ac:dyDescent="0.2">
      <c r="A377" s="135" t="s">
        <v>1401</v>
      </c>
      <c r="B377" s="135" t="s">
        <v>1402</v>
      </c>
      <c r="C377" s="135" t="s">
        <v>1403</v>
      </c>
      <c r="D377" s="135" t="s">
        <v>1404</v>
      </c>
      <c r="E377" s="135" t="s">
        <v>1405</v>
      </c>
    </row>
    <row r="378" spans="1:5" s="136" customFormat="1" x14ac:dyDescent="0.2">
      <c r="A378" s="135" t="s">
        <v>1406</v>
      </c>
      <c r="B378" s="135" t="s">
        <v>1407</v>
      </c>
      <c r="C378" s="135" t="s">
        <v>1408</v>
      </c>
      <c r="D378" s="135" t="s">
        <v>1409</v>
      </c>
      <c r="E378" s="135" t="s">
        <v>1410</v>
      </c>
    </row>
    <row r="379" spans="1:5" s="136" customFormat="1" x14ac:dyDescent="0.2">
      <c r="A379" s="135" t="s">
        <v>1411</v>
      </c>
      <c r="B379" s="135" t="s">
        <v>1412</v>
      </c>
      <c r="C379" s="135" t="s">
        <v>1413</v>
      </c>
      <c r="D379" s="135" t="s">
        <v>1414</v>
      </c>
      <c r="E379" s="135" t="s">
        <v>1415</v>
      </c>
    </row>
    <row r="380" spans="1:5" s="136" customFormat="1" x14ac:dyDescent="0.2">
      <c r="A380" s="135" t="s">
        <v>1416</v>
      </c>
      <c r="B380" s="135" t="s">
        <v>1417</v>
      </c>
      <c r="C380" s="135" t="s">
        <v>1418</v>
      </c>
      <c r="D380" s="135" t="s">
        <v>1419</v>
      </c>
      <c r="E380" s="135" t="s">
        <v>1420</v>
      </c>
    </row>
    <row r="381" spans="1:5" s="136" customFormat="1" x14ac:dyDescent="0.2">
      <c r="A381" s="135" t="s">
        <v>1421</v>
      </c>
      <c r="B381" s="135" t="s">
        <v>1422</v>
      </c>
      <c r="C381" s="135" t="s">
        <v>1423</v>
      </c>
      <c r="D381" s="135" t="s">
        <v>1424</v>
      </c>
      <c r="E381" s="135" t="s">
        <v>1425</v>
      </c>
    </row>
    <row r="382" spans="1:5" s="136" customFormat="1" x14ac:dyDescent="0.2">
      <c r="A382" s="135" t="s">
        <v>1426</v>
      </c>
      <c r="B382" s="135" t="s">
        <v>1427</v>
      </c>
      <c r="C382" s="135" t="s">
        <v>1428</v>
      </c>
      <c r="D382" s="135" t="s">
        <v>1399</v>
      </c>
      <c r="E382" s="135" t="s">
        <v>1429</v>
      </c>
    </row>
    <row r="383" spans="1:5" s="136" customFormat="1" x14ac:dyDescent="0.2">
      <c r="A383" s="135" t="s">
        <v>1430</v>
      </c>
      <c r="B383" s="135" t="s">
        <v>1431</v>
      </c>
      <c r="C383" s="135" t="s">
        <v>1432</v>
      </c>
      <c r="D383" s="135" t="s">
        <v>1424</v>
      </c>
      <c r="E383" s="135" t="s">
        <v>1433</v>
      </c>
    </row>
    <row r="384" spans="1:5" s="136" customFormat="1" x14ac:dyDescent="0.2">
      <c r="A384" s="135" t="s">
        <v>1434</v>
      </c>
      <c r="B384" s="135" t="s">
        <v>1435</v>
      </c>
      <c r="C384" s="135" t="s">
        <v>1436</v>
      </c>
      <c r="D384" s="135" t="s">
        <v>1404</v>
      </c>
      <c r="E384" s="135" t="s">
        <v>1437</v>
      </c>
    </row>
    <row r="385" spans="1:5" s="136" customFormat="1" x14ac:dyDescent="0.2">
      <c r="A385" s="135" t="s">
        <v>1438</v>
      </c>
      <c r="B385" s="135" t="s">
        <v>1439</v>
      </c>
      <c r="C385" s="135" t="s">
        <v>1440</v>
      </c>
      <c r="D385" s="135" t="s">
        <v>1399</v>
      </c>
      <c r="E385" s="135" t="s">
        <v>1441</v>
      </c>
    </row>
    <row r="386" spans="1:5" s="136" customFormat="1" x14ac:dyDescent="0.2">
      <c r="A386" s="135" t="s">
        <v>1442</v>
      </c>
      <c r="B386" s="135" t="s">
        <v>1443</v>
      </c>
      <c r="C386" s="135" t="s">
        <v>1444</v>
      </c>
      <c r="D386" s="135" t="s">
        <v>1424</v>
      </c>
      <c r="E386" s="135" t="s">
        <v>1445</v>
      </c>
    </row>
    <row r="387" spans="1:5" s="136" customFormat="1" x14ac:dyDescent="0.2">
      <c r="A387" s="135" t="s">
        <v>1446</v>
      </c>
      <c r="B387" s="135" t="s">
        <v>1447</v>
      </c>
      <c r="C387" s="135" t="s">
        <v>1448</v>
      </c>
      <c r="D387" s="135" t="s">
        <v>1424</v>
      </c>
      <c r="E387" s="135" t="s">
        <v>1449</v>
      </c>
    </row>
    <row r="388" spans="1:5" s="136" customFormat="1" x14ac:dyDescent="0.2">
      <c r="A388" s="135" t="s">
        <v>1450</v>
      </c>
      <c r="B388" s="135" t="s">
        <v>1451</v>
      </c>
      <c r="C388" s="135" t="s">
        <v>1452</v>
      </c>
      <c r="D388" s="135" t="s">
        <v>1404</v>
      </c>
      <c r="E388" s="135" t="s">
        <v>1453</v>
      </c>
    </row>
    <row r="389" spans="1:5" s="136" customFormat="1" x14ac:dyDescent="0.2">
      <c r="A389" s="135" t="s">
        <v>1454</v>
      </c>
      <c r="B389" s="135" t="s">
        <v>1455</v>
      </c>
      <c r="C389" s="135" t="s">
        <v>1456</v>
      </c>
      <c r="D389" s="135" t="s">
        <v>1399</v>
      </c>
      <c r="E389" s="135" t="s">
        <v>1457</v>
      </c>
    </row>
    <row r="390" spans="1:5" s="136" customFormat="1" x14ac:dyDescent="0.2">
      <c r="A390" s="135" t="s">
        <v>1458</v>
      </c>
      <c r="B390" s="135" t="s">
        <v>1459</v>
      </c>
      <c r="C390" s="135" t="s">
        <v>1460</v>
      </c>
      <c r="D390" s="135" t="s">
        <v>1399</v>
      </c>
      <c r="E390" s="135" t="s">
        <v>1461</v>
      </c>
    </row>
    <row r="391" spans="1:5" s="136" customFormat="1" x14ac:dyDescent="0.2">
      <c r="A391" s="135" t="s">
        <v>1462</v>
      </c>
      <c r="B391" s="135" t="s">
        <v>1463</v>
      </c>
      <c r="C391" s="135" t="s">
        <v>1464</v>
      </c>
      <c r="D391" s="135" t="s">
        <v>1424</v>
      </c>
      <c r="E391" s="135" t="s">
        <v>1465</v>
      </c>
    </row>
    <row r="392" spans="1:5" s="136" customFormat="1" x14ac:dyDescent="0.2">
      <c r="A392" s="135" t="s">
        <v>1466</v>
      </c>
      <c r="B392" s="135" t="s">
        <v>1467</v>
      </c>
      <c r="C392" s="135" t="s">
        <v>1468</v>
      </c>
      <c r="D392" s="135" t="s">
        <v>1424</v>
      </c>
      <c r="E392" s="135" t="s">
        <v>1469</v>
      </c>
    </row>
    <row r="393" spans="1:5" s="136" customFormat="1" x14ac:dyDescent="0.2">
      <c r="A393" s="135" t="s">
        <v>1470</v>
      </c>
      <c r="B393" s="135" t="s">
        <v>1471</v>
      </c>
      <c r="C393" s="135" t="s">
        <v>1472</v>
      </c>
      <c r="D393" s="135" t="s">
        <v>1424</v>
      </c>
      <c r="E393" s="135" t="s">
        <v>1473</v>
      </c>
    </row>
    <row r="394" spans="1:5" s="136" customFormat="1" x14ac:dyDescent="0.2">
      <c r="A394" s="135" t="s">
        <v>1474</v>
      </c>
      <c r="B394" s="135" t="s">
        <v>1475</v>
      </c>
      <c r="C394" s="135" t="s">
        <v>1476</v>
      </c>
      <c r="D394" s="135" t="s">
        <v>1424</v>
      </c>
      <c r="E394" s="135" t="s">
        <v>1477</v>
      </c>
    </row>
    <row r="395" spans="1:5" s="136" customFormat="1" x14ac:dyDescent="0.2">
      <c r="A395" s="135" t="s">
        <v>1478</v>
      </c>
      <c r="B395" s="135" t="s">
        <v>1479</v>
      </c>
      <c r="C395" s="135" t="s">
        <v>1480</v>
      </c>
      <c r="D395" s="135" t="s">
        <v>1424</v>
      </c>
      <c r="E395" s="135" t="s">
        <v>1481</v>
      </c>
    </row>
    <row r="396" spans="1:5" s="136" customFormat="1" x14ac:dyDescent="0.2">
      <c r="A396" s="135" t="s">
        <v>1482</v>
      </c>
      <c r="B396" s="135" t="s">
        <v>1483</v>
      </c>
      <c r="C396" s="135" t="s">
        <v>1484</v>
      </c>
      <c r="D396" s="135" t="s">
        <v>1419</v>
      </c>
      <c r="E396" s="135" t="s">
        <v>1485</v>
      </c>
    </row>
    <row r="397" spans="1:5" s="136" customFormat="1" x14ac:dyDescent="0.2">
      <c r="A397" s="135" t="s">
        <v>1486</v>
      </c>
      <c r="B397" s="135" t="s">
        <v>1487</v>
      </c>
      <c r="C397" s="135" t="s">
        <v>1488</v>
      </c>
      <c r="D397" s="135" t="s">
        <v>1419</v>
      </c>
      <c r="E397" s="135" t="s">
        <v>1489</v>
      </c>
    </row>
    <row r="398" spans="1:5" s="136" customFormat="1" x14ac:dyDescent="0.2">
      <c r="A398" s="135" t="s">
        <v>1490</v>
      </c>
      <c r="B398" s="135" t="s">
        <v>1491</v>
      </c>
      <c r="C398" s="135" t="s">
        <v>1492</v>
      </c>
      <c r="D398" s="135" t="s">
        <v>1419</v>
      </c>
      <c r="E398" s="135" t="s">
        <v>1493</v>
      </c>
    </row>
    <row r="399" spans="1:5" s="136" customFormat="1" x14ac:dyDescent="0.2">
      <c r="A399" s="135" t="s">
        <v>1494</v>
      </c>
      <c r="B399" s="135" t="s">
        <v>1495</v>
      </c>
      <c r="C399" s="135" t="s">
        <v>1496</v>
      </c>
      <c r="D399" s="135" t="s">
        <v>1419</v>
      </c>
      <c r="E399" s="135" t="s">
        <v>1497</v>
      </c>
    </row>
    <row r="400" spans="1:5" s="136" customFormat="1" x14ac:dyDescent="0.2">
      <c r="A400" s="135" t="s">
        <v>1498</v>
      </c>
      <c r="B400" s="135" t="s">
        <v>1499</v>
      </c>
      <c r="C400" s="135" t="s">
        <v>1500</v>
      </c>
      <c r="D400" s="135" t="s">
        <v>1419</v>
      </c>
      <c r="E400" s="135" t="s">
        <v>1501</v>
      </c>
    </row>
    <row r="401" spans="1:5" s="136" customFormat="1" x14ac:dyDescent="0.2">
      <c r="A401" s="135" t="s">
        <v>1502</v>
      </c>
      <c r="B401" s="135" t="s">
        <v>1503</v>
      </c>
      <c r="C401" s="135" t="s">
        <v>1504</v>
      </c>
      <c r="D401" s="135" t="s">
        <v>1419</v>
      </c>
      <c r="E401" s="135" t="s">
        <v>1505</v>
      </c>
    </row>
    <row r="402" spans="1:5" s="136" customFormat="1" x14ac:dyDescent="0.2">
      <c r="A402" s="135" t="s">
        <v>1506</v>
      </c>
      <c r="B402" s="135" t="s">
        <v>1507</v>
      </c>
      <c r="C402" s="135" t="s">
        <v>1508</v>
      </c>
      <c r="D402" s="135" t="s">
        <v>1419</v>
      </c>
      <c r="E402" s="135" t="s">
        <v>1509</v>
      </c>
    </row>
    <row r="403" spans="1:5" s="136" customFormat="1" x14ac:dyDescent="0.2">
      <c r="A403" s="135" t="s">
        <v>1510</v>
      </c>
      <c r="B403" s="135" t="s">
        <v>1511</v>
      </c>
      <c r="C403" s="135" t="s">
        <v>1512</v>
      </c>
      <c r="D403" s="135" t="s">
        <v>1404</v>
      </c>
      <c r="E403" s="135" t="s">
        <v>1513</v>
      </c>
    </row>
    <row r="404" spans="1:5" s="136" customFormat="1" x14ac:dyDescent="0.2">
      <c r="A404" s="135" t="s">
        <v>1514</v>
      </c>
      <c r="B404" s="135" t="s">
        <v>1515</v>
      </c>
      <c r="C404" s="135" t="s">
        <v>1516</v>
      </c>
      <c r="D404" s="135" t="s">
        <v>1404</v>
      </c>
      <c r="E404" s="135" t="s">
        <v>1517</v>
      </c>
    </row>
    <row r="405" spans="1:5" s="136" customFormat="1" x14ac:dyDescent="0.2">
      <c r="A405" s="135" t="s">
        <v>1518</v>
      </c>
      <c r="B405" s="135" t="s">
        <v>1519</v>
      </c>
      <c r="C405" s="135" t="s">
        <v>1520</v>
      </c>
      <c r="D405" s="135" t="s">
        <v>1404</v>
      </c>
      <c r="E405" s="135" t="s">
        <v>1521</v>
      </c>
    </row>
    <row r="406" spans="1:5" s="136" customFormat="1" x14ac:dyDescent="0.2">
      <c r="A406" s="135" t="s">
        <v>1522</v>
      </c>
      <c r="B406" s="135" t="s">
        <v>1523</v>
      </c>
      <c r="C406" s="135" t="s">
        <v>1524</v>
      </c>
      <c r="D406" s="135" t="s">
        <v>1404</v>
      </c>
      <c r="E406" s="135" t="s">
        <v>1525</v>
      </c>
    </row>
    <row r="407" spans="1:5" s="136" customFormat="1" x14ac:dyDescent="0.2">
      <c r="A407" s="135" t="s">
        <v>1526</v>
      </c>
      <c r="B407" s="135" t="s">
        <v>1527</v>
      </c>
      <c r="C407" s="135" t="s">
        <v>1528</v>
      </c>
      <c r="D407" s="135" t="s">
        <v>1404</v>
      </c>
      <c r="E407" s="135" t="s">
        <v>1529</v>
      </c>
    </row>
    <row r="408" spans="1:5" s="136" customFormat="1" x14ac:dyDescent="0.2">
      <c r="A408" s="135" t="s">
        <v>1530</v>
      </c>
      <c r="B408" s="135" t="s">
        <v>1531</v>
      </c>
      <c r="C408" s="135" t="s">
        <v>1532</v>
      </c>
      <c r="D408" s="135" t="s">
        <v>1409</v>
      </c>
      <c r="E408" s="135" t="s">
        <v>1533</v>
      </c>
    </row>
    <row r="409" spans="1:5" s="136" customFormat="1" x14ac:dyDescent="0.2">
      <c r="A409" s="135" t="s">
        <v>1534</v>
      </c>
      <c r="B409" s="135" t="s">
        <v>1535</v>
      </c>
      <c r="C409" s="135" t="s">
        <v>1536</v>
      </c>
      <c r="D409" s="135" t="s">
        <v>1414</v>
      </c>
      <c r="E409" s="135" t="s">
        <v>1537</v>
      </c>
    </row>
    <row r="410" spans="1:5" s="136" customFormat="1" x14ac:dyDescent="0.2">
      <c r="A410" s="135" t="s">
        <v>1538</v>
      </c>
      <c r="B410" s="135" t="s">
        <v>1539</v>
      </c>
      <c r="C410" s="135" t="s">
        <v>1540</v>
      </c>
      <c r="D410" s="135" t="s">
        <v>1414</v>
      </c>
      <c r="E410" s="135" t="s">
        <v>1541</v>
      </c>
    </row>
    <row r="411" spans="1:5" s="136" customFormat="1" x14ac:dyDescent="0.2">
      <c r="A411" s="135" t="s">
        <v>1542</v>
      </c>
      <c r="B411" s="135" t="s">
        <v>1543</v>
      </c>
      <c r="C411" s="135" t="s">
        <v>1544</v>
      </c>
      <c r="D411" s="135" t="s">
        <v>1545</v>
      </c>
      <c r="E411" s="135" t="s">
        <v>1546</v>
      </c>
    </row>
    <row r="412" spans="1:5" s="136" customFormat="1" x14ac:dyDescent="0.2">
      <c r="A412" s="135" t="s">
        <v>1547</v>
      </c>
      <c r="B412" s="135" t="s">
        <v>1548</v>
      </c>
      <c r="C412" s="135" t="s">
        <v>1549</v>
      </c>
      <c r="D412" s="135" t="s">
        <v>1550</v>
      </c>
      <c r="E412" s="135" t="s">
        <v>1551</v>
      </c>
    </row>
    <row r="413" spans="1:5" s="136" customFormat="1" x14ac:dyDescent="0.2">
      <c r="A413" s="135" t="s">
        <v>1552</v>
      </c>
      <c r="B413" s="135" t="s">
        <v>1553</v>
      </c>
      <c r="C413" s="135" t="s">
        <v>1554</v>
      </c>
      <c r="D413" s="135" t="s">
        <v>1555</v>
      </c>
      <c r="E413" s="135" t="s">
        <v>1556</v>
      </c>
    </row>
    <row r="414" spans="1:5" s="136" customFormat="1" x14ac:dyDescent="0.2">
      <c r="A414" s="135" t="s">
        <v>1557</v>
      </c>
      <c r="B414" s="135" t="s">
        <v>1558</v>
      </c>
      <c r="C414" s="135" t="s">
        <v>1559</v>
      </c>
      <c r="D414" s="135" t="s">
        <v>1560</v>
      </c>
      <c r="E414" s="135" t="s">
        <v>1561</v>
      </c>
    </row>
    <row r="415" spans="1:5" s="136" customFormat="1" x14ac:dyDescent="0.2">
      <c r="A415" s="135" t="s">
        <v>1562</v>
      </c>
      <c r="B415" s="135" t="s">
        <v>1563</v>
      </c>
      <c r="C415" s="135" t="s">
        <v>1564</v>
      </c>
      <c r="D415" s="135" t="s">
        <v>1565</v>
      </c>
      <c r="E415" s="135" t="s">
        <v>1566</v>
      </c>
    </row>
    <row r="416" spans="1:5" s="136" customFormat="1" x14ac:dyDescent="0.2">
      <c r="A416" s="135" t="s">
        <v>1567</v>
      </c>
      <c r="B416" s="135" t="s">
        <v>1568</v>
      </c>
      <c r="C416" s="135" t="s">
        <v>1569</v>
      </c>
      <c r="D416" s="135" t="s">
        <v>1565</v>
      </c>
      <c r="E416" s="135" t="s">
        <v>1570</v>
      </c>
    </row>
    <row r="417" spans="1:5" s="136" customFormat="1" x14ac:dyDescent="0.2">
      <c r="A417" s="135" t="s">
        <v>1571</v>
      </c>
      <c r="B417" s="135" t="s">
        <v>1572</v>
      </c>
      <c r="C417" s="135" t="s">
        <v>1573</v>
      </c>
      <c r="D417" s="135" t="s">
        <v>1574</v>
      </c>
      <c r="E417" s="135" t="s">
        <v>1575</v>
      </c>
    </row>
    <row r="418" spans="1:5" s="136" customFormat="1" x14ac:dyDescent="0.2">
      <c r="A418" s="135" t="s">
        <v>1576</v>
      </c>
      <c r="B418" s="135" t="s">
        <v>1577</v>
      </c>
      <c r="C418" s="135" t="s">
        <v>1578</v>
      </c>
      <c r="D418" s="135" t="s">
        <v>1579</v>
      </c>
      <c r="E418" s="135" t="s">
        <v>1580</v>
      </c>
    </row>
    <row r="419" spans="1:5" s="136" customFormat="1" x14ac:dyDescent="0.2">
      <c r="A419" s="135" t="s">
        <v>1581</v>
      </c>
      <c r="B419" s="135" t="s">
        <v>1582</v>
      </c>
      <c r="C419" s="135" t="s">
        <v>1583</v>
      </c>
      <c r="D419" s="135" t="s">
        <v>1584</v>
      </c>
      <c r="E419" s="135" t="s">
        <v>1585</v>
      </c>
    </row>
    <row r="420" spans="1:5" s="136" customFormat="1" x14ac:dyDescent="0.2">
      <c r="A420" s="135" t="s">
        <v>1586</v>
      </c>
      <c r="B420" s="135" t="s">
        <v>1587</v>
      </c>
      <c r="C420" s="135" t="s">
        <v>1588</v>
      </c>
      <c r="D420" s="135" t="s">
        <v>1589</v>
      </c>
      <c r="E420" s="135" t="s">
        <v>1590</v>
      </c>
    </row>
    <row r="421" spans="1:5" s="136" customFormat="1" x14ac:dyDescent="0.2">
      <c r="A421" s="135" t="s">
        <v>1591</v>
      </c>
      <c r="B421" s="135" t="s">
        <v>1592</v>
      </c>
      <c r="C421" s="135" t="s">
        <v>1593</v>
      </c>
      <c r="D421" s="135" t="s">
        <v>1579</v>
      </c>
      <c r="E421" s="135" t="s">
        <v>1594</v>
      </c>
    </row>
    <row r="422" spans="1:5" s="136" customFormat="1" x14ac:dyDescent="0.2">
      <c r="A422" s="135" t="s">
        <v>1595</v>
      </c>
      <c r="B422" s="135" t="s">
        <v>191</v>
      </c>
      <c r="C422" s="135" t="s">
        <v>192</v>
      </c>
      <c r="D422" s="135" t="s">
        <v>1555</v>
      </c>
      <c r="E422" s="135" t="s">
        <v>1596</v>
      </c>
    </row>
    <row r="423" spans="1:5" s="136" customFormat="1" x14ac:dyDescent="0.2">
      <c r="A423" s="135" t="s">
        <v>1597</v>
      </c>
      <c r="B423" s="135" t="s">
        <v>1598</v>
      </c>
      <c r="C423" s="135" t="s">
        <v>1599</v>
      </c>
      <c r="D423" s="135" t="s">
        <v>1584</v>
      </c>
      <c r="E423" s="135" t="s">
        <v>1600</v>
      </c>
    </row>
    <row r="424" spans="1:5" s="136" customFormat="1" x14ac:dyDescent="0.2">
      <c r="A424" s="135" t="s">
        <v>1601</v>
      </c>
      <c r="B424" s="135" t="s">
        <v>1602</v>
      </c>
      <c r="C424" s="135" t="s">
        <v>1603</v>
      </c>
      <c r="D424" s="135" t="s">
        <v>1555</v>
      </c>
      <c r="E424" s="135" t="s">
        <v>1604</v>
      </c>
    </row>
    <row r="425" spans="1:5" s="136" customFormat="1" x14ac:dyDescent="0.2">
      <c r="A425" s="135" t="s">
        <v>1605</v>
      </c>
      <c r="B425" s="135" t="s">
        <v>1606</v>
      </c>
      <c r="C425" s="135" t="s">
        <v>1607</v>
      </c>
      <c r="D425" s="135" t="s">
        <v>1555</v>
      </c>
      <c r="E425" s="135" t="s">
        <v>1608</v>
      </c>
    </row>
    <row r="426" spans="1:5" s="136" customFormat="1" x14ac:dyDescent="0.2">
      <c r="A426" s="135" t="s">
        <v>1609</v>
      </c>
      <c r="B426" s="135" t="s">
        <v>1610</v>
      </c>
      <c r="C426" s="135" t="s">
        <v>1611</v>
      </c>
      <c r="D426" s="135" t="s">
        <v>1555</v>
      </c>
      <c r="E426" s="135" t="s">
        <v>1612</v>
      </c>
    </row>
    <row r="427" spans="1:5" s="136" customFormat="1" x14ac:dyDescent="0.2">
      <c r="A427" s="135" t="s">
        <v>1613</v>
      </c>
      <c r="B427" s="135" t="s">
        <v>1614</v>
      </c>
      <c r="C427" s="135" t="s">
        <v>1615</v>
      </c>
      <c r="D427" s="135" t="s">
        <v>1584</v>
      </c>
      <c r="E427" s="135" t="s">
        <v>1616</v>
      </c>
    </row>
    <row r="428" spans="1:5" s="136" customFormat="1" x14ac:dyDescent="0.2">
      <c r="A428" s="135" t="s">
        <v>1617</v>
      </c>
      <c r="B428" s="135" t="s">
        <v>1618</v>
      </c>
      <c r="C428" s="135" t="s">
        <v>1619</v>
      </c>
      <c r="D428" s="135" t="s">
        <v>1565</v>
      </c>
      <c r="E428" s="135" t="s">
        <v>1620</v>
      </c>
    </row>
    <row r="429" spans="1:5" s="136" customFormat="1" x14ac:dyDescent="0.2">
      <c r="A429" s="135" t="s">
        <v>1621</v>
      </c>
      <c r="B429" s="135" t="s">
        <v>1622</v>
      </c>
      <c r="C429" s="135" t="s">
        <v>1623</v>
      </c>
      <c r="D429" s="135" t="s">
        <v>1565</v>
      </c>
      <c r="E429" s="135" t="s">
        <v>1624</v>
      </c>
    </row>
    <row r="430" spans="1:5" s="136" customFormat="1" x14ac:dyDescent="0.2">
      <c r="A430" s="135" t="s">
        <v>1625</v>
      </c>
      <c r="B430" s="135" t="s">
        <v>1626</v>
      </c>
      <c r="C430" s="135" t="s">
        <v>1627</v>
      </c>
      <c r="D430" s="135" t="s">
        <v>1628</v>
      </c>
      <c r="E430" s="135" t="s">
        <v>1629</v>
      </c>
    </row>
    <row r="431" spans="1:5" s="136" customFormat="1" x14ac:dyDescent="0.2">
      <c r="A431" s="135" t="s">
        <v>1630</v>
      </c>
      <c r="B431" s="135" t="s">
        <v>1631</v>
      </c>
      <c r="C431" s="135" t="s">
        <v>1632</v>
      </c>
      <c r="D431" s="135" t="s">
        <v>1628</v>
      </c>
      <c r="E431" s="135" t="s">
        <v>1633</v>
      </c>
    </row>
    <row r="432" spans="1:5" s="136" customFormat="1" x14ac:dyDescent="0.2">
      <c r="A432" s="135" t="s">
        <v>1634</v>
      </c>
      <c r="B432" s="135" t="s">
        <v>1635</v>
      </c>
      <c r="C432" s="135" t="s">
        <v>1636</v>
      </c>
      <c r="D432" s="135" t="s">
        <v>1628</v>
      </c>
      <c r="E432" s="135" t="s">
        <v>1637</v>
      </c>
    </row>
    <row r="433" spans="1:5" s="136" customFormat="1" x14ac:dyDescent="0.2">
      <c r="A433" s="135" t="s">
        <v>1638</v>
      </c>
      <c r="B433" s="135" t="s">
        <v>1639</v>
      </c>
      <c r="C433" s="135" t="s">
        <v>1640</v>
      </c>
      <c r="D433" s="135" t="s">
        <v>1628</v>
      </c>
      <c r="E433" s="135" t="s">
        <v>1641</v>
      </c>
    </row>
    <row r="434" spans="1:5" s="136" customFormat="1" x14ac:dyDescent="0.2">
      <c r="A434" s="135" t="s">
        <v>1642</v>
      </c>
      <c r="B434" s="135" t="s">
        <v>1643</v>
      </c>
      <c r="C434" s="135" t="s">
        <v>1644</v>
      </c>
      <c r="D434" s="135" t="s">
        <v>1628</v>
      </c>
      <c r="E434" s="135" t="s">
        <v>1645</v>
      </c>
    </row>
    <row r="435" spans="1:5" s="136" customFormat="1" x14ac:dyDescent="0.2">
      <c r="A435" s="135" t="s">
        <v>1646</v>
      </c>
      <c r="B435" s="135" t="s">
        <v>1647</v>
      </c>
      <c r="C435" s="135" t="s">
        <v>1648</v>
      </c>
      <c r="D435" s="135" t="s">
        <v>1628</v>
      </c>
      <c r="E435" s="135" t="s">
        <v>1649</v>
      </c>
    </row>
    <row r="436" spans="1:5" s="136" customFormat="1" x14ac:dyDescent="0.2">
      <c r="A436" s="135" t="s">
        <v>1650</v>
      </c>
      <c r="B436" s="135" t="s">
        <v>1651</v>
      </c>
      <c r="C436" s="135" t="s">
        <v>1652</v>
      </c>
      <c r="D436" s="135" t="s">
        <v>1550</v>
      </c>
      <c r="E436" s="135" t="s">
        <v>1653</v>
      </c>
    </row>
    <row r="437" spans="1:5" s="136" customFormat="1" x14ac:dyDescent="0.2">
      <c r="A437" s="135" t="s">
        <v>1654</v>
      </c>
      <c r="B437" s="135" t="s">
        <v>1655</v>
      </c>
      <c r="C437" s="135" t="s">
        <v>1656</v>
      </c>
      <c r="D437" s="135" t="s">
        <v>1550</v>
      </c>
      <c r="E437" s="135" t="s">
        <v>1657</v>
      </c>
    </row>
    <row r="438" spans="1:5" s="136" customFormat="1" x14ac:dyDescent="0.2">
      <c r="A438" s="135" t="s">
        <v>1658</v>
      </c>
      <c r="B438" s="135" t="s">
        <v>1659</v>
      </c>
      <c r="C438" s="135" t="s">
        <v>1660</v>
      </c>
      <c r="D438" s="135" t="s">
        <v>1550</v>
      </c>
      <c r="E438" s="135" t="s">
        <v>1661</v>
      </c>
    </row>
    <row r="439" spans="1:5" s="136" customFormat="1" x14ac:dyDescent="0.2">
      <c r="A439" s="135" t="s">
        <v>1662</v>
      </c>
      <c r="B439" s="135" t="s">
        <v>1663</v>
      </c>
      <c r="C439" s="135" t="s">
        <v>1664</v>
      </c>
      <c r="D439" s="135" t="s">
        <v>1628</v>
      </c>
      <c r="E439" s="135" t="s">
        <v>1665</v>
      </c>
    </row>
    <row r="440" spans="1:5" s="136" customFormat="1" x14ac:dyDescent="0.2">
      <c r="A440" s="135" t="s">
        <v>1666</v>
      </c>
      <c r="B440" s="135" t="s">
        <v>1667</v>
      </c>
      <c r="C440" s="135" t="s">
        <v>1668</v>
      </c>
      <c r="D440" s="135" t="s">
        <v>1628</v>
      </c>
      <c r="E440" s="135" t="s">
        <v>1669</v>
      </c>
    </row>
    <row r="441" spans="1:5" s="136" customFormat="1" x14ac:dyDescent="0.2">
      <c r="A441" s="135" t="s">
        <v>1670</v>
      </c>
      <c r="B441" s="135" t="s">
        <v>1671</v>
      </c>
      <c r="C441" s="135" t="s">
        <v>1672</v>
      </c>
      <c r="D441" s="135" t="s">
        <v>1628</v>
      </c>
      <c r="E441" s="135" t="s">
        <v>1673</v>
      </c>
    </row>
    <row r="442" spans="1:5" s="136" customFormat="1" x14ac:dyDescent="0.2">
      <c r="A442" s="135" t="s">
        <v>1674</v>
      </c>
      <c r="B442" s="135" t="s">
        <v>1675</v>
      </c>
      <c r="C442" s="135" t="s">
        <v>1676</v>
      </c>
      <c r="D442" s="135" t="s">
        <v>1628</v>
      </c>
      <c r="E442" s="135" t="s">
        <v>1677</v>
      </c>
    </row>
    <row r="443" spans="1:5" s="136" customFormat="1" x14ac:dyDescent="0.2">
      <c r="A443" s="135" t="s">
        <v>1678</v>
      </c>
      <c r="B443" s="135" t="s">
        <v>1679</v>
      </c>
      <c r="C443" s="135" t="s">
        <v>1680</v>
      </c>
      <c r="D443" s="135" t="s">
        <v>1628</v>
      </c>
      <c r="E443" s="135" t="s">
        <v>1681</v>
      </c>
    </row>
    <row r="444" spans="1:5" s="136" customFormat="1" x14ac:dyDescent="0.2">
      <c r="A444" s="135" t="s">
        <v>1682</v>
      </c>
      <c r="B444" s="135" t="s">
        <v>1683</v>
      </c>
      <c r="C444" s="135" t="s">
        <v>1684</v>
      </c>
      <c r="D444" s="135" t="s">
        <v>1550</v>
      </c>
      <c r="E444" s="135" t="s">
        <v>1685</v>
      </c>
    </row>
    <row r="445" spans="1:5" s="136" customFormat="1" x14ac:dyDescent="0.2">
      <c r="A445" s="135" t="s">
        <v>1686</v>
      </c>
      <c r="B445" s="135" t="s">
        <v>1687</v>
      </c>
      <c r="C445" s="135" t="s">
        <v>1688</v>
      </c>
      <c r="D445" s="135" t="s">
        <v>1565</v>
      </c>
      <c r="E445" s="135" t="s">
        <v>1689</v>
      </c>
    </row>
    <row r="446" spans="1:5" s="136" customFormat="1" x14ac:dyDescent="0.2">
      <c r="A446" s="135" t="s">
        <v>1690</v>
      </c>
      <c r="B446" s="135" t="s">
        <v>1691</v>
      </c>
      <c r="C446" s="135" t="s">
        <v>1692</v>
      </c>
      <c r="D446" s="135" t="s">
        <v>1565</v>
      </c>
      <c r="E446" s="135" t="s">
        <v>1693</v>
      </c>
    </row>
    <row r="447" spans="1:5" s="136" customFormat="1" x14ac:dyDescent="0.2">
      <c r="A447" s="135" t="s">
        <v>1694</v>
      </c>
      <c r="B447" s="135" t="s">
        <v>1695</v>
      </c>
      <c r="C447" s="135" t="s">
        <v>1696</v>
      </c>
      <c r="D447" s="135" t="s">
        <v>1565</v>
      </c>
      <c r="E447" s="135" t="s">
        <v>1697</v>
      </c>
    </row>
    <row r="448" spans="1:5" s="136" customFormat="1" x14ac:dyDescent="0.2">
      <c r="A448" s="135" t="s">
        <v>1698</v>
      </c>
      <c r="B448" s="135" t="s">
        <v>1699</v>
      </c>
      <c r="C448" s="135" t="s">
        <v>1700</v>
      </c>
      <c r="D448" s="135" t="s">
        <v>1565</v>
      </c>
      <c r="E448" s="135" t="s">
        <v>1701</v>
      </c>
    </row>
    <row r="449" spans="1:5" s="136" customFormat="1" x14ac:dyDescent="0.2">
      <c r="A449" s="135" t="s">
        <v>1702</v>
      </c>
      <c r="B449" s="135" t="s">
        <v>1703</v>
      </c>
      <c r="C449" s="135" t="s">
        <v>1704</v>
      </c>
      <c r="D449" s="135" t="s">
        <v>1589</v>
      </c>
      <c r="E449" s="135" t="s">
        <v>1705</v>
      </c>
    </row>
    <row r="450" spans="1:5" s="136" customFormat="1" x14ac:dyDescent="0.2">
      <c r="A450" s="135" t="s">
        <v>1706</v>
      </c>
      <c r="B450" s="135" t="s">
        <v>1707</v>
      </c>
      <c r="C450" s="135" t="s">
        <v>1708</v>
      </c>
      <c r="D450" s="135" t="s">
        <v>1589</v>
      </c>
      <c r="E450" s="135" t="s">
        <v>1709</v>
      </c>
    </row>
    <row r="451" spans="1:5" s="136" customFormat="1" x14ac:dyDescent="0.2">
      <c r="A451" s="135" t="s">
        <v>1710</v>
      </c>
      <c r="B451" s="135" t="s">
        <v>1711</v>
      </c>
      <c r="C451" s="135" t="s">
        <v>1712</v>
      </c>
      <c r="D451" s="135" t="s">
        <v>1589</v>
      </c>
      <c r="E451" s="135" t="s">
        <v>1713</v>
      </c>
    </row>
    <row r="452" spans="1:5" s="136" customFormat="1" x14ac:dyDescent="0.2">
      <c r="A452" s="135" t="s">
        <v>1714</v>
      </c>
      <c r="B452" s="135" t="s">
        <v>1715</v>
      </c>
      <c r="C452" s="135" t="s">
        <v>1716</v>
      </c>
      <c r="D452" s="135" t="s">
        <v>1589</v>
      </c>
      <c r="E452" s="135" t="s">
        <v>1717</v>
      </c>
    </row>
    <row r="453" spans="1:5" s="136" customFormat="1" x14ac:dyDescent="0.2">
      <c r="A453" s="135" t="s">
        <v>1718</v>
      </c>
      <c r="B453" s="135" t="s">
        <v>1719</v>
      </c>
      <c r="C453" s="135" t="s">
        <v>1720</v>
      </c>
      <c r="D453" s="135" t="s">
        <v>1589</v>
      </c>
      <c r="E453" s="135" t="s">
        <v>1721</v>
      </c>
    </row>
    <row r="454" spans="1:5" s="136" customFormat="1" x14ac:dyDescent="0.2">
      <c r="A454" s="135" t="s">
        <v>1722</v>
      </c>
      <c r="B454" s="135" t="s">
        <v>1723</v>
      </c>
      <c r="C454" s="135" t="s">
        <v>1724</v>
      </c>
      <c r="D454" s="135" t="s">
        <v>1589</v>
      </c>
      <c r="E454" s="135" t="s">
        <v>1725</v>
      </c>
    </row>
    <row r="455" spans="1:5" s="136" customFormat="1" x14ac:dyDescent="0.2">
      <c r="A455" s="135" t="s">
        <v>1726</v>
      </c>
      <c r="B455" s="135" t="s">
        <v>1727</v>
      </c>
      <c r="C455" s="135" t="s">
        <v>1728</v>
      </c>
      <c r="D455" s="135" t="s">
        <v>1589</v>
      </c>
      <c r="E455" s="135" t="s">
        <v>1729</v>
      </c>
    </row>
    <row r="456" spans="1:5" s="136" customFormat="1" x14ac:dyDescent="0.2">
      <c r="A456" s="135" t="s">
        <v>1730</v>
      </c>
      <c r="B456" s="135" t="s">
        <v>1731</v>
      </c>
      <c r="C456" s="135" t="s">
        <v>1732</v>
      </c>
      <c r="D456" s="135" t="s">
        <v>1589</v>
      </c>
      <c r="E456" s="135" t="s">
        <v>1733</v>
      </c>
    </row>
    <row r="457" spans="1:5" s="136" customFormat="1" x14ac:dyDescent="0.2">
      <c r="A457" s="135" t="s">
        <v>1734</v>
      </c>
      <c r="B457" s="135" t="s">
        <v>1735</v>
      </c>
      <c r="C457" s="135" t="s">
        <v>1736</v>
      </c>
      <c r="D457" s="135" t="s">
        <v>1589</v>
      </c>
      <c r="E457" s="135" t="s">
        <v>1737</v>
      </c>
    </row>
    <row r="458" spans="1:5" s="136" customFormat="1" x14ac:dyDescent="0.2">
      <c r="A458" s="135" t="s">
        <v>1738</v>
      </c>
      <c r="B458" s="135" t="s">
        <v>1739</v>
      </c>
      <c r="C458" s="135" t="s">
        <v>1740</v>
      </c>
      <c r="D458" s="135" t="s">
        <v>1741</v>
      </c>
      <c r="E458" s="135" t="s">
        <v>1742</v>
      </c>
    </row>
    <row r="459" spans="1:5" s="136" customFormat="1" x14ac:dyDescent="0.2">
      <c r="A459" s="135" t="s">
        <v>1743</v>
      </c>
      <c r="B459" s="135" t="s">
        <v>1744</v>
      </c>
      <c r="C459" s="135" t="s">
        <v>1745</v>
      </c>
      <c r="D459" s="135" t="s">
        <v>1589</v>
      </c>
      <c r="E459" s="135" t="s">
        <v>1746</v>
      </c>
    </row>
    <row r="460" spans="1:5" s="136" customFormat="1" x14ac:dyDescent="0.2">
      <c r="A460" s="135" t="s">
        <v>1747</v>
      </c>
      <c r="B460" s="135" t="s">
        <v>1748</v>
      </c>
      <c r="C460" s="135" t="s">
        <v>1749</v>
      </c>
      <c r="D460" s="135" t="s">
        <v>1750</v>
      </c>
      <c r="E460" s="135" t="s">
        <v>1751</v>
      </c>
    </row>
    <row r="461" spans="1:5" s="136" customFormat="1" x14ac:dyDescent="0.2">
      <c r="A461" s="135" t="s">
        <v>1752</v>
      </c>
      <c r="B461" s="135" t="s">
        <v>1753</v>
      </c>
      <c r="C461" s="135" t="s">
        <v>1754</v>
      </c>
      <c r="D461" s="135" t="s">
        <v>1750</v>
      </c>
      <c r="E461" s="135" t="s">
        <v>1755</v>
      </c>
    </row>
    <row r="462" spans="1:5" s="136" customFormat="1" x14ac:dyDescent="0.2">
      <c r="A462" s="135" t="s">
        <v>1756</v>
      </c>
      <c r="B462" s="135" t="s">
        <v>1757</v>
      </c>
      <c r="C462" s="135" t="s">
        <v>1758</v>
      </c>
      <c r="D462" s="135" t="s">
        <v>1750</v>
      </c>
      <c r="E462" s="135" t="s">
        <v>1759</v>
      </c>
    </row>
    <row r="463" spans="1:5" s="136" customFormat="1" x14ac:dyDescent="0.2">
      <c r="A463" s="135" t="s">
        <v>1760</v>
      </c>
      <c r="B463" s="135" t="s">
        <v>1761</v>
      </c>
      <c r="C463" s="135" t="s">
        <v>1762</v>
      </c>
      <c r="D463" s="135" t="s">
        <v>1750</v>
      </c>
      <c r="E463" s="135" t="s">
        <v>1763</v>
      </c>
    </row>
    <row r="464" spans="1:5" s="136" customFormat="1" x14ac:dyDescent="0.2">
      <c r="A464" s="135" t="s">
        <v>1764</v>
      </c>
      <c r="B464" s="135" t="s">
        <v>1765</v>
      </c>
      <c r="C464" s="135" t="s">
        <v>1766</v>
      </c>
      <c r="D464" s="135" t="s">
        <v>1750</v>
      </c>
      <c r="E464" s="135" t="s">
        <v>1767</v>
      </c>
    </row>
    <row r="465" spans="1:5" s="136" customFormat="1" x14ac:dyDescent="0.2">
      <c r="A465" s="135" t="s">
        <v>1768</v>
      </c>
      <c r="B465" s="135" t="s">
        <v>1769</v>
      </c>
      <c r="C465" s="135" t="s">
        <v>1770</v>
      </c>
      <c r="D465" s="135" t="s">
        <v>1750</v>
      </c>
      <c r="E465" s="135" t="s">
        <v>1771</v>
      </c>
    </row>
    <row r="466" spans="1:5" s="136" customFormat="1" x14ac:dyDescent="0.2">
      <c r="A466" s="135" t="s">
        <v>1772</v>
      </c>
      <c r="B466" s="135" t="s">
        <v>1773</v>
      </c>
      <c r="C466" s="135" t="s">
        <v>1774</v>
      </c>
      <c r="D466" s="135" t="s">
        <v>1750</v>
      </c>
      <c r="E466" s="135" t="s">
        <v>1775</v>
      </c>
    </row>
    <row r="467" spans="1:5" s="136" customFormat="1" x14ac:dyDescent="0.2">
      <c r="A467" s="135" t="s">
        <v>1776</v>
      </c>
      <c r="B467" s="135" t="s">
        <v>1777</v>
      </c>
      <c r="C467" s="135" t="s">
        <v>1778</v>
      </c>
      <c r="D467" s="135" t="s">
        <v>1750</v>
      </c>
      <c r="E467" s="135" t="s">
        <v>1779</v>
      </c>
    </row>
    <row r="468" spans="1:5" s="136" customFormat="1" x14ac:dyDescent="0.2">
      <c r="A468" s="135" t="s">
        <v>1780</v>
      </c>
      <c r="B468" s="135" t="s">
        <v>1781</v>
      </c>
      <c r="C468" s="135" t="s">
        <v>1782</v>
      </c>
      <c r="D468" s="135" t="s">
        <v>1579</v>
      </c>
      <c r="E468" s="135" t="s">
        <v>1783</v>
      </c>
    </row>
    <row r="469" spans="1:5" s="136" customFormat="1" x14ac:dyDescent="0.2">
      <c r="A469" s="135" t="s">
        <v>1784</v>
      </c>
      <c r="B469" s="135" t="s">
        <v>1785</v>
      </c>
      <c r="C469" s="135" t="s">
        <v>1786</v>
      </c>
      <c r="D469" s="135" t="s">
        <v>1579</v>
      </c>
      <c r="E469" s="135" t="s">
        <v>1787</v>
      </c>
    </row>
    <row r="470" spans="1:5" s="136" customFormat="1" x14ac:dyDescent="0.2">
      <c r="A470" s="135" t="s">
        <v>1788</v>
      </c>
      <c r="B470" s="135" t="s">
        <v>1789</v>
      </c>
      <c r="C470" s="135" t="s">
        <v>1790</v>
      </c>
      <c r="D470" s="135" t="s">
        <v>1791</v>
      </c>
      <c r="E470" s="135" t="s">
        <v>1792</v>
      </c>
    </row>
    <row r="471" spans="1:5" s="136" customFormat="1" x14ac:dyDescent="0.2">
      <c r="A471" s="135" t="s">
        <v>1793</v>
      </c>
      <c r="B471" s="135" t="s">
        <v>1794</v>
      </c>
      <c r="C471" s="135" t="s">
        <v>1795</v>
      </c>
      <c r="D471" s="135" t="s">
        <v>1796</v>
      </c>
      <c r="E471" s="135" t="s">
        <v>1797</v>
      </c>
    </row>
    <row r="472" spans="1:5" s="136" customFormat="1" x14ac:dyDescent="0.2">
      <c r="A472" s="135" t="s">
        <v>1798</v>
      </c>
      <c r="B472" s="135" t="s">
        <v>1799</v>
      </c>
      <c r="C472" s="135" t="s">
        <v>1800</v>
      </c>
      <c r="D472" s="135" t="s">
        <v>1791</v>
      </c>
      <c r="E472" s="135" t="s">
        <v>1801</v>
      </c>
    </row>
    <row r="473" spans="1:5" s="136" customFormat="1" x14ac:dyDescent="0.2">
      <c r="A473" s="135" t="s">
        <v>1802</v>
      </c>
      <c r="B473" s="135" t="s">
        <v>1803</v>
      </c>
      <c r="C473" s="135" t="s">
        <v>1804</v>
      </c>
      <c r="D473" s="135" t="s">
        <v>1805</v>
      </c>
      <c r="E473" s="135" t="s">
        <v>1806</v>
      </c>
    </row>
    <row r="474" spans="1:5" s="136" customFormat="1" x14ac:dyDescent="0.2">
      <c r="A474" s="135" t="s">
        <v>1807</v>
      </c>
      <c r="B474" s="135" t="s">
        <v>1808</v>
      </c>
      <c r="C474" s="135" t="s">
        <v>1809</v>
      </c>
      <c r="D474" s="135" t="s">
        <v>1810</v>
      </c>
      <c r="E474" s="135" t="s">
        <v>1811</v>
      </c>
    </row>
    <row r="475" spans="1:5" s="136" customFormat="1" x14ac:dyDescent="0.2">
      <c r="A475" s="135" t="s">
        <v>1812</v>
      </c>
      <c r="B475" s="135" t="s">
        <v>1813</v>
      </c>
      <c r="C475" s="135" t="s">
        <v>1814</v>
      </c>
      <c r="D475" s="135" t="s">
        <v>1815</v>
      </c>
      <c r="E475" s="135" t="s">
        <v>1816</v>
      </c>
    </row>
    <row r="476" spans="1:5" s="136" customFormat="1" x14ac:dyDescent="0.2">
      <c r="A476" s="135" t="s">
        <v>1817</v>
      </c>
      <c r="B476" s="135" t="s">
        <v>1818</v>
      </c>
      <c r="C476" s="135" t="s">
        <v>1819</v>
      </c>
      <c r="D476" s="135" t="s">
        <v>1820</v>
      </c>
      <c r="E476" s="135" t="s">
        <v>1821</v>
      </c>
    </row>
    <row r="477" spans="1:5" s="136" customFormat="1" x14ac:dyDescent="0.2">
      <c r="A477" s="135" t="s">
        <v>1822</v>
      </c>
      <c r="B477" s="135" t="s">
        <v>1823</v>
      </c>
      <c r="C477" s="135" t="s">
        <v>1824</v>
      </c>
      <c r="D477" s="135" t="s">
        <v>1815</v>
      </c>
      <c r="E477" s="135" t="s">
        <v>1825</v>
      </c>
    </row>
    <row r="478" spans="1:5" s="136" customFormat="1" x14ac:dyDescent="0.2">
      <c r="A478" s="135" t="s">
        <v>1826</v>
      </c>
      <c r="B478" s="135" t="s">
        <v>1827</v>
      </c>
      <c r="C478" s="135" t="s">
        <v>1828</v>
      </c>
      <c r="D478" s="135" t="s">
        <v>1820</v>
      </c>
      <c r="E478" s="135" t="s">
        <v>1829</v>
      </c>
    </row>
    <row r="479" spans="1:5" s="136" customFormat="1" x14ac:dyDescent="0.2">
      <c r="A479" s="135" t="s">
        <v>1830</v>
      </c>
      <c r="B479" s="135" t="s">
        <v>1831</v>
      </c>
      <c r="C479" s="135" t="s">
        <v>1832</v>
      </c>
      <c r="D479" s="135" t="s">
        <v>1796</v>
      </c>
      <c r="E479" s="135" t="s">
        <v>1833</v>
      </c>
    </row>
    <row r="480" spans="1:5" s="136" customFormat="1" x14ac:dyDescent="0.2">
      <c r="A480" s="135" t="s">
        <v>1834</v>
      </c>
      <c r="B480" s="135" t="s">
        <v>1835</v>
      </c>
      <c r="C480" s="135" t="s">
        <v>1836</v>
      </c>
      <c r="D480" s="135" t="s">
        <v>1837</v>
      </c>
      <c r="E480" s="135" t="s">
        <v>1838</v>
      </c>
    </row>
    <row r="481" spans="1:5" s="136" customFormat="1" x14ac:dyDescent="0.2">
      <c r="A481" s="135" t="s">
        <v>1839</v>
      </c>
      <c r="B481" s="135" t="s">
        <v>1840</v>
      </c>
      <c r="C481" s="135" t="s">
        <v>1841</v>
      </c>
      <c r="D481" s="135" t="s">
        <v>1837</v>
      </c>
      <c r="E481" s="135" t="s">
        <v>1842</v>
      </c>
    </row>
    <row r="482" spans="1:5" s="136" customFormat="1" x14ac:dyDescent="0.2">
      <c r="A482" s="135" t="s">
        <v>1843</v>
      </c>
      <c r="B482" s="135" t="s">
        <v>1844</v>
      </c>
      <c r="C482" s="135" t="s">
        <v>1845</v>
      </c>
      <c r="D482" s="135" t="s">
        <v>1846</v>
      </c>
      <c r="E482" s="135" t="s">
        <v>1847</v>
      </c>
    </row>
    <row r="483" spans="1:5" s="136" customFormat="1" x14ac:dyDescent="0.2">
      <c r="A483" s="135" t="s">
        <v>1848</v>
      </c>
      <c r="B483" s="135" t="s">
        <v>1849</v>
      </c>
      <c r="C483" s="135" t="s">
        <v>1850</v>
      </c>
      <c r="D483" s="135" t="s">
        <v>1820</v>
      </c>
      <c r="E483" s="135" t="s">
        <v>1851</v>
      </c>
    </row>
    <row r="484" spans="1:5" s="136" customFormat="1" x14ac:dyDescent="0.2">
      <c r="A484" s="135" t="s">
        <v>1852</v>
      </c>
      <c r="B484" s="135" t="s">
        <v>1853</v>
      </c>
      <c r="C484" s="135" t="s">
        <v>1854</v>
      </c>
      <c r="D484" s="135" t="s">
        <v>1791</v>
      </c>
      <c r="E484" s="135" t="s">
        <v>1855</v>
      </c>
    </row>
    <row r="485" spans="1:5" s="136" customFormat="1" x14ac:dyDescent="0.2">
      <c r="A485" s="135" t="s">
        <v>1856</v>
      </c>
      <c r="B485" s="135" t="s">
        <v>1857</v>
      </c>
      <c r="C485" s="135" t="s">
        <v>1858</v>
      </c>
      <c r="D485" s="135" t="s">
        <v>1791</v>
      </c>
      <c r="E485" s="135" t="s">
        <v>1859</v>
      </c>
    </row>
    <row r="486" spans="1:5" s="136" customFormat="1" x14ac:dyDescent="0.2">
      <c r="A486" s="135" t="s">
        <v>1860</v>
      </c>
      <c r="B486" s="135" t="s">
        <v>1861</v>
      </c>
      <c r="C486" s="135" t="s">
        <v>1862</v>
      </c>
      <c r="D486" s="135" t="s">
        <v>1791</v>
      </c>
      <c r="E486" s="135" t="s">
        <v>1863</v>
      </c>
    </row>
    <row r="487" spans="1:5" s="136" customFormat="1" x14ac:dyDescent="0.2">
      <c r="A487" s="135" t="s">
        <v>1864</v>
      </c>
      <c r="B487" s="135" t="s">
        <v>1865</v>
      </c>
      <c r="C487" s="135" t="s">
        <v>1866</v>
      </c>
      <c r="D487" s="135" t="s">
        <v>1810</v>
      </c>
      <c r="E487" s="135" t="s">
        <v>1867</v>
      </c>
    </row>
    <row r="488" spans="1:5" s="136" customFormat="1" x14ac:dyDescent="0.2">
      <c r="A488" s="135" t="s">
        <v>1868</v>
      </c>
      <c r="B488" s="135" t="s">
        <v>1869</v>
      </c>
      <c r="C488" s="135" t="s">
        <v>1870</v>
      </c>
      <c r="D488" s="135" t="s">
        <v>1810</v>
      </c>
      <c r="E488" s="135" t="s">
        <v>1871</v>
      </c>
    </row>
    <row r="489" spans="1:5" s="136" customFormat="1" x14ac:dyDescent="0.2">
      <c r="A489" s="135" t="s">
        <v>1872</v>
      </c>
      <c r="B489" s="135" t="s">
        <v>1873</v>
      </c>
      <c r="C489" s="135" t="s">
        <v>1874</v>
      </c>
      <c r="D489" s="135" t="s">
        <v>1820</v>
      </c>
      <c r="E489" s="135" t="s">
        <v>1875</v>
      </c>
    </row>
    <row r="490" spans="1:5" s="136" customFormat="1" x14ac:dyDescent="0.2">
      <c r="A490" s="135" t="s">
        <v>1876</v>
      </c>
      <c r="B490" s="135" t="s">
        <v>1877</v>
      </c>
      <c r="C490" s="135" t="s">
        <v>1878</v>
      </c>
      <c r="D490" s="135" t="s">
        <v>1879</v>
      </c>
      <c r="E490" s="135" t="s">
        <v>1880</v>
      </c>
    </row>
    <row r="491" spans="1:5" s="136" customFormat="1" x14ac:dyDescent="0.2">
      <c r="A491" s="135" t="s">
        <v>1881</v>
      </c>
      <c r="B491" s="135" t="s">
        <v>1882</v>
      </c>
      <c r="C491" s="135" t="s">
        <v>1883</v>
      </c>
      <c r="D491" s="135" t="s">
        <v>1791</v>
      </c>
      <c r="E491" s="135" t="s">
        <v>1884</v>
      </c>
    </row>
    <row r="492" spans="1:5" s="136" customFormat="1" x14ac:dyDescent="0.2">
      <c r="A492" s="135" t="s">
        <v>1885</v>
      </c>
      <c r="B492" s="135" t="s">
        <v>1886</v>
      </c>
      <c r="C492" s="135" t="s">
        <v>1887</v>
      </c>
      <c r="D492" s="135" t="s">
        <v>1815</v>
      </c>
      <c r="E492" s="135" t="s">
        <v>1888</v>
      </c>
    </row>
    <row r="493" spans="1:5" s="136" customFormat="1" x14ac:dyDescent="0.2">
      <c r="A493" s="135" t="s">
        <v>1889</v>
      </c>
      <c r="B493" s="135" t="s">
        <v>1890</v>
      </c>
      <c r="C493" s="135" t="s">
        <v>1891</v>
      </c>
      <c r="D493" s="135" t="s">
        <v>1892</v>
      </c>
      <c r="E493" s="135" t="s">
        <v>1893</v>
      </c>
    </row>
    <row r="494" spans="1:5" s="136" customFormat="1" x14ac:dyDescent="0.2">
      <c r="A494" s="135" t="s">
        <v>1894</v>
      </c>
      <c r="B494" s="135" t="s">
        <v>1895</v>
      </c>
      <c r="C494" s="135" t="s">
        <v>1896</v>
      </c>
      <c r="D494" s="135" t="s">
        <v>1897</v>
      </c>
      <c r="E494" s="135" t="s">
        <v>1898</v>
      </c>
    </row>
    <row r="495" spans="1:5" s="136" customFormat="1" x14ac:dyDescent="0.2">
      <c r="A495" s="135" t="s">
        <v>1899</v>
      </c>
      <c r="B495" s="135" t="s">
        <v>1900</v>
      </c>
      <c r="C495" s="135" t="s">
        <v>1901</v>
      </c>
      <c r="D495" s="135" t="s">
        <v>1902</v>
      </c>
      <c r="E495" s="135" t="s">
        <v>1903</v>
      </c>
    </row>
    <row r="496" spans="1:5" s="136" customFormat="1" x14ac:dyDescent="0.2">
      <c r="A496" s="135" t="s">
        <v>1904</v>
      </c>
      <c r="B496" s="135" t="s">
        <v>1905</v>
      </c>
      <c r="C496" s="135" t="s">
        <v>1906</v>
      </c>
      <c r="D496" s="135" t="s">
        <v>1815</v>
      </c>
      <c r="E496" s="135" t="s">
        <v>1907</v>
      </c>
    </row>
    <row r="497" spans="1:5" s="136" customFormat="1" x14ac:dyDescent="0.2">
      <c r="A497" s="135" t="s">
        <v>1908</v>
      </c>
      <c r="B497" s="135" t="s">
        <v>1909</v>
      </c>
      <c r="C497" s="135" t="s">
        <v>1910</v>
      </c>
      <c r="D497" s="135" t="s">
        <v>1911</v>
      </c>
      <c r="E497" s="135" t="s">
        <v>1912</v>
      </c>
    </row>
    <row r="498" spans="1:5" s="136" customFormat="1" x14ac:dyDescent="0.2">
      <c r="A498" s="135" t="s">
        <v>1913</v>
      </c>
      <c r="B498" s="135" t="s">
        <v>1914</v>
      </c>
      <c r="C498" s="135" t="s">
        <v>1915</v>
      </c>
      <c r="D498" s="135" t="s">
        <v>1916</v>
      </c>
      <c r="E498" s="135" t="s">
        <v>1917</v>
      </c>
    </row>
    <row r="499" spans="1:5" s="136" customFormat="1" x14ac:dyDescent="0.2">
      <c r="A499" s="135" t="s">
        <v>1918</v>
      </c>
      <c r="B499" s="135" t="s">
        <v>1919</v>
      </c>
      <c r="C499" s="135" t="s">
        <v>1920</v>
      </c>
      <c r="D499" s="135" t="s">
        <v>1921</v>
      </c>
      <c r="E499" s="135" t="s">
        <v>1922</v>
      </c>
    </row>
    <row r="500" spans="1:5" s="136" customFormat="1" x14ac:dyDescent="0.2">
      <c r="A500" s="135" t="s">
        <v>1923</v>
      </c>
      <c r="B500" s="135" t="s">
        <v>1924</v>
      </c>
      <c r="C500" s="135" t="s">
        <v>1925</v>
      </c>
      <c r="D500" s="135" t="s">
        <v>1820</v>
      </c>
      <c r="E500" s="135" t="s">
        <v>1926</v>
      </c>
    </row>
    <row r="501" spans="1:5" s="136" customFormat="1" x14ac:dyDescent="0.2">
      <c r="A501" s="135" t="s">
        <v>1927</v>
      </c>
      <c r="B501" s="135" t="s">
        <v>1928</v>
      </c>
      <c r="C501" s="135" t="s">
        <v>1929</v>
      </c>
      <c r="D501" s="135" t="s">
        <v>1810</v>
      </c>
      <c r="E501" s="135" t="s">
        <v>1930</v>
      </c>
    </row>
    <row r="502" spans="1:5" s="136" customFormat="1" x14ac:dyDescent="0.2">
      <c r="A502" s="135" t="s">
        <v>1931</v>
      </c>
      <c r="B502" s="135" t="s">
        <v>1932</v>
      </c>
      <c r="C502" s="135" t="s">
        <v>1933</v>
      </c>
      <c r="D502" s="135" t="s">
        <v>1791</v>
      </c>
      <c r="E502" s="135" t="s">
        <v>1934</v>
      </c>
    </row>
    <row r="503" spans="1:5" s="136" customFormat="1" x14ac:dyDescent="0.2">
      <c r="A503" s="135" t="s">
        <v>1935</v>
      </c>
      <c r="B503" s="135" t="s">
        <v>1936</v>
      </c>
      <c r="C503" s="135" t="s">
        <v>1937</v>
      </c>
      <c r="D503" s="135" t="s">
        <v>1791</v>
      </c>
      <c r="E503" s="135" t="s">
        <v>1938</v>
      </c>
    </row>
    <row r="504" spans="1:5" s="136" customFormat="1" x14ac:dyDescent="0.2">
      <c r="A504" s="135" t="s">
        <v>1939</v>
      </c>
      <c r="B504" s="135" t="s">
        <v>1940</v>
      </c>
      <c r="C504" s="135" t="s">
        <v>1941</v>
      </c>
      <c r="D504" s="135" t="s">
        <v>1942</v>
      </c>
      <c r="E504" s="135" t="s">
        <v>1943</v>
      </c>
    </row>
    <row r="505" spans="1:5" s="136" customFormat="1" x14ac:dyDescent="0.2">
      <c r="A505" s="135" t="s">
        <v>1944</v>
      </c>
      <c r="B505" s="135" t="s">
        <v>1945</v>
      </c>
      <c r="C505" s="135" t="s">
        <v>1946</v>
      </c>
      <c r="D505" s="135" t="s">
        <v>1791</v>
      </c>
      <c r="E505" s="135" t="s">
        <v>1947</v>
      </c>
    </row>
    <row r="506" spans="1:5" s="136" customFormat="1" x14ac:dyDescent="0.2">
      <c r="A506" s="135" t="s">
        <v>1948</v>
      </c>
      <c r="B506" s="135" t="s">
        <v>1949</v>
      </c>
      <c r="C506" s="135" t="s">
        <v>1950</v>
      </c>
      <c r="D506" s="135" t="s">
        <v>1879</v>
      </c>
      <c r="E506" s="135" t="s">
        <v>1951</v>
      </c>
    </row>
    <row r="507" spans="1:5" s="136" customFormat="1" x14ac:dyDescent="0.2">
      <c r="A507" s="135" t="s">
        <v>1952</v>
      </c>
      <c r="B507" s="135" t="s">
        <v>1953</v>
      </c>
      <c r="C507" s="135" t="s">
        <v>1954</v>
      </c>
      <c r="D507" s="135" t="s">
        <v>1791</v>
      </c>
      <c r="E507" s="135" t="s">
        <v>1955</v>
      </c>
    </row>
    <row r="508" spans="1:5" s="136" customFormat="1" x14ac:dyDescent="0.2">
      <c r="A508" s="135" t="s">
        <v>1956</v>
      </c>
      <c r="B508" s="135" t="s">
        <v>1957</v>
      </c>
      <c r="C508" s="135" t="s">
        <v>1958</v>
      </c>
      <c r="D508" s="135" t="s">
        <v>1791</v>
      </c>
      <c r="E508" s="135" t="s">
        <v>1959</v>
      </c>
    </row>
    <row r="509" spans="1:5" s="136" customFormat="1" x14ac:dyDescent="0.2">
      <c r="A509" s="135" t="s">
        <v>1960</v>
      </c>
      <c r="B509" s="135" t="s">
        <v>1961</v>
      </c>
      <c r="C509" s="135" t="s">
        <v>1962</v>
      </c>
      <c r="D509" s="135" t="s">
        <v>1820</v>
      </c>
      <c r="E509" s="135" t="s">
        <v>1963</v>
      </c>
    </row>
    <row r="510" spans="1:5" s="136" customFormat="1" x14ac:dyDescent="0.2">
      <c r="A510" s="135" t="s">
        <v>1964</v>
      </c>
      <c r="B510" s="135" t="s">
        <v>1965</v>
      </c>
      <c r="C510" s="135" t="s">
        <v>1966</v>
      </c>
      <c r="D510" s="135" t="s">
        <v>1815</v>
      </c>
      <c r="E510" s="135" t="s">
        <v>1967</v>
      </c>
    </row>
    <row r="511" spans="1:5" s="136" customFormat="1" x14ac:dyDescent="0.2">
      <c r="A511" s="135" t="s">
        <v>1968</v>
      </c>
      <c r="B511" s="135" t="s">
        <v>1969</v>
      </c>
      <c r="C511" s="135" t="s">
        <v>1970</v>
      </c>
      <c r="D511" s="135" t="s">
        <v>1805</v>
      </c>
      <c r="E511" s="135" t="s">
        <v>1971</v>
      </c>
    </row>
    <row r="512" spans="1:5" s="136" customFormat="1" x14ac:dyDescent="0.2">
      <c r="A512" s="135" t="s">
        <v>1972</v>
      </c>
      <c r="B512" s="135" t="s">
        <v>1973</v>
      </c>
      <c r="C512" s="135" t="s">
        <v>1974</v>
      </c>
      <c r="D512" s="135" t="s">
        <v>1805</v>
      </c>
      <c r="E512" s="135" t="s">
        <v>1975</v>
      </c>
    </row>
    <row r="513" spans="1:5" s="136" customFormat="1" x14ac:dyDescent="0.2">
      <c r="A513" s="135" t="s">
        <v>1976</v>
      </c>
      <c r="B513" s="135" t="s">
        <v>1977</v>
      </c>
      <c r="C513" s="135" t="s">
        <v>1978</v>
      </c>
      <c r="D513" s="135" t="s">
        <v>1820</v>
      </c>
      <c r="E513" s="135" t="s">
        <v>1979</v>
      </c>
    </row>
    <row r="514" spans="1:5" s="136" customFormat="1" x14ac:dyDescent="0.2">
      <c r="A514" s="135" t="s">
        <v>1980</v>
      </c>
      <c r="B514" s="135" t="s">
        <v>1981</v>
      </c>
      <c r="C514" s="135" t="s">
        <v>1982</v>
      </c>
      <c r="D514" s="135" t="s">
        <v>1983</v>
      </c>
      <c r="E514" s="135" t="s">
        <v>1984</v>
      </c>
    </row>
    <row r="515" spans="1:5" s="136" customFormat="1" x14ac:dyDescent="0.2">
      <c r="A515" s="135" t="s">
        <v>1985</v>
      </c>
      <c r="B515" s="135" t="s">
        <v>1986</v>
      </c>
      <c r="C515" s="135" t="s">
        <v>1987</v>
      </c>
      <c r="D515" s="135" t="s">
        <v>1988</v>
      </c>
      <c r="E515" s="135" t="s">
        <v>1989</v>
      </c>
    </row>
    <row r="516" spans="1:5" s="136" customFormat="1" x14ac:dyDescent="0.2">
      <c r="A516" s="135" t="s">
        <v>1990</v>
      </c>
      <c r="B516" s="135" t="s">
        <v>1991</v>
      </c>
      <c r="C516" s="135" t="s">
        <v>1992</v>
      </c>
      <c r="D516" s="135" t="s">
        <v>1993</v>
      </c>
      <c r="E516" s="135" t="s">
        <v>1994</v>
      </c>
    </row>
    <row r="517" spans="1:5" s="136" customFormat="1" x14ac:dyDescent="0.2">
      <c r="A517" s="135" t="s">
        <v>1995</v>
      </c>
      <c r="B517" s="135" t="s">
        <v>1996</v>
      </c>
      <c r="C517" s="135" t="s">
        <v>1997</v>
      </c>
      <c r="D517" s="135" t="s">
        <v>1998</v>
      </c>
      <c r="E517" s="135" t="s">
        <v>1999</v>
      </c>
    </row>
    <row r="518" spans="1:5" s="136" customFormat="1" x14ac:dyDescent="0.2">
      <c r="A518" s="135" t="s">
        <v>2000</v>
      </c>
      <c r="B518" s="135" t="s">
        <v>2001</v>
      </c>
      <c r="C518" s="135" t="s">
        <v>2002</v>
      </c>
      <c r="D518" s="135" t="s">
        <v>2003</v>
      </c>
      <c r="E518" s="135" t="s">
        <v>2004</v>
      </c>
    </row>
    <row r="519" spans="1:5" s="136" customFormat="1" x14ac:dyDescent="0.2">
      <c r="A519" s="135" t="s">
        <v>2005</v>
      </c>
      <c r="B519" s="135" t="s">
        <v>2006</v>
      </c>
      <c r="C519" s="135" t="s">
        <v>2007</v>
      </c>
      <c r="D519" s="135" t="s">
        <v>2008</v>
      </c>
      <c r="E519" s="135" t="s">
        <v>2009</v>
      </c>
    </row>
    <row r="520" spans="1:5" s="136" customFormat="1" x14ac:dyDescent="0.2">
      <c r="A520" s="135" t="s">
        <v>2010</v>
      </c>
      <c r="B520" s="135" t="s">
        <v>2011</v>
      </c>
      <c r="C520" s="135" t="s">
        <v>2012</v>
      </c>
      <c r="D520" s="135" t="s">
        <v>2013</v>
      </c>
      <c r="E520" s="135" t="s">
        <v>2014</v>
      </c>
    </row>
    <row r="521" spans="1:5" s="136" customFormat="1" x14ac:dyDescent="0.2">
      <c r="A521" s="135" t="s">
        <v>2015</v>
      </c>
      <c r="B521" s="135" t="s">
        <v>2016</v>
      </c>
      <c r="C521" s="135" t="s">
        <v>2017</v>
      </c>
      <c r="D521" s="135" t="s">
        <v>2018</v>
      </c>
      <c r="E521" s="135" t="s">
        <v>2019</v>
      </c>
    </row>
    <row r="522" spans="1:5" s="136" customFormat="1" x14ac:dyDescent="0.2">
      <c r="A522" s="135" t="s">
        <v>2020</v>
      </c>
      <c r="B522" s="135" t="s">
        <v>2021</v>
      </c>
      <c r="C522" s="135" t="s">
        <v>2022</v>
      </c>
      <c r="D522" s="135" t="s">
        <v>2023</v>
      </c>
      <c r="E522" s="135" t="s">
        <v>2024</v>
      </c>
    </row>
    <row r="523" spans="1:5" s="136" customFormat="1" x14ac:dyDescent="0.2">
      <c r="A523" s="135" t="s">
        <v>2025</v>
      </c>
      <c r="B523" s="135" t="s">
        <v>2026</v>
      </c>
      <c r="C523" s="135" t="s">
        <v>2027</v>
      </c>
      <c r="D523" s="135" t="s">
        <v>2023</v>
      </c>
      <c r="E523" s="135" t="s">
        <v>2028</v>
      </c>
    </row>
    <row r="524" spans="1:5" s="136" customFormat="1" x14ac:dyDescent="0.2">
      <c r="A524" s="135" t="s">
        <v>2029</v>
      </c>
      <c r="B524" s="135" t="s">
        <v>2030</v>
      </c>
      <c r="C524" s="135" t="s">
        <v>2031</v>
      </c>
      <c r="D524" s="135" t="s">
        <v>2023</v>
      </c>
      <c r="E524" s="135" t="s">
        <v>2032</v>
      </c>
    </row>
    <row r="525" spans="1:5" s="136" customFormat="1" x14ac:dyDescent="0.2">
      <c r="A525" s="135" t="s">
        <v>2033</v>
      </c>
      <c r="B525" s="135" t="s">
        <v>2034</v>
      </c>
      <c r="C525" s="135" t="s">
        <v>2035</v>
      </c>
      <c r="D525" s="135" t="s">
        <v>1983</v>
      </c>
      <c r="E525" s="135" t="s">
        <v>2036</v>
      </c>
    </row>
    <row r="526" spans="1:5" s="136" customFormat="1" x14ac:dyDescent="0.2">
      <c r="A526" s="135" t="s">
        <v>2037</v>
      </c>
      <c r="B526" s="135" t="s">
        <v>2038</v>
      </c>
      <c r="C526" s="135" t="s">
        <v>2039</v>
      </c>
      <c r="D526" s="135" t="s">
        <v>2023</v>
      </c>
      <c r="E526" s="135" t="s">
        <v>2040</v>
      </c>
    </row>
    <row r="527" spans="1:5" s="136" customFormat="1" x14ac:dyDescent="0.2">
      <c r="A527" s="135" t="s">
        <v>2041</v>
      </c>
      <c r="B527" s="135" t="s">
        <v>2042</v>
      </c>
      <c r="C527" s="135" t="s">
        <v>2043</v>
      </c>
      <c r="D527" s="135" t="s">
        <v>2018</v>
      </c>
      <c r="E527" s="135" t="s">
        <v>2044</v>
      </c>
    </row>
    <row r="528" spans="1:5" s="136" customFormat="1" x14ac:dyDescent="0.2">
      <c r="A528" s="135" t="s">
        <v>2045</v>
      </c>
      <c r="B528" s="135" t="s">
        <v>2046</v>
      </c>
      <c r="C528" s="135" t="s">
        <v>2047</v>
      </c>
      <c r="D528" s="135" t="s">
        <v>2018</v>
      </c>
      <c r="E528" s="135" t="s">
        <v>2048</v>
      </c>
    </row>
    <row r="529" spans="1:5" s="136" customFormat="1" x14ac:dyDescent="0.2">
      <c r="A529" s="135" t="s">
        <v>2049</v>
      </c>
      <c r="B529" s="135" t="s">
        <v>2050</v>
      </c>
      <c r="C529" s="135" t="s">
        <v>2051</v>
      </c>
      <c r="D529" s="135" t="s">
        <v>2018</v>
      </c>
      <c r="E529" s="135" t="s">
        <v>2052</v>
      </c>
    </row>
    <row r="530" spans="1:5" s="136" customFormat="1" x14ac:dyDescent="0.2">
      <c r="A530" s="135" t="s">
        <v>2053</v>
      </c>
      <c r="B530" s="135" t="s">
        <v>2054</v>
      </c>
      <c r="C530" s="135" t="s">
        <v>2055</v>
      </c>
      <c r="D530" s="135" t="s">
        <v>2018</v>
      </c>
      <c r="E530" s="135" t="s">
        <v>2056</v>
      </c>
    </row>
    <row r="531" spans="1:5" s="136" customFormat="1" x14ac:dyDescent="0.2">
      <c r="A531" s="135" t="s">
        <v>2057</v>
      </c>
      <c r="B531" s="135" t="s">
        <v>2058</v>
      </c>
      <c r="C531" s="135" t="s">
        <v>2059</v>
      </c>
      <c r="D531" s="135" t="s">
        <v>2018</v>
      </c>
      <c r="E531" s="135" t="s">
        <v>2060</v>
      </c>
    </row>
    <row r="532" spans="1:5" s="136" customFormat="1" x14ac:dyDescent="0.2">
      <c r="A532" s="135" t="s">
        <v>2061</v>
      </c>
      <c r="B532" s="135" t="s">
        <v>2062</v>
      </c>
      <c r="C532" s="135" t="s">
        <v>2063</v>
      </c>
      <c r="D532" s="135" t="s">
        <v>1983</v>
      </c>
      <c r="E532" s="135" t="s">
        <v>2064</v>
      </c>
    </row>
    <row r="533" spans="1:5" s="136" customFormat="1" x14ac:dyDescent="0.2">
      <c r="A533" s="135" t="s">
        <v>2065</v>
      </c>
      <c r="B533" s="135" t="s">
        <v>2066</v>
      </c>
      <c r="C533" s="135" t="s">
        <v>2067</v>
      </c>
      <c r="D533" s="135" t="s">
        <v>1993</v>
      </c>
      <c r="E533" s="135" t="s">
        <v>2068</v>
      </c>
    </row>
    <row r="534" spans="1:5" s="136" customFormat="1" x14ac:dyDescent="0.2">
      <c r="A534" s="135" t="s">
        <v>2069</v>
      </c>
      <c r="B534" s="135" t="s">
        <v>2070</v>
      </c>
      <c r="C534" s="135" t="s">
        <v>2071</v>
      </c>
      <c r="D534" s="135" t="s">
        <v>1805</v>
      </c>
      <c r="E534" s="135" t="s">
        <v>2072</v>
      </c>
    </row>
    <row r="535" spans="1:5" s="136" customFormat="1" x14ac:dyDescent="0.2">
      <c r="A535" s="135" t="s">
        <v>2073</v>
      </c>
      <c r="B535" s="135" t="s">
        <v>2074</v>
      </c>
      <c r="C535" s="135" t="s">
        <v>2075</v>
      </c>
      <c r="D535" s="135" t="s">
        <v>1993</v>
      </c>
      <c r="E535" s="135" t="s">
        <v>2076</v>
      </c>
    </row>
    <row r="536" spans="1:5" s="136" customFormat="1" x14ac:dyDescent="0.2">
      <c r="A536" s="135" t="s">
        <v>2077</v>
      </c>
      <c r="B536" s="135" t="s">
        <v>2078</v>
      </c>
      <c r="C536" s="135" t="s">
        <v>2079</v>
      </c>
      <c r="D536" s="135" t="s">
        <v>2023</v>
      </c>
      <c r="E536" s="135" t="s">
        <v>2080</v>
      </c>
    </row>
    <row r="537" spans="1:5" s="136" customFormat="1" x14ac:dyDescent="0.2">
      <c r="A537" s="135" t="s">
        <v>2081</v>
      </c>
      <c r="B537" s="135" t="s">
        <v>2082</v>
      </c>
      <c r="C537" s="135" t="s">
        <v>2083</v>
      </c>
      <c r="D537" s="135" t="s">
        <v>1983</v>
      </c>
      <c r="E537" s="135" t="s">
        <v>2084</v>
      </c>
    </row>
    <row r="538" spans="1:5" s="136" customFormat="1" x14ac:dyDescent="0.2">
      <c r="A538" s="135" t="s">
        <v>2085</v>
      </c>
      <c r="B538" s="135" t="s">
        <v>2086</v>
      </c>
      <c r="C538" s="135" t="s">
        <v>2087</v>
      </c>
      <c r="D538" s="135" t="s">
        <v>2023</v>
      </c>
      <c r="E538" s="135" t="s">
        <v>2088</v>
      </c>
    </row>
    <row r="539" spans="1:5" s="136" customFormat="1" x14ac:dyDescent="0.2">
      <c r="A539" s="135" t="s">
        <v>2089</v>
      </c>
      <c r="B539" s="135" t="s">
        <v>2090</v>
      </c>
      <c r="C539" s="135" t="s">
        <v>2091</v>
      </c>
      <c r="D539" s="135" t="s">
        <v>2023</v>
      </c>
      <c r="E539" s="135" t="s">
        <v>2092</v>
      </c>
    </row>
    <row r="540" spans="1:5" s="136" customFormat="1" x14ac:dyDescent="0.2">
      <c r="A540" s="135" t="s">
        <v>2093</v>
      </c>
      <c r="B540" s="135" t="s">
        <v>2094</v>
      </c>
      <c r="C540" s="135" t="s">
        <v>2095</v>
      </c>
      <c r="D540" s="135" t="s">
        <v>2096</v>
      </c>
      <c r="E540" s="135" t="s">
        <v>2097</v>
      </c>
    </row>
    <row r="541" spans="1:5" s="136" customFormat="1" x14ac:dyDescent="0.2">
      <c r="A541" s="135" t="s">
        <v>2098</v>
      </c>
      <c r="B541" s="135" t="s">
        <v>2099</v>
      </c>
      <c r="C541" s="135" t="s">
        <v>2100</v>
      </c>
      <c r="D541" s="135" t="s">
        <v>2101</v>
      </c>
      <c r="E541" s="135" t="s">
        <v>2102</v>
      </c>
    </row>
    <row r="542" spans="1:5" s="136" customFormat="1" x14ac:dyDescent="0.2">
      <c r="A542" s="135" t="s">
        <v>2103</v>
      </c>
      <c r="B542" s="135" t="s">
        <v>2104</v>
      </c>
      <c r="C542" s="135" t="s">
        <v>2105</v>
      </c>
      <c r="D542" s="135" t="s">
        <v>2106</v>
      </c>
      <c r="E542" s="135" t="s">
        <v>2107</v>
      </c>
    </row>
    <row r="543" spans="1:5" s="136" customFormat="1" x14ac:dyDescent="0.2">
      <c r="A543" s="135" t="s">
        <v>2108</v>
      </c>
      <c r="B543" s="135" t="s">
        <v>2109</v>
      </c>
      <c r="C543" s="135" t="s">
        <v>2110</v>
      </c>
      <c r="D543" s="135" t="s">
        <v>2111</v>
      </c>
      <c r="E543" s="135" t="s">
        <v>2112</v>
      </c>
    </row>
    <row r="544" spans="1:5" s="136" customFormat="1" x14ac:dyDescent="0.2">
      <c r="A544" s="135" t="s">
        <v>2113</v>
      </c>
      <c r="B544" s="135" t="s">
        <v>2114</v>
      </c>
      <c r="C544" s="135" t="s">
        <v>2115</v>
      </c>
      <c r="D544" s="135" t="s">
        <v>2116</v>
      </c>
      <c r="E544" s="135" t="s">
        <v>2117</v>
      </c>
    </row>
    <row r="545" spans="1:5" s="136" customFormat="1" x14ac:dyDescent="0.2">
      <c r="A545" s="135" t="s">
        <v>2118</v>
      </c>
      <c r="B545" s="135" t="s">
        <v>2119</v>
      </c>
      <c r="C545" s="135" t="s">
        <v>2120</v>
      </c>
      <c r="D545" s="135" t="s">
        <v>2121</v>
      </c>
      <c r="E545" s="135" t="s">
        <v>2122</v>
      </c>
    </row>
    <row r="546" spans="1:5" s="136" customFormat="1" x14ac:dyDescent="0.2">
      <c r="A546" s="135" t="s">
        <v>2123</v>
      </c>
      <c r="B546" s="135" t="s">
        <v>2124</v>
      </c>
      <c r="C546" s="135" t="s">
        <v>2125</v>
      </c>
      <c r="D546" s="135" t="s">
        <v>2126</v>
      </c>
      <c r="E546" s="135" t="s">
        <v>2127</v>
      </c>
    </row>
    <row r="547" spans="1:5" s="136" customFormat="1" x14ac:dyDescent="0.2">
      <c r="A547" s="135" t="s">
        <v>2128</v>
      </c>
      <c r="B547" s="135" t="s">
        <v>2129</v>
      </c>
      <c r="C547" s="135" t="s">
        <v>2130</v>
      </c>
      <c r="D547" s="135" t="s">
        <v>2131</v>
      </c>
      <c r="E547" s="135" t="s">
        <v>2132</v>
      </c>
    </row>
    <row r="548" spans="1:5" s="136" customFormat="1" x14ac:dyDescent="0.2">
      <c r="A548" s="135" t="s">
        <v>2133</v>
      </c>
      <c r="B548" s="135" t="s">
        <v>2134</v>
      </c>
      <c r="C548" s="135" t="s">
        <v>2135</v>
      </c>
      <c r="D548" s="135" t="s">
        <v>2136</v>
      </c>
      <c r="E548" s="135" t="s">
        <v>2137</v>
      </c>
    </row>
    <row r="549" spans="1:5" s="136" customFormat="1" x14ac:dyDescent="0.2">
      <c r="A549" s="135" t="s">
        <v>2138</v>
      </c>
      <c r="B549" s="135" t="s">
        <v>2139</v>
      </c>
      <c r="C549" s="135" t="s">
        <v>2140</v>
      </c>
      <c r="D549" s="135" t="s">
        <v>2136</v>
      </c>
      <c r="E549" s="135" t="s">
        <v>2141</v>
      </c>
    </row>
    <row r="550" spans="1:5" s="136" customFormat="1" x14ac:dyDescent="0.2">
      <c r="A550" s="135" t="s">
        <v>2142</v>
      </c>
      <c r="B550" s="135" t="s">
        <v>2143</v>
      </c>
      <c r="C550" s="135" t="s">
        <v>2144</v>
      </c>
      <c r="D550" s="135" t="s">
        <v>2096</v>
      </c>
      <c r="E550" s="135" t="s">
        <v>2145</v>
      </c>
    </row>
    <row r="551" spans="1:5" s="136" customFormat="1" x14ac:dyDescent="0.2">
      <c r="A551" s="135" t="s">
        <v>2146</v>
      </c>
      <c r="B551" s="135" t="s">
        <v>2147</v>
      </c>
      <c r="C551" s="135" t="s">
        <v>2148</v>
      </c>
      <c r="D551" s="135" t="s">
        <v>2106</v>
      </c>
      <c r="E551" s="135" t="s">
        <v>2149</v>
      </c>
    </row>
    <row r="552" spans="1:5" s="136" customFormat="1" x14ac:dyDescent="0.2">
      <c r="A552" s="135" t="s">
        <v>2150</v>
      </c>
      <c r="B552" s="135" t="s">
        <v>2151</v>
      </c>
      <c r="C552" s="135" t="s">
        <v>2152</v>
      </c>
      <c r="D552" s="135" t="s">
        <v>2131</v>
      </c>
      <c r="E552" s="135" t="s">
        <v>2153</v>
      </c>
    </row>
    <row r="553" spans="1:5" s="136" customFormat="1" x14ac:dyDescent="0.2">
      <c r="A553" s="135" t="s">
        <v>2154</v>
      </c>
      <c r="B553" s="135" t="s">
        <v>2155</v>
      </c>
      <c r="C553" s="135" t="s">
        <v>2156</v>
      </c>
      <c r="D553" s="135" t="s">
        <v>2131</v>
      </c>
      <c r="E553" s="135" t="s">
        <v>2157</v>
      </c>
    </row>
    <row r="554" spans="1:5" s="136" customFormat="1" x14ac:dyDescent="0.2">
      <c r="A554" s="135" t="s">
        <v>2158</v>
      </c>
      <c r="B554" s="135" t="s">
        <v>2159</v>
      </c>
      <c r="C554" s="135" t="s">
        <v>2160</v>
      </c>
      <c r="D554" s="135" t="s">
        <v>2136</v>
      </c>
      <c r="E554" s="135" t="s">
        <v>2161</v>
      </c>
    </row>
    <row r="555" spans="1:5" s="136" customFormat="1" x14ac:dyDescent="0.2">
      <c r="A555" s="135" t="s">
        <v>2162</v>
      </c>
      <c r="B555" s="135" t="s">
        <v>2163</v>
      </c>
      <c r="C555" s="135" t="s">
        <v>2164</v>
      </c>
      <c r="D555" s="135" t="s">
        <v>2136</v>
      </c>
      <c r="E555" s="135" t="s">
        <v>2165</v>
      </c>
    </row>
    <row r="556" spans="1:5" s="136" customFormat="1" x14ac:dyDescent="0.2">
      <c r="A556" s="135" t="s">
        <v>2166</v>
      </c>
      <c r="B556" s="135" t="s">
        <v>2167</v>
      </c>
      <c r="C556" s="135" t="s">
        <v>2168</v>
      </c>
      <c r="D556" s="135" t="s">
        <v>2136</v>
      </c>
      <c r="E556" s="135" t="s">
        <v>2169</v>
      </c>
    </row>
    <row r="557" spans="1:5" s="136" customFormat="1" x14ac:dyDescent="0.2">
      <c r="A557" s="135" t="s">
        <v>2170</v>
      </c>
      <c r="B557" s="135" t="s">
        <v>2171</v>
      </c>
      <c r="C557" s="135" t="s">
        <v>2172</v>
      </c>
      <c r="D557" s="135" t="s">
        <v>2136</v>
      </c>
      <c r="E557" s="135" t="s">
        <v>2173</v>
      </c>
    </row>
    <row r="558" spans="1:5" s="136" customFormat="1" x14ac:dyDescent="0.2">
      <c r="A558" s="135" t="s">
        <v>2174</v>
      </c>
      <c r="B558" s="135" t="s">
        <v>2175</v>
      </c>
      <c r="C558" s="135" t="s">
        <v>2176</v>
      </c>
      <c r="D558" s="135" t="s">
        <v>2136</v>
      </c>
      <c r="E558" s="135" t="s">
        <v>2177</v>
      </c>
    </row>
    <row r="559" spans="1:5" s="136" customFormat="1" x14ac:dyDescent="0.2">
      <c r="A559" s="135" t="s">
        <v>2178</v>
      </c>
      <c r="B559" s="135" t="s">
        <v>2179</v>
      </c>
      <c r="C559" s="135" t="s">
        <v>2180</v>
      </c>
      <c r="D559" s="135" t="s">
        <v>2131</v>
      </c>
      <c r="E559" s="135" t="s">
        <v>2181</v>
      </c>
    </row>
    <row r="560" spans="1:5" s="136" customFormat="1" x14ac:dyDescent="0.2">
      <c r="A560" s="135" t="s">
        <v>2182</v>
      </c>
      <c r="B560" s="135" t="s">
        <v>2183</v>
      </c>
      <c r="C560" s="135" t="s">
        <v>2184</v>
      </c>
      <c r="D560" s="135" t="s">
        <v>2131</v>
      </c>
      <c r="E560" s="135" t="s">
        <v>2185</v>
      </c>
    </row>
    <row r="561" spans="1:5" s="136" customFormat="1" x14ac:dyDescent="0.2">
      <c r="A561" s="135" t="s">
        <v>2186</v>
      </c>
      <c r="B561" s="135" t="s">
        <v>2187</v>
      </c>
      <c r="C561" s="135" t="s">
        <v>2188</v>
      </c>
      <c r="D561" s="135" t="s">
        <v>2131</v>
      </c>
      <c r="E561" s="135" t="s">
        <v>2189</v>
      </c>
    </row>
    <row r="562" spans="1:5" s="136" customFormat="1" x14ac:dyDescent="0.2">
      <c r="A562" s="135" t="s">
        <v>2190</v>
      </c>
      <c r="B562" s="135" t="s">
        <v>2191</v>
      </c>
      <c r="C562" s="135" t="s">
        <v>2192</v>
      </c>
      <c r="D562" s="135" t="s">
        <v>2131</v>
      </c>
      <c r="E562" s="135" t="s">
        <v>2193</v>
      </c>
    </row>
    <row r="563" spans="1:5" s="136" customFormat="1" x14ac:dyDescent="0.2">
      <c r="A563" s="135" t="s">
        <v>2194</v>
      </c>
      <c r="B563" s="135" t="s">
        <v>2195</v>
      </c>
      <c r="C563" s="135" t="s">
        <v>2196</v>
      </c>
      <c r="D563" s="135" t="s">
        <v>2131</v>
      </c>
      <c r="E563" s="135" t="s">
        <v>2197</v>
      </c>
    </row>
    <row r="564" spans="1:5" s="136" customFormat="1" x14ac:dyDescent="0.2">
      <c r="A564" s="135" t="s">
        <v>2198</v>
      </c>
      <c r="B564" s="135" t="s">
        <v>2199</v>
      </c>
      <c r="C564" s="135" t="s">
        <v>2200</v>
      </c>
      <c r="D564" s="135" t="s">
        <v>2131</v>
      </c>
      <c r="E564" s="135" t="s">
        <v>2201</v>
      </c>
    </row>
    <row r="565" spans="1:5" s="136" customFormat="1" x14ac:dyDescent="0.2">
      <c r="A565" s="135" t="s">
        <v>2202</v>
      </c>
      <c r="B565" s="135" t="s">
        <v>2203</v>
      </c>
      <c r="C565" s="135" t="s">
        <v>2204</v>
      </c>
      <c r="D565" s="135" t="s">
        <v>2121</v>
      </c>
      <c r="E565" s="135" t="s">
        <v>2205</v>
      </c>
    </row>
    <row r="566" spans="1:5" s="136" customFormat="1" x14ac:dyDescent="0.2">
      <c r="A566" s="135" t="s">
        <v>2206</v>
      </c>
      <c r="B566" s="135" t="s">
        <v>2207</v>
      </c>
      <c r="C566" s="135" t="s">
        <v>2208</v>
      </c>
      <c r="D566" s="135" t="s">
        <v>2121</v>
      </c>
      <c r="E566" s="135" t="s">
        <v>2209</v>
      </c>
    </row>
    <row r="567" spans="1:5" s="136" customFormat="1" x14ac:dyDescent="0.2">
      <c r="A567" s="135" t="s">
        <v>2210</v>
      </c>
      <c r="B567" s="135" t="s">
        <v>2211</v>
      </c>
      <c r="C567" s="135" t="s">
        <v>2212</v>
      </c>
      <c r="D567" s="135" t="s">
        <v>2121</v>
      </c>
      <c r="E567" s="135" t="s">
        <v>2213</v>
      </c>
    </row>
    <row r="568" spans="1:5" s="136" customFormat="1" x14ac:dyDescent="0.2">
      <c r="A568" s="135" t="s">
        <v>2214</v>
      </c>
      <c r="B568" s="135" t="s">
        <v>2215</v>
      </c>
      <c r="C568" s="135" t="s">
        <v>2216</v>
      </c>
      <c r="D568" s="135" t="s">
        <v>2121</v>
      </c>
      <c r="E568" s="135" t="s">
        <v>2217</v>
      </c>
    </row>
    <row r="569" spans="1:5" s="136" customFormat="1" x14ac:dyDescent="0.2">
      <c r="A569" s="135" t="s">
        <v>2218</v>
      </c>
      <c r="B569" s="135" t="s">
        <v>2219</v>
      </c>
      <c r="C569" s="135" t="s">
        <v>2220</v>
      </c>
      <c r="D569" s="135" t="s">
        <v>2111</v>
      </c>
      <c r="E569" s="135" t="s">
        <v>2221</v>
      </c>
    </row>
    <row r="570" spans="1:5" s="136" customFormat="1" x14ac:dyDescent="0.2">
      <c r="A570" s="135" t="s">
        <v>2222</v>
      </c>
      <c r="B570" s="135" t="s">
        <v>2223</v>
      </c>
      <c r="C570" s="135" t="s">
        <v>2224</v>
      </c>
      <c r="D570" s="135" t="s">
        <v>2126</v>
      </c>
      <c r="E570" s="135" t="s">
        <v>2225</v>
      </c>
    </row>
    <row r="571" spans="1:5" s="136" customFormat="1" x14ac:dyDescent="0.2">
      <c r="A571" s="135" t="s">
        <v>2226</v>
      </c>
      <c r="B571" s="135" t="s">
        <v>2227</v>
      </c>
      <c r="C571" s="135" t="s">
        <v>2228</v>
      </c>
      <c r="D571" s="135" t="s">
        <v>2126</v>
      </c>
      <c r="E571" s="135" t="s">
        <v>2229</v>
      </c>
    </row>
    <row r="572" spans="1:5" s="136" customFormat="1" x14ac:dyDescent="0.2">
      <c r="A572" s="135" t="s">
        <v>2230</v>
      </c>
      <c r="B572" s="135" t="s">
        <v>2231</v>
      </c>
      <c r="C572" s="135" t="s">
        <v>2232</v>
      </c>
      <c r="D572" s="135" t="s">
        <v>2126</v>
      </c>
      <c r="E572" s="135" t="s">
        <v>2233</v>
      </c>
    </row>
    <row r="573" spans="1:5" s="136" customFormat="1" x14ac:dyDescent="0.2">
      <c r="A573" s="135" t="s">
        <v>2234</v>
      </c>
      <c r="B573" s="135" t="s">
        <v>2235</v>
      </c>
      <c r="C573" s="135" t="s">
        <v>2236</v>
      </c>
      <c r="D573" s="135" t="s">
        <v>2126</v>
      </c>
      <c r="E573" s="135" t="s">
        <v>2237</v>
      </c>
    </row>
    <row r="574" spans="1:5" s="136" customFormat="1" x14ac:dyDescent="0.2">
      <c r="A574" s="135" t="s">
        <v>2238</v>
      </c>
      <c r="B574" s="135" t="s">
        <v>2239</v>
      </c>
      <c r="C574" s="135" t="s">
        <v>2240</v>
      </c>
      <c r="D574" s="135" t="s">
        <v>2126</v>
      </c>
      <c r="E574" s="135" t="s">
        <v>2241</v>
      </c>
    </row>
    <row r="575" spans="1:5" s="136" customFormat="1" x14ac:dyDescent="0.2">
      <c r="A575" s="135" t="s">
        <v>2242</v>
      </c>
      <c r="B575" s="135" t="s">
        <v>2243</v>
      </c>
      <c r="C575" s="135" t="s">
        <v>2244</v>
      </c>
    </row>
    <row r="576" spans="1:5" s="136" customFormat="1" x14ac:dyDescent="0.2">
      <c r="A576" s="135" t="s">
        <v>2245</v>
      </c>
      <c r="B576" s="135" t="s">
        <v>2246</v>
      </c>
      <c r="C576" s="135" t="s">
        <v>2247</v>
      </c>
      <c r="D576" s="135" t="s">
        <v>2248</v>
      </c>
      <c r="E576" s="135" t="s">
        <v>2249</v>
      </c>
    </row>
    <row r="577" spans="1:5" s="136" customFormat="1" x14ac:dyDescent="0.2">
      <c r="A577" s="135" t="s">
        <v>2250</v>
      </c>
      <c r="B577" s="135" t="s">
        <v>2251</v>
      </c>
      <c r="C577" s="135" t="s">
        <v>2252</v>
      </c>
      <c r="D577" s="135" t="s">
        <v>2248</v>
      </c>
      <c r="E577" s="135" t="s">
        <v>2253</v>
      </c>
    </row>
    <row r="578" spans="1:5" s="136" customFormat="1" x14ac:dyDescent="0.2">
      <c r="A578" s="135" t="s">
        <v>2254</v>
      </c>
      <c r="B578" s="135" t="s">
        <v>2255</v>
      </c>
      <c r="C578" s="135" t="s">
        <v>2256</v>
      </c>
      <c r="D578" s="135" t="s">
        <v>2248</v>
      </c>
      <c r="E578" s="135" t="s">
        <v>2257</v>
      </c>
    </row>
    <row r="579" spans="1:5" s="136" customFormat="1" x14ac:dyDescent="0.2">
      <c r="A579" s="135" t="s">
        <v>2258</v>
      </c>
      <c r="B579" s="135" t="s">
        <v>2259</v>
      </c>
      <c r="C579" s="135" t="s">
        <v>2260</v>
      </c>
      <c r="D579" s="135" t="s">
        <v>2248</v>
      </c>
      <c r="E579" s="135" t="s">
        <v>2261</v>
      </c>
    </row>
    <row r="580" spans="1:5" s="136" customFormat="1" x14ac:dyDescent="0.2">
      <c r="A580" s="135" t="s">
        <v>2262</v>
      </c>
      <c r="B580" s="135" t="s">
        <v>2263</v>
      </c>
      <c r="C580" s="135" t="s">
        <v>2264</v>
      </c>
      <c r="D580" s="135" t="s">
        <v>2248</v>
      </c>
      <c r="E580" s="135" t="s">
        <v>2265</v>
      </c>
    </row>
    <row r="581" spans="1:5" s="136" customFormat="1" x14ac:dyDescent="0.2">
      <c r="A581" s="135" t="s">
        <v>2266</v>
      </c>
      <c r="B581" s="135" t="s">
        <v>2267</v>
      </c>
      <c r="C581" s="135" t="s">
        <v>2268</v>
      </c>
      <c r="D581" s="135" t="s">
        <v>2248</v>
      </c>
      <c r="E581" s="135" t="s">
        <v>2269</v>
      </c>
    </row>
    <row r="582" spans="1:5" s="136" customFormat="1" x14ac:dyDescent="0.2">
      <c r="A582" s="135" t="s">
        <v>2270</v>
      </c>
      <c r="B582" s="135" t="s">
        <v>2271</v>
      </c>
      <c r="C582" s="135" t="s">
        <v>2272</v>
      </c>
      <c r="D582" s="135" t="s">
        <v>2248</v>
      </c>
      <c r="E582" s="135" t="s">
        <v>2273</v>
      </c>
    </row>
    <row r="583" spans="1:5" s="136" customFormat="1" x14ac:dyDescent="0.2">
      <c r="A583" s="135" t="s">
        <v>2274</v>
      </c>
      <c r="B583" s="135" t="s">
        <v>2275</v>
      </c>
      <c r="C583" s="135" t="s">
        <v>2276</v>
      </c>
      <c r="D583" s="135" t="s">
        <v>2248</v>
      </c>
      <c r="E583" s="135" t="s">
        <v>2277</v>
      </c>
    </row>
    <row r="584" spans="1:5" s="136" customFormat="1" x14ac:dyDescent="0.2">
      <c r="A584" s="135" t="s">
        <v>2278</v>
      </c>
      <c r="B584" s="135" t="s">
        <v>2279</v>
      </c>
      <c r="C584" s="135" t="s">
        <v>2280</v>
      </c>
      <c r="D584" s="135" t="s">
        <v>2248</v>
      </c>
      <c r="E584" s="135" t="s">
        <v>2281</v>
      </c>
    </row>
    <row r="585" spans="1:5" s="136" customFormat="1" x14ac:dyDescent="0.2">
      <c r="A585" s="135" t="s">
        <v>2282</v>
      </c>
      <c r="B585" s="135" t="s">
        <v>2283</v>
      </c>
      <c r="C585" s="135" t="s">
        <v>2284</v>
      </c>
      <c r="D585" s="135" t="s">
        <v>2248</v>
      </c>
      <c r="E585" s="135" t="s">
        <v>2285</v>
      </c>
    </row>
    <row r="586" spans="1:5" s="136" customFormat="1" x14ac:dyDescent="0.2">
      <c r="A586" s="135" t="s">
        <v>2286</v>
      </c>
      <c r="B586" s="135" t="s">
        <v>2287</v>
      </c>
      <c r="C586" s="135" t="s">
        <v>2288</v>
      </c>
      <c r="D586" s="135" t="s">
        <v>2289</v>
      </c>
      <c r="E586" s="135" t="s">
        <v>2290</v>
      </c>
    </row>
    <row r="587" spans="1:5" s="136" customFormat="1" x14ac:dyDescent="0.2">
      <c r="A587" s="135" t="s">
        <v>2291</v>
      </c>
      <c r="B587" s="135" t="s">
        <v>2292</v>
      </c>
      <c r="C587" s="135" t="s">
        <v>2293</v>
      </c>
      <c r="D587" s="135" t="s">
        <v>2294</v>
      </c>
      <c r="E587" s="135" t="s">
        <v>2295</v>
      </c>
    </row>
    <row r="588" spans="1:5" s="136" customFormat="1" x14ac:dyDescent="0.2">
      <c r="A588" s="135" t="s">
        <v>2296</v>
      </c>
      <c r="B588" s="135" t="s">
        <v>2297</v>
      </c>
      <c r="C588" s="135" t="s">
        <v>2298</v>
      </c>
      <c r="D588" s="135" t="s">
        <v>2248</v>
      </c>
      <c r="E588" s="135" t="s">
        <v>2299</v>
      </c>
    </row>
    <row r="589" spans="1:5" s="136" customFormat="1" x14ac:dyDescent="0.2">
      <c r="A589" s="135" t="s">
        <v>2300</v>
      </c>
      <c r="B589" s="135" t="s">
        <v>2301</v>
      </c>
      <c r="C589" s="135" t="s">
        <v>2302</v>
      </c>
      <c r="D589" s="135" t="s">
        <v>2248</v>
      </c>
      <c r="E589" s="135" t="s">
        <v>2303</v>
      </c>
    </row>
    <row r="590" spans="1:5" s="136" customFormat="1" x14ac:dyDescent="0.2">
      <c r="A590" s="135" t="s">
        <v>2304</v>
      </c>
      <c r="B590" s="135" t="s">
        <v>2305</v>
      </c>
      <c r="C590" s="135" t="s">
        <v>2306</v>
      </c>
      <c r="D590" s="135" t="s">
        <v>2307</v>
      </c>
      <c r="E590" s="135" t="s">
        <v>2308</v>
      </c>
    </row>
    <row r="591" spans="1:5" s="136" customFormat="1" x14ac:dyDescent="0.2">
      <c r="A591" s="135" t="s">
        <v>2309</v>
      </c>
      <c r="B591" s="135" t="s">
        <v>2310</v>
      </c>
      <c r="C591" s="135" t="s">
        <v>2311</v>
      </c>
      <c r="D591" s="135" t="s">
        <v>2312</v>
      </c>
      <c r="E591" s="135" t="s">
        <v>2313</v>
      </c>
    </row>
    <row r="592" spans="1:5" s="136" customFormat="1" x14ac:dyDescent="0.2">
      <c r="A592" s="135" t="s">
        <v>2314</v>
      </c>
      <c r="B592" s="135" t="s">
        <v>2315</v>
      </c>
      <c r="C592" s="135" t="s">
        <v>2316</v>
      </c>
      <c r="D592" s="135" t="s">
        <v>2317</v>
      </c>
      <c r="E592" s="135" t="s">
        <v>2318</v>
      </c>
    </row>
    <row r="593" spans="1:5" s="136" customFormat="1" x14ac:dyDescent="0.2">
      <c r="A593" s="135" t="s">
        <v>2319</v>
      </c>
      <c r="B593" s="135" t="s">
        <v>2320</v>
      </c>
      <c r="C593" s="135" t="s">
        <v>2321</v>
      </c>
      <c r="D593" s="135" t="s">
        <v>2322</v>
      </c>
      <c r="E593" s="135" t="s">
        <v>2323</v>
      </c>
    </row>
    <row r="594" spans="1:5" s="136" customFormat="1" x14ac:dyDescent="0.2">
      <c r="A594" s="135" t="s">
        <v>2324</v>
      </c>
      <c r="B594" s="135" t="s">
        <v>2325</v>
      </c>
      <c r="C594" s="135" t="s">
        <v>2326</v>
      </c>
      <c r="D594" s="135" t="s">
        <v>2327</v>
      </c>
      <c r="E594" s="135" t="s">
        <v>2328</v>
      </c>
    </row>
    <row r="595" spans="1:5" s="136" customFormat="1" x14ac:dyDescent="0.2">
      <c r="A595" s="135" t="s">
        <v>2329</v>
      </c>
      <c r="B595" s="135" t="s">
        <v>2330</v>
      </c>
      <c r="C595" s="135" t="s">
        <v>2331</v>
      </c>
      <c r="D595" s="135" t="s">
        <v>2332</v>
      </c>
      <c r="E595" s="135" t="s">
        <v>2333</v>
      </c>
    </row>
    <row r="596" spans="1:5" s="136" customFormat="1" x14ac:dyDescent="0.2">
      <c r="A596" s="135" t="s">
        <v>2334</v>
      </c>
      <c r="B596" s="135" t="s">
        <v>2335</v>
      </c>
      <c r="C596" s="135" t="s">
        <v>2336</v>
      </c>
      <c r="D596" s="135" t="s">
        <v>2248</v>
      </c>
      <c r="E596" s="135" t="s">
        <v>2337</v>
      </c>
    </row>
    <row r="597" spans="1:5" s="136" customFormat="1" x14ac:dyDescent="0.2">
      <c r="A597" s="135" t="s">
        <v>2338</v>
      </c>
      <c r="B597" s="135" t="s">
        <v>2339</v>
      </c>
      <c r="C597" s="135" t="s">
        <v>2340</v>
      </c>
      <c r="D597" s="135" t="s">
        <v>2312</v>
      </c>
      <c r="E597" s="135" t="s">
        <v>2341</v>
      </c>
    </row>
    <row r="598" spans="1:5" s="136" customFormat="1" x14ac:dyDescent="0.2">
      <c r="A598" s="135" t="s">
        <v>2342</v>
      </c>
      <c r="B598" s="135" t="s">
        <v>2343</v>
      </c>
      <c r="C598" s="135" t="s">
        <v>2344</v>
      </c>
      <c r="D598" s="135" t="s">
        <v>2248</v>
      </c>
      <c r="E598" s="135" t="s">
        <v>2345</v>
      </c>
    </row>
    <row r="599" spans="1:5" s="136" customFormat="1" x14ac:dyDescent="0.2">
      <c r="A599" s="135" t="s">
        <v>2346</v>
      </c>
      <c r="B599" s="135" t="s">
        <v>2347</v>
      </c>
      <c r="C599" s="135" t="s">
        <v>2348</v>
      </c>
      <c r="D599" s="135" t="s">
        <v>2248</v>
      </c>
      <c r="E599" s="135" t="s">
        <v>2349</v>
      </c>
    </row>
    <row r="600" spans="1:5" s="136" customFormat="1" x14ac:dyDescent="0.2">
      <c r="A600" s="135" t="s">
        <v>2350</v>
      </c>
      <c r="B600" s="135" t="s">
        <v>2351</v>
      </c>
      <c r="C600" s="135" t="s">
        <v>2352</v>
      </c>
      <c r="D600" s="135" t="s">
        <v>2248</v>
      </c>
      <c r="E600" s="135" t="s">
        <v>2353</v>
      </c>
    </row>
    <row r="601" spans="1:5" s="136" customFormat="1" x14ac:dyDescent="0.2">
      <c r="A601" s="135" t="s">
        <v>2354</v>
      </c>
      <c r="B601" s="135" t="s">
        <v>2355</v>
      </c>
      <c r="C601" s="135" t="s">
        <v>2356</v>
      </c>
      <c r="D601" s="135" t="s">
        <v>2248</v>
      </c>
      <c r="E601" s="135" t="s">
        <v>2357</v>
      </c>
    </row>
    <row r="602" spans="1:5" s="136" customFormat="1" x14ac:dyDescent="0.2">
      <c r="A602" s="135" t="s">
        <v>2358</v>
      </c>
      <c r="B602" s="135" t="s">
        <v>2359</v>
      </c>
      <c r="C602" s="135" t="s">
        <v>2360</v>
      </c>
      <c r="D602" s="135" t="s">
        <v>2248</v>
      </c>
      <c r="E602" s="135" t="s">
        <v>2361</v>
      </c>
    </row>
    <row r="603" spans="1:5" s="136" customFormat="1" x14ac:dyDescent="0.2">
      <c r="A603" s="135" t="s">
        <v>2362</v>
      </c>
      <c r="B603" s="135" t="s">
        <v>2363</v>
      </c>
      <c r="C603" s="135" t="s">
        <v>2364</v>
      </c>
      <c r="D603" s="135" t="s">
        <v>2248</v>
      </c>
      <c r="E603" s="135" t="s">
        <v>2365</v>
      </c>
    </row>
    <row r="604" spans="1:5" s="136" customFormat="1" x14ac:dyDescent="0.2">
      <c r="A604" s="135" t="s">
        <v>2366</v>
      </c>
      <c r="B604" s="135" t="s">
        <v>2367</v>
      </c>
      <c r="C604" s="135" t="s">
        <v>2368</v>
      </c>
      <c r="D604" s="135" t="s">
        <v>2248</v>
      </c>
      <c r="E604" s="135" t="s">
        <v>2369</v>
      </c>
    </row>
    <row r="605" spans="1:5" s="136" customFormat="1" x14ac:dyDescent="0.2">
      <c r="A605" s="135" t="s">
        <v>2370</v>
      </c>
      <c r="B605" s="135" t="s">
        <v>2371</v>
      </c>
      <c r="C605" s="135" t="s">
        <v>2372</v>
      </c>
      <c r="D605" s="135" t="s">
        <v>2248</v>
      </c>
      <c r="E605" s="135" t="s">
        <v>2369</v>
      </c>
    </row>
    <row r="606" spans="1:5" s="136" customFormat="1" x14ac:dyDescent="0.2">
      <c r="A606" s="135" t="s">
        <v>2373</v>
      </c>
      <c r="B606" s="135" t="s">
        <v>2374</v>
      </c>
      <c r="C606" s="135" t="s">
        <v>2375</v>
      </c>
      <c r="D606" s="135" t="s">
        <v>2312</v>
      </c>
      <c r="E606" s="135" t="s">
        <v>2376</v>
      </c>
    </row>
    <row r="607" spans="1:5" s="136" customFormat="1" x14ac:dyDescent="0.2">
      <c r="A607" s="135" t="s">
        <v>2377</v>
      </c>
      <c r="B607" s="135" t="s">
        <v>2378</v>
      </c>
      <c r="C607" s="135" t="s">
        <v>2379</v>
      </c>
      <c r="D607" s="135" t="s">
        <v>2248</v>
      </c>
      <c r="E607" s="135" t="s">
        <v>2380</v>
      </c>
    </row>
    <row r="608" spans="1:5" s="136" customFormat="1" x14ac:dyDescent="0.2">
      <c r="A608" s="135" t="s">
        <v>2381</v>
      </c>
      <c r="B608" s="135" t="s">
        <v>2382</v>
      </c>
      <c r="C608" s="135" t="s">
        <v>2383</v>
      </c>
      <c r="D608" s="135" t="s">
        <v>2248</v>
      </c>
      <c r="E608" s="135" t="s">
        <v>2384</v>
      </c>
    </row>
    <row r="609" spans="1:5" s="136" customFormat="1" x14ac:dyDescent="0.2">
      <c r="A609" s="135" t="s">
        <v>2385</v>
      </c>
      <c r="B609" s="135" t="s">
        <v>2386</v>
      </c>
      <c r="C609" s="135" t="s">
        <v>2387</v>
      </c>
      <c r="D609" s="135" t="s">
        <v>2248</v>
      </c>
      <c r="E609" s="135" t="s">
        <v>2388</v>
      </c>
    </row>
    <row r="610" spans="1:5" s="136" customFormat="1" x14ac:dyDescent="0.2">
      <c r="A610" s="135" t="s">
        <v>2389</v>
      </c>
      <c r="B610" s="135" t="s">
        <v>2390</v>
      </c>
      <c r="C610" s="135" t="s">
        <v>2391</v>
      </c>
      <c r="D610" s="135" t="s">
        <v>2392</v>
      </c>
      <c r="E610" s="135" t="s">
        <v>2393</v>
      </c>
    </row>
    <row r="611" spans="1:5" s="136" customFormat="1" x14ac:dyDescent="0.2">
      <c r="A611" s="135" t="s">
        <v>2394</v>
      </c>
      <c r="B611" s="135" t="s">
        <v>2395</v>
      </c>
      <c r="C611" s="135" t="s">
        <v>2396</v>
      </c>
      <c r="D611" s="135" t="s">
        <v>2248</v>
      </c>
      <c r="E611" s="135" t="s">
        <v>2397</v>
      </c>
    </row>
    <row r="612" spans="1:5" s="136" customFormat="1" x14ac:dyDescent="0.2">
      <c r="A612" s="135" t="s">
        <v>2398</v>
      </c>
      <c r="B612" s="135" t="s">
        <v>2399</v>
      </c>
      <c r="C612" s="135" t="s">
        <v>2400</v>
      </c>
      <c r="D612" s="135" t="s">
        <v>2401</v>
      </c>
      <c r="E612" s="135" t="s">
        <v>2402</v>
      </c>
    </row>
    <row r="613" spans="1:5" s="136" customFormat="1" x14ac:dyDescent="0.2">
      <c r="A613" s="135" t="s">
        <v>2403</v>
      </c>
      <c r="B613" s="135" t="s">
        <v>2404</v>
      </c>
      <c r="C613" s="135" t="s">
        <v>2405</v>
      </c>
      <c r="D613" s="135" t="s">
        <v>2248</v>
      </c>
      <c r="E613" s="135" t="s">
        <v>2406</v>
      </c>
    </row>
    <row r="614" spans="1:5" s="136" customFormat="1" x14ac:dyDescent="0.2">
      <c r="A614" s="135" t="s">
        <v>2407</v>
      </c>
      <c r="B614" s="135" t="s">
        <v>2408</v>
      </c>
      <c r="C614" s="135" t="s">
        <v>2409</v>
      </c>
      <c r="D614" s="135" t="s">
        <v>2248</v>
      </c>
      <c r="E614" s="135" t="s">
        <v>2410</v>
      </c>
    </row>
    <row r="615" spans="1:5" s="136" customFormat="1" x14ac:dyDescent="0.2">
      <c r="A615" s="135" t="s">
        <v>2411</v>
      </c>
      <c r="B615" s="135" t="s">
        <v>2412</v>
      </c>
      <c r="C615" s="135" t="s">
        <v>2413</v>
      </c>
      <c r="D615" s="135" t="s">
        <v>2414</v>
      </c>
      <c r="E615" s="135" t="s">
        <v>2415</v>
      </c>
    </row>
    <row r="616" spans="1:5" s="136" customFormat="1" x14ac:dyDescent="0.2">
      <c r="A616" s="135" t="s">
        <v>2416</v>
      </c>
      <c r="B616" s="135" t="s">
        <v>2417</v>
      </c>
      <c r="C616" s="135" t="s">
        <v>2418</v>
      </c>
      <c r="D616" s="135" t="s">
        <v>2248</v>
      </c>
      <c r="E616" s="135" t="s">
        <v>2419</v>
      </c>
    </row>
    <row r="617" spans="1:5" s="136" customFormat="1" x14ac:dyDescent="0.2">
      <c r="A617" s="135" t="s">
        <v>2420</v>
      </c>
      <c r="B617" s="135" t="s">
        <v>2421</v>
      </c>
      <c r="C617" s="135" t="s">
        <v>2422</v>
      </c>
      <c r="D617" s="135" t="s">
        <v>2248</v>
      </c>
      <c r="E617" s="135" t="s">
        <v>2423</v>
      </c>
    </row>
    <row r="618" spans="1:5" s="136" customFormat="1" x14ac:dyDescent="0.2">
      <c r="A618" s="135" t="s">
        <v>2424</v>
      </c>
      <c r="B618" s="135" t="s">
        <v>2425</v>
      </c>
      <c r="C618" s="135" t="s">
        <v>2426</v>
      </c>
      <c r="D618" s="135" t="s">
        <v>2289</v>
      </c>
      <c r="E618" s="135" t="s">
        <v>2427</v>
      </c>
    </row>
    <row r="619" spans="1:5" s="136" customFormat="1" x14ac:dyDescent="0.2">
      <c r="A619" s="135" t="s">
        <v>2428</v>
      </c>
      <c r="B619" s="135" t="s">
        <v>2429</v>
      </c>
      <c r="C619" s="135" t="s">
        <v>2430</v>
      </c>
      <c r="D619" s="135" t="s">
        <v>2401</v>
      </c>
      <c r="E619" s="135" t="s">
        <v>2431</v>
      </c>
    </row>
    <row r="620" spans="1:5" s="136" customFormat="1" x14ac:dyDescent="0.2">
      <c r="A620" s="135" t="s">
        <v>2432</v>
      </c>
      <c r="B620" s="135" t="s">
        <v>2433</v>
      </c>
      <c r="C620" s="135" t="s">
        <v>2434</v>
      </c>
      <c r="D620" s="135" t="s">
        <v>2289</v>
      </c>
      <c r="E620" s="135" t="s">
        <v>2435</v>
      </c>
    </row>
    <row r="621" spans="1:5" s="136" customFormat="1" x14ac:dyDescent="0.2">
      <c r="A621" s="135" t="s">
        <v>2436</v>
      </c>
      <c r="B621" s="135" t="s">
        <v>2437</v>
      </c>
      <c r="C621" s="135" t="s">
        <v>2438</v>
      </c>
      <c r="D621" s="135" t="s">
        <v>2317</v>
      </c>
      <c r="E621" s="135" t="s">
        <v>2439</v>
      </c>
    </row>
    <row r="622" spans="1:5" s="136" customFormat="1" x14ac:dyDescent="0.2">
      <c r="A622" s="135" t="s">
        <v>2440</v>
      </c>
      <c r="B622" s="135" t="s">
        <v>2441</v>
      </c>
      <c r="C622" s="135" t="s">
        <v>2442</v>
      </c>
      <c r="D622" s="135" t="s">
        <v>2248</v>
      </c>
      <c r="E622" s="135" t="s">
        <v>2443</v>
      </c>
    </row>
    <row r="623" spans="1:5" s="136" customFormat="1" x14ac:dyDescent="0.2">
      <c r="A623" s="135" t="s">
        <v>2444</v>
      </c>
      <c r="B623" s="135" t="s">
        <v>2445</v>
      </c>
      <c r="C623" s="135" t="s">
        <v>2446</v>
      </c>
      <c r="D623" s="135" t="s">
        <v>2289</v>
      </c>
      <c r="E623" s="135" t="s">
        <v>2447</v>
      </c>
    </row>
    <row r="624" spans="1:5" s="136" customFormat="1" x14ac:dyDescent="0.2">
      <c r="A624" s="135" t="s">
        <v>2448</v>
      </c>
      <c r="B624" s="135" t="s">
        <v>2449</v>
      </c>
      <c r="C624" s="135" t="s">
        <v>2450</v>
      </c>
      <c r="D624" s="135" t="s">
        <v>2401</v>
      </c>
      <c r="E624" s="135" t="s">
        <v>2451</v>
      </c>
    </row>
    <row r="625" spans="1:5" s="136" customFormat="1" x14ac:dyDescent="0.2">
      <c r="A625" s="135" t="s">
        <v>2452</v>
      </c>
      <c r="B625" s="135" t="s">
        <v>2453</v>
      </c>
      <c r="C625" s="135" t="s">
        <v>2454</v>
      </c>
      <c r="D625" s="135" t="s">
        <v>2248</v>
      </c>
      <c r="E625" s="135" t="s">
        <v>2455</v>
      </c>
    </row>
    <row r="626" spans="1:5" s="136" customFormat="1" x14ac:dyDescent="0.2">
      <c r="A626" s="135" t="s">
        <v>2456</v>
      </c>
      <c r="B626" s="135" t="s">
        <v>2457</v>
      </c>
      <c r="C626" s="135" t="s">
        <v>2458</v>
      </c>
      <c r="D626" s="135" t="s">
        <v>2289</v>
      </c>
      <c r="E626" s="135" t="s">
        <v>2415</v>
      </c>
    </row>
    <row r="627" spans="1:5" s="136" customFormat="1" x14ac:dyDescent="0.2">
      <c r="A627" s="135" t="s">
        <v>2459</v>
      </c>
      <c r="B627" s="135" t="s">
        <v>2460</v>
      </c>
      <c r="C627" s="135" t="s">
        <v>2461</v>
      </c>
      <c r="D627" s="135" t="s">
        <v>2289</v>
      </c>
      <c r="E627" s="135" t="s">
        <v>2462</v>
      </c>
    </row>
    <row r="628" spans="1:5" s="136" customFormat="1" x14ac:dyDescent="0.2">
      <c r="A628" s="135" t="s">
        <v>2463</v>
      </c>
      <c r="B628" s="135" t="s">
        <v>2464</v>
      </c>
      <c r="C628" s="135" t="s">
        <v>2465</v>
      </c>
      <c r="D628" s="135" t="s">
        <v>2289</v>
      </c>
      <c r="E628" s="135" t="s">
        <v>2462</v>
      </c>
    </row>
    <row r="629" spans="1:5" s="136" customFormat="1" x14ac:dyDescent="0.2">
      <c r="A629" s="135" t="s">
        <v>2466</v>
      </c>
      <c r="B629" s="135" t="s">
        <v>2467</v>
      </c>
      <c r="C629" s="135" t="s">
        <v>2468</v>
      </c>
      <c r="D629" s="135" t="s">
        <v>2332</v>
      </c>
      <c r="E629" s="135" t="s">
        <v>2469</v>
      </c>
    </row>
    <row r="630" spans="1:5" s="136" customFormat="1" x14ac:dyDescent="0.2">
      <c r="A630" s="135" t="s">
        <v>2470</v>
      </c>
      <c r="B630" s="135" t="s">
        <v>2471</v>
      </c>
      <c r="C630" s="135" t="s">
        <v>2472</v>
      </c>
      <c r="D630" s="135" t="s">
        <v>2332</v>
      </c>
      <c r="E630" s="135" t="s">
        <v>2473</v>
      </c>
    </row>
    <row r="631" spans="1:5" s="136" customFormat="1" x14ac:dyDescent="0.2">
      <c r="A631" s="135" t="s">
        <v>2474</v>
      </c>
      <c r="B631" s="135" t="s">
        <v>2475</v>
      </c>
      <c r="C631" s="135" t="s">
        <v>2476</v>
      </c>
      <c r="D631" s="135" t="s">
        <v>2332</v>
      </c>
      <c r="E631" s="135" t="s">
        <v>2477</v>
      </c>
    </row>
    <row r="632" spans="1:5" s="136" customFormat="1" x14ac:dyDescent="0.2">
      <c r="A632" s="135" t="s">
        <v>2478</v>
      </c>
      <c r="B632" s="135" t="s">
        <v>2479</v>
      </c>
      <c r="C632" s="135" t="s">
        <v>2480</v>
      </c>
      <c r="D632" s="135" t="s">
        <v>2289</v>
      </c>
      <c r="E632" s="135" t="s">
        <v>2481</v>
      </c>
    </row>
    <row r="633" spans="1:5" s="136" customFormat="1" x14ac:dyDescent="0.2">
      <c r="A633" s="135" t="s">
        <v>2482</v>
      </c>
      <c r="B633" s="135" t="s">
        <v>2483</v>
      </c>
      <c r="C633" s="135" t="s">
        <v>2484</v>
      </c>
      <c r="D633" s="135" t="s">
        <v>2332</v>
      </c>
      <c r="E633" s="135" t="s">
        <v>2485</v>
      </c>
    </row>
    <row r="634" spans="1:5" s="136" customFormat="1" x14ac:dyDescent="0.2">
      <c r="A634" s="135" t="s">
        <v>2486</v>
      </c>
      <c r="B634" s="135" t="s">
        <v>2487</v>
      </c>
      <c r="C634" s="135" t="s">
        <v>2488</v>
      </c>
      <c r="D634" s="135" t="s">
        <v>2289</v>
      </c>
      <c r="E634" s="135" t="s">
        <v>2489</v>
      </c>
    </row>
    <row r="635" spans="1:5" s="136" customFormat="1" x14ac:dyDescent="0.2">
      <c r="A635" s="135" t="s">
        <v>2490</v>
      </c>
      <c r="B635" s="135" t="s">
        <v>2491</v>
      </c>
      <c r="C635" s="135" t="s">
        <v>2492</v>
      </c>
      <c r="D635" s="135" t="s">
        <v>2332</v>
      </c>
      <c r="E635" s="135" t="s">
        <v>2477</v>
      </c>
    </row>
    <row r="636" spans="1:5" s="136" customFormat="1" x14ac:dyDescent="0.2">
      <c r="A636" s="135" t="s">
        <v>2493</v>
      </c>
      <c r="B636" s="135" t="s">
        <v>2494</v>
      </c>
      <c r="C636" s="135" t="s">
        <v>2495</v>
      </c>
      <c r="D636" s="135" t="s">
        <v>2307</v>
      </c>
      <c r="E636" s="135" t="s">
        <v>2496</v>
      </c>
    </row>
    <row r="637" spans="1:5" s="136" customFormat="1" x14ac:dyDescent="0.2">
      <c r="A637" s="135" t="s">
        <v>2497</v>
      </c>
      <c r="B637" s="135" t="s">
        <v>2498</v>
      </c>
      <c r="C637" s="135" t="s">
        <v>2499</v>
      </c>
      <c r="D637" s="135" t="s">
        <v>2307</v>
      </c>
      <c r="E637" s="135" t="s">
        <v>2500</v>
      </c>
    </row>
    <row r="638" spans="1:5" s="136" customFormat="1" x14ac:dyDescent="0.2">
      <c r="A638" s="135" t="s">
        <v>2501</v>
      </c>
      <c r="B638" s="135" t="s">
        <v>2502</v>
      </c>
      <c r="C638" s="135" t="s">
        <v>2503</v>
      </c>
      <c r="D638" s="135" t="s">
        <v>2307</v>
      </c>
      <c r="E638" s="135" t="s">
        <v>2504</v>
      </c>
    </row>
    <row r="639" spans="1:5" s="136" customFormat="1" x14ac:dyDescent="0.2">
      <c r="A639" s="135" t="s">
        <v>2505</v>
      </c>
      <c r="B639" s="135" t="s">
        <v>2506</v>
      </c>
      <c r="C639" s="135" t="s">
        <v>2507</v>
      </c>
      <c r="D639" s="135" t="s">
        <v>2307</v>
      </c>
      <c r="E639" s="135" t="s">
        <v>2508</v>
      </c>
    </row>
    <row r="640" spans="1:5" s="136" customFormat="1" x14ac:dyDescent="0.2">
      <c r="A640" s="135" t="s">
        <v>2509</v>
      </c>
      <c r="B640" s="135" t="s">
        <v>2510</v>
      </c>
      <c r="C640" s="135" t="s">
        <v>2511</v>
      </c>
      <c r="D640" s="135" t="s">
        <v>2332</v>
      </c>
      <c r="E640" s="135" t="s">
        <v>2477</v>
      </c>
    </row>
    <row r="641" spans="1:5" s="136" customFormat="1" x14ac:dyDescent="0.2">
      <c r="A641" s="135" t="s">
        <v>2512</v>
      </c>
      <c r="B641" s="135" t="s">
        <v>2513</v>
      </c>
      <c r="C641" s="135" t="s">
        <v>2514</v>
      </c>
      <c r="D641" s="135" t="s">
        <v>2327</v>
      </c>
      <c r="E641" s="135" t="s">
        <v>2515</v>
      </c>
    </row>
    <row r="642" spans="1:5" s="136" customFormat="1" x14ac:dyDescent="0.2">
      <c r="A642" s="135" t="s">
        <v>2516</v>
      </c>
      <c r="B642" s="135" t="s">
        <v>2517</v>
      </c>
      <c r="C642" s="135" t="s">
        <v>2518</v>
      </c>
      <c r="D642" s="135" t="s">
        <v>2519</v>
      </c>
      <c r="E642" s="135" t="s">
        <v>2520</v>
      </c>
    </row>
    <row r="643" spans="1:5" s="136" customFormat="1" x14ac:dyDescent="0.2">
      <c r="A643" s="135" t="s">
        <v>2521</v>
      </c>
      <c r="B643" s="135" t="s">
        <v>2522</v>
      </c>
      <c r="C643" s="135" t="s">
        <v>2523</v>
      </c>
      <c r="D643" s="135" t="s">
        <v>2327</v>
      </c>
      <c r="E643" s="135" t="s">
        <v>2524</v>
      </c>
    </row>
    <row r="644" spans="1:5" s="136" customFormat="1" x14ac:dyDescent="0.2">
      <c r="A644" s="135" t="s">
        <v>2525</v>
      </c>
      <c r="B644" s="135" t="s">
        <v>2526</v>
      </c>
      <c r="C644" s="135" t="s">
        <v>2527</v>
      </c>
      <c r="D644" s="135" t="s">
        <v>2248</v>
      </c>
      <c r="E644" s="135" t="s">
        <v>2528</v>
      </c>
    </row>
    <row r="645" spans="1:5" s="136" customFormat="1" x14ac:dyDescent="0.2">
      <c r="A645" s="135" t="s">
        <v>2529</v>
      </c>
      <c r="B645" s="135" t="s">
        <v>2530</v>
      </c>
      <c r="C645" s="135" t="s">
        <v>2531</v>
      </c>
      <c r="D645" s="135" t="s">
        <v>2401</v>
      </c>
      <c r="E645" s="135" t="s">
        <v>2532</v>
      </c>
    </row>
    <row r="646" spans="1:5" s="136" customFormat="1" x14ac:dyDescent="0.2">
      <c r="A646" s="135" t="s">
        <v>2533</v>
      </c>
      <c r="B646" s="135" t="s">
        <v>2534</v>
      </c>
      <c r="C646" s="135" t="s">
        <v>2535</v>
      </c>
      <c r="D646" s="135" t="s">
        <v>2401</v>
      </c>
      <c r="E646" s="135" t="s">
        <v>2536</v>
      </c>
    </row>
    <row r="647" spans="1:5" s="136" customFormat="1" x14ac:dyDescent="0.2">
      <c r="A647" s="135" t="s">
        <v>2537</v>
      </c>
      <c r="B647" s="135" t="s">
        <v>2538</v>
      </c>
      <c r="C647" s="135" t="s">
        <v>2539</v>
      </c>
      <c r="D647" s="135" t="s">
        <v>2248</v>
      </c>
      <c r="E647" s="135" t="s">
        <v>2540</v>
      </c>
    </row>
    <row r="648" spans="1:5" s="136" customFormat="1" x14ac:dyDescent="0.2">
      <c r="A648" s="135" t="s">
        <v>2541</v>
      </c>
      <c r="B648" s="135" t="s">
        <v>2542</v>
      </c>
      <c r="C648" s="135" t="s">
        <v>2543</v>
      </c>
    </row>
    <row r="649" spans="1:5" s="136" customFormat="1" x14ac:dyDescent="0.2">
      <c r="A649" s="135" t="s">
        <v>2544</v>
      </c>
      <c r="B649" s="135" t="s">
        <v>2545</v>
      </c>
      <c r="C649" s="135" t="s">
        <v>2546</v>
      </c>
      <c r="D649" s="135" t="s">
        <v>2547</v>
      </c>
      <c r="E649" s="135" t="s">
        <v>2548</v>
      </c>
    </row>
    <row r="650" spans="1:5" s="136" customFormat="1" x14ac:dyDescent="0.2">
      <c r="A650" s="135" t="s">
        <v>2549</v>
      </c>
      <c r="B650" s="135" t="s">
        <v>2550</v>
      </c>
      <c r="C650" s="135" t="s">
        <v>2551</v>
      </c>
      <c r="D650" s="135" t="s">
        <v>2552</v>
      </c>
      <c r="E650" s="135" t="s">
        <v>2553</v>
      </c>
    </row>
    <row r="651" spans="1:5" s="136" customFormat="1" x14ac:dyDescent="0.2">
      <c r="A651" s="135" t="s">
        <v>2554</v>
      </c>
      <c r="B651" s="135" t="s">
        <v>2555</v>
      </c>
      <c r="C651" s="135" t="s">
        <v>2556</v>
      </c>
      <c r="D651" s="135" t="s">
        <v>2547</v>
      </c>
      <c r="E651" s="135" t="s">
        <v>2557</v>
      </c>
    </row>
    <row r="652" spans="1:5" s="136" customFormat="1" x14ac:dyDescent="0.2">
      <c r="A652" s="135" t="s">
        <v>2558</v>
      </c>
      <c r="B652" s="135" t="s">
        <v>2559</v>
      </c>
      <c r="C652" s="135" t="s">
        <v>2560</v>
      </c>
      <c r="D652" s="135" t="s">
        <v>2547</v>
      </c>
      <c r="E652" s="135" t="s">
        <v>2561</v>
      </c>
    </row>
    <row r="653" spans="1:5" s="136" customFormat="1" x14ac:dyDescent="0.2">
      <c r="A653" s="135" t="s">
        <v>2562</v>
      </c>
      <c r="B653" s="135" t="s">
        <v>2563</v>
      </c>
      <c r="C653" s="135" t="s">
        <v>2564</v>
      </c>
      <c r="D653" s="135" t="s">
        <v>2547</v>
      </c>
      <c r="E653" s="135" t="s">
        <v>2565</v>
      </c>
    </row>
    <row r="654" spans="1:5" s="136" customFormat="1" x14ac:dyDescent="0.2">
      <c r="A654" s="135" t="s">
        <v>2566</v>
      </c>
      <c r="B654" s="135" t="s">
        <v>2567</v>
      </c>
      <c r="C654" s="135" t="s">
        <v>2568</v>
      </c>
      <c r="D654" s="135" t="s">
        <v>2547</v>
      </c>
      <c r="E654" s="135" t="s">
        <v>2569</v>
      </c>
    </row>
    <row r="655" spans="1:5" s="136" customFormat="1" x14ac:dyDescent="0.2">
      <c r="A655" s="135" t="s">
        <v>2570</v>
      </c>
      <c r="B655" s="135" t="s">
        <v>2571</v>
      </c>
      <c r="C655" s="135" t="s">
        <v>2572</v>
      </c>
      <c r="D655" s="135" t="s">
        <v>2573</v>
      </c>
      <c r="E655" s="135" t="s">
        <v>2574</v>
      </c>
    </row>
    <row r="656" spans="1:5" s="136" customFormat="1" x14ac:dyDescent="0.2">
      <c r="A656" s="135" t="s">
        <v>2575</v>
      </c>
      <c r="B656" s="135" t="s">
        <v>2576</v>
      </c>
      <c r="C656" s="135" t="s">
        <v>2577</v>
      </c>
      <c r="D656" s="135" t="s">
        <v>2578</v>
      </c>
      <c r="E656" s="135" t="s">
        <v>2579</v>
      </c>
    </row>
    <row r="657" spans="1:5" s="136" customFormat="1" x14ac:dyDescent="0.2">
      <c r="A657" s="135" t="s">
        <v>2580</v>
      </c>
      <c r="B657" s="135" t="s">
        <v>2581</v>
      </c>
      <c r="C657" s="135" t="s">
        <v>2582</v>
      </c>
      <c r="D657" s="135" t="s">
        <v>2578</v>
      </c>
      <c r="E657" s="135" t="s">
        <v>2583</v>
      </c>
    </row>
    <row r="658" spans="1:5" s="136" customFormat="1" x14ac:dyDescent="0.2">
      <c r="A658" s="135" t="s">
        <v>2584</v>
      </c>
      <c r="B658" s="135" t="s">
        <v>2585</v>
      </c>
      <c r="C658" s="135" t="s">
        <v>2586</v>
      </c>
      <c r="D658" s="135" t="s">
        <v>2587</v>
      </c>
      <c r="E658" s="135" t="s">
        <v>2588</v>
      </c>
    </row>
    <row r="659" spans="1:5" s="136" customFormat="1" x14ac:dyDescent="0.2">
      <c r="A659" s="135" t="s">
        <v>2589</v>
      </c>
      <c r="B659" s="135" t="s">
        <v>2590</v>
      </c>
      <c r="C659" s="135" t="s">
        <v>2591</v>
      </c>
      <c r="D659" s="135" t="s">
        <v>2592</v>
      </c>
      <c r="E659" s="135" t="s">
        <v>2593</v>
      </c>
    </row>
    <row r="660" spans="1:5" s="136" customFormat="1" x14ac:dyDescent="0.2">
      <c r="A660" s="135" t="s">
        <v>2594</v>
      </c>
      <c r="B660" s="135" t="s">
        <v>2595</v>
      </c>
      <c r="C660" s="135" t="s">
        <v>2596</v>
      </c>
      <c r="D660" s="135" t="s">
        <v>2578</v>
      </c>
      <c r="E660" s="135" t="s">
        <v>2597</v>
      </c>
    </row>
    <row r="661" spans="1:5" s="136" customFormat="1" x14ac:dyDescent="0.2">
      <c r="A661" s="135" t="s">
        <v>2598</v>
      </c>
      <c r="B661" s="135" t="s">
        <v>2599</v>
      </c>
      <c r="C661" s="135" t="s">
        <v>2600</v>
      </c>
      <c r="D661" s="135" t="s">
        <v>2312</v>
      </c>
      <c r="E661" s="135" t="s">
        <v>2601</v>
      </c>
    </row>
    <row r="662" spans="1:5" s="136" customFormat="1" x14ac:dyDescent="0.2">
      <c r="A662" s="135" t="s">
        <v>2602</v>
      </c>
      <c r="B662" s="135" t="s">
        <v>2603</v>
      </c>
      <c r="C662" s="135" t="s">
        <v>2604</v>
      </c>
      <c r="D662" s="135" t="s">
        <v>2605</v>
      </c>
      <c r="E662" s="135" t="s">
        <v>2606</v>
      </c>
    </row>
    <row r="663" spans="1:5" s="136" customFormat="1" x14ac:dyDescent="0.2">
      <c r="A663" s="135" t="s">
        <v>2607</v>
      </c>
      <c r="B663" s="135" t="s">
        <v>2608</v>
      </c>
      <c r="C663" s="135" t="s">
        <v>2609</v>
      </c>
      <c r="D663" s="135" t="s">
        <v>2610</v>
      </c>
      <c r="E663" s="135" t="s">
        <v>2611</v>
      </c>
    </row>
    <row r="664" spans="1:5" s="136" customFormat="1" x14ac:dyDescent="0.2">
      <c r="A664" s="135" t="s">
        <v>2612</v>
      </c>
      <c r="B664" s="135" t="s">
        <v>2613</v>
      </c>
      <c r="C664" s="135" t="s">
        <v>2035</v>
      </c>
      <c r="D664" s="135" t="s">
        <v>2547</v>
      </c>
      <c r="E664" s="135" t="s">
        <v>2614</v>
      </c>
    </row>
    <row r="665" spans="1:5" s="136" customFormat="1" x14ac:dyDescent="0.2">
      <c r="A665" s="135" t="s">
        <v>2615</v>
      </c>
      <c r="B665" s="135" t="s">
        <v>2616</v>
      </c>
      <c r="C665" s="135" t="s">
        <v>2617</v>
      </c>
      <c r="D665" s="135" t="s">
        <v>2605</v>
      </c>
      <c r="E665" s="135" t="s">
        <v>2618</v>
      </c>
    </row>
    <row r="666" spans="1:5" s="136" customFormat="1" x14ac:dyDescent="0.2">
      <c r="A666" s="135" t="s">
        <v>2619</v>
      </c>
      <c r="B666" s="135" t="s">
        <v>2620</v>
      </c>
      <c r="C666" s="135" t="s">
        <v>2621</v>
      </c>
      <c r="D666" s="135" t="s">
        <v>2573</v>
      </c>
      <c r="E666" s="135" t="s">
        <v>2622</v>
      </c>
    </row>
    <row r="667" spans="1:5" s="136" customFormat="1" x14ac:dyDescent="0.2">
      <c r="A667" s="135" t="s">
        <v>2623</v>
      </c>
      <c r="B667" s="135" t="s">
        <v>2624</v>
      </c>
      <c r="C667" s="135" t="s">
        <v>2625</v>
      </c>
      <c r="D667" s="135" t="s">
        <v>2578</v>
      </c>
      <c r="E667" s="135" t="s">
        <v>2626</v>
      </c>
    </row>
    <row r="668" spans="1:5" s="136" customFormat="1" x14ac:dyDescent="0.2">
      <c r="A668" s="135" t="s">
        <v>2627</v>
      </c>
      <c r="B668" s="135" t="s">
        <v>2628</v>
      </c>
      <c r="C668" s="135" t="s">
        <v>2629</v>
      </c>
      <c r="D668" s="135" t="s">
        <v>2312</v>
      </c>
      <c r="E668" s="135" t="s">
        <v>2630</v>
      </c>
    </row>
    <row r="669" spans="1:5" s="136" customFormat="1" x14ac:dyDescent="0.2">
      <c r="A669" s="135" t="s">
        <v>2631</v>
      </c>
      <c r="B669" s="135" t="s">
        <v>2632</v>
      </c>
      <c r="C669" s="135" t="s">
        <v>2633</v>
      </c>
      <c r="D669" s="135" t="s">
        <v>2587</v>
      </c>
      <c r="E669" s="135" t="s">
        <v>2634</v>
      </c>
    </row>
    <row r="670" spans="1:5" s="136" customFormat="1" x14ac:dyDescent="0.2">
      <c r="A670" s="135" t="s">
        <v>2635</v>
      </c>
      <c r="B670" s="135" t="s">
        <v>2636</v>
      </c>
      <c r="C670" s="135" t="s">
        <v>2637</v>
      </c>
      <c r="D670" s="135" t="s">
        <v>2638</v>
      </c>
      <c r="E670" s="135" t="s">
        <v>2639</v>
      </c>
    </row>
    <row r="671" spans="1:5" s="136" customFormat="1" x14ac:dyDescent="0.2">
      <c r="A671" s="135" t="s">
        <v>2640</v>
      </c>
      <c r="B671" s="135" t="s">
        <v>2641</v>
      </c>
      <c r="C671" s="135" t="s">
        <v>2642</v>
      </c>
      <c r="D671" s="135" t="s">
        <v>2312</v>
      </c>
      <c r="E671" s="135" t="s">
        <v>2643</v>
      </c>
    </row>
    <row r="672" spans="1:5" s="136" customFormat="1" x14ac:dyDescent="0.2">
      <c r="A672" s="135" t="s">
        <v>2644</v>
      </c>
      <c r="B672" s="135" t="s">
        <v>2645</v>
      </c>
      <c r="C672" s="135" t="s">
        <v>2646</v>
      </c>
      <c r="D672" s="135" t="s">
        <v>2578</v>
      </c>
      <c r="E672" s="135" t="s">
        <v>2647</v>
      </c>
    </row>
    <row r="673" spans="1:5" s="136" customFormat="1" x14ac:dyDescent="0.2">
      <c r="A673" s="135" t="s">
        <v>2648</v>
      </c>
      <c r="B673" s="135" t="s">
        <v>2649</v>
      </c>
      <c r="C673" s="135" t="s">
        <v>2650</v>
      </c>
      <c r="D673" s="135" t="s">
        <v>2312</v>
      </c>
      <c r="E673" s="135" t="s">
        <v>2651</v>
      </c>
    </row>
    <row r="674" spans="1:5" s="136" customFormat="1" x14ac:dyDescent="0.2">
      <c r="A674" s="135" t="s">
        <v>2652</v>
      </c>
      <c r="B674" s="135" t="s">
        <v>2653</v>
      </c>
      <c r="C674" s="135" t="s">
        <v>2654</v>
      </c>
      <c r="D674" s="135" t="s">
        <v>2312</v>
      </c>
      <c r="E674" s="135" t="s">
        <v>2655</v>
      </c>
    </row>
    <row r="675" spans="1:5" s="136" customFormat="1" x14ac:dyDescent="0.2">
      <c r="A675" s="135" t="s">
        <v>2656</v>
      </c>
      <c r="B675" s="135" t="s">
        <v>2657</v>
      </c>
      <c r="C675" s="135" t="s">
        <v>2658</v>
      </c>
      <c r="D675" s="135" t="s">
        <v>2578</v>
      </c>
      <c r="E675" s="135" t="s">
        <v>2659</v>
      </c>
    </row>
    <row r="676" spans="1:5" s="136" customFormat="1" x14ac:dyDescent="0.2">
      <c r="A676" s="135" t="s">
        <v>2660</v>
      </c>
      <c r="B676" s="135" t="s">
        <v>2661</v>
      </c>
      <c r="C676" s="135" t="s">
        <v>2662</v>
      </c>
      <c r="D676" s="135" t="s">
        <v>2663</v>
      </c>
      <c r="E676" s="135" t="s">
        <v>2664</v>
      </c>
    </row>
    <row r="677" spans="1:5" s="136" customFormat="1" x14ac:dyDescent="0.2">
      <c r="A677" s="135" t="s">
        <v>2665</v>
      </c>
      <c r="B677" s="135" t="s">
        <v>2666</v>
      </c>
      <c r="C677" s="135" t="s">
        <v>2667</v>
      </c>
      <c r="D677" s="135" t="s">
        <v>2663</v>
      </c>
      <c r="E677" s="135" t="s">
        <v>2668</v>
      </c>
    </row>
    <row r="678" spans="1:5" s="136" customFormat="1" x14ac:dyDescent="0.2">
      <c r="A678" s="135" t="s">
        <v>2669</v>
      </c>
      <c r="B678" s="135" t="s">
        <v>2670</v>
      </c>
      <c r="C678" s="135" t="s">
        <v>2671</v>
      </c>
      <c r="D678" s="135" t="s">
        <v>2578</v>
      </c>
      <c r="E678" s="135" t="s">
        <v>2672</v>
      </c>
    </row>
    <row r="679" spans="1:5" s="136" customFormat="1" x14ac:dyDescent="0.2">
      <c r="A679" s="135" t="s">
        <v>2673</v>
      </c>
      <c r="B679" s="135" t="s">
        <v>2674</v>
      </c>
      <c r="C679" s="135" t="s">
        <v>2675</v>
      </c>
      <c r="D679" s="135" t="s">
        <v>2547</v>
      </c>
      <c r="E679" s="135" t="s">
        <v>2676</v>
      </c>
    </row>
    <row r="680" spans="1:5" s="136" customFormat="1" x14ac:dyDescent="0.2">
      <c r="A680" s="135" t="s">
        <v>2677</v>
      </c>
      <c r="B680" s="135" t="s">
        <v>2678</v>
      </c>
      <c r="C680" s="135" t="s">
        <v>2679</v>
      </c>
      <c r="D680" s="135" t="s">
        <v>2592</v>
      </c>
      <c r="E680" s="135" t="s">
        <v>2680</v>
      </c>
    </row>
    <row r="681" spans="1:5" s="136" customFormat="1" x14ac:dyDescent="0.2">
      <c r="A681" s="135" t="s">
        <v>2681</v>
      </c>
      <c r="B681" s="135" t="s">
        <v>2682</v>
      </c>
      <c r="C681" s="135" t="s">
        <v>2683</v>
      </c>
      <c r="D681" s="135" t="s">
        <v>2547</v>
      </c>
      <c r="E681" s="135" t="s">
        <v>2684</v>
      </c>
    </row>
    <row r="682" spans="1:5" s="136" customFormat="1" x14ac:dyDescent="0.2">
      <c r="A682" s="135" t="s">
        <v>2685</v>
      </c>
      <c r="B682" s="135" t="s">
        <v>2686</v>
      </c>
      <c r="C682" s="135" t="s">
        <v>2687</v>
      </c>
      <c r="D682" s="135" t="s">
        <v>2610</v>
      </c>
      <c r="E682" s="135" t="s">
        <v>2688</v>
      </c>
    </row>
    <row r="683" spans="1:5" s="136" customFormat="1" x14ac:dyDescent="0.2">
      <c r="A683" s="135" t="s">
        <v>2689</v>
      </c>
      <c r="B683" s="135" t="s">
        <v>2690</v>
      </c>
      <c r="C683" s="135" t="s">
        <v>2691</v>
      </c>
      <c r="D683" s="135" t="s">
        <v>2578</v>
      </c>
      <c r="E683" s="135" t="s">
        <v>2692</v>
      </c>
    </row>
    <row r="684" spans="1:5" s="136" customFormat="1" x14ac:dyDescent="0.2">
      <c r="A684" s="135" t="s">
        <v>2693</v>
      </c>
      <c r="B684" s="135" t="s">
        <v>2694</v>
      </c>
      <c r="C684" s="135" t="s">
        <v>2695</v>
      </c>
      <c r="D684" s="135" t="s">
        <v>2610</v>
      </c>
      <c r="E684" s="135" t="s">
        <v>2696</v>
      </c>
    </row>
    <row r="685" spans="1:5" s="136" customFormat="1" x14ac:dyDescent="0.2">
      <c r="A685" s="135" t="s">
        <v>2697</v>
      </c>
      <c r="B685" s="135" t="s">
        <v>2698</v>
      </c>
      <c r="C685" s="135" t="s">
        <v>2699</v>
      </c>
      <c r="D685" s="135" t="s">
        <v>2587</v>
      </c>
      <c r="E685" s="135" t="s">
        <v>2700</v>
      </c>
    </row>
    <row r="686" spans="1:5" s="136" customFormat="1" x14ac:dyDescent="0.2">
      <c r="A686" s="135" t="s">
        <v>2701</v>
      </c>
      <c r="B686" s="135" t="s">
        <v>2702</v>
      </c>
      <c r="C686" s="135" t="s">
        <v>2703</v>
      </c>
      <c r="D686" s="135" t="s">
        <v>2573</v>
      </c>
      <c r="E686" s="135" t="s">
        <v>2704</v>
      </c>
    </row>
    <row r="687" spans="1:5" s="136" customFormat="1" x14ac:dyDescent="0.2">
      <c r="A687" s="135" t="s">
        <v>2705</v>
      </c>
      <c r="B687" s="135" t="s">
        <v>2706</v>
      </c>
      <c r="C687" s="135" t="s">
        <v>2707</v>
      </c>
      <c r="D687" s="135" t="s">
        <v>2708</v>
      </c>
      <c r="E687" s="135" t="s">
        <v>2709</v>
      </c>
    </row>
    <row r="688" spans="1:5" s="136" customFormat="1" x14ac:dyDescent="0.2">
      <c r="A688" s="135" t="s">
        <v>2710</v>
      </c>
      <c r="B688" s="135" t="s">
        <v>2711</v>
      </c>
      <c r="C688" s="135" t="s">
        <v>2712</v>
      </c>
      <c r="D688" s="135" t="s">
        <v>2713</v>
      </c>
      <c r="E688" s="135" t="s">
        <v>2714</v>
      </c>
    </row>
    <row r="689" spans="1:5" s="136" customFormat="1" x14ac:dyDescent="0.2">
      <c r="A689" s="135" t="s">
        <v>2715</v>
      </c>
      <c r="B689" s="135" t="s">
        <v>2716</v>
      </c>
      <c r="C689" s="135" t="s">
        <v>2717</v>
      </c>
      <c r="D689" s="135" t="s">
        <v>2587</v>
      </c>
      <c r="E689" s="135" t="s">
        <v>2718</v>
      </c>
    </row>
    <row r="690" spans="1:5" s="136" customFormat="1" x14ac:dyDescent="0.2">
      <c r="A690" s="135" t="s">
        <v>2719</v>
      </c>
      <c r="B690" s="135" t="s">
        <v>2720</v>
      </c>
      <c r="C690" s="135" t="s">
        <v>2721</v>
      </c>
      <c r="D690" s="135" t="s">
        <v>2605</v>
      </c>
      <c r="E690" s="135" t="s">
        <v>2722</v>
      </c>
    </row>
    <row r="691" spans="1:5" s="136" customFormat="1" x14ac:dyDescent="0.2">
      <c r="A691" s="135" t="s">
        <v>2723</v>
      </c>
      <c r="B691" s="135" t="s">
        <v>2724</v>
      </c>
      <c r="C691" s="135" t="s">
        <v>2725</v>
      </c>
      <c r="D691" s="135" t="s">
        <v>2547</v>
      </c>
      <c r="E691" s="135" t="s">
        <v>2726</v>
      </c>
    </row>
    <row r="692" spans="1:5" s="136" customFormat="1" x14ac:dyDescent="0.2">
      <c r="A692" s="135" t="s">
        <v>2727</v>
      </c>
      <c r="B692" s="135" t="s">
        <v>2728</v>
      </c>
      <c r="C692" s="135" t="s">
        <v>2729</v>
      </c>
      <c r="D692" s="135" t="s">
        <v>2610</v>
      </c>
      <c r="E692" s="135" t="s">
        <v>2730</v>
      </c>
    </row>
    <row r="693" spans="1:5" s="136" customFormat="1" x14ac:dyDescent="0.2">
      <c r="A693" s="135" t="s">
        <v>2731</v>
      </c>
      <c r="B693" s="135" t="s">
        <v>2732</v>
      </c>
      <c r="C693" s="135" t="s">
        <v>2733</v>
      </c>
      <c r="D693" s="135" t="s">
        <v>2708</v>
      </c>
      <c r="E693" s="135" t="s">
        <v>2734</v>
      </c>
    </row>
    <row r="694" spans="1:5" s="136" customFormat="1" x14ac:dyDescent="0.2">
      <c r="A694" s="135" t="s">
        <v>2735</v>
      </c>
      <c r="B694" s="135" t="s">
        <v>2736</v>
      </c>
      <c r="C694" s="135" t="s">
        <v>2737</v>
      </c>
      <c r="D694" s="135" t="s">
        <v>2573</v>
      </c>
      <c r="E694" s="135" t="s">
        <v>2738</v>
      </c>
    </row>
    <row r="695" spans="1:5" s="136" customFormat="1" x14ac:dyDescent="0.2">
      <c r="A695" s="135" t="s">
        <v>2739</v>
      </c>
      <c r="B695" s="135" t="s">
        <v>2740</v>
      </c>
      <c r="C695" s="135" t="s">
        <v>2741</v>
      </c>
      <c r="D695" s="135" t="s">
        <v>2708</v>
      </c>
      <c r="E695" s="135" t="s">
        <v>2742</v>
      </c>
    </row>
    <row r="696" spans="1:5" s="136" customFormat="1" x14ac:dyDescent="0.2">
      <c r="A696" s="135" t="s">
        <v>2743</v>
      </c>
      <c r="B696" s="135" t="s">
        <v>2744</v>
      </c>
      <c r="C696" s="135" t="s">
        <v>2745</v>
      </c>
      <c r="D696" s="135" t="s">
        <v>2605</v>
      </c>
      <c r="E696" s="135" t="s">
        <v>2746</v>
      </c>
    </row>
    <row r="697" spans="1:5" s="136" customFormat="1" x14ac:dyDescent="0.2">
      <c r="A697" s="135" t="s">
        <v>2747</v>
      </c>
      <c r="B697" s="135" t="s">
        <v>2748</v>
      </c>
      <c r="C697" s="135" t="s">
        <v>2749</v>
      </c>
      <c r="D697" s="135" t="s">
        <v>2573</v>
      </c>
      <c r="E697" s="135" t="s">
        <v>2750</v>
      </c>
    </row>
    <row r="698" spans="1:5" s="136" customFormat="1" x14ac:dyDescent="0.2">
      <c r="A698" s="135" t="s">
        <v>2751</v>
      </c>
      <c r="B698" s="135" t="s">
        <v>2752</v>
      </c>
      <c r="C698" s="135" t="s">
        <v>2753</v>
      </c>
      <c r="D698" s="135" t="s">
        <v>2573</v>
      </c>
      <c r="E698" s="135" t="s">
        <v>2754</v>
      </c>
    </row>
    <row r="699" spans="1:5" s="136" customFormat="1" x14ac:dyDescent="0.2">
      <c r="A699" s="135" t="s">
        <v>2755</v>
      </c>
      <c r="B699" s="135" t="s">
        <v>2756</v>
      </c>
      <c r="C699" s="135" t="s">
        <v>2757</v>
      </c>
      <c r="D699" s="135" t="s">
        <v>2605</v>
      </c>
      <c r="E699" s="135" t="s">
        <v>2758</v>
      </c>
    </row>
    <row r="700" spans="1:5" s="136" customFormat="1" x14ac:dyDescent="0.2">
      <c r="A700" s="135" t="s">
        <v>2759</v>
      </c>
      <c r="B700" s="135" t="s">
        <v>2760</v>
      </c>
      <c r="C700" s="135" t="s">
        <v>2761</v>
      </c>
      <c r="D700" s="135" t="s">
        <v>2605</v>
      </c>
      <c r="E700" s="135" t="s">
        <v>2762</v>
      </c>
    </row>
    <row r="701" spans="1:5" s="136" customFormat="1" x14ac:dyDescent="0.2">
      <c r="A701" s="135" t="s">
        <v>2763</v>
      </c>
      <c r="B701" s="135" t="s">
        <v>2764</v>
      </c>
      <c r="C701" s="135" t="s">
        <v>2765</v>
      </c>
      <c r="D701" s="135" t="s">
        <v>2605</v>
      </c>
      <c r="E701" s="135" t="s">
        <v>2758</v>
      </c>
    </row>
    <row r="702" spans="1:5" s="136" customFormat="1" x14ac:dyDescent="0.2">
      <c r="A702" s="135" t="s">
        <v>2766</v>
      </c>
      <c r="B702" s="135" t="s">
        <v>2767</v>
      </c>
      <c r="C702" s="135" t="s">
        <v>2768</v>
      </c>
      <c r="D702" s="135" t="s">
        <v>2605</v>
      </c>
      <c r="E702" s="135" t="s">
        <v>2769</v>
      </c>
    </row>
    <row r="703" spans="1:5" s="136" customFormat="1" x14ac:dyDescent="0.2">
      <c r="A703" s="135" t="s">
        <v>2770</v>
      </c>
      <c r="B703" s="135" t="s">
        <v>2771</v>
      </c>
      <c r="C703" s="135" t="s">
        <v>2772</v>
      </c>
      <c r="D703" s="135" t="s">
        <v>2605</v>
      </c>
      <c r="E703" s="135" t="s">
        <v>2773</v>
      </c>
    </row>
    <row r="704" spans="1:5" s="136" customFormat="1" x14ac:dyDescent="0.2">
      <c r="A704" s="135" t="s">
        <v>2774</v>
      </c>
      <c r="B704" s="135" t="s">
        <v>2775</v>
      </c>
      <c r="C704" s="135" t="s">
        <v>2776</v>
      </c>
      <c r="D704" s="135" t="s">
        <v>2605</v>
      </c>
      <c r="E704" s="135" t="s">
        <v>2777</v>
      </c>
    </row>
    <row r="705" spans="1:5" s="136" customFormat="1" x14ac:dyDescent="0.2">
      <c r="A705" s="135" t="s">
        <v>2778</v>
      </c>
      <c r="B705" s="135" t="s">
        <v>2779</v>
      </c>
      <c r="C705" s="135" t="s">
        <v>2780</v>
      </c>
      <c r="D705" s="135" t="s">
        <v>2587</v>
      </c>
      <c r="E705" s="135" t="s">
        <v>2781</v>
      </c>
    </row>
    <row r="706" spans="1:5" s="136" customFormat="1" x14ac:dyDescent="0.2">
      <c r="A706" s="135" t="s">
        <v>2782</v>
      </c>
      <c r="B706" s="135" t="s">
        <v>2783</v>
      </c>
      <c r="C706" s="135" t="s">
        <v>2784</v>
      </c>
      <c r="D706" s="135" t="s">
        <v>2587</v>
      </c>
      <c r="E706" s="135" t="s">
        <v>2785</v>
      </c>
    </row>
    <row r="707" spans="1:5" s="136" customFormat="1" x14ac:dyDescent="0.2">
      <c r="A707" s="135" t="s">
        <v>2786</v>
      </c>
      <c r="B707" s="135" t="s">
        <v>2787</v>
      </c>
      <c r="C707" s="135" t="s">
        <v>2788</v>
      </c>
      <c r="D707" s="135" t="s">
        <v>2587</v>
      </c>
      <c r="E707" s="135" t="s">
        <v>2789</v>
      </c>
    </row>
    <row r="708" spans="1:5" s="136" customFormat="1" x14ac:dyDescent="0.2">
      <c r="A708" s="135" t="s">
        <v>2790</v>
      </c>
      <c r="B708" s="135" t="s">
        <v>2791</v>
      </c>
      <c r="C708" s="135" t="s">
        <v>2792</v>
      </c>
      <c r="D708" s="135" t="s">
        <v>2793</v>
      </c>
      <c r="E708" s="135" t="s">
        <v>2794</v>
      </c>
    </row>
    <row r="709" spans="1:5" s="136" customFormat="1" x14ac:dyDescent="0.2">
      <c r="A709" s="135" t="s">
        <v>2795</v>
      </c>
      <c r="B709" s="135" t="s">
        <v>2796</v>
      </c>
      <c r="C709" s="135" t="s">
        <v>2797</v>
      </c>
      <c r="D709" s="135" t="s">
        <v>2793</v>
      </c>
      <c r="E709" s="135" t="s">
        <v>2798</v>
      </c>
    </row>
    <row r="710" spans="1:5" s="136" customFormat="1" x14ac:dyDescent="0.2">
      <c r="A710" s="135" t="s">
        <v>2799</v>
      </c>
      <c r="B710" s="135" t="s">
        <v>2800</v>
      </c>
      <c r="C710" s="135" t="s">
        <v>2801</v>
      </c>
      <c r="D710" s="135" t="s">
        <v>2793</v>
      </c>
      <c r="E710" s="135" t="s">
        <v>2802</v>
      </c>
    </row>
    <row r="711" spans="1:5" s="136" customFormat="1" x14ac:dyDescent="0.2">
      <c r="A711" s="135" t="s">
        <v>2803</v>
      </c>
      <c r="B711" s="135" t="s">
        <v>2804</v>
      </c>
      <c r="C711" s="135" t="s">
        <v>2805</v>
      </c>
      <c r="D711" s="135" t="s">
        <v>2793</v>
      </c>
      <c r="E711" s="135" t="s">
        <v>2806</v>
      </c>
    </row>
    <row r="712" spans="1:5" s="136" customFormat="1" x14ac:dyDescent="0.2">
      <c r="A712" s="135" t="s">
        <v>2807</v>
      </c>
      <c r="B712" s="135" t="s">
        <v>2808</v>
      </c>
      <c r="C712" s="135" t="s">
        <v>2809</v>
      </c>
      <c r="D712" s="135" t="s">
        <v>2793</v>
      </c>
      <c r="E712" s="135" t="s">
        <v>2810</v>
      </c>
    </row>
    <row r="713" spans="1:5" s="136" customFormat="1" x14ac:dyDescent="0.2">
      <c r="A713" s="135" t="s">
        <v>2811</v>
      </c>
      <c r="B713" s="135" t="s">
        <v>2812</v>
      </c>
      <c r="C713" s="135" t="s">
        <v>2813</v>
      </c>
      <c r="D713" s="135" t="s">
        <v>2793</v>
      </c>
      <c r="E713" s="135" t="s">
        <v>2814</v>
      </c>
    </row>
    <row r="714" spans="1:5" s="136" customFormat="1" x14ac:dyDescent="0.2">
      <c r="A714" s="135" t="s">
        <v>2815</v>
      </c>
      <c r="B714" s="135" t="s">
        <v>2816</v>
      </c>
      <c r="C714" s="135" t="s">
        <v>2817</v>
      </c>
      <c r="D714" s="135" t="s">
        <v>2793</v>
      </c>
      <c r="E714" s="135" t="s">
        <v>2818</v>
      </c>
    </row>
    <row r="715" spans="1:5" s="136" customFormat="1" x14ac:dyDescent="0.2">
      <c r="A715" s="135" t="s">
        <v>2819</v>
      </c>
      <c r="B715" s="135" t="s">
        <v>2820</v>
      </c>
      <c r="C715" s="135" t="s">
        <v>2821</v>
      </c>
      <c r="D715" s="135" t="s">
        <v>2793</v>
      </c>
      <c r="E715" s="135" t="s">
        <v>2822</v>
      </c>
    </row>
    <row r="716" spans="1:5" s="136" customFormat="1" x14ac:dyDescent="0.2">
      <c r="A716" s="135" t="s">
        <v>2823</v>
      </c>
      <c r="B716" s="135" t="s">
        <v>2824</v>
      </c>
      <c r="C716" s="135" t="s">
        <v>2825</v>
      </c>
      <c r="D716" s="135" t="s">
        <v>2793</v>
      </c>
      <c r="E716" s="135" t="s">
        <v>2826</v>
      </c>
    </row>
    <row r="717" spans="1:5" s="136" customFormat="1" x14ac:dyDescent="0.2">
      <c r="A717" s="135" t="s">
        <v>2827</v>
      </c>
      <c r="B717" s="135" t="s">
        <v>2828</v>
      </c>
      <c r="C717" s="135" t="s">
        <v>2829</v>
      </c>
      <c r="D717" s="135" t="s">
        <v>2793</v>
      </c>
      <c r="E717" s="135" t="s">
        <v>2830</v>
      </c>
    </row>
    <row r="718" spans="1:5" s="136" customFormat="1" x14ac:dyDescent="0.2">
      <c r="A718" s="135" t="s">
        <v>2831</v>
      </c>
      <c r="B718" s="135" t="s">
        <v>2832</v>
      </c>
      <c r="C718" s="135" t="s">
        <v>2833</v>
      </c>
      <c r="D718" s="135" t="s">
        <v>2793</v>
      </c>
      <c r="E718" s="135" t="s">
        <v>2834</v>
      </c>
    </row>
    <row r="719" spans="1:5" s="136" customFormat="1" x14ac:dyDescent="0.2">
      <c r="A719" s="135" t="s">
        <v>2835</v>
      </c>
      <c r="B719" s="135" t="s">
        <v>2836</v>
      </c>
      <c r="C719" s="135" t="s">
        <v>2837</v>
      </c>
      <c r="D719" s="135" t="s">
        <v>2793</v>
      </c>
      <c r="E719" s="135" t="s">
        <v>2838</v>
      </c>
    </row>
    <row r="720" spans="1:5" s="136" customFormat="1" x14ac:dyDescent="0.2">
      <c r="A720" s="135" t="s">
        <v>2839</v>
      </c>
      <c r="B720" s="135" t="s">
        <v>2840</v>
      </c>
      <c r="C720" s="135" t="s">
        <v>2841</v>
      </c>
      <c r="D720" s="135" t="s">
        <v>2793</v>
      </c>
      <c r="E720" s="135" t="s">
        <v>2842</v>
      </c>
    </row>
    <row r="721" spans="1:5" s="136" customFormat="1" x14ac:dyDescent="0.2">
      <c r="A721" s="135" t="s">
        <v>2843</v>
      </c>
      <c r="B721" s="135" t="s">
        <v>2844</v>
      </c>
      <c r="C721" s="135" t="s">
        <v>2845</v>
      </c>
      <c r="D721" s="135" t="s">
        <v>2793</v>
      </c>
      <c r="E721" s="135" t="s">
        <v>2846</v>
      </c>
    </row>
    <row r="722" spans="1:5" s="136" customFormat="1" x14ac:dyDescent="0.2">
      <c r="A722" s="135" t="s">
        <v>2847</v>
      </c>
      <c r="B722" s="135" t="s">
        <v>2848</v>
      </c>
      <c r="C722" s="135" t="s">
        <v>2849</v>
      </c>
      <c r="D722" s="135" t="s">
        <v>2793</v>
      </c>
      <c r="E722" s="135" t="s">
        <v>2850</v>
      </c>
    </row>
    <row r="723" spans="1:5" s="136" customFormat="1" x14ac:dyDescent="0.2">
      <c r="A723" s="135" t="s">
        <v>2851</v>
      </c>
      <c r="B723" s="135" t="s">
        <v>2852</v>
      </c>
      <c r="C723" s="135" t="s">
        <v>2853</v>
      </c>
      <c r="D723" s="135" t="s">
        <v>2793</v>
      </c>
      <c r="E723" s="135" t="s">
        <v>2854</v>
      </c>
    </row>
    <row r="724" spans="1:5" s="136" customFormat="1" x14ac:dyDescent="0.2">
      <c r="A724" s="135" t="s">
        <v>2855</v>
      </c>
      <c r="B724" s="135" t="s">
        <v>2856</v>
      </c>
      <c r="C724" s="135" t="s">
        <v>2857</v>
      </c>
      <c r="D724" s="135" t="s">
        <v>2793</v>
      </c>
      <c r="E724" s="135" t="s">
        <v>2858</v>
      </c>
    </row>
    <row r="725" spans="1:5" s="136" customFormat="1" x14ac:dyDescent="0.2">
      <c r="A725" s="135" t="s">
        <v>2859</v>
      </c>
      <c r="B725" s="135" t="s">
        <v>2860</v>
      </c>
      <c r="C725" s="135" t="s">
        <v>2861</v>
      </c>
      <c r="D725" s="135" t="s">
        <v>2793</v>
      </c>
      <c r="E725" s="135" t="s">
        <v>2862</v>
      </c>
    </row>
    <row r="726" spans="1:5" s="136" customFormat="1" x14ac:dyDescent="0.2">
      <c r="A726" s="135" t="s">
        <v>2863</v>
      </c>
      <c r="B726" s="135" t="s">
        <v>2864</v>
      </c>
      <c r="C726" s="135" t="s">
        <v>2865</v>
      </c>
      <c r="D726" s="135" t="s">
        <v>2793</v>
      </c>
      <c r="E726" s="135" t="s">
        <v>2866</v>
      </c>
    </row>
    <row r="727" spans="1:5" s="136" customFormat="1" x14ac:dyDescent="0.2">
      <c r="A727" s="135" t="s">
        <v>2867</v>
      </c>
      <c r="B727" s="135" t="s">
        <v>2868</v>
      </c>
      <c r="C727" s="135" t="s">
        <v>2869</v>
      </c>
      <c r="D727" s="135" t="s">
        <v>2793</v>
      </c>
      <c r="E727" s="135" t="s">
        <v>2870</v>
      </c>
    </row>
    <row r="728" spans="1:5" s="136" customFormat="1" x14ac:dyDescent="0.2">
      <c r="A728" s="135" t="s">
        <v>2871</v>
      </c>
      <c r="B728" s="135" t="s">
        <v>2872</v>
      </c>
      <c r="C728" s="135" t="s">
        <v>2873</v>
      </c>
      <c r="D728" s="135" t="s">
        <v>2793</v>
      </c>
      <c r="E728" s="135" t="s">
        <v>2874</v>
      </c>
    </row>
    <row r="729" spans="1:5" s="136" customFormat="1" x14ac:dyDescent="0.2">
      <c r="A729" s="135" t="s">
        <v>2875</v>
      </c>
      <c r="B729" s="135" t="s">
        <v>2876</v>
      </c>
      <c r="C729" s="135" t="s">
        <v>2877</v>
      </c>
      <c r="D729" s="135" t="s">
        <v>2793</v>
      </c>
      <c r="E729" s="135" t="s">
        <v>2878</v>
      </c>
    </row>
    <row r="730" spans="1:5" s="136" customFormat="1" x14ac:dyDescent="0.2">
      <c r="A730" s="135" t="s">
        <v>2879</v>
      </c>
      <c r="B730" s="135" t="s">
        <v>2880</v>
      </c>
      <c r="C730" s="135" t="s">
        <v>2881</v>
      </c>
      <c r="D730" s="135" t="s">
        <v>2793</v>
      </c>
      <c r="E730" s="135" t="s">
        <v>2882</v>
      </c>
    </row>
    <row r="731" spans="1:5" s="136" customFormat="1" x14ac:dyDescent="0.2">
      <c r="A731" s="135" t="s">
        <v>2883</v>
      </c>
      <c r="B731" s="135" t="s">
        <v>2884</v>
      </c>
      <c r="C731" s="135" t="s">
        <v>2885</v>
      </c>
      <c r="D731" s="135" t="s">
        <v>2317</v>
      </c>
      <c r="E731" s="135" t="s">
        <v>2886</v>
      </c>
    </row>
    <row r="732" spans="1:5" s="136" customFormat="1" x14ac:dyDescent="0.2">
      <c r="A732" s="135" t="s">
        <v>2887</v>
      </c>
      <c r="B732" s="135" t="s">
        <v>2888</v>
      </c>
      <c r="C732" s="135" t="s">
        <v>2889</v>
      </c>
      <c r="D732" s="135" t="s">
        <v>2317</v>
      </c>
      <c r="E732" s="135" t="s">
        <v>2890</v>
      </c>
    </row>
    <row r="733" spans="1:5" s="136" customFormat="1" x14ac:dyDescent="0.2">
      <c r="A733" s="135" t="s">
        <v>2891</v>
      </c>
      <c r="B733" s="135" t="s">
        <v>2892</v>
      </c>
      <c r="C733" s="135" t="s">
        <v>2893</v>
      </c>
      <c r="D733" s="135" t="s">
        <v>2894</v>
      </c>
      <c r="E733" s="135" t="s">
        <v>2895</v>
      </c>
    </row>
    <row r="734" spans="1:5" s="136" customFormat="1" x14ac:dyDescent="0.2">
      <c r="A734" s="135" t="s">
        <v>2896</v>
      </c>
      <c r="B734" s="135" t="s">
        <v>2897</v>
      </c>
      <c r="C734" s="135" t="s">
        <v>2898</v>
      </c>
      <c r="D734" s="135" t="s">
        <v>2899</v>
      </c>
      <c r="E734" s="135" t="s">
        <v>2900</v>
      </c>
    </row>
    <row r="735" spans="1:5" s="136" customFormat="1" x14ac:dyDescent="0.2">
      <c r="A735" s="135" t="s">
        <v>2901</v>
      </c>
      <c r="B735" s="135" t="s">
        <v>2902</v>
      </c>
      <c r="C735" s="135" t="s">
        <v>2903</v>
      </c>
      <c r="D735" s="135" t="s">
        <v>2904</v>
      </c>
      <c r="E735" s="135" t="s">
        <v>2905</v>
      </c>
    </row>
    <row r="736" spans="1:5" s="136" customFormat="1" x14ac:dyDescent="0.2">
      <c r="A736" s="135" t="s">
        <v>2906</v>
      </c>
      <c r="B736" s="135" t="s">
        <v>2907</v>
      </c>
      <c r="C736" s="135" t="s">
        <v>2908</v>
      </c>
      <c r="D736" s="135" t="s">
        <v>2317</v>
      </c>
      <c r="E736" s="135" t="s">
        <v>2909</v>
      </c>
    </row>
    <row r="737" spans="1:5" s="136" customFormat="1" x14ac:dyDescent="0.2">
      <c r="A737" s="135" t="s">
        <v>2910</v>
      </c>
      <c r="B737" s="135" t="s">
        <v>2911</v>
      </c>
      <c r="C737" s="135" t="s">
        <v>2912</v>
      </c>
      <c r="D737" s="135" t="s">
        <v>2317</v>
      </c>
      <c r="E737" s="135" t="s">
        <v>2913</v>
      </c>
    </row>
    <row r="738" spans="1:5" s="136" customFormat="1" x14ac:dyDescent="0.2">
      <c r="A738" s="135" t="s">
        <v>2914</v>
      </c>
      <c r="B738" s="135" t="s">
        <v>2915</v>
      </c>
      <c r="C738" s="135" t="s">
        <v>2916</v>
      </c>
      <c r="D738" s="135" t="s">
        <v>2917</v>
      </c>
      <c r="E738" s="135" t="s">
        <v>2918</v>
      </c>
    </row>
    <row r="739" spans="1:5" s="136" customFormat="1" x14ac:dyDescent="0.2">
      <c r="A739" s="135" t="s">
        <v>2919</v>
      </c>
      <c r="B739" s="135" t="s">
        <v>2920</v>
      </c>
      <c r="C739" s="135" t="s">
        <v>2921</v>
      </c>
      <c r="D739" s="135" t="s">
        <v>2922</v>
      </c>
      <c r="E739" s="135" t="s">
        <v>2923</v>
      </c>
    </row>
    <row r="740" spans="1:5" s="136" customFormat="1" x14ac:dyDescent="0.2">
      <c r="A740" s="135" t="s">
        <v>2924</v>
      </c>
      <c r="B740" s="135" t="s">
        <v>2925</v>
      </c>
      <c r="C740" s="135" t="s">
        <v>2926</v>
      </c>
      <c r="D740" s="135" t="s">
        <v>2927</v>
      </c>
      <c r="E740" s="135" t="s">
        <v>2928</v>
      </c>
    </row>
    <row r="741" spans="1:5" s="136" customFormat="1" x14ac:dyDescent="0.2">
      <c r="A741" s="135" t="s">
        <v>2929</v>
      </c>
      <c r="B741" s="135" t="s">
        <v>2930</v>
      </c>
      <c r="C741" s="135" t="s">
        <v>2931</v>
      </c>
      <c r="D741" s="135" t="s">
        <v>2317</v>
      </c>
      <c r="E741" s="135" t="s">
        <v>2932</v>
      </c>
    </row>
    <row r="742" spans="1:5" s="136" customFormat="1" x14ac:dyDescent="0.2">
      <c r="A742" s="135" t="s">
        <v>2933</v>
      </c>
      <c r="B742" s="135" t="s">
        <v>2934</v>
      </c>
      <c r="C742" s="135" t="s">
        <v>2935</v>
      </c>
      <c r="D742" s="135" t="s">
        <v>2317</v>
      </c>
      <c r="E742" s="135" t="s">
        <v>2936</v>
      </c>
    </row>
    <row r="743" spans="1:5" s="136" customFormat="1" x14ac:dyDescent="0.2">
      <c r="A743" s="135" t="s">
        <v>2937</v>
      </c>
      <c r="B743" s="135" t="s">
        <v>2938</v>
      </c>
      <c r="C743" s="135" t="s">
        <v>2939</v>
      </c>
      <c r="D743" s="135" t="s">
        <v>2317</v>
      </c>
      <c r="E743" s="135" t="s">
        <v>2940</v>
      </c>
    </row>
    <row r="744" spans="1:5" s="136" customFormat="1" x14ac:dyDescent="0.2">
      <c r="A744" s="135" t="s">
        <v>2941</v>
      </c>
      <c r="B744" s="135" t="s">
        <v>2942</v>
      </c>
      <c r="C744" s="135" t="s">
        <v>2943</v>
      </c>
      <c r="D744" s="135" t="s">
        <v>2317</v>
      </c>
      <c r="E744" s="135" t="s">
        <v>2944</v>
      </c>
    </row>
    <row r="745" spans="1:5" s="136" customFormat="1" x14ac:dyDescent="0.2">
      <c r="A745" s="135" t="s">
        <v>2945</v>
      </c>
      <c r="B745" s="135" t="s">
        <v>2946</v>
      </c>
      <c r="C745" s="135" t="s">
        <v>2947</v>
      </c>
      <c r="D745" s="135" t="s">
        <v>2317</v>
      </c>
      <c r="E745" s="135" t="s">
        <v>2948</v>
      </c>
    </row>
    <row r="746" spans="1:5" s="136" customFormat="1" x14ac:dyDescent="0.2">
      <c r="A746" s="135" t="s">
        <v>2949</v>
      </c>
      <c r="B746" s="135" t="s">
        <v>2950</v>
      </c>
      <c r="C746" s="135" t="s">
        <v>2951</v>
      </c>
      <c r="D746" s="135" t="s">
        <v>2317</v>
      </c>
      <c r="E746" s="135" t="s">
        <v>2952</v>
      </c>
    </row>
    <row r="747" spans="1:5" s="136" customFormat="1" x14ac:dyDescent="0.2">
      <c r="A747" s="135" t="s">
        <v>2953</v>
      </c>
      <c r="B747" s="135" t="s">
        <v>2954</v>
      </c>
      <c r="C747" s="135" t="s">
        <v>2955</v>
      </c>
      <c r="D747" s="135" t="s">
        <v>2956</v>
      </c>
      <c r="E747" s="135" t="s">
        <v>2957</v>
      </c>
    </row>
    <row r="748" spans="1:5" s="136" customFormat="1" x14ac:dyDescent="0.2">
      <c r="A748" s="135" t="s">
        <v>2958</v>
      </c>
      <c r="B748" s="135" t="s">
        <v>2959</v>
      </c>
      <c r="C748" s="135" t="s">
        <v>2960</v>
      </c>
      <c r="D748" s="135" t="s">
        <v>2317</v>
      </c>
      <c r="E748" s="135" t="s">
        <v>2961</v>
      </c>
    </row>
    <row r="749" spans="1:5" s="136" customFormat="1" x14ac:dyDescent="0.2">
      <c r="A749" s="135" t="s">
        <v>2962</v>
      </c>
      <c r="B749" s="135" t="s">
        <v>2963</v>
      </c>
      <c r="C749" s="135" t="s">
        <v>2964</v>
      </c>
      <c r="D749" s="135" t="s">
        <v>2317</v>
      </c>
      <c r="E749" s="135" t="s">
        <v>2965</v>
      </c>
    </row>
    <row r="750" spans="1:5" s="136" customFormat="1" x14ac:dyDescent="0.2">
      <c r="A750" s="135" t="s">
        <v>2966</v>
      </c>
      <c r="B750" s="135" t="s">
        <v>2967</v>
      </c>
      <c r="C750" s="135" t="s">
        <v>2968</v>
      </c>
      <c r="D750" s="135" t="s">
        <v>2317</v>
      </c>
      <c r="E750" s="135" t="s">
        <v>2969</v>
      </c>
    </row>
    <row r="751" spans="1:5" s="136" customFormat="1" x14ac:dyDescent="0.2">
      <c r="A751" s="135" t="s">
        <v>2970</v>
      </c>
      <c r="B751" s="135" t="s">
        <v>2971</v>
      </c>
      <c r="C751" s="135" t="s">
        <v>2972</v>
      </c>
      <c r="D751" s="135" t="s">
        <v>2317</v>
      </c>
      <c r="E751" s="135" t="s">
        <v>2973</v>
      </c>
    </row>
    <row r="752" spans="1:5" s="136" customFormat="1" x14ac:dyDescent="0.2">
      <c r="A752" s="135" t="s">
        <v>2974</v>
      </c>
      <c r="B752" s="135" t="s">
        <v>2975</v>
      </c>
      <c r="C752" s="135" t="s">
        <v>2976</v>
      </c>
      <c r="D752" s="135" t="s">
        <v>2317</v>
      </c>
      <c r="E752" s="135" t="s">
        <v>2977</v>
      </c>
    </row>
    <row r="753" spans="1:5" s="136" customFormat="1" x14ac:dyDescent="0.2">
      <c r="A753" s="135" t="s">
        <v>2978</v>
      </c>
      <c r="B753" s="135" t="s">
        <v>2979</v>
      </c>
      <c r="C753" s="135" t="s">
        <v>2980</v>
      </c>
      <c r="D753" s="135" t="s">
        <v>2317</v>
      </c>
      <c r="E753" s="135" t="s">
        <v>2981</v>
      </c>
    </row>
    <row r="754" spans="1:5" s="136" customFormat="1" x14ac:dyDescent="0.2">
      <c r="A754" s="135" t="s">
        <v>2982</v>
      </c>
      <c r="B754" s="135" t="s">
        <v>2983</v>
      </c>
      <c r="C754" s="135" t="s">
        <v>2984</v>
      </c>
      <c r="D754" s="135" t="s">
        <v>2317</v>
      </c>
      <c r="E754" s="135" t="s">
        <v>2985</v>
      </c>
    </row>
    <row r="755" spans="1:5" s="136" customFormat="1" x14ac:dyDescent="0.2">
      <c r="A755" s="135" t="s">
        <v>2986</v>
      </c>
      <c r="B755" s="135" t="s">
        <v>2987</v>
      </c>
      <c r="C755" s="135" t="s">
        <v>2988</v>
      </c>
      <c r="D755" s="135" t="s">
        <v>2317</v>
      </c>
      <c r="E755" s="135" t="s">
        <v>2989</v>
      </c>
    </row>
    <row r="756" spans="1:5" s="136" customFormat="1" x14ac:dyDescent="0.2">
      <c r="A756" s="135" t="s">
        <v>2990</v>
      </c>
      <c r="B756" s="135" t="s">
        <v>2991</v>
      </c>
      <c r="C756" s="135" t="s">
        <v>2992</v>
      </c>
      <c r="D756" s="135" t="s">
        <v>2927</v>
      </c>
      <c r="E756" s="135" t="s">
        <v>2993</v>
      </c>
    </row>
    <row r="757" spans="1:5" s="136" customFormat="1" x14ac:dyDescent="0.2">
      <c r="A757" s="135" t="s">
        <v>2994</v>
      </c>
      <c r="B757" s="135" t="s">
        <v>2995</v>
      </c>
      <c r="C757" s="135" t="s">
        <v>2996</v>
      </c>
      <c r="D757" s="135" t="s">
        <v>2317</v>
      </c>
      <c r="E757" s="135" t="s">
        <v>2997</v>
      </c>
    </row>
    <row r="758" spans="1:5" s="136" customFormat="1" x14ac:dyDescent="0.2">
      <c r="A758" s="135" t="s">
        <v>2998</v>
      </c>
      <c r="B758" s="135" t="s">
        <v>2999</v>
      </c>
      <c r="C758" s="135" t="s">
        <v>3000</v>
      </c>
      <c r="D758" s="135" t="s">
        <v>2317</v>
      </c>
      <c r="E758" s="135" t="s">
        <v>3001</v>
      </c>
    </row>
    <row r="759" spans="1:5" s="136" customFormat="1" x14ac:dyDescent="0.2">
      <c r="A759" s="135" t="s">
        <v>3002</v>
      </c>
      <c r="B759" s="135" t="s">
        <v>3003</v>
      </c>
      <c r="C759" s="135" t="s">
        <v>3004</v>
      </c>
      <c r="D759" s="135" t="s">
        <v>2317</v>
      </c>
      <c r="E759" s="135" t="s">
        <v>3005</v>
      </c>
    </row>
    <row r="760" spans="1:5" s="136" customFormat="1" x14ac:dyDescent="0.2">
      <c r="A760" s="135" t="s">
        <v>3006</v>
      </c>
      <c r="B760" s="135" t="s">
        <v>3007</v>
      </c>
      <c r="C760" s="135" t="s">
        <v>3008</v>
      </c>
      <c r="D760" s="135" t="s">
        <v>2904</v>
      </c>
      <c r="E760" s="135" t="s">
        <v>3009</v>
      </c>
    </row>
    <row r="761" spans="1:5" s="136" customFormat="1" x14ac:dyDescent="0.2">
      <c r="A761" s="135" t="s">
        <v>3010</v>
      </c>
      <c r="B761" s="135" t="s">
        <v>3011</v>
      </c>
      <c r="C761" s="135" t="s">
        <v>3012</v>
      </c>
      <c r="D761" s="135" t="s">
        <v>3013</v>
      </c>
      <c r="E761" s="135" t="s">
        <v>3014</v>
      </c>
    </row>
    <row r="762" spans="1:5" s="136" customFormat="1" x14ac:dyDescent="0.2">
      <c r="A762" s="135" t="s">
        <v>3015</v>
      </c>
      <c r="B762" s="135" t="s">
        <v>3016</v>
      </c>
      <c r="C762" s="135" t="s">
        <v>3017</v>
      </c>
      <c r="D762" s="135" t="s">
        <v>3013</v>
      </c>
      <c r="E762" s="135" t="s">
        <v>3018</v>
      </c>
    </row>
    <row r="763" spans="1:5" s="136" customFormat="1" x14ac:dyDescent="0.2">
      <c r="A763" s="135" t="s">
        <v>3019</v>
      </c>
      <c r="B763" s="135" t="s">
        <v>3020</v>
      </c>
      <c r="C763" s="135" t="s">
        <v>3021</v>
      </c>
      <c r="D763" s="135" t="s">
        <v>3013</v>
      </c>
      <c r="E763" s="135" t="s">
        <v>3022</v>
      </c>
    </row>
    <row r="764" spans="1:5" s="136" customFormat="1" x14ac:dyDescent="0.2">
      <c r="A764" s="135" t="s">
        <v>3023</v>
      </c>
      <c r="B764" s="135" t="s">
        <v>3024</v>
      </c>
      <c r="C764" s="135" t="s">
        <v>3025</v>
      </c>
      <c r="D764" s="135" t="s">
        <v>3013</v>
      </c>
      <c r="E764" s="135" t="s">
        <v>3026</v>
      </c>
    </row>
    <row r="765" spans="1:5" s="136" customFormat="1" x14ac:dyDescent="0.2">
      <c r="A765" s="135" t="s">
        <v>3027</v>
      </c>
      <c r="B765" s="135" t="s">
        <v>3028</v>
      </c>
      <c r="C765" s="135" t="s">
        <v>3029</v>
      </c>
      <c r="D765" s="135" t="s">
        <v>3030</v>
      </c>
      <c r="E765" s="135" t="s">
        <v>3031</v>
      </c>
    </row>
    <row r="766" spans="1:5" s="136" customFormat="1" x14ac:dyDescent="0.2">
      <c r="A766" s="135" t="s">
        <v>3032</v>
      </c>
      <c r="B766" s="135" t="s">
        <v>3033</v>
      </c>
      <c r="C766" s="135" t="s">
        <v>3034</v>
      </c>
      <c r="D766" s="135" t="s">
        <v>3030</v>
      </c>
      <c r="E766" s="135" t="s">
        <v>3035</v>
      </c>
    </row>
    <row r="767" spans="1:5" s="136" customFormat="1" x14ac:dyDescent="0.2">
      <c r="A767" s="135" t="s">
        <v>3036</v>
      </c>
      <c r="B767" s="135" t="s">
        <v>3037</v>
      </c>
      <c r="C767" s="135" t="s">
        <v>3038</v>
      </c>
      <c r="D767" s="135" t="s">
        <v>3039</v>
      </c>
      <c r="E767" s="135" t="s">
        <v>3040</v>
      </c>
    </row>
    <row r="768" spans="1:5" s="136" customFormat="1" x14ac:dyDescent="0.2">
      <c r="A768" s="135" t="s">
        <v>3041</v>
      </c>
      <c r="B768" s="135" t="s">
        <v>3042</v>
      </c>
      <c r="C768" s="135" t="s">
        <v>3043</v>
      </c>
      <c r="D768" s="135" t="s">
        <v>3039</v>
      </c>
      <c r="E768" s="135" t="s">
        <v>3044</v>
      </c>
    </row>
    <row r="769" spans="1:5" s="136" customFormat="1" x14ac:dyDescent="0.2">
      <c r="A769" s="135" t="s">
        <v>3045</v>
      </c>
      <c r="B769" s="135" t="s">
        <v>3046</v>
      </c>
      <c r="C769" s="135" t="s">
        <v>3047</v>
      </c>
      <c r="D769" s="135" t="s">
        <v>3048</v>
      </c>
      <c r="E769" s="135" t="s">
        <v>3049</v>
      </c>
    </row>
    <row r="770" spans="1:5" s="136" customFormat="1" x14ac:dyDescent="0.2">
      <c r="A770" s="135" t="s">
        <v>3050</v>
      </c>
      <c r="B770" s="135" t="s">
        <v>3051</v>
      </c>
      <c r="C770" s="135" t="s">
        <v>3052</v>
      </c>
    </row>
    <row r="771" spans="1:5" s="136" customFormat="1" x14ac:dyDescent="0.2">
      <c r="A771" s="135" t="s">
        <v>3053</v>
      </c>
      <c r="B771" s="135" t="s">
        <v>3054</v>
      </c>
      <c r="C771" s="135" t="s">
        <v>3055</v>
      </c>
      <c r="D771" s="135" t="s">
        <v>3056</v>
      </c>
      <c r="E771" s="135" t="s">
        <v>3057</v>
      </c>
    </row>
    <row r="772" spans="1:5" s="136" customFormat="1" x14ac:dyDescent="0.2">
      <c r="A772" s="135" t="s">
        <v>3058</v>
      </c>
      <c r="B772" s="135" t="s">
        <v>3059</v>
      </c>
      <c r="C772" s="135" t="s">
        <v>3060</v>
      </c>
      <c r="D772" s="135" t="s">
        <v>3056</v>
      </c>
      <c r="E772" s="135" t="s">
        <v>3061</v>
      </c>
    </row>
    <row r="773" spans="1:5" s="136" customFormat="1" x14ac:dyDescent="0.2">
      <c r="A773" s="135" t="s">
        <v>3062</v>
      </c>
      <c r="B773" s="135" t="s">
        <v>3063</v>
      </c>
      <c r="C773" s="135" t="s">
        <v>3064</v>
      </c>
      <c r="D773" s="135" t="s">
        <v>3056</v>
      </c>
      <c r="E773" s="135" t="s">
        <v>3065</v>
      </c>
    </row>
    <row r="774" spans="1:5" s="136" customFormat="1" x14ac:dyDescent="0.2">
      <c r="A774" s="135" t="s">
        <v>3066</v>
      </c>
      <c r="B774" s="135" t="s">
        <v>3067</v>
      </c>
      <c r="C774" s="135" t="s">
        <v>3068</v>
      </c>
      <c r="D774" s="135" t="s">
        <v>3056</v>
      </c>
      <c r="E774" s="135" t="s">
        <v>3069</v>
      </c>
    </row>
    <row r="775" spans="1:5" s="136" customFormat="1" x14ac:dyDescent="0.2">
      <c r="A775" s="135" t="s">
        <v>3070</v>
      </c>
      <c r="B775" s="135" t="s">
        <v>3071</v>
      </c>
      <c r="C775" s="135" t="s">
        <v>3072</v>
      </c>
      <c r="D775" s="135" t="s">
        <v>3056</v>
      </c>
      <c r="E775" s="135" t="s">
        <v>3073</v>
      </c>
    </row>
    <row r="776" spans="1:5" s="136" customFormat="1" x14ac:dyDescent="0.2">
      <c r="A776" s="135" t="s">
        <v>3074</v>
      </c>
      <c r="B776" s="135" t="s">
        <v>3075</v>
      </c>
      <c r="C776" s="135" t="s">
        <v>3076</v>
      </c>
      <c r="D776" s="135" t="s">
        <v>3056</v>
      </c>
      <c r="E776" s="135" t="s">
        <v>3077</v>
      </c>
    </row>
    <row r="777" spans="1:5" s="136" customFormat="1" x14ac:dyDescent="0.2">
      <c r="A777" s="135" t="s">
        <v>3078</v>
      </c>
      <c r="B777" s="135" t="s">
        <v>3079</v>
      </c>
      <c r="C777" s="135" t="s">
        <v>3080</v>
      </c>
      <c r="D777" s="135" t="s">
        <v>3056</v>
      </c>
      <c r="E777" s="135" t="s">
        <v>3081</v>
      </c>
    </row>
    <row r="778" spans="1:5" s="136" customFormat="1" x14ac:dyDescent="0.2">
      <c r="A778" s="135" t="s">
        <v>3082</v>
      </c>
      <c r="B778" s="135" t="s">
        <v>3083</v>
      </c>
      <c r="C778" s="135" t="s">
        <v>3084</v>
      </c>
      <c r="D778" s="135" t="s">
        <v>3056</v>
      </c>
      <c r="E778" s="135" t="s">
        <v>3085</v>
      </c>
    </row>
    <row r="779" spans="1:5" s="136" customFormat="1" x14ac:dyDescent="0.2">
      <c r="A779" s="135" t="s">
        <v>3086</v>
      </c>
      <c r="B779" s="135" t="s">
        <v>3087</v>
      </c>
      <c r="C779" s="135" t="s">
        <v>3088</v>
      </c>
      <c r="D779" s="135" t="s">
        <v>3056</v>
      </c>
      <c r="E779" s="135" t="s">
        <v>3089</v>
      </c>
    </row>
    <row r="780" spans="1:5" s="136" customFormat="1" x14ac:dyDescent="0.2">
      <c r="A780" s="135" t="s">
        <v>3090</v>
      </c>
      <c r="B780" s="135" t="s">
        <v>3091</v>
      </c>
      <c r="C780" s="135" t="s">
        <v>3092</v>
      </c>
      <c r="D780" s="135" t="s">
        <v>3056</v>
      </c>
      <c r="E780" s="135" t="s">
        <v>3093</v>
      </c>
    </row>
    <row r="781" spans="1:5" s="136" customFormat="1" x14ac:dyDescent="0.2">
      <c r="A781" s="135" t="s">
        <v>3094</v>
      </c>
      <c r="B781" s="135" t="s">
        <v>3095</v>
      </c>
      <c r="C781" s="135" t="s">
        <v>3096</v>
      </c>
      <c r="D781" s="135" t="s">
        <v>3056</v>
      </c>
      <c r="E781" s="135" t="s">
        <v>3097</v>
      </c>
    </row>
    <row r="782" spans="1:5" s="136" customFormat="1" x14ac:dyDescent="0.2">
      <c r="A782" s="135" t="s">
        <v>3098</v>
      </c>
      <c r="B782" s="135" t="s">
        <v>3099</v>
      </c>
      <c r="C782" s="135" t="s">
        <v>3100</v>
      </c>
      <c r="D782" s="135" t="s">
        <v>3056</v>
      </c>
      <c r="E782" s="135" t="s">
        <v>3101</v>
      </c>
    </row>
    <row r="783" spans="1:5" s="136" customFormat="1" x14ac:dyDescent="0.2">
      <c r="A783" s="135" t="s">
        <v>3102</v>
      </c>
      <c r="B783" s="135" t="s">
        <v>3103</v>
      </c>
      <c r="C783" s="135" t="s">
        <v>3104</v>
      </c>
      <c r="D783" s="135" t="s">
        <v>3056</v>
      </c>
      <c r="E783" s="135" t="s">
        <v>3105</v>
      </c>
    </row>
    <row r="784" spans="1:5" s="136" customFormat="1" x14ac:dyDescent="0.2">
      <c r="A784" s="135" t="s">
        <v>3106</v>
      </c>
      <c r="B784" s="135" t="s">
        <v>3107</v>
      </c>
      <c r="C784" s="135" t="s">
        <v>3108</v>
      </c>
      <c r="D784" s="135" t="s">
        <v>3056</v>
      </c>
      <c r="E784" s="135" t="s">
        <v>3109</v>
      </c>
    </row>
    <row r="785" spans="1:5" s="136" customFormat="1" x14ac:dyDescent="0.2">
      <c r="A785" s="135" t="s">
        <v>3110</v>
      </c>
      <c r="B785" s="135" t="s">
        <v>3111</v>
      </c>
      <c r="C785" s="135" t="s">
        <v>3112</v>
      </c>
      <c r="D785" s="135" t="s">
        <v>3056</v>
      </c>
      <c r="E785" s="135" t="s">
        <v>3113</v>
      </c>
    </row>
    <row r="786" spans="1:5" s="136" customFormat="1" x14ac:dyDescent="0.2">
      <c r="A786" s="135" t="s">
        <v>3114</v>
      </c>
      <c r="B786" s="135" t="s">
        <v>3115</v>
      </c>
      <c r="C786" s="135" t="s">
        <v>3116</v>
      </c>
      <c r="D786" s="135" t="s">
        <v>3056</v>
      </c>
      <c r="E786" s="135" t="s">
        <v>3117</v>
      </c>
    </row>
    <row r="787" spans="1:5" s="136" customFormat="1" x14ac:dyDescent="0.2">
      <c r="A787" s="135" t="s">
        <v>3118</v>
      </c>
      <c r="B787" s="135" t="s">
        <v>3119</v>
      </c>
      <c r="C787" s="135" t="s">
        <v>3120</v>
      </c>
      <c r="D787" s="135" t="s">
        <v>3056</v>
      </c>
      <c r="E787" s="135" t="s">
        <v>3121</v>
      </c>
    </row>
    <row r="788" spans="1:5" s="136" customFormat="1" x14ac:dyDescent="0.2">
      <c r="A788" s="135" t="s">
        <v>3122</v>
      </c>
      <c r="B788" s="135" t="s">
        <v>3123</v>
      </c>
      <c r="C788" s="135" t="s">
        <v>3124</v>
      </c>
      <c r="D788" s="135" t="s">
        <v>3056</v>
      </c>
      <c r="E788" s="135" t="s">
        <v>3125</v>
      </c>
    </row>
    <row r="789" spans="1:5" s="136" customFormat="1" x14ac:dyDescent="0.2">
      <c r="A789" s="135" t="s">
        <v>3126</v>
      </c>
      <c r="B789" s="135" t="s">
        <v>3127</v>
      </c>
      <c r="C789" s="135" t="s">
        <v>3128</v>
      </c>
    </row>
    <row r="790" spans="1:5" s="136" customFormat="1" x14ac:dyDescent="0.2">
      <c r="A790" s="135" t="s">
        <v>3129</v>
      </c>
      <c r="B790" s="135" t="s">
        <v>3130</v>
      </c>
      <c r="C790" s="135" t="s">
        <v>3131</v>
      </c>
      <c r="D790" s="135" t="s">
        <v>3132</v>
      </c>
      <c r="E790" s="135" t="s">
        <v>3133</v>
      </c>
    </row>
    <row r="791" spans="1:5" s="136" customFormat="1" x14ac:dyDescent="0.2">
      <c r="A791" s="135" t="s">
        <v>3134</v>
      </c>
      <c r="B791" s="135" t="s">
        <v>3135</v>
      </c>
      <c r="C791" s="135" t="s">
        <v>3136</v>
      </c>
      <c r="D791" s="135" t="s">
        <v>3132</v>
      </c>
      <c r="E791" s="135" t="s">
        <v>3137</v>
      </c>
    </row>
    <row r="792" spans="1:5" s="136" customFormat="1" x14ac:dyDescent="0.2">
      <c r="A792" s="135" t="s">
        <v>3138</v>
      </c>
      <c r="B792" s="135" t="s">
        <v>3139</v>
      </c>
      <c r="C792" s="135" t="s">
        <v>3140</v>
      </c>
      <c r="D792" s="135" t="s">
        <v>3132</v>
      </c>
      <c r="E792" s="135" t="s">
        <v>3141</v>
      </c>
    </row>
    <row r="793" spans="1:5" s="136" customFormat="1" x14ac:dyDescent="0.2">
      <c r="A793" s="135" t="s">
        <v>3142</v>
      </c>
      <c r="B793" s="135" t="s">
        <v>3143</v>
      </c>
      <c r="C793" s="135" t="s">
        <v>3144</v>
      </c>
      <c r="D793" s="135" t="s">
        <v>3132</v>
      </c>
      <c r="E793" s="135" t="s">
        <v>3145</v>
      </c>
    </row>
    <row r="794" spans="1:5" s="136" customFormat="1" x14ac:dyDescent="0.2">
      <c r="A794" s="135" t="s">
        <v>3146</v>
      </c>
      <c r="B794" s="135" t="s">
        <v>3147</v>
      </c>
      <c r="C794" s="135" t="s">
        <v>3148</v>
      </c>
      <c r="D794" s="135" t="s">
        <v>3132</v>
      </c>
      <c r="E794" s="135" t="s">
        <v>3149</v>
      </c>
    </row>
    <row r="795" spans="1:5" s="136" customFormat="1" x14ac:dyDescent="0.2">
      <c r="A795" s="135" t="s">
        <v>3150</v>
      </c>
      <c r="B795" s="135" t="s">
        <v>3151</v>
      </c>
      <c r="C795" s="135" t="s">
        <v>3152</v>
      </c>
      <c r="D795" s="135" t="s">
        <v>3132</v>
      </c>
      <c r="E795" s="135" t="s">
        <v>3153</v>
      </c>
    </row>
    <row r="796" spans="1:5" s="136" customFormat="1" x14ac:dyDescent="0.2">
      <c r="A796" s="135" t="s">
        <v>3154</v>
      </c>
      <c r="B796" s="135" t="s">
        <v>3155</v>
      </c>
      <c r="C796" s="135" t="s">
        <v>3156</v>
      </c>
      <c r="D796" s="135" t="s">
        <v>3132</v>
      </c>
      <c r="E796" s="135" t="s">
        <v>3157</v>
      </c>
    </row>
    <row r="797" spans="1:5" s="136" customFormat="1" x14ac:dyDescent="0.2">
      <c r="A797" s="135" t="s">
        <v>3158</v>
      </c>
      <c r="B797" s="135" t="s">
        <v>3159</v>
      </c>
      <c r="C797" s="135" t="s">
        <v>3160</v>
      </c>
    </row>
    <row r="798" spans="1:5" s="136" customFormat="1" x14ac:dyDescent="0.2">
      <c r="A798" s="135" t="s">
        <v>3161</v>
      </c>
      <c r="B798" s="135" t="s">
        <v>3162</v>
      </c>
      <c r="C798" s="135" t="s">
        <v>3163</v>
      </c>
      <c r="D798" s="135" t="s">
        <v>2317</v>
      </c>
      <c r="E798" s="135" t="s">
        <v>3164</v>
      </c>
    </row>
    <row r="799" spans="1:5" s="136" customFormat="1" x14ac:dyDescent="0.2">
      <c r="A799" s="135" t="s">
        <v>3165</v>
      </c>
      <c r="B799" s="135" t="s">
        <v>3166</v>
      </c>
      <c r="C799" s="135" t="s">
        <v>3167</v>
      </c>
      <c r="D799" s="135" t="s">
        <v>2317</v>
      </c>
      <c r="E799" s="135" t="s">
        <v>3168</v>
      </c>
    </row>
    <row r="800" spans="1:5" s="136" customFormat="1" x14ac:dyDescent="0.2">
      <c r="A800" s="135" t="s">
        <v>3169</v>
      </c>
      <c r="B800" s="135" t="s">
        <v>3170</v>
      </c>
      <c r="C800" s="135" t="s">
        <v>3171</v>
      </c>
      <c r="D800" s="135" t="s">
        <v>3172</v>
      </c>
      <c r="E800" s="135" t="s">
        <v>3173</v>
      </c>
    </row>
    <row r="801" spans="1:5" s="136" customFormat="1" x14ac:dyDescent="0.2">
      <c r="A801" s="135" t="s">
        <v>3174</v>
      </c>
      <c r="B801" s="135" t="s">
        <v>3175</v>
      </c>
      <c r="C801" s="135" t="s">
        <v>3176</v>
      </c>
      <c r="D801" s="135" t="s">
        <v>3177</v>
      </c>
      <c r="E801" s="135" t="s">
        <v>3178</v>
      </c>
    </row>
    <row r="802" spans="1:5" s="136" customFormat="1" x14ac:dyDescent="0.2">
      <c r="A802" s="135" t="s">
        <v>3179</v>
      </c>
      <c r="B802" s="135" t="s">
        <v>3180</v>
      </c>
      <c r="C802" s="135" t="s">
        <v>3181</v>
      </c>
      <c r="D802" s="135" t="s">
        <v>3182</v>
      </c>
      <c r="E802" s="135" t="s">
        <v>3183</v>
      </c>
    </row>
    <row r="803" spans="1:5" s="136" customFormat="1" x14ac:dyDescent="0.2">
      <c r="A803" s="135" t="s">
        <v>3184</v>
      </c>
      <c r="B803" s="135" t="s">
        <v>3185</v>
      </c>
      <c r="C803" s="135" t="s">
        <v>3186</v>
      </c>
      <c r="D803" s="135" t="s">
        <v>3187</v>
      </c>
      <c r="E803" s="135" t="s">
        <v>3188</v>
      </c>
    </row>
    <row r="804" spans="1:5" s="136" customFormat="1" x14ac:dyDescent="0.2">
      <c r="A804" s="135" t="s">
        <v>3189</v>
      </c>
      <c r="B804" s="135" t="s">
        <v>3190</v>
      </c>
      <c r="C804" s="135" t="s">
        <v>3191</v>
      </c>
      <c r="D804" s="135" t="s">
        <v>3192</v>
      </c>
      <c r="E804" s="135" t="s">
        <v>3193</v>
      </c>
    </row>
    <row r="805" spans="1:5" s="136" customFormat="1" x14ac:dyDescent="0.2">
      <c r="A805" s="135" t="s">
        <v>3194</v>
      </c>
      <c r="B805" s="135" t="s">
        <v>3195</v>
      </c>
      <c r="C805" s="135" t="s">
        <v>3196</v>
      </c>
      <c r="D805" s="135" t="s">
        <v>3197</v>
      </c>
      <c r="E805" s="135" t="s">
        <v>3198</v>
      </c>
    </row>
    <row r="806" spans="1:5" s="136" customFormat="1" x14ac:dyDescent="0.2">
      <c r="A806" s="135" t="s">
        <v>3199</v>
      </c>
      <c r="B806" s="135" t="s">
        <v>3200</v>
      </c>
      <c r="C806" s="135" t="s">
        <v>3201</v>
      </c>
      <c r="D806" s="135" t="s">
        <v>3187</v>
      </c>
      <c r="E806" s="135" t="s">
        <v>3202</v>
      </c>
    </row>
    <row r="807" spans="1:5" s="136" customFormat="1" x14ac:dyDescent="0.2">
      <c r="A807" s="135" t="s">
        <v>3203</v>
      </c>
      <c r="B807" s="135" t="s">
        <v>3204</v>
      </c>
      <c r="C807" s="135" t="s">
        <v>3205</v>
      </c>
      <c r="D807" s="135" t="s">
        <v>3206</v>
      </c>
      <c r="E807" s="135" t="s">
        <v>3207</v>
      </c>
    </row>
    <row r="808" spans="1:5" s="136" customFormat="1" x14ac:dyDescent="0.2">
      <c r="A808" s="135" t="s">
        <v>3208</v>
      </c>
      <c r="B808" s="135" t="s">
        <v>3209</v>
      </c>
      <c r="C808" s="135" t="s">
        <v>3210</v>
      </c>
      <c r="D808" s="135" t="s">
        <v>3177</v>
      </c>
      <c r="E808" s="135" t="s">
        <v>3211</v>
      </c>
    </row>
    <row r="809" spans="1:5" s="136" customFormat="1" x14ac:dyDescent="0.2">
      <c r="A809" s="135" t="s">
        <v>3212</v>
      </c>
      <c r="B809" s="135" t="s">
        <v>3213</v>
      </c>
      <c r="C809" s="135" t="s">
        <v>3214</v>
      </c>
      <c r="D809" s="135" t="s">
        <v>3182</v>
      </c>
      <c r="E809" s="135" t="s">
        <v>3215</v>
      </c>
    </row>
    <row r="810" spans="1:5" s="136" customFormat="1" x14ac:dyDescent="0.2">
      <c r="A810" s="135" t="s">
        <v>3216</v>
      </c>
      <c r="B810" s="135" t="s">
        <v>3217</v>
      </c>
      <c r="C810" s="135" t="s">
        <v>3218</v>
      </c>
      <c r="D810" s="135" t="s">
        <v>3177</v>
      </c>
      <c r="E810" s="135" t="s">
        <v>3219</v>
      </c>
    </row>
    <row r="811" spans="1:5" s="136" customFormat="1" x14ac:dyDescent="0.2">
      <c r="A811" s="135" t="s">
        <v>3220</v>
      </c>
      <c r="B811" s="135" t="s">
        <v>3221</v>
      </c>
      <c r="C811" s="135" t="s">
        <v>3222</v>
      </c>
      <c r="D811" s="135" t="s">
        <v>3177</v>
      </c>
      <c r="E811" s="135" t="s">
        <v>3223</v>
      </c>
    </row>
    <row r="812" spans="1:5" s="136" customFormat="1" x14ac:dyDescent="0.2">
      <c r="A812" s="135" t="s">
        <v>3224</v>
      </c>
      <c r="B812" s="135" t="s">
        <v>3225</v>
      </c>
      <c r="C812" s="135" t="s">
        <v>3226</v>
      </c>
      <c r="D812" s="135" t="s">
        <v>3182</v>
      </c>
      <c r="E812" s="135" t="s">
        <v>3227</v>
      </c>
    </row>
    <row r="813" spans="1:5" s="136" customFormat="1" x14ac:dyDescent="0.2">
      <c r="A813" s="135" t="s">
        <v>3228</v>
      </c>
      <c r="B813" s="135" t="s">
        <v>3229</v>
      </c>
      <c r="C813" s="135" t="s">
        <v>3230</v>
      </c>
      <c r="D813" s="135" t="s">
        <v>3177</v>
      </c>
      <c r="E813" s="135" t="s">
        <v>3231</v>
      </c>
    </row>
    <row r="814" spans="1:5" s="136" customFormat="1" x14ac:dyDescent="0.2">
      <c r="A814" s="135" t="s">
        <v>3232</v>
      </c>
      <c r="B814" s="135" t="s">
        <v>3233</v>
      </c>
      <c r="C814" s="135" t="s">
        <v>3234</v>
      </c>
      <c r="D814" s="135" t="s">
        <v>3235</v>
      </c>
      <c r="E814" s="135" t="s">
        <v>3236</v>
      </c>
    </row>
    <row r="815" spans="1:5" s="136" customFormat="1" x14ac:dyDescent="0.2">
      <c r="A815" s="135" t="s">
        <v>3237</v>
      </c>
      <c r="B815" s="135" t="s">
        <v>3238</v>
      </c>
      <c r="C815" s="135" t="s">
        <v>3239</v>
      </c>
      <c r="D815" s="135" t="s">
        <v>3197</v>
      </c>
      <c r="E815" s="135" t="s">
        <v>3240</v>
      </c>
    </row>
    <row r="816" spans="1:5" s="136" customFormat="1" x14ac:dyDescent="0.2">
      <c r="A816" s="135" t="s">
        <v>3241</v>
      </c>
      <c r="B816" s="135" t="s">
        <v>3242</v>
      </c>
      <c r="C816" s="135" t="s">
        <v>3243</v>
      </c>
      <c r="D816" s="135" t="s">
        <v>3187</v>
      </c>
      <c r="E816" s="135" t="s">
        <v>3244</v>
      </c>
    </row>
    <row r="817" spans="1:5" s="136" customFormat="1" x14ac:dyDescent="0.2">
      <c r="A817" s="135" t="s">
        <v>3245</v>
      </c>
      <c r="B817" s="135" t="s">
        <v>3246</v>
      </c>
      <c r="C817" s="135" t="s">
        <v>3247</v>
      </c>
      <c r="D817" s="135" t="s">
        <v>3177</v>
      </c>
      <c r="E817" s="135" t="s">
        <v>3248</v>
      </c>
    </row>
    <row r="818" spans="1:5" s="136" customFormat="1" x14ac:dyDescent="0.2">
      <c r="A818" s="135" t="s">
        <v>3249</v>
      </c>
      <c r="B818" s="135" t="s">
        <v>3250</v>
      </c>
      <c r="C818" s="135" t="s">
        <v>3251</v>
      </c>
      <c r="D818" s="135" t="s">
        <v>3187</v>
      </c>
      <c r="E818" s="135" t="s">
        <v>3252</v>
      </c>
    </row>
    <row r="819" spans="1:5" s="136" customFormat="1" x14ac:dyDescent="0.2">
      <c r="A819" s="135" t="s">
        <v>3253</v>
      </c>
      <c r="B819" s="135" t="s">
        <v>3254</v>
      </c>
      <c r="C819" s="135" t="s">
        <v>3255</v>
      </c>
      <c r="D819" s="135" t="s">
        <v>3182</v>
      </c>
      <c r="E819" s="135" t="s">
        <v>3256</v>
      </c>
    </row>
    <row r="820" spans="1:5" s="136" customFormat="1" x14ac:dyDescent="0.2">
      <c r="A820" s="135" t="s">
        <v>3257</v>
      </c>
      <c r="B820" s="135" t="s">
        <v>3258</v>
      </c>
      <c r="C820" s="135" t="s">
        <v>3259</v>
      </c>
      <c r="D820" s="135" t="s">
        <v>3182</v>
      </c>
      <c r="E820" s="135" t="s">
        <v>3260</v>
      </c>
    </row>
    <row r="821" spans="1:5" s="136" customFormat="1" x14ac:dyDescent="0.2">
      <c r="A821" s="135" t="s">
        <v>3261</v>
      </c>
      <c r="B821" s="135" t="s">
        <v>3262</v>
      </c>
      <c r="C821" s="135" t="s">
        <v>3263</v>
      </c>
      <c r="D821" s="135" t="s">
        <v>3197</v>
      </c>
      <c r="E821" s="135" t="s">
        <v>3260</v>
      </c>
    </row>
    <row r="822" spans="1:5" s="136" customFormat="1" x14ac:dyDescent="0.2">
      <c r="A822" s="135" t="s">
        <v>3264</v>
      </c>
      <c r="B822" s="135" t="s">
        <v>3265</v>
      </c>
      <c r="C822" s="135" t="s">
        <v>3266</v>
      </c>
      <c r="D822" s="135" t="s">
        <v>3197</v>
      </c>
      <c r="E822" s="135" t="s">
        <v>3267</v>
      </c>
    </row>
    <row r="823" spans="1:5" s="136" customFormat="1" x14ac:dyDescent="0.2">
      <c r="A823" s="135" t="s">
        <v>3268</v>
      </c>
      <c r="B823" s="135" t="s">
        <v>3269</v>
      </c>
      <c r="C823" s="135" t="s">
        <v>3270</v>
      </c>
      <c r="D823" s="135" t="s">
        <v>3197</v>
      </c>
      <c r="E823" s="135" t="s">
        <v>3267</v>
      </c>
    </row>
    <row r="824" spans="1:5" s="136" customFormat="1" x14ac:dyDescent="0.2">
      <c r="A824" s="135" t="s">
        <v>3271</v>
      </c>
      <c r="B824" s="135" t="s">
        <v>3272</v>
      </c>
      <c r="C824" s="135" t="s">
        <v>3273</v>
      </c>
      <c r="D824" s="135" t="s">
        <v>3197</v>
      </c>
      <c r="E824" s="135" t="s">
        <v>3274</v>
      </c>
    </row>
    <row r="825" spans="1:5" s="136" customFormat="1" x14ac:dyDescent="0.2">
      <c r="A825" s="135" t="s">
        <v>3275</v>
      </c>
      <c r="B825" s="135" t="s">
        <v>3276</v>
      </c>
      <c r="C825" s="135" t="s">
        <v>3277</v>
      </c>
      <c r="D825" s="135" t="s">
        <v>3197</v>
      </c>
      <c r="E825" s="135" t="s">
        <v>3267</v>
      </c>
    </row>
    <row r="826" spans="1:5" s="136" customFormat="1" x14ac:dyDescent="0.2">
      <c r="A826" s="135" t="s">
        <v>3278</v>
      </c>
      <c r="B826" s="135" t="s">
        <v>3279</v>
      </c>
      <c r="C826" s="135" t="s">
        <v>3280</v>
      </c>
      <c r="D826" s="135" t="s">
        <v>3281</v>
      </c>
      <c r="E826" s="135" t="s">
        <v>3282</v>
      </c>
    </row>
    <row r="827" spans="1:5" s="136" customFormat="1" x14ac:dyDescent="0.2">
      <c r="A827" s="135" t="s">
        <v>3283</v>
      </c>
      <c r="B827" s="135" t="s">
        <v>3284</v>
      </c>
      <c r="C827" s="135" t="s">
        <v>3285</v>
      </c>
      <c r="D827" s="135" t="s">
        <v>3197</v>
      </c>
      <c r="E827" s="135" t="s">
        <v>3286</v>
      </c>
    </row>
    <row r="828" spans="1:5" s="136" customFormat="1" x14ac:dyDescent="0.2">
      <c r="A828" s="135" t="s">
        <v>3287</v>
      </c>
      <c r="B828" s="135" t="s">
        <v>3288</v>
      </c>
      <c r="C828" s="135" t="s">
        <v>3289</v>
      </c>
      <c r="D828" s="135" t="s">
        <v>3197</v>
      </c>
      <c r="E828" s="135" t="s">
        <v>3290</v>
      </c>
    </row>
    <row r="829" spans="1:5" s="136" customFormat="1" x14ac:dyDescent="0.2">
      <c r="A829" s="135" t="s">
        <v>3291</v>
      </c>
      <c r="B829" s="135" t="s">
        <v>3292</v>
      </c>
      <c r="C829" s="135" t="s">
        <v>3293</v>
      </c>
      <c r="D829" s="135" t="s">
        <v>3177</v>
      </c>
      <c r="E829" s="135" t="s">
        <v>3294</v>
      </c>
    </row>
    <row r="830" spans="1:5" s="136" customFormat="1" x14ac:dyDescent="0.2">
      <c r="A830" s="135" t="s">
        <v>3295</v>
      </c>
      <c r="B830" s="135" t="s">
        <v>3296</v>
      </c>
      <c r="C830" s="135" t="s">
        <v>3297</v>
      </c>
      <c r="D830" s="135" t="s">
        <v>3177</v>
      </c>
      <c r="E830" s="135" t="s">
        <v>3298</v>
      </c>
    </row>
    <row r="831" spans="1:5" s="136" customFormat="1" x14ac:dyDescent="0.2">
      <c r="A831" s="135" t="s">
        <v>3299</v>
      </c>
      <c r="B831" s="135" t="s">
        <v>3300</v>
      </c>
      <c r="C831" s="135" t="s">
        <v>3301</v>
      </c>
    </row>
    <row r="832" spans="1:5" s="136" customFormat="1" x14ac:dyDescent="0.2">
      <c r="A832" s="135" t="s">
        <v>3302</v>
      </c>
      <c r="B832" s="135" t="s">
        <v>3303</v>
      </c>
      <c r="C832" s="135" t="s">
        <v>3304</v>
      </c>
      <c r="D832" s="135" t="s">
        <v>3305</v>
      </c>
      <c r="E832" s="135" t="s">
        <v>3306</v>
      </c>
    </row>
    <row r="833" spans="1:5" s="136" customFormat="1" x14ac:dyDescent="0.2">
      <c r="A833" s="135" t="s">
        <v>3307</v>
      </c>
      <c r="B833" s="135" t="s">
        <v>3308</v>
      </c>
      <c r="C833" s="135" t="s">
        <v>3309</v>
      </c>
      <c r="D833" s="135" t="s">
        <v>3305</v>
      </c>
      <c r="E833" s="135" t="s">
        <v>3310</v>
      </c>
    </row>
    <row r="834" spans="1:5" s="136" customFormat="1" x14ac:dyDescent="0.2">
      <c r="A834" s="135" t="s">
        <v>3311</v>
      </c>
      <c r="B834" s="135" t="s">
        <v>3312</v>
      </c>
      <c r="C834" s="135" t="s">
        <v>3313</v>
      </c>
      <c r="D834" s="135" t="s">
        <v>3305</v>
      </c>
      <c r="E834" s="135" t="s">
        <v>3314</v>
      </c>
    </row>
    <row r="835" spans="1:5" s="136" customFormat="1" x14ac:dyDescent="0.2">
      <c r="A835" s="135" t="s">
        <v>3315</v>
      </c>
      <c r="B835" s="135" t="s">
        <v>3316</v>
      </c>
      <c r="C835" s="135" t="s">
        <v>3317</v>
      </c>
      <c r="D835" s="135" t="s">
        <v>3305</v>
      </c>
      <c r="E835" s="135" t="s">
        <v>3318</v>
      </c>
    </row>
    <row r="836" spans="1:5" s="136" customFormat="1" x14ac:dyDescent="0.2">
      <c r="A836" s="135" t="s">
        <v>3319</v>
      </c>
      <c r="B836" s="135" t="s">
        <v>3320</v>
      </c>
      <c r="C836" s="135" t="s">
        <v>3321</v>
      </c>
      <c r="D836" s="135" t="s">
        <v>3322</v>
      </c>
      <c r="E836" s="135" t="s">
        <v>3323</v>
      </c>
    </row>
    <row r="837" spans="1:5" s="136" customFormat="1" x14ac:dyDescent="0.2">
      <c r="A837" s="135" t="s">
        <v>3324</v>
      </c>
      <c r="B837" s="135" t="s">
        <v>3325</v>
      </c>
      <c r="C837" s="135" t="s">
        <v>3326</v>
      </c>
      <c r="D837" s="135" t="s">
        <v>3305</v>
      </c>
      <c r="E837" s="135" t="s">
        <v>3327</v>
      </c>
    </row>
    <row r="838" spans="1:5" s="136" customFormat="1" x14ac:dyDescent="0.2">
      <c r="A838" s="135" t="s">
        <v>3328</v>
      </c>
      <c r="B838" s="135" t="s">
        <v>3329</v>
      </c>
      <c r="C838" s="135" t="s">
        <v>3330</v>
      </c>
      <c r="D838" s="135" t="s">
        <v>3305</v>
      </c>
      <c r="E838" s="135" t="s">
        <v>3331</v>
      </c>
    </row>
    <row r="839" spans="1:5" s="136" customFormat="1" x14ac:dyDescent="0.2">
      <c r="A839" s="135" t="s">
        <v>3332</v>
      </c>
      <c r="B839" s="135" t="s">
        <v>3333</v>
      </c>
      <c r="C839" s="135" t="s">
        <v>3334</v>
      </c>
      <c r="D839" s="135" t="s">
        <v>3335</v>
      </c>
      <c r="E839" s="135" t="s">
        <v>3336</v>
      </c>
    </row>
    <row r="840" spans="1:5" s="136" customFormat="1" x14ac:dyDescent="0.2">
      <c r="A840" s="135" t="s">
        <v>3337</v>
      </c>
      <c r="B840" s="135" t="s">
        <v>3338</v>
      </c>
      <c r="C840" s="135" t="s">
        <v>3339</v>
      </c>
      <c r="D840" s="135" t="s">
        <v>3340</v>
      </c>
      <c r="E840" s="135" t="s">
        <v>3341</v>
      </c>
    </row>
    <row r="841" spans="1:5" s="136" customFormat="1" x14ac:dyDescent="0.2">
      <c r="A841" s="135" t="s">
        <v>3342</v>
      </c>
      <c r="B841" s="135" t="s">
        <v>3343</v>
      </c>
      <c r="C841" s="135" t="s">
        <v>3344</v>
      </c>
      <c r="D841" s="135" t="s">
        <v>3345</v>
      </c>
      <c r="E841" s="135" t="s">
        <v>3346</v>
      </c>
    </row>
    <row r="842" spans="1:5" s="136" customFormat="1" x14ac:dyDescent="0.2">
      <c r="A842" s="135" t="s">
        <v>3347</v>
      </c>
      <c r="B842" s="135" t="s">
        <v>3348</v>
      </c>
      <c r="C842" s="135" t="s">
        <v>3349</v>
      </c>
      <c r="D842" s="135" t="s">
        <v>3350</v>
      </c>
      <c r="E842" s="135" t="s">
        <v>3351</v>
      </c>
    </row>
    <row r="843" spans="1:5" s="136" customFormat="1" x14ac:dyDescent="0.2">
      <c r="A843" s="135" t="s">
        <v>3352</v>
      </c>
      <c r="B843" s="135" t="s">
        <v>3353</v>
      </c>
      <c r="C843" s="135" t="s">
        <v>3354</v>
      </c>
      <c r="D843" s="135" t="s">
        <v>3355</v>
      </c>
      <c r="E843" s="135" t="s">
        <v>3356</v>
      </c>
    </row>
    <row r="844" spans="1:5" s="136" customFormat="1" x14ac:dyDescent="0.2">
      <c r="A844" s="135" t="s">
        <v>3357</v>
      </c>
      <c r="B844" s="135" t="s">
        <v>3358</v>
      </c>
      <c r="C844" s="135" t="s">
        <v>3359</v>
      </c>
      <c r="D844" s="135" t="s">
        <v>3360</v>
      </c>
      <c r="E844" s="135" t="s">
        <v>3361</v>
      </c>
    </row>
    <row r="845" spans="1:5" s="136" customFormat="1" x14ac:dyDescent="0.2">
      <c r="A845" s="135" t="s">
        <v>3362</v>
      </c>
      <c r="B845" s="135" t="s">
        <v>3363</v>
      </c>
      <c r="C845" s="135" t="s">
        <v>3364</v>
      </c>
      <c r="D845" s="135" t="s">
        <v>3345</v>
      </c>
      <c r="E845" s="135" t="s">
        <v>3365</v>
      </c>
    </row>
    <row r="846" spans="1:5" s="136" customFormat="1" x14ac:dyDescent="0.2">
      <c r="A846" s="135" t="s">
        <v>3366</v>
      </c>
      <c r="B846" s="135" t="s">
        <v>3367</v>
      </c>
      <c r="C846" s="135" t="s">
        <v>3368</v>
      </c>
      <c r="D846" s="135" t="s">
        <v>3305</v>
      </c>
      <c r="E846" s="135" t="s">
        <v>3369</v>
      </c>
    </row>
    <row r="847" spans="1:5" s="136" customFormat="1" x14ac:dyDescent="0.2">
      <c r="A847" s="135" t="s">
        <v>3370</v>
      </c>
      <c r="B847" s="135" t="s">
        <v>3371</v>
      </c>
      <c r="C847" s="135" t="s">
        <v>3372</v>
      </c>
      <c r="D847" s="135" t="s">
        <v>3360</v>
      </c>
      <c r="E847" s="135" t="s">
        <v>3373</v>
      </c>
    </row>
    <row r="848" spans="1:5" s="136" customFormat="1" x14ac:dyDescent="0.2">
      <c r="A848" s="135" t="s">
        <v>3374</v>
      </c>
      <c r="B848" s="135" t="s">
        <v>3375</v>
      </c>
      <c r="C848" s="135" t="s">
        <v>3376</v>
      </c>
      <c r="D848" s="135" t="s">
        <v>3355</v>
      </c>
      <c r="E848" s="135" t="s">
        <v>3377</v>
      </c>
    </row>
    <row r="849" spans="1:5" s="136" customFormat="1" x14ac:dyDescent="0.2">
      <c r="A849" s="135" t="s">
        <v>3378</v>
      </c>
      <c r="B849" s="135" t="s">
        <v>3379</v>
      </c>
      <c r="C849" s="135" t="s">
        <v>3380</v>
      </c>
      <c r="D849" s="135" t="s">
        <v>3345</v>
      </c>
      <c r="E849" s="135" t="s">
        <v>3381</v>
      </c>
    </row>
    <row r="850" spans="1:5" s="136" customFormat="1" x14ac:dyDescent="0.2">
      <c r="A850" s="135" t="s">
        <v>3382</v>
      </c>
      <c r="B850" s="135" t="s">
        <v>3383</v>
      </c>
      <c r="C850" s="135" t="s">
        <v>3384</v>
      </c>
      <c r="D850" s="135" t="s">
        <v>3305</v>
      </c>
      <c r="E850" s="135" t="s">
        <v>3385</v>
      </c>
    </row>
    <row r="851" spans="1:5" s="136" customFormat="1" x14ac:dyDescent="0.2">
      <c r="A851" s="135" t="s">
        <v>3386</v>
      </c>
      <c r="B851" s="135" t="s">
        <v>3387</v>
      </c>
      <c r="C851" s="135" t="s">
        <v>3388</v>
      </c>
      <c r="D851" s="135" t="s">
        <v>3389</v>
      </c>
      <c r="E851" s="135" t="s">
        <v>3390</v>
      </c>
    </row>
    <row r="852" spans="1:5" s="136" customFormat="1" x14ac:dyDescent="0.2">
      <c r="A852" s="135" t="s">
        <v>3391</v>
      </c>
      <c r="B852" s="135" t="s">
        <v>3392</v>
      </c>
      <c r="C852" s="135" t="s">
        <v>3393</v>
      </c>
      <c r="D852" s="135" t="s">
        <v>3394</v>
      </c>
      <c r="E852" s="135" t="s">
        <v>3395</v>
      </c>
    </row>
    <row r="853" spans="1:5" s="136" customFormat="1" x14ac:dyDescent="0.2">
      <c r="A853" s="135" t="s">
        <v>3396</v>
      </c>
      <c r="B853" s="135" t="s">
        <v>3397</v>
      </c>
      <c r="C853" s="135" t="s">
        <v>3398</v>
      </c>
      <c r="D853" s="135" t="s">
        <v>3399</v>
      </c>
      <c r="E853" s="135" t="s">
        <v>3400</v>
      </c>
    </row>
    <row r="854" spans="1:5" s="136" customFormat="1" x14ac:dyDescent="0.2">
      <c r="A854" s="135" t="s">
        <v>3401</v>
      </c>
      <c r="B854" s="135" t="s">
        <v>3402</v>
      </c>
      <c r="C854" s="135" t="s">
        <v>3403</v>
      </c>
      <c r="D854" s="135" t="s">
        <v>3394</v>
      </c>
      <c r="E854" s="135" t="s">
        <v>3404</v>
      </c>
    </row>
    <row r="855" spans="1:5" s="136" customFormat="1" x14ac:dyDescent="0.2">
      <c r="A855" s="135" t="s">
        <v>3405</v>
      </c>
      <c r="B855" s="135" t="s">
        <v>3406</v>
      </c>
      <c r="C855" s="135" t="s">
        <v>3407</v>
      </c>
      <c r="D855" s="135" t="s">
        <v>3408</v>
      </c>
      <c r="E855" s="135" t="s">
        <v>3409</v>
      </c>
    </row>
    <row r="856" spans="1:5" s="136" customFormat="1" x14ac:dyDescent="0.2">
      <c r="A856" s="135" t="s">
        <v>3410</v>
      </c>
      <c r="B856" s="135" t="s">
        <v>3411</v>
      </c>
      <c r="C856" s="135" t="s">
        <v>3412</v>
      </c>
      <c r="D856" s="135" t="s">
        <v>3305</v>
      </c>
      <c r="E856" s="135" t="s">
        <v>3413</v>
      </c>
    </row>
    <row r="857" spans="1:5" s="136" customFormat="1" x14ac:dyDescent="0.2">
      <c r="A857" s="135" t="s">
        <v>3414</v>
      </c>
      <c r="B857" s="135" t="s">
        <v>3415</v>
      </c>
      <c r="C857" s="135" t="s">
        <v>3416</v>
      </c>
      <c r="D857" s="135" t="s">
        <v>3305</v>
      </c>
      <c r="E857" s="135" t="s">
        <v>3417</v>
      </c>
    </row>
    <row r="858" spans="1:5" s="136" customFormat="1" x14ac:dyDescent="0.2">
      <c r="A858" s="135" t="s">
        <v>3418</v>
      </c>
      <c r="B858" s="135" t="s">
        <v>3419</v>
      </c>
      <c r="C858" s="135" t="s">
        <v>3420</v>
      </c>
      <c r="D858" s="135" t="s">
        <v>3355</v>
      </c>
      <c r="E858" s="135" t="s">
        <v>3421</v>
      </c>
    </row>
    <row r="859" spans="1:5" s="136" customFormat="1" x14ac:dyDescent="0.2">
      <c r="A859" s="135" t="s">
        <v>3422</v>
      </c>
      <c r="B859" s="135" t="s">
        <v>3423</v>
      </c>
      <c r="C859" s="135" t="s">
        <v>3424</v>
      </c>
      <c r="D859" s="135" t="s">
        <v>3425</v>
      </c>
      <c r="E859" s="135" t="s">
        <v>3426</v>
      </c>
    </row>
    <row r="860" spans="1:5" s="136" customFormat="1" x14ac:dyDescent="0.2">
      <c r="A860" s="135" t="s">
        <v>3427</v>
      </c>
      <c r="B860" s="135" t="s">
        <v>3428</v>
      </c>
      <c r="C860" s="135" t="s">
        <v>3429</v>
      </c>
      <c r="D860" s="135" t="s">
        <v>3345</v>
      </c>
      <c r="E860" s="135" t="s">
        <v>3430</v>
      </c>
    </row>
    <row r="861" spans="1:5" s="136" customFormat="1" x14ac:dyDescent="0.2">
      <c r="A861" s="135" t="s">
        <v>3431</v>
      </c>
      <c r="B861" s="135" t="s">
        <v>3432</v>
      </c>
      <c r="C861" s="135" t="s">
        <v>3433</v>
      </c>
      <c r="D861" s="135" t="s">
        <v>3345</v>
      </c>
      <c r="E861" s="135" t="s">
        <v>3434</v>
      </c>
    </row>
    <row r="862" spans="1:5" s="136" customFormat="1" x14ac:dyDescent="0.2">
      <c r="A862" s="135" t="s">
        <v>3435</v>
      </c>
      <c r="B862" s="135" t="s">
        <v>3436</v>
      </c>
      <c r="C862" s="135" t="s">
        <v>3437</v>
      </c>
      <c r="D862" s="135" t="s">
        <v>3355</v>
      </c>
      <c r="E862" s="135" t="s">
        <v>3438</v>
      </c>
    </row>
    <row r="863" spans="1:5" s="136" customFormat="1" x14ac:dyDescent="0.2">
      <c r="A863" s="135" t="s">
        <v>3439</v>
      </c>
      <c r="B863" s="135" t="s">
        <v>3440</v>
      </c>
      <c r="C863" s="135" t="s">
        <v>3441</v>
      </c>
      <c r="D863" s="135" t="s">
        <v>3360</v>
      </c>
      <c r="E863" s="135" t="s">
        <v>3442</v>
      </c>
    </row>
    <row r="864" spans="1:5" s="136" customFormat="1" x14ac:dyDescent="0.2">
      <c r="A864" s="135" t="s">
        <v>3443</v>
      </c>
      <c r="B864" s="135" t="s">
        <v>3444</v>
      </c>
      <c r="C864" s="135" t="s">
        <v>3445</v>
      </c>
      <c r="D864" s="135" t="s">
        <v>3305</v>
      </c>
      <c r="E864" s="135" t="s">
        <v>3446</v>
      </c>
    </row>
    <row r="865" spans="1:5" s="136" customFormat="1" x14ac:dyDescent="0.2">
      <c r="A865" s="135" t="s">
        <v>3447</v>
      </c>
      <c r="B865" s="135" t="s">
        <v>3448</v>
      </c>
      <c r="C865" s="135" t="s">
        <v>3449</v>
      </c>
      <c r="D865" s="135" t="s">
        <v>3305</v>
      </c>
      <c r="E865" s="135" t="s">
        <v>3450</v>
      </c>
    </row>
    <row r="866" spans="1:5" s="136" customFormat="1" x14ac:dyDescent="0.2">
      <c r="A866" s="135" t="s">
        <v>3451</v>
      </c>
      <c r="B866" s="135" t="s">
        <v>3452</v>
      </c>
      <c r="C866" s="135" t="s">
        <v>3453</v>
      </c>
      <c r="D866" s="135" t="s">
        <v>3350</v>
      </c>
      <c r="E866" s="135" t="s">
        <v>3454</v>
      </c>
    </row>
    <row r="867" spans="1:5" s="136" customFormat="1" x14ac:dyDescent="0.2">
      <c r="A867" s="135" t="s">
        <v>3455</v>
      </c>
      <c r="B867" s="135" t="s">
        <v>3456</v>
      </c>
      <c r="C867" s="135" t="s">
        <v>3457</v>
      </c>
      <c r="D867" s="135" t="s">
        <v>3355</v>
      </c>
      <c r="E867" s="135" t="s">
        <v>3458</v>
      </c>
    </row>
    <row r="868" spans="1:5" s="136" customFormat="1" x14ac:dyDescent="0.2">
      <c r="A868" s="135" t="s">
        <v>3459</v>
      </c>
      <c r="B868" s="135" t="s">
        <v>3460</v>
      </c>
      <c r="C868" s="135" t="s">
        <v>3461</v>
      </c>
      <c r="D868" s="135" t="s">
        <v>3355</v>
      </c>
      <c r="E868" s="135" t="s">
        <v>3462</v>
      </c>
    </row>
    <row r="869" spans="1:5" s="136" customFormat="1" x14ac:dyDescent="0.2">
      <c r="A869" s="135" t="s">
        <v>3463</v>
      </c>
      <c r="B869" s="135" t="s">
        <v>3464</v>
      </c>
      <c r="C869" s="135" t="s">
        <v>3465</v>
      </c>
      <c r="D869" s="135" t="s">
        <v>3466</v>
      </c>
      <c r="E869" s="135" t="s">
        <v>3467</v>
      </c>
    </row>
    <row r="870" spans="1:5" s="136" customFormat="1" x14ac:dyDescent="0.2">
      <c r="A870" s="135" t="s">
        <v>3468</v>
      </c>
      <c r="B870" s="135" t="s">
        <v>3469</v>
      </c>
      <c r="C870" s="135" t="s">
        <v>3470</v>
      </c>
      <c r="D870" s="135" t="s">
        <v>3471</v>
      </c>
      <c r="E870" s="135" t="s">
        <v>3472</v>
      </c>
    </row>
    <row r="871" spans="1:5" s="136" customFormat="1" x14ac:dyDescent="0.2">
      <c r="A871" s="135" t="s">
        <v>3473</v>
      </c>
      <c r="B871" s="135" t="s">
        <v>3474</v>
      </c>
      <c r="C871" s="135" t="s">
        <v>3475</v>
      </c>
      <c r="D871" s="135" t="s">
        <v>3476</v>
      </c>
      <c r="E871" s="135" t="s">
        <v>3477</v>
      </c>
    </row>
    <row r="872" spans="1:5" s="136" customFormat="1" x14ac:dyDescent="0.2">
      <c r="A872" s="135" t="s">
        <v>3478</v>
      </c>
      <c r="B872" s="135" t="s">
        <v>3479</v>
      </c>
      <c r="C872" s="135" t="s">
        <v>3480</v>
      </c>
      <c r="D872" s="135" t="s">
        <v>3471</v>
      </c>
      <c r="E872" s="135" t="s">
        <v>3481</v>
      </c>
    </row>
    <row r="873" spans="1:5" s="136" customFormat="1" x14ac:dyDescent="0.2">
      <c r="A873" s="135" t="s">
        <v>3482</v>
      </c>
      <c r="B873" s="135" t="s">
        <v>3483</v>
      </c>
      <c r="C873" s="135" t="s">
        <v>3484</v>
      </c>
      <c r="D873" s="135" t="s">
        <v>3466</v>
      </c>
      <c r="E873" s="135" t="s">
        <v>3485</v>
      </c>
    </row>
    <row r="874" spans="1:5" s="136" customFormat="1" x14ac:dyDescent="0.2">
      <c r="A874" s="135" t="s">
        <v>3486</v>
      </c>
      <c r="B874" s="135" t="s">
        <v>3487</v>
      </c>
      <c r="C874" s="135" t="s">
        <v>3488</v>
      </c>
      <c r="D874" s="135" t="s">
        <v>3476</v>
      </c>
      <c r="E874" s="135" t="s">
        <v>3489</v>
      </c>
    </row>
    <row r="875" spans="1:5" s="136" customFormat="1" x14ac:dyDescent="0.2">
      <c r="A875" s="135" t="s">
        <v>3490</v>
      </c>
      <c r="B875" s="135" t="s">
        <v>3491</v>
      </c>
      <c r="C875" s="135" t="s">
        <v>3492</v>
      </c>
      <c r="D875" s="135" t="s">
        <v>3493</v>
      </c>
      <c r="E875" s="135" t="s">
        <v>3494</v>
      </c>
    </row>
    <row r="876" spans="1:5" s="136" customFormat="1" x14ac:dyDescent="0.2">
      <c r="A876" s="135" t="s">
        <v>3495</v>
      </c>
      <c r="B876" s="135" t="s">
        <v>3496</v>
      </c>
      <c r="C876" s="135" t="s">
        <v>3497</v>
      </c>
      <c r="D876" s="135" t="s">
        <v>3471</v>
      </c>
      <c r="E876" s="135" t="s">
        <v>3498</v>
      </c>
    </row>
    <row r="877" spans="1:5" s="136" customFormat="1" x14ac:dyDescent="0.2">
      <c r="A877" s="135" t="s">
        <v>3499</v>
      </c>
      <c r="B877" s="135" t="s">
        <v>3500</v>
      </c>
      <c r="C877" s="135" t="s">
        <v>3501</v>
      </c>
      <c r="D877" s="135" t="s">
        <v>3493</v>
      </c>
      <c r="E877" s="135" t="s">
        <v>3502</v>
      </c>
    </row>
    <row r="878" spans="1:5" s="136" customFormat="1" x14ac:dyDescent="0.2">
      <c r="A878" s="135" t="s">
        <v>3503</v>
      </c>
      <c r="B878" s="135" t="s">
        <v>3504</v>
      </c>
      <c r="C878" s="135" t="s">
        <v>3505</v>
      </c>
      <c r="D878" s="135" t="s">
        <v>3471</v>
      </c>
      <c r="E878" s="135" t="s">
        <v>3506</v>
      </c>
    </row>
    <row r="879" spans="1:5" s="136" customFormat="1" x14ac:dyDescent="0.2">
      <c r="A879" s="135" t="s">
        <v>3507</v>
      </c>
      <c r="B879" s="135" t="s">
        <v>3508</v>
      </c>
      <c r="C879" s="135" t="s">
        <v>3509</v>
      </c>
      <c r="D879" s="135" t="s">
        <v>3466</v>
      </c>
      <c r="E879" s="135" t="s">
        <v>3510</v>
      </c>
    </row>
    <row r="880" spans="1:5" s="136" customFormat="1" x14ac:dyDescent="0.2">
      <c r="A880" s="135" t="s">
        <v>3511</v>
      </c>
      <c r="B880" s="135" t="s">
        <v>3512</v>
      </c>
      <c r="C880" s="135" t="s">
        <v>3513</v>
      </c>
      <c r="D880" s="135" t="s">
        <v>3466</v>
      </c>
      <c r="E880" s="135" t="s">
        <v>3514</v>
      </c>
    </row>
    <row r="881" spans="1:5" s="136" customFormat="1" x14ac:dyDescent="0.2">
      <c r="A881" s="135" t="s">
        <v>3515</v>
      </c>
      <c r="B881" s="135" t="s">
        <v>3516</v>
      </c>
      <c r="C881" s="135" t="s">
        <v>3517</v>
      </c>
      <c r="D881" s="135" t="s">
        <v>3466</v>
      </c>
      <c r="E881" s="135" t="s">
        <v>3518</v>
      </c>
    </row>
    <row r="882" spans="1:5" s="136" customFormat="1" x14ac:dyDescent="0.2">
      <c r="A882" s="135" t="s">
        <v>3519</v>
      </c>
      <c r="B882" s="135" t="s">
        <v>3520</v>
      </c>
      <c r="C882" s="135" t="s">
        <v>3521</v>
      </c>
      <c r="D882" s="135" t="s">
        <v>3476</v>
      </c>
      <c r="E882" s="135" t="s">
        <v>3522</v>
      </c>
    </row>
    <row r="883" spans="1:5" s="136" customFormat="1" x14ac:dyDescent="0.2">
      <c r="A883" s="135" t="s">
        <v>3523</v>
      </c>
      <c r="B883" s="135" t="s">
        <v>3524</v>
      </c>
      <c r="C883" s="135" t="s">
        <v>3525</v>
      </c>
      <c r="D883" s="135" t="s">
        <v>3476</v>
      </c>
      <c r="E883" s="135" t="s">
        <v>3526</v>
      </c>
    </row>
    <row r="884" spans="1:5" s="136" customFormat="1" x14ac:dyDescent="0.2">
      <c r="A884" s="135" t="s">
        <v>3527</v>
      </c>
      <c r="B884" s="135" t="s">
        <v>3528</v>
      </c>
      <c r="C884" s="135" t="s">
        <v>3529</v>
      </c>
      <c r="D884" s="135" t="s">
        <v>3466</v>
      </c>
      <c r="E884" s="135" t="s">
        <v>3530</v>
      </c>
    </row>
    <row r="885" spans="1:5" s="136" customFormat="1" x14ac:dyDescent="0.2">
      <c r="A885" s="135" t="s">
        <v>3531</v>
      </c>
      <c r="B885" s="135" t="s">
        <v>3532</v>
      </c>
      <c r="C885" s="135" t="s">
        <v>3533</v>
      </c>
      <c r="D885" s="135" t="s">
        <v>3534</v>
      </c>
      <c r="E885" s="135" t="s">
        <v>3535</v>
      </c>
    </row>
    <row r="886" spans="1:5" s="136" customFormat="1" x14ac:dyDescent="0.2">
      <c r="A886" s="135" t="s">
        <v>3536</v>
      </c>
      <c r="B886" s="135" t="s">
        <v>3537</v>
      </c>
      <c r="C886" s="135" t="s">
        <v>3538</v>
      </c>
      <c r="D886" s="135" t="s">
        <v>3539</v>
      </c>
      <c r="E886" s="135" t="s">
        <v>3540</v>
      </c>
    </row>
    <row r="887" spans="1:5" s="136" customFormat="1" x14ac:dyDescent="0.2">
      <c r="A887" s="135" t="s">
        <v>3541</v>
      </c>
      <c r="B887" s="135" t="s">
        <v>3542</v>
      </c>
      <c r="C887" s="135" t="s">
        <v>3543</v>
      </c>
      <c r="D887" s="135" t="s">
        <v>3544</v>
      </c>
      <c r="E887" s="135" t="s">
        <v>3545</v>
      </c>
    </row>
    <row r="888" spans="1:5" s="136" customFormat="1" x14ac:dyDescent="0.2">
      <c r="A888" s="135" t="s">
        <v>3546</v>
      </c>
      <c r="B888" s="135" t="s">
        <v>3547</v>
      </c>
      <c r="C888" s="135" t="s">
        <v>3548</v>
      </c>
      <c r="D888" s="135" t="s">
        <v>3544</v>
      </c>
      <c r="E888" s="135" t="s">
        <v>3549</v>
      </c>
    </row>
    <row r="889" spans="1:5" s="136" customFormat="1" x14ac:dyDescent="0.2">
      <c r="A889" s="135" t="s">
        <v>3550</v>
      </c>
      <c r="B889" s="135" t="s">
        <v>3551</v>
      </c>
      <c r="C889" s="135" t="s">
        <v>3552</v>
      </c>
      <c r="D889" s="135" t="s">
        <v>3539</v>
      </c>
      <c r="E889" s="135" t="s">
        <v>3553</v>
      </c>
    </row>
    <row r="890" spans="1:5" s="136" customFormat="1" x14ac:dyDescent="0.2">
      <c r="A890" s="135" t="s">
        <v>3554</v>
      </c>
      <c r="B890" s="135" t="s">
        <v>3555</v>
      </c>
      <c r="C890" s="135" t="s">
        <v>3556</v>
      </c>
      <c r="D890" s="135" t="s">
        <v>3534</v>
      </c>
      <c r="E890" s="135" t="s">
        <v>3557</v>
      </c>
    </row>
    <row r="891" spans="1:5" s="136" customFormat="1" x14ac:dyDescent="0.2">
      <c r="A891" s="135" t="s">
        <v>3558</v>
      </c>
      <c r="B891" s="135" t="s">
        <v>3559</v>
      </c>
      <c r="C891" s="135" t="s">
        <v>3560</v>
      </c>
      <c r="D891" s="135" t="s">
        <v>3466</v>
      </c>
      <c r="E891" s="135" t="s">
        <v>3561</v>
      </c>
    </row>
    <row r="892" spans="1:5" s="136" customFormat="1" x14ac:dyDescent="0.2">
      <c r="A892" s="135" t="s">
        <v>3562</v>
      </c>
      <c r="B892" s="135" t="s">
        <v>3563</v>
      </c>
      <c r="C892" s="135" t="s">
        <v>3564</v>
      </c>
      <c r="D892" s="135" t="s">
        <v>3466</v>
      </c>
      <c r="E892" s="135" t="s">
        <v>3565</v>
      </c>
    </row>
    <row r="893" spans="1:5" s="136" customFormat="1" x14ac:dyDescent="0.2">
      <c r="A893" s="135" t="s">
        <v>3566</v>
      </c>
      <c r="B893" s="135" t="s">
        <v>3567</v>
      </c>
      <c r="C893" s="135" t="s">
        <v>3568</v>
      </c>
      <c r="D893" s="135" t="s">
        <v>3539</v>
      </c>
      <c r="E893" s="135" t="s">
        <v>3569</v>
      </c>
    </row>
    <row r="894" spans="1:5" s="136" customFormat="1" x14ac:dyDescent="0.2">
      <c r="A894" s="135" t="s">
        <v>3570</v>
      </c>
      <c r="B894" s="135" t="s">
        <v>3571</v>
      </c>
      <c r="C894" s="135" t="s">
        <v>3572</v>
      </c>
      <c r="D894" s="135" t="s">
        <v>3466</v>
      </c>
      <c r="E894" s="135" t="s">
        <v>3573</v>
      </c>
    </row>
    <row r="895" spans="1:5" s="136" customFormat="1" x14ac:dyDescent="0.2">
      <c r="A895" s="135" t="s">
        <v>3574</v>
      </c>
      <c r="B895" s="135" t="s">
        <v>3575</v>
      </c>
      <c r="C895" s="135" t="s">
        <v>3576</v>
      </c>
      <c r="D895" s="135" t="s">
        <v>3466</v>
      </c>
      <c r="E895" s="135" t="s">
        <v>3577</v>
      </c>
    </row>
    <row r="896" spans="1:5" s="136" customFormat="1" x14ac:dyDescent="0.2">
      <c r="A896" s="135" t="s">
        <v>3578</v>
      </c>
      <c r="B896" s="135" t="s">
        <v>3579</v>
      </c>
      <c r="C896" s="135" t="s">
        <v>3580</v>
      </c>
      <c r="D896" s="135" t="s">
        <v>3466</v>
      </c>
      <c r="E896" s="135" t="s">
        <v>3581</v>
      </c>
    </row>
    <row r="897" spans="1:5" s="136" customFormat="1" x14ac:dyDescent="0.2">
      <c r="A897" s="135" t="s">
        <v>3582</v>
      </c>
      <c r="B897" s="135" t="s">
        <v>3583</v>
      </c>
      <c r="C897" s="135" t="s">
        <v>3584</v>
      </c>
      <c r="D897" s="135" t="s">
        <v>3466</v>
      </c>
      <c r="E897" s="135" t="s">
        <v>3585</v>
      </c>
    </row>
    <row r="898" spans="1:5" s="136" customFormat="1" x14ac:dyDescent="0.2">
      <c r="A898" s="135" t="s">
        <v>3586</v>
      </c>
      <c r="B898" s="135" t="s">
        <v>3587</v>
      </c>
      <c r="C898" s="135" t="s">
        <v>3588</v>
      </c>
      <c r="D898" s="135" t="s">
        <v>3534</v>
      </c>
      <c r="E898" s="135" t="s">
        <v>3589</v>
      </c>
    </row>
    <row r="899" spans="1:5" s="136" customFormat="1" x14ac:dyDescent="0.2">
      <c r="A899" s="135" t="s">
        <v>3590</v>
      </c>
      <c r="B899" s="135" t="s">
        <v>3591</v>
      </c>
      <c r="C899" s="135" t="s">
        <v>3592</v>
      </c>
      <c r="D899" s="135" t="s">
        <v>3534</v>
      </c>
      <c r="E899" s="135" t="s">
        <v>3593</v>
      </c>
    </row>
    <row r="900" spans="1:5" s="136" customFormat="1" x14ac:dyDescent="0.2">
      <c r="A900" s="135" t="s">
        <v>3594</v>
      </c>
      <c r="B900" s="135" t="s">
        <v>3595</v>
      </c>
      <c r="C900" s="135" t="s">
        <v>3596</v>
      </c>
      <c r="D900" s="135" t="s">
        <v>3534</v>
      </c>
      <c r="E900" s="135" t="s">
        <v>3597</v>
      </c>
    </row>
    <row r="901" spans="1:5" s="136" customFormat="1" x14ac:dyDescent="0.2">
      <c r="A901" s="135" t="s">
        <v>3598</v>
      </c>
      <c r="B901" s="135" t="s">
        <v>3599</v>
      </c>
      <c r="C901" s="135" t="s">
        <v>3600</v>
      </c>
      <c r="D901" s="135" t="s">
        <v>3544</v>
      </c>
      <c r="E901" s="135" t="s">
        <v>3601</v>
      </c>
    </row>
    <row r="902" spans="1:5" s="136" customFormat="1" x14ac:dyDescent="0.2">
      <c r="A902" s="135" t="s">
        <v>3602</v>
      </c>
      <c r="B902" s="135" t="s">
        <v>3603</v>
      </c>
      <c r="C902" s="135" t="s">
        <v>3604</v>
      </c>
      <c r="D902" s="135" t="s">
        <v>3544</v>
      </c>
      <c r="E902" s="135" t="s">
        <v>3605</v>
      </c>
    </row>
    <row r="903" spans="1:5" s="136" customFormat="1" x14ac:dyDescent="0.2">
      <c r="A903" s="135" t="s">
        <v>3606</v>
      </c>
      <c r="B903" s="135" t="s">
        <v>3607</v>
      </c>
      <c r="C903" s="135" t="s">
        <v>3608</v>
      </c>
      <c r="D903" s="135" t="s">
        <v>3609</v>
      </c>
      <c r="E903" s="135" t="s">
        <v>3610</v>
      </c>
    </row>
    <row r="904" spans="1:5" s="136" customFormat="1" x14ac:dyDescent="0.2">
      <c r="A904" s="135" t="s">
        <v>3611</v>
      </c>
      <c r="B904" s="135" t="s">
        <v>3612</v>
      </c>
      <c r="C904" s="135" t="s">
        <v>3613</v>
      </c>
      <c r="D904" s="135" t="s">
        <v>3614</v>
      </c>
      <c r="E904" s="135" t="s">
        <v>3615</v>
      </c>
    </row>
    <row r="905" spans="1:5" s="136" customFormat="1" x14ac:dyDescent="0.2">
      <c r="A905" s="135" t="s">
        <v>3616</v>
      </c>
      <c r="B905" s="135" t="s">
        <v>3617</v>
      </c>
      <c r="C905" s="135" t="s">
        <v>3618</v>
      </c>
      <c r="D905" s="135" t="s">
        <v>3614</v>
      </c>
      <c r="E905" s="135" t="s">
        <v>3619</v>
      </c>
    </row>
    <row r="906" spans="1:5" s="136" customFormat="1" x14ac:dyDescent="0.2">
      <c r="A906" s="135" t="s">
        <v>3620</v>
      </c>
      <c r="B906" s="135" t="s">
        <v>3621</v>
      </c>
      <c r="C906" s="135" t="s">
        <v>3622</v>
      </c>
      <c r="D906" s="135" t="s">
        <v>3623</v>
      </c>
      <c r="E906" s="135" t="s">
        <v>3624</v>
      </c>
    </row>
    <row r="907" spans="1:5" s="136" customFormat="1" x14ac:dyDescent="0.2">
      <c r="A907" s="135" t="s">
        <v>3625</v>
      </c>
      <c r="B907" s="135" t="s">
        <v>3626</v>
      </c>
      <c r="C907" s="135" t="s">
        <v>3627</v>
      </c>
      <c r="D907" s="135" t="s">
        <v>3623</v>
      </c>
      <c r="E907" s="135" t="s">
        <v>3628</v>
      </c>
    </row>
    <row r="908" spans="1:5" s="136" customFormat="1" x14ac:dyDescent="0.2">
      <c r="A908" s="135" t="s">
        <v>3629</v>
      </c>
      <c r="B908" s="135" t="s">
        <v>3630</v>
      </c>
      <c r="C908" s="135" t="s">
        <v>3631</v>
      </c>
      <c r="D908" s="135" t="s">
        <v>3632</v>
      </c>
      <c r="E908" s="135" t="s">
        <v>3633</v>
      </c>
    </row>
    <row r="909" spans="1:5" s="136" customFormat="1" x14ac:dyDescent="0.2">
      <c r="A909" s="135" t="s">
        <v>3634</v>
      </c>
      <c r="B909" s="135" t="s">
        <v>3635</v>
      </c>
      <c r="C909" s="135" t="s">
        <v>3636</v>
      </c>
      <c r="D909" s="135" t="s">
        <v>3637</v>
      </c>
      <c r="E909" s="135" t="s">
        <v>3638</v>
      </c>
    </row>
    <row r="910" spans="1:5" s="136" customFormat="1" x14ac:dyDescent="0.2">
      <c r="A910" s="135" t="s">
        <v>3639</v>
      </c>
      <c r="B910" s="135" t="s">
        <v>3640</v>
      </c>
      <c r="C910" s="135" t="s">
        <v>3641</v>
      </c>
      <c r="D910" s="135" t="s">
        <v>3632</v>
      </c>
      <c r="E910" s="135" t="s">
        <v>3642</v>
      </c>
    </row>
    <row r="911" spans="1:5" s="136" customFormat="1" x14ac:dyDescent="0.2">
      <c r="A911" s="135" t="s">
        <v>3643</v>
      </c>
      <c r="B911" s="135" t="s">
        <v>3644</v>
      </c>
      <c r="C911" s="135" t="s">
        <v>3645</v>
      </c>
      <c r="D911" s="135" t="s">
        <v>3637</v>
      </c>
      <c r="E911" s="135" t="s">
        <v>3646</v>
      </c>
    </row>
    <row r="912" spans="1:5" s="136" customFormat="1" x14ac:dyDescent="0.2">
      <c r="A912" s="135" t="s">
        <v>3647</v>
      </c>
      <c r="B912" s="135" t="s">
        <v>3648</v>
      </c>
      <c r="C912" s="135" t="s">
        <v>3649</v>
      </c>
      <c r="D912" s="135" t="s">
        <v>3637</v>
      </c>
      <c r="E912" s="135" t="s">
        <v>3650</v>
      </c>
    </row>
    <row r="913" spans="1:5" s="136" customFormat="1" x14ac:dyDescent="0.2">
      <c r="A913" s="135" t="s">
        <v>3651</v>
      </c>
      <c r="B913" s="135" t="s">
        <v>3652</v>
      </c>
      <c r="C913" s="135" t="s">
        <v>3653</v>
      </c>
      <c r="D913" s="135" t="s">
        <v>3632</v>
      </c>
      <c r="E913" s="135" t="s">
        <v>3654</v>
      </c>
    </row>
    <row r="914" spans="1:5" s="136" customFormat="1" x14ac:dyDescent="0.2">
      <c r="A914" s="135" t="s">
        <v>3655</v>
      </c>
      <c r="B914" s="135" t="s">
        <v>3656</v>
      </c>
      <c r="C914" s="135" t="s">
        <v>3657</v>
      </c>
      <c r="D914" s="135" t="s">
        <v>3632</v>
      </c>
      <c r="E914" s="135" t="s">
        <v>3658</v>
      </c>
    </row>
    <row r="915" spans="1:5" s="136" customFormat="1" x14ac:dyDescent="0.2">
      <c r="A915" s="135" t="s">
        <v>3659</v>
      </c>
      <c r="B915" s="135" t="s">
        <v>3660</v>
      </c>
      <c r="C915" s="135" t="s">
        <v>3661</v>
      </c>
      <c r="D915" s="135" t="s">
        <v>3632</v>
      </c>
      <c r="E915" s="135" t="s">
        <v>3662</v>
      </c>
    </row>
    <row r="916" spans="1:5" s="136" customFormat="1" x14ac:dyDescent="0.2">
      <c r="A916" s="135" t="s">
        <v>3663</v>
      </c>
      <c r="B916" s="135" t="s">
        <v>3664</v>
      </c>
      <c r="C916" s="135" t="s">
        <v>3665</v>
      </c>
      <c r="D916" s="135" t="s">
        <v>3614</v>
      </c>
      <c r="E916" s="135" t="s">
        <v>3666</v>
      </c>
    </row>
    <row r="917" spans="1:5" s="136" customFormat="1" x14ac:dyDescent="0.2">
      <c r="A917" s="135" t="s">
        <v>3667</v>
      </c>
      <c r="B917" s="135" t="s">
        <v>3668</v>
      </c>
      <c r="C917" s="135" t="s">
        <v>3669</v>
      </c>
      <c r="D917" s="135" t="s">
        <v>3614</v>
      </c>
      <c r="E917" s="135" t="s">
        <v>3670</v>
      </c>
    </row>
    <row r="918" spans="1:5" s="136" customFormat="1" x14ac:dyDescent="0.2">
      <c r="A918" s="135" t="s">
        <v>3671</v>
      </c>
      <c r="B918" s="135" t="s">
        <v>3672</v>
      </c>
      <c r="C918" s="135" t="s">
        <v>3673</v>
      </c>
      <c r="D918" s="135" t="s">
        <v>3614</v>
      </c>
      <c r="E918" s="135" t="s">
        <v>3674</v>
      </c>
    </row>
    <row r="919" spans="1:5" s="136" customFormat="1" x14ac:dyDescent="0.2">
      <c r="A919" s="135" t="s">
        <v>3675</v>
      </c>
      <c r="B919" s="135" t="s">
        <v>3676</v>
      </c>
      <c r="C919" s="135" t="s">
        <v>3677</v>
      </c>
      <c r="D919" s="135" t="s">
        <v>3614</v>
      </c>
      <c r="E919" s="135" t="s">
        <v>3678</v>
      </c>
    </row>
    <row r="920" spans="1:5" s="136" customFormat="1" x14ac:dyDescent="0.2">
      <c r="A920" s="135" t="s">
        <v>3679</v>
      </c>
      <c r="B920" s="135" t="s">
        <v>3680</v>
      </c>
      <c r="C920" s="135" t="s">
        <v>3681</v>
      </c>
      <c r="D920" s="135" t="s">
        <v>3682</v>
      </c>
      <c r="E920" s="135" t="s">
        <v>3683</v>
      </c>
    </row>
    <row r="921" spans="1:5" s="136" customFormat="1" x14ac:dyDescent="0.2">
      <c r="A921" s="135" t="s">
        <v>3684</v>
      </c>
      <c r="B921" s="135" t="s">
        <v>3685</v>
      </c>
      <c r="C921" s="135" t="s">
        <v>3686</v>
      </c>
      <c r="D921" s="135" t="s">
        <v>3687</v>
      </c>
      <c r="E921" s="135" t="s">
        <v>3688</v>
      </c>
    </row>
    <row r="922" spans="1:5" s="136" customFormat="1" x14ac:dyDescent="0.2">
      <c r="A922" s="135" t="s">
        <v>3689</v>
      </c>
      <c r="B922" s="135" t="s">
        <v>3690</v>
      </c>
      <c r="C922" s="135" t="s">
        <v>3691</v>
      </c>
      <c r="D922" s="135" t="s">
        <v>3692</v>
      </c>
      <c r="E922" s="135" t="s">
        <v>3693</v>
      </c>
    </row>
    <row r="923" spans="1:5" s="136" customFormat="1" x14ac:dyDescent="0.2">
      <c r="A923" s="135" t="s">
        <v>3694</v>
      </c>
      <c r="B923" s="135" t="s">
        <v>3695</v>
      </c>
      <c r="C923" s="135" t="s">
        <v>3696</v>
      </c>
      <c r="D923" s="135" t="s">
        <v>3697</v>
      </c>
      <c r="E923" s="135" t="s">
        <v>3698</v>
      </c>
    </row>
    <row r="924" spans="1:5" s="136" customFormat="1" x14ac:dyDescent="0.2">
      <c r="A924" s="135" t="s">
        <v>3699</v>
      </c>
      <c r="B924" s="135" t="s">
        <v>3700</v>
      </c>
      <c r="C924" s="135" t="s">
        <v>3701</v>
      </c>
      <c r="D924" s="135" t="s">
        <v>3692</v>
      </c>
      <c r="E924" s="135" t="s">
        <v>3702</v>
      </c>
    </row>
    <row r="925" spans="1:5" s="136" customFormat="1" x14ac:dyDescent="0.2">
      <c r="A925" s="135" t="s">
        <v>3703</v>
      </c>
      <c r="B925" s="135" t="s">
        <v>3704</v>
      </c>
      <c r="C925" s="135" t="s">
        <v>3705</v>
      </c>
      <c r="D925" s="135" t="s">
        <v>3706</v>
      </c>
      <c r="E925" s="135" t="s">
        <v>3707</v>
      </c>
    </row>
    <row r="926" spans="1:5" s="136" customFormat="1" x14ac:dyDescent="0.2">
      <c r="A926" s="135" t="s">
        <v>3708</v>
      </c>
      <c r="B926" s="135" t="s">
        <v>3709</v>
      </c>
      <c r="C926" s="135" t="s">
        <v>3710</v>
      </c>
      <c r="D926" s="135" t="s">
        <v>3711</v>
      </c>
      <c r="E926" s="135" t="s">
        <v>3712</v>
      </c>
    </row>
    <row r="927" spans="1:5" s="136" customFormat="1" x14ac:dyDescent="0.2">
      <c r="A927" s="135" t="s">
        <v>3713</v>
      </c>
      <c r="B927" s="135" t="s">
        <v>3714</v>
      </c>
      <c r="C927" s="135" t="s">
        <v>206</v>
      </c>
      <c r="D927" s="135" t="s">
        <v>3706</v>
      </c>
      <c r="E927" s="135" t="s">
        <v>3715</v>
      </c>
    </row>
    <row r="928" spans="1:5" s="136" customFormat="1" x14ac:dyDescent="0.2">
      <c r="A928" s="135" t="s">
        <v>3716</v>
      </c>
      <c r="B928" s="135" t="s">
        <v>3717</v>
      </c>
      <c r="C928" s="135" t="s">
        <v>3718</v>
      </c>
      <c r="D928" s="135" t="s">
        <v>3719</v>
      </c>
      <c r="E928" s="135" t="s">
        <v>3720</v>
      </c>
    </row>
    <row r="929" spans="1:5" s="136" customFormat="1" x14ac:dyDescent="0.2">
      <c r="A929" s="135" t="s">
        <v>3721</v>
      </c>
      <c r="B929" s="135" t="s">
        <v>3722</v>
      </c>
      <c r="C929" s="135" t="s">
        <v>3723</v>
      </c>
      <c r="D929" s="135" t="s">
        <v>3724</v>
      </c>
      <c r="E929" s="135" t="s">
        <v>3725</v>
      </c>
    </row>
    <row r="930" spans="1:5" s="136" customFormat="1" x14ac:dyDescent="0.2">
      <c r="A930" s="135" t="s">
        <v>3726</v>
      </c>
      <c r="B930" s="135" t="s">
        <v>3727</v>
      </c>
      <c r="C930" s="135" t="s">
        <v>3728</v>
      </c>
      <c r="D930" s="135" t="s">
        <v>3692</v>
      </c>
      <c r="E930" s="135" t="s">
        <v>3729</v>
      </c>
    </row>
    <row r="931" spans="1:5" s="136" customFormat="1" x14ac:dyDescent="0.2">
      <c r="A931" s="135" t="s">
        <v>3730</v>
      </c>
      <c r="B931" s="135" t="s">
        <v>3731</v>
      </c>
      <c r="C931" s="135" t="s">
        <v>3732</v>
      </c>
      <c r="D931" s="135" t="s">
        <v>3697</v>
      </c>
      <c r="E931" s="135" t="s">
        <v>3733</v>
      </c>
    </row>
    <row r="932" spans="1:5" s="136" customFormat="1" x14ac:dyDescent="0.2">
      <c r="A932" s="135" t="s">
        <v>3734</v>
      </c>
      <c r="B932" s="135" t="s">
        <v>3735</v>
      </c>
      <c r="C932" s="135" t="s">
        <v>3736</v>
      </c>
      <c r="D932" s="135" t="s">
        <v>3711</v>
      </c>
      <c r="E932" s="135" t="s">
        <v>3737</v>
      </c>
    </row>
    <row r="933" spans="1:5" s="136" customFormat="1" x14ac:dyDescent="0.2">
      <c r="A933" s="135" t="s">
        <v>3738</v>
      </c>
      <c r="B933" s="135" t="s">
        <v>3739</v>
      </c>
      <c r="C933" s="135" t="s">
        <v>3740</v>
      </c>
      <c r="D933" s="135" t="s">
        <v>3741</v>
      </c>
      <c r="E933" s="135" t="s">
        <v>3742</v>
      </c>
    </row>
    <row r="934" spans="1:5" s="136" customFormat="1" x14ac:dyDescent="0.2">
      <c r="A934" s="135" t="s">
        <v>3743</v>
      </c>
      <c r="B934" s="135" t="s">
        <v>3744</v>
      </c>
      <c r="C934" s="135" t="s">
        <v>3745</v>
      </c>
      <c r="D934" s="135" t="s">
        <v>3746</v>
      </c>
      <c r="E934" s="135" t="s">
        <v>3747</v>
      </c>
    </row>
    <row r="935" spans="1:5" s="136" customFormat="1" x14ac:dyDescent="0.2">
      <c r="A935" s="135" t="s">
        <v>3748</v>
      </c>
      <c r="B935" s="135" t="s">
        <v>3749</v>
      </c>
      <c r="C935" s="135" t="s">
        <v>3750</v>
      </c>
      <c r="D935" s="135" t="s">
        <v>3746</v>
      </c>
      <c r="E935" s="135" t="s">
        <v>3751</v>
      </c>
    </row>
    <row r="936" spans="1:5" s="136" customFormat="1" x14ac:dyDescent="0.2">
      <c r="A936" s="135" t="s">
        <v>3752</v>
      </c>
      <c r="B936" s="135" t="s">
        <v>3753</v>
      </c>
      <c r="C936" s="135" t="s">
        <v>3754</v>
      </c>
      <c r="D936" s="135" t="s">
        <v>3746</v>
      </c>
      <c r="E936" s="135" t="s">
        <v>3755</v>
      </c>
    </row>
    <row r="937" spans="1:5" s="136" customFormat="1" x14ac:dyDescent="0.2">
      <c r="A937" s="135" t="s">
        <v>3756</v>
      </c>
      <c r="B937" s="135" t="s">
        <v>3757</v>
      </c>
      <c r="C937" s="135" t="s">
        <v>3758</v>
      </c>
      <c r="D937" s="135" t="s">
        <v>3746</v>
      </c>
      <c r="E937" s="135" t="s">
        <v>3759</v>
      </c>
    </row>
    <row r="938" spans="1:5" s="136" customFormat="1" x14ac:dyDescent="0.2">
      <c r="A938" s="135" t="s">
        <v>3760</v>
      </c>
      <c r="B938" s="135" t="s">
        <v>3761</v>
      </c>
      <c r="C938" s="135" t="s">
        <v>3762</v>
      </c>
      <c r="D938" s="135" t="s">
        <v>3711</v>
      </c>
      <c r="E938" s="135" t="s">
        <v>3763</v>
      </c>
    </row>
    <row r="939" spans="1:5" s="136" customFormat="1" x14ac:dyDescent="0.2">
      <c r="A939" s="135" t="s">
        <v>3764</v>
      </c>
      <c r="B939" s="135" t="s">
        <v>3765</v>
      </c>
      <c r="C939" s="135" t="s">
        <v>3766</v>
      </c>
      <c r="D939" s="135" t="s">
        <v>3692</v>
      </c>
      <c r="E939" s="135" t="s">
        <v>3767</v>
      </c>
    </row>
    <row r="940" spans="1:5" s="136" customFormat="1" x14ac:dyDescent="0.2">
      <c r="A940" s="135" t="s">
        <v>3768</v>
      </c>
      <c r="B940" s="135" t="s">
        <v>3769</v>
      </c>
      <c r="C940" s="135" t="s">
        <v>3770</v>
      </c>
      <c r="D940" s="135" t="s">
        <v>3687</v>
      </c>
      <c r="E940" s="135" t="s">
        <v>3688</v>
      </c>
    </row>
    <row r="941" spans="1:5" s="136" customFormat="1" x14ac:dyDescent="0.2">
      <c r="A941" s="135" t="s">
        <v>3771</v>
      </c>
      <c r="B941" s="135" t="s">
        <v>3772</v>
      </c>
      <c r="C941" s="135" t="s">
        <v>3773</v>
      </c>
      <c r="D941" s="135" t="s">
        <v>3687</v>
      </c>
      <c r="E941" s="135" t="s">
        <v>3774</v>
      </c>
    </row>
    <row r="942" spans="1:5" s="136" customFormat="1" x14ac:dyDescent="0.2">
      <c r="A942" s="135" t="s">
        <v>3775</v>
      </c>
      <c r="B942" s="135" t="s">
        <v>3776</v>
      </c>
      <c r="C942" s="135" t="s">
        <v>3777</v>
      </c>
      <c r="D942" s="135" t="s">
        <v>3687</v>
      </c>
      <c r="E942" s="135" t="s">
        <v>3774</v>
      </c>
    </row>
    <row r="943" spans="1:5" s="136" customFormat="1" x14ac:dyDescent="0.2">
      <c r="A943" s="135" t="s">
        <v>3778</v>
      </c>
      <c r="B943" s="135" t="s">
        <v>3779</v>
      </c>
      <c r="C943" s="135" t="s">
        <v>3780</v>
      </c>
      <c r="D943" s="135" t="s">
        <v>3687</v>
      </c>
      <c r="E943" s="135" t="s">
        <v>3781</v>
      </c>
    </row>
    <row r="944" spans="1:5" s="136" customFormat="1" x14ac:dyDescent="0.2">
      <c r="A944" s="135" t="s">
        <v>3782</v>
      </c>
      <c r="B944" s="135" t="s">
        <v>3783</v>
      </c>
      <c r="C944" s="135" t="s">
        <v>3784</v>
      </c>
      <c r="D944" s="135" t="s">
        <v>3687</v>
      </c>
      <c r="E944" s="135" t="s">
        <v>3785</v>
      </c>
    </row>
    <row r="945" spans="1:5" s="136" customFormat="1" x14ac:dyDescent="0.2">
      <c r="A945" s="135" t="s">
        <v>3786</v>
      </c>
      <c r="B945" s="135" t="s">
        <v>3787</v>
      </c>
      <c r="C945" s="135" t="s">
        <v>3788</v>
      </c>
      <c r="D945" s="135" t="s">
        <v>2904</v>
      </c>
      <c r="E945" s="135" t="s">
        <v>3789</v>
      </c>
    </row>
    <row r="946" spans="1:5" s="136" customFormat="1" x14ac:dyDescent="0.2">
      <c r="A946" s="135" t="s">
        <v>3790</v>
      </c>
      <c r="B946" s="135" t="s">
        <v>3791</v>
      </c>
      <c r="C946" s="135" t="s">
        <v>3792</v>
      </c>
      <c r="D946" s="135" t="s">
        <v>2904</v>
      </c>
      <c r="E946" s="135" t="s">
        <v>3793</v>
      </c>
    </row>
    <row r="947" spans="1:5" s="136" customFormat="1" x14ac:dyDescent="0.2">
      <c r="A947" s="135" t="s">
        <v>3794</v>
      </c>
      <c r="B947" s="135" t="s">
        <v>3795</v>
      </c>
      <c r="C947" s="135" t="s">
        <v>3796</v>
      </c>
      <c r="D947" s="135" t="s">
        <v>3797</v>
      </c>
      <c r="E947" s="135" t="s">
        <v>3798</v>
      </c>
    </row>
    <row r="948" spans="1:5" s="136" customFormat="1" x14ac:dyDescent="0.2">
      <c r="A948" s="135" t="s">
        <v>3799</v>
      </c>
      <c r="B948" s="135" t="s">
        <v>3800</v>
      </c>
      <c r="C948" s="135" t="s">
        <v>3801</v>
      </c>
      <c r="D948" s="135" t="s">
        <v>3802</v>
      </c>
      <c r="E948" s="135" t="s">
        <v>3803</v>
      </c>
    </row>
    <row r="949" spans="1:5" s="136" customFormat="1" x14ac:dyDescent="0.2">
      <c r="A949" s="135" t="s">
        <v>3804</v>
      </c>
      <c r="B949" s="135" t="s">
        <v>3805</v>
      </c>
      <c r="C949" s="135" t="s">
        <v>3806</v>
      </c>
      <c r="D949" s="135" t="s">
        <v>3807</v>
      </c>
      <c r="E949" s="135" t="s">
        <v>3808</v>
      </c>
    </row>
    <row r="950" spans="1:5" s="136" customFormat="1" x14ac:dyDescent="0.2">
      <c r="A950" s="135" t="s">
        <v>3809</v>
      </c>
      <c r="B950" s="135" t="s">
        <v>3810</v>
      </c>
      <c r="C950" s="135" t="s">
        <v>3811</v>
      </c>
      <c r="D950" s="135" t="s">
        <v>3812</v>
      </c>
      <c r="E950" s="135" t="s">
        <v>3813</v>
      </c>
    </row>
    <row r="951" spans="1:5" s="136" customFormat="1" x14ac:dyDescent="0.2">
      <c r="A951" s="135" t="s">
        <v>3814</v>
      </c>
      <c r="B951" s="135" t="s">
        <v>3815</v>
      </c>
      <c r="C951" s="135" t="s">
        <v>3816</v>
      </c>
      <c r="D951" s="135" t="s">
        <v>3817</v>
      </c>
      <c r="E951" s="135" t="s">
        <v>3818</v>
      </c>
    </row>
    <row r="952" spans="1:5" s="136" customFormat="1" x14ac:dyDescent="0.2">
      <c r="A952" s="135" t="s">
        <v>3819</v>
      </c>
      <c r="B952" s="135" t="s">
        <v>3820</v>
      </c>
      <c r="C952" s="135" t="s">
        <v>3821</v>
      </c>
      <c r="D952" s="135" t="s">
        <v>3812</v>
      </c>
      <c r="E952" s="135" t="s">
        <v>3822</v>
      </c>
    </row>
    <row r="953" spans="1:5" s="136" customFormat="1" x14ac:dyDescent="0.2">
      <c r="A953" s="135" t="s">
        <v>3823</v>
      </c>
      <c r="B953" s="135" t="s">
        <v>3824</v>
      </c>
      <c r="C953" s="135" t="s">
        <v>3825</v>
      </c>
      <c r="D953" s="135" t="s">
        <v>3797</v>
      </c>
      <c r="E953" s="135" t="s">
        <v>3826</v>
      </c>
    </row>
    <row r="954" spans="1:5" s="136" customFormat="1" x14ac:dyDescent="0.2">
      <c r="A954" s="135" t="s">
        <v>3827</v>
      </c>
      <c r="B954" s="135" t="s">
        <v>3828</v>
      </c>
      <c r="C954" s="135" t="s">
        <v>3829</v>
      </c>
      <c r="D954" s="135" t="s">
        <v>3830</v>
      </c>
      <c r="E954" s="135" t="s">
        <v>3831</v>
      </c>
    </row>
    <row r="955" spans="1:5" s="136" customFormat="1" x14ac:dyDescent="0.2">
      <c r="A955" s="135" t="s">
        <v>3832</v>
      </c>
      <c r="B955" s="135" t="s">
        <v>3833</v>
      </c>
      <c r="C955" s="135" t="s">
        <v>3834</v>
      </c>
      <c r="D955" s="135" t="s">
        <v>3835</v>
      </c>
      <c r="E955" s="135" t="s">
        <v>3836</v>
      </c>
    </row>
    <row r="956" spans="1:5" s="136" customFormat="1" x14ac:dyDescent="0.2">
      <c r="A956" s="135" t="s">
        <v>3837</v>
      </c>
      <c r="B956" s="135" t="s">
        <v>3838</v>
      </c>
      <c r="C956" s="135" t="s">
        <v>3839</v>
      </c>
      <c r="D956" s="135" t="s">
        <v>3835</v>
      </c>
      <c r="E956" s="135" t="s">
        <v>3840</v>
      </c>
    </row>
    <row r="957" spans="1:5" s="136" customFormat="1" x14ac:dyDescent="0.2">
      <c r="A957" s="135" t="s">
        <v>3841</v>
      </c>
      <c r="B957" s="135" t="s">
        <v>3842</v>
      </c>
      <c r="C957" s="135" t="s">
        <v>3843</v>
      </c>
      <c r="D957" s="135" t="s">
        <v>3844</v>
      </c>
      <c r="E957" s="135" t="s">
        <v>3845</v>
      </c>
    </row>
    <row r="958" spans="1:5" s="136" customFormat="1" x14ac:dyDescent="0.2">
      <c r="A958" s="135" t="s">
        <v>3846</v>
      </c>
      <c r="B958" s="135" t="s">
        <v>3847</v>
      </c>
      <c r="C958" s="135" t="s">
        <v>3848</v>
      </c>
      <c r="D958" s="135" t="s">
        <v>3849</v>
      </c>
      <c r="E958" s="135" t="s">
        <v>3850</v>
      </c>
    </row>
    <row r="959" spans="1:5" s="136" customFormat="1" x14ac:dyDescent="0.2">
      <c r="A959" s="135" t="s">
        <v>3851</v>
      </c>
      <c r="B959" s="135" t="s">
        <v>3852</v>
      </c>
      <c r="C959" s="135" t="s">
        <v>3853</v>
      </c>
      <c r="D959" s="135" t="s">
        <v>3844</v>
      </c>
      <c r="E959" s="135" t="s">
        <v>3854</v>
      </c>
    </row>
    <row r="960" spans="1:5" s="136" customFormat="1" x14ac:dyDescent="0.2">
      <c r="A960" s="135" t="s">
        <v>3855</v>
      </c>
      <c r="B960" s="135" t="s">
        <v>3856</v>
      </c>
      <c r="C960" s="135" t="s">
        <v>3857</v>
      </c>
      <c r="D960" s="135" t="s">
        <v>3812</v>
      </c>
      <c r="E960" s="135" t="s">
        <v>3858</v>
      </c>
    </row>
    <row r="961" spans="1:5" s="136" customFormat="1" x14ac:dyDescent="0.2">
      <c r="A961" s="135" t="s">
        <v>3859</v>
      </c>
      <c r="B961" s="135" t="s">
        <v>3860</v>
      </c>
      <c r="C961" s="135" t="s">
        <v>3861</v>
      </c>
      <c r="D961" s="135" t="s">
        <v>3862</v>
      </c>
      <c r="E961" s="135" t="s">
        <v>3863</v>
      </c>
    </row>
    <row r="962" spans="1:5" s="136" customFormat="1" x14ac:dyDescent="0.2">
      <c r="A962" s="135" t="s">
        <v>3864</v>
      </c>
      <c r="B962" s="135" t="s">
        <v>3865</v>
      </c>
      <c r="C962" s="135" t="s">
        <v>3866</v>
      </c>
      <c r="D962" s="135" t="s">
        <v>3830</v>
      </c>
      <c r="E962" s="135" t="s">
        <v>3867</v>
      </c>
    </row>
    <row r="963" spans="1:5" s="136" customFormat="1" x14ac:dyDescent="0.2">
      <c r="A963" s="135" t="s">
        <v>3868</v>
      </c>
      <c r="B963" s="135" t="s">
        <v>3869</v>
      </c>
      <c r="C963" s="135" t="s">
        <v>3870</v>
      </c>
      <c r="D963" s="135" t="s">
        <v>3797</v>
      </c>
      <c r="E963" s="135" t="s">
        <v>3871</v>
      </c>
    </row>
    <row r="964" spans="1:5" s="136" customFormat="1" x14ac:dyDescent="0.2">
      <c r="A964" s="135" t="s">
        <v>3872</v>
      </c>
      <c r="B964" s="135" t="s">
        <v>3873</v>
      </c>
      <c r="C964" s="135" t="s">
        <v>3874</v>
      </c>
      <c r="D964" s="135" t="s">
        <v>3807</v>
      </c>
      <c r="E964" s="135" t="s">
        <v>3875</v>
      </c>
    </row>
    <row r="965" spans="1:5" s="136" customFormat="1" x14ac:dyDescent="0.2">
      <c r="A965" s="135" t="s">
        <v>3876</v>
      </c>
      <c r="B965" s="135" t="s">
        <v>3877</v>
      </c>
      <c r="C965" s="135" t="s">
        <v>3878</v>
      </c>
      <c r="D965" s="135" t="s">
        <v>3802</v>
      </c>
      <c r="E965" s="135" t="s">
        <v>3879</v>
      </c>
    </row>
    <row r="966" spans="1:5" s="136" customFormat="1" x14ac:dyDescent="0.2">
      <c r="A966" s="135" t="s">
        <v>3880</v>
      </c>
      <c r="B966" s="135" t="s">
        <v>3881</v>
      </c>
      <c r="C966" s="135" t="s">
        <v>3882</v>
      </c>
      <c r="D966" s="135" t="s">
        <v>3830</v>
      </c>
      <c r="E966" s="135" t="s">
        <v>3883</v>
      </c>
    </row>
    <row r="967" spans="1:5" s="136" customFormat="1" x14ac:dyDescent="0.2">
      <c r="A967" s="135" t="s">
        <v>3884</v>
      </c>
      <c r="B967" s="135" t="s">
        <v>3885</v>
      </c>
      <c r="C967" s="135" t="s">
        <v>3886</v>
      </c>
      <c r="D967" s="135" t="s">
        <v>3830</v>
      </c>
      <c r="E967" s="135" t="s">
        <v>3887</v>
      </c>
    </row>
    <row r="968" spans="1:5" s="136" customFormat="1" x14ac:dyDescent="0.2">
      <c r="A968" s="135" t="s">
        <v>3888</v>
      </c>
      <c r="B968" s="135" t="s">
        <v>3889</v>
      </c>
      <c r="C968" s="135" t="s">
        <v>3890</v>
      </c>
      <c r="D968" s="135" t="s">
        <v>3830</v>
      </c>
      <c r="E968" s="135" t="s">
        <v>3891</v>
      </c>
    </row>
    <row r="969" spans="1:5" s="136" customFormat="1" x14ac:dyDescent="0.2">
      <c r="A969" s="135" t="s">
        <v>3892</v>
      </c>
      <c r="B969" s="135" t="s">
        <v>3893</v>
      </c>
      <c r="C969" s="135" t="s">
        <v>3894</v>
      </c>
      <c r="D969" s="135" t="s">
        <v>3830</v>
      </c>
      <c r="E969" s="135" t="s">
        <v>3895</v>
      </c>
    </row>
    <row r="970" spans="1:5" s="136" customFormat="1" x14ac:dyDescent="0.2">
      <c r="A970" s="135" t="s">
        <v>3896</v>
      </c>
      <c r="B970" s="135" t="s">
        <v>3897</v>
      </c>
      <c r="C970" s="135" t="s">
        <v>3898</v>
      </c>
      <c r="D970" s="135" t="s">
        <v>3830</v>
      </c>
      <c r="E970" s="135" t="s">
        <v>3895</v>
      </c>
    </row>
    <row r="971" spans="1:5" s="136" customFormat="1" x14ac:dyDescent="0.2">
      <c r="A971" s="135" t="s">
        <v>3899</v>
      </c>
      <c r="B971" s="135" t="s">
        <v>3900</v>
      </c>
      <c r="C971" s="135" t="s">
        <v>3901</v>
      </c>
      <c r="D971" s="135" t="s">
        <v>3830</v>
      </c>
      <c r="E971" s="135" t="s">
        <v>3902</v>
      </c>
    </row>
    <row r="972" spans="1:5" s="136" customFormat="1" x14ac:dyDescent="0.2">
      <c r="A972" s="135" t="s">
        <v>3903</v>
      </c>
      <c r="B972" s="135" t="s">
        <v>3904</v>
      </c>
      <c r="C972" s="135" t="s">
        <v>3905</v>
      </c>
      <c r="D972" s="135" t="s">
        <v>3830</v>
      </c>
      <c r="E972" s="135" t="s">
        <v>3906</v>
      </c>
    </row>
    <row r="973" spans="1:5" s="136" customFormat="1" x14ac:dyDescent="0.2">
      <c r="A973" s="135" t="s">
        <v>3907</v>
      </c>
      <c r="B973" s="135" t="s">
        <v>3908</v>
      </c>
      <c r="C973" s="135" t="s">
        <v>3909</v>
      </c>
      <c r="D973" s="135" t="s">
        <v>3830</v>
      </c>
      <c r="E973" s="135" t="s">
        <v>3910</v>
      </c>
    </row>
    <row r="974" spans="1:5" s="136" customFormat="1" x14ac:dyDescent="0.2">
      <c r="A974" s="135" t="s">
        <v>3911</v>
      </c>
      <c r="B974" s="135" t="s">
        <v>3912</v>
      </c>
      <c r="C974" s="135" t="s">
        <v>3913</v>
      </c>
      <c r="D974" s="135" t="s">
        <v>3830</v>
      </c>
      <c r="E974" s="135" t="s">
        <v>3914</v>
      </c>
    </row>
    <row r="975" spans="1:5" s="136" customFormat="1" x14ac:dyDescent="0.2">
      <c r="A975" s="135" t="s">
        <v>3915</v>
      </c>
      <c r="B975" s="135" t="s">
        <v>3916</v>
      </c>
      <c r="C975" s="135" t="s">
        <v>3917</v>
      </c>
      <c r="D975" s="135" t="s">
        <v>3807</v>
      </c>
      <c r="E975" s="135" t="s">
        <v>3918</v>
      </c>
    </row>
    <row r="976" spans="1:5" s="136" customFormat="1" x14ac:dyDescent="0.2">
      <c r="A976" s="135" t="s">
        <v>3919</v>
      </c>
      <c r="B976" s="135" t="s">
        <v>3920</v>
      </c>
      <c r="C976" s="135" t="s">
        <v>3921</v>
      </c>
      <c r="D976" s="135" t="s">
        <v>3807</v>
      </c>
      <c r="E976" s="135" t="s">
        <v>3922</v>
      </c>
    </row>
    <row r="977" spans="1:5" s="136" customFormat="1" x14ac:dyDescent="0.2">
      <c r="A977" s="135" t="s">
        <v>3923</v>
      </c>
      <c r="B977" s="135" t="s">
        <v>3924</v>
      </c>
      <c r="C977" s="135" t="s">
        <v>3925</v>
      </c>
      <c r="D977" s="135" t="s">
        <v>3812</v>
      </c>
      <c r="E977" s="135" t="s">
        <v>3926</v>
      </c>
    </row>
    <row r="978" spans="1:5" s="136" customFormat="1" x14ac:dyDescent="0.2">
      <c r="A978" s="135" t="s">
        <v>3927</v>
      </c>
      <c r="B978" s="135" t="s">
        <v>3928</v>
      </c>
      <c r="C978" s="135" t="s">
        <v>3929</v>
      </c>
      <c r="D978" s="135" t="s">
        <v>3812</v>
      </c>
      <c r="E978" s="135" t="s">
        <v>3930</v>
      </c>
    </row>
    <row r="979" spans="1:5" s="136" customFormat="1" x14ac:dyDescent="0.2">
      <c r="A979" s="135" t="s">
        <v>3931</v>
      </c>
      <c r="B979" s="135" t="s">
        <v>3932</v>
      </c>
      <c r="C979" s="135" t="s">
        <v>3933</v>
      </c>
      <c r="D979" s="135" t="s">
        <v>3812</v>
      </c>
      <c r="E979" s="135" t="s">
        <v>3934</v>
      </c>
    </row>
    <row r="980" spans="1:5" s="136" customFormat="1" x14ac:dyDescent="0.2">
      <c r="A980" s="135" t="s">
        <v>3935</v>
      </c>
      <c r="B980" s="135" t="s">
        <v>3936</v>
      </c>
      <c r="C980" s="135" t="s">
        <v>3937</v>
      </c>
      <c r="D980" s="135" t="s">
        <v>3812</v>
      </c>
      <c r="E980" s="135" t="s">
        <v>3938</v>
      </c>
    </row>
    <row r="981" spans="1:5" s="136" customFormat="1" x14ac:dyDescent="0.2">
      <c r="A981" s="135" t="s">
        <v>3939</v>
      </c>
      <c r="B981" s="135" t="s">
        <v>3940</v>
      </c>
      <c r="C981" s="135" t="s">
        <v>3941</v>
      </c>
      <c r="D981" s="135" t="s">
        <v>3835</v>
      </c>
      <c r="E981" s="135" t="s">
        <v>3942</v>
      </c>
    </row>
    <row r="982" spans="1:5" s="136" customFormat="1" x14ac:dyDescent="0.2">
      <c r="A982" s="135" t="s">
        <v>3943</v>
      </c>
      <c r="B982" s="135" t="s">
        <v>3944</v>
      </c>
      <c r="C982" s="135" t="s">
        <v>3945</v>
      </c>
      <c r="D982" s="135" t="s">
        <v>3835</v>
      </c>
      <c r="E982" s="135" t="s">
        <v>3946</v>
      </c>
    </row>
    <row r="983" spans="1:5" s="136" customFormat="1" x14ac:dyDescent="0.2">
      <c r="A983" s="135" t="s">
        <v>3947</v>
      </c>
      <c r="B983" s="135" t="s">
        <v>3948</v>
      </c>
      <c r="C983" s="135" t="s">
        <v>3949</v>
      </c>
      <c r="D983" s="135" t="s">
        <v>3835</v>
      </c>
      <c r="E983" s="135" t="s">
        <v>3950</v>
      </c>
    </row>
    <row r="984" spans="1:5" s="136" customFormat="1" x14ac:dyDescent="0.2">
      <c r="A984" s="135" t="s">
        <v>3951</v>
      </c>
      <c r="B984" s="135" t="s">
        <v>3952</v>
      </c>
      <c r="C984" s="135" t="s">
        <v>3953</v>
      </c>
      <c r="D984" s="135" t="s">
        <v>3835</v>
      </c>
      <c r="E984" s="135" t="s">
        <v>3954</v>
      </c>
    </row>
    <row r="985" spans="1:5" s="136" customFormat="1" x14ac:dyDescent="0.2">
      <c r="A985" s="135" t="s">
        <v>3955</v>
      </c>
      <c r="B985" s="135" t="s">
        <v>3956</v>
      </c>
      <c r="C985" s="135" t="s">
        <v>3957</v>
      </c>
      <c r="D985" s="135" t="s">
        <v>3835</v>
      </c>
      <c r="E985" s="135" t="s">
        <v>3958</v>
      </c>
    </row>
    <row r="986" spans="1:5" s="136" customFormat="1" x14ac:dyDescent="0.2">
      <c r="A986" s="135" t="s">
        <v>3959</v>
      </c>
      <c r="B986" s="135" t="s">
        <v>3960</v>
      </c>
      <c r="C986" s="135" t="s">
        <v>3961</v>
      </c>
      <c r="D986" s="135" t="s">
        <v>3835</v>
      </c>
      <c r="E986" s="135" t="s">
        <v>3962</v>
      </c>
    </row>
    <row r="987" spans="1:5" s="136" customFormat="1" x14ac:dyDescent="0.2">
      <c r="A987" s="135" t="s">
        <v>3963</v>
      </c>
      <c r="B987" s="135" t="s">
        <v>3964</v>
      </c>
      <c r="C987" s="135" t="s">
        <v>3965</v>
      </c>
      <c r="D987" s="135" t="s">
        <v>3835</v>
      </c>
      <c r="E987" s="135" t="s">
        <v>3966</v>
      </c>
    </row>
    <row r="988" spans="1:5" s="136" customFormat="1" x14ac:dyDescent="0.2">
      <c r="A988" s="135" t="s">
        <v>3967</v>
      </c>
      <c r="B988" s="135" t="s">
        <v>3968</v>
      </c>
      <c r="C988" s="135" t="s">
        <v>3969</v>
      </c>
      <c r="D988" s="135" t="s">
        <v>3970</v>
      </c>
      <c r="E988" s="135" t="s">
        <v>3971</v>
      </c>
    </row>
    <row r="989" spans="1:5" s="136" customFormat="1" x14ac:dyDescent="0.2">
      <c r="A989" s="135" t="s">
        <v>3972</v>
      </c>
      <c r="B989" s="135" t="s">
        <v>3973</v>
      </c>
      <c r="C989" s="135" t="s">
        <v>3974</v>
      </c>
      <c r="D989" s="135" t="s">
        <v>3835</v>
      </c>
      <c r="E989" s="135" t="s">
        <v>3975</v>
      </c>
    </row>
    <row r="990" spans="1:5" s="136" customFormat="1" x14ac:dyDescent="0.2">
      <c r="A990" s="135" t="s">
        <v>3976</v>
      </c>
      <c r="B990" s="135" t="s">
        <v>3977</v>
      </c>
      <c r="C990" s="135" t="s">
        <v>3978</v>
      </c>
      <c r="D990" s="135" t="s">
        <v>3835</v>
      </c>
      <c r="E990" s="135" t="s">
        <v>3979</v>
      </c>
    </row>
    <row r="991" spans="1:5" s="136" customFormat="1" x14ac:dyDescent="0.2">
      <c r="A991" s="135" t="s">
        <v>3980</v>
      </c>
      <c r="B991" s="135" t="s">
        <v>3981</v>
      </c>
      <c r="C991" s="135" t="s">
        <v>3982</v>
      </c>
      <c r="D991" s="135" t="s">
        <v>3835</v>
      </c>
      <c r="E991" s="135" t="s">
        <v>3983</v>
      </c>
    </row>
    <row r="992" spans="1:5" s="136" customFormat="1" x14ac:dyDescent="0.2">
      <c r="A992" s="135" t="s">
        <v>3984</v>
      </c>
      <c r="B992" s="135" t="s">
        <v>3985</v>
      </c>
      <c r="C992" s="135" t="s">
        <v>3986</v>
      </c>
      <c r="D992" s="135" t="s">
        <v>3970</v>
      </c>
      <c r="E992" s="135" t="s">
        <v>3987</v>
      </c>
    </row>
    <row r="993" spans="1:5" s="136" customFormat="1" x14ac:dyDescent="0.2">
      <c r="A993" s="135" t="s">
        <v>3988</v>
      </c>
      <c r="B993" s="135" t="s">
        <v>3989</v>
      </c>
      <c r="C993" s="135" t="s">
        <v>3990</v>
      </c>
      <c r="D993" s="135" t="s">
        <v>3970</v>
      </c>
      <c r="E993" s="135" t="s">
        <v>3991</v>
      </c>
    </row>
    <row r="994" spans="1:5" s="136" customFormat="1" x14ac:dyDescent="0.2">
      <c r="A994" s="135" t="s">
        <v>3992</v>
      </c>
      <c r="B994" s="135" t="s">
        <v>3993</v>
      </c>
      <c r="C994" s="135" t="s">
        <v>3994</v>
      </c>
      <c r="D994" s="135" t="s">
        <v>3970</v>
      </c>
      <c r="E994" s="135" t="s">
        <v>3995</v>
      </c>
    </row>
    <row r="995" spans="1:5" s="136" customFormat="1" x14ac:dyDescent="0.2">
      <c r="A995" s="135" t="s">
        <v>3996</v>
      </c>
      <c r="B995" s="135" t="s">
        <v>3997</v>
      </c>
      <c r="C995" s="135" t="s">
        <v>3998</v>
      </c>
      <c r="D995" s="135" t="s">
        <v>3970</v>
      </c>
      <c r="E995" s="135" t="s">
        <v>3999</v>
      </c>
    </row>
    <row r="996" spans="1:5" s="136" customFormat="1" x14ac:dyDescent="0.2">
      <c r="A996" s="135" t="s">
        <v>4000</v>
      </c>
      <c r="B996" s="135" t="s">
        <v>4001</v>
      </c>
      <c r="C996" s="135" t="s">
        <v>4002</v>
      </c>
      <c r="D996" s="135" t="s">
        <v>3835</v>
      </c>
      <c r="E996" s="135" t="s">
        <v>4003</v>
      </c>
    </row>
    <row r="997" spans="1:5" s="136" customFormat="1" x14ac:dyDescent="0.2">
      <c r="A997" s="135" t="s">
        <v>4004</v>
      </c>
      <c r="B997" s="135" t="s">
        <v>4005</v>
      </c>
      <c r="C997" s="135" t="s">
        <v>4006</v>
      </c>
      <c r="D997" s="135" t="s">
        <v>3835</v>
      </c>
      <c r="E997" s="135" t="s">
        <v>4007</v>
      </c>
    </row>
    <row r="998" spans="1:5" s="136" customFormat="1" x14ac:dyDescent="0.2">
      <c r="A998" s="135" t="s">
        <v>4008</v>
      </c>
      <c r="B998" s="135" t="s">
        <v>4009</v>
      </c>
      <c r="C998" s="135" t="s">
        <v>4010</v>
      </c>
      <c r="D998" s="135" t="s">
        <v>3835</v>
      </c>
      <c r="E998" s="135" t="s">
        <v>4011</v>
      </c>
    </row>
    <row r="999" spans="1:5" s="136" customFormat="1" x14ac:dyDescent="0.2">
      <c r="A999" s="135" t="s">
        <v>4012</v>
      </c>
      <c r="B999" s="135" t="s">
        <v>4013</v>
      </c>
      <c r="C999" s="135" t="s">
        <v>4014</v>
      </c>
      <c r="D999" s="135" t="s">
        <v>4015</v>
      </c>
      <c r="E999" s="135" t="s">
        <v>4016</v>
      </c>
    </row>
    <row r="1000" spans="1:5" s="136" customFormat="1" x14ac:dyDescent="0.2">
      <c r="A1000" s="135" t="s">
        <v>4017</v>
      </c>
      <c r="B1000" s="135" t="s">
        <v>4018</v>
      </c>
      <c r="C1000" s="135" t="s">
        <v>4019</v>
      </c>
      <c r="D1000" s="135" t="s">
        <v>4020</v>
      </c>
      <c r="E1000" s="135" t="s">
        <v>4021</v>
      </c>
    </row>
    <row r="1001" spans="1:5" s="136" customFormat="1" x14ac:dyDescent="0.2">
      <c r="A1001" s="135" t="s">
        <v>4022</v>
      </c>
      <c r="B1001" s="135" t="s">
        <v>4023</v>
      </c>
      <c r="C1001" s="135" t="s">
        <v>4024</v>
      </c>
      <c r="D1001" s="135" t="s">
        <v>4015</v>
      </c>
      <c r="E1001" s="135" t="s">
        <v>4025</v>
      </c>
    </row>
    <row r="1002" spans="1:5" s="136" customFormat="1" x14ac:dyDescent="0.2">
      <c r="A1002" s="135" t="s">
        <v>4026</v>
      </c>
      <c r="B1002" s="135" t="s">
        <v>4027</v>
      </c>
      <c r="C1002" s="135" t="s">
        <v>4028</v>
      </c>
      <c r="D1002" s="135" t="s">
        <v>4015</v>
      </c>
      <c r="E1002" s="135" t="s">
        <v>4029</v>
      </c>
    </row>
    <row r="1003" spans="1:5" s="136" customFormat="1" x14ac:dyDescent="0.2">
      <c r="A1003" s="135" t="s">
        <v>4030</v>
      </c>
      <c r="B1003" s="135" t="s">
        <v>4031</v>
      </c>
      <c r="C1003" s="135" t="s">
        <v>4032</v>
      </c>
      <c r="D1003" s="135" t="s">
        <v>4015</v>
      </c>
      <c r="E1003" s="135" t="s">
        <v>4033</v>
      </c>
    </row>
    <row r="1004" spans="1:5" s="136" customFormat="1" x14ac:dyDescent="0.2">
      <c r="A1004" s="135" t="s">
        <v>4034</v>
      </c>
      <c r="B1004" s="135" t="s">
        <v>4035</v>
      </c>
      <c r="C1004" s="135" t="s">
        <v>4036</v>
      </c>
      <c r="D1004" s="135" t="s">
        <v>4015</v>
      </c>
      <c r="E1004" s="135" t="s">
        <v>4037</v>
      </c>
    </row>
    <row r="1005" spans="1:5" s="136" customFormat="1" x14ac:dyDescent="0.2">
      <c r="A1005" s="135" t="s">
        <v>4038</v>
      </c>
      <c r="B1005" s="135" t="s">
        <v>4039</v>
      </c>
      <c r="C1005" s="135" t="s">
        <v>4040</v>
      </c>
      <c r="D1005" s="135" t="s">
        <v>3802</v>
      </c>
      <c r="E1005" s="135" t="s">
        <v>4041</v>
      </c>
    </row>
    <row r="1006" spans="1:5" s="136" customFormat="1" x14ac:dyDescent="0.2">
      <c r="A1006" s="135" t="s">
        <v>4042</v>
      </c>
      <c r="B1006" s="135" t="s">
        <v>4043</v>
      </c>
      <c r="C1006" s="135" t="s">
        <v>4044</v>
      </c>
      <c r="D1006" s="135" t="s">
        <v>3802</v>
      </c>
      <c r="E1006" s="135" t="s">
        <v>4045</v>
      </c>
    </row>
    <row r="1007" spans="1:5" s="136" customFormat="1" x14ac:dyDescent="0.2">
      <c r="A1007" s="135" t="s">
        <v>4046</v>
      </c>
      <c r="B1007" s="135" t="s">
        <v>4047</v>
      </c>
      <c r="C1007" s="135" t="s">
        <v>4048</v>
      </c>
      <c r="D1007" s="135" t="s">
        <v>3802</v>
      </c>
      <c r="E1007" s="135" t="s">
        <v>4049</v>
      </c>
    </row>
    <row r="1008" spans="1:5" s="136" customFormat="1" x14ac:dyDescent="0.2">
      <c r="A1008" s="135" t="s">
        <v>4050</v>
      </c>
      <c r="B1008" s="135" t="s">
        <v>4051</v>
      </c>
      <c r="C1008" s="135" t="s">
        <v>4052</v>
      </c>
      <c r="D1008" s="135" t="s">
        <v>3802</v>
      </c>
      <c r="E1008" s="135" t="s">
        <v>4053</v>
      </c>
    </row>
    <row r="1009" spans="1:5" s="136" customFormat="1" x14ac:dyDescent="0.2">
      <c r="A1009" s="135" t="s">
        <v>4054</v>
      </c>
      <c r="B1009" s="135" t="s">
        <v>4055</v>
      </c>
      <c r="C1009" s="135" t="s">
        <v>4056</v>
      </c>
      <c r="D1009" s="135" t="s">
        <v>3802</v>
      </c>
      <c r="E1009" s="135" t="s">
        <v>4057</v>
      </c>
    </row>
    <row r="1010" spans="1:5" s="136" customFormat="1" x14ac:dyDescent="0.2">
      <c r="A1010" s="135" t="s">
        <v>4058</v>
      </c>
      <c r="B1010" s="135" t="s">
        <v>4059</v>
      </c>
      <c r="C1010" s="135" t="s">
        <v>4060</v>
      </c>
      <c r="D1010" s="135" t="s">
        <v>3849</v>
      </c>
      <c r="E1010" s="135" t="s">
        <v>4061</v>
      </c>
    </row>
    <row r="1011" spans="1:5" s="136" customFormat="1" x14ac:dyDescent="0.2">
      <c r="A1011" s="135" t="s">
        <v>4062</v>
      </c>
      <c r="B1011" s="135" t="s">
        <v>4063</v>
      </c>
      <c r="C1011" s="135" t="s">
        <v>4064</v>
      </c>
      <c r="D1011" s="135" t="s">
        <v>3849</v>
      </c>
      <c r="E1011" s="135" t="s">
        <v>4065</v>
      </c>
    </row>
    <row r="1012" spans="1:5" s="136" customFormat="1" x14ac:dyDescent="0.2">
      <c r="A1012" s="135" t="s">
        <v>4066</v>
      </c>
      <c r="B1012" s="135" t="s">
        <v>4067</v>
      </c>
      <c r="C1012" s="135" t="s">
        <v>4068</v>
      </c>
      <c r="D1012" s="135" t="s">
        <v>3849</v>
      </c>
      <c r="E1012" s="135" t="s">
        <v>4069</v>
      </c>
    </row>
    <row r="1013" spans="1:5" s="136" customFormat="1" x14ac:dyDescent="0.2">
      <c r="A1013" s="135" t="s">
        <v>4070</v>
      </c>
      <c r="B1013" s="135" t="s">
        <v>4071</v>
      </c>
      <c r="C1013" s="135" t="s">
        <v>4072</v>
      </c>
      <c r="D1013" s="135" t="s">
        <v>3849</v>
      </c>
      <c r="E1013" s="135" t="s">
        <v>4073</v>
      </c>
    </row>
    <row r="1014" spans="1:5" s="136" customFormat="1" x14ac:dyDescent="0.2">
      <c r="A1014" s="135" t="s">
        <v>4074</v>
      </c>
      <c r="B1014" s="135" t="s">
        <v>4075</v>
      </c>
      <c r="C1014" s="135" t="s">
        <v>4076</v>
      </c>
      <c r="D1014" s="135" t="s">
        <v>3807</v>
      </c>
      <c r="E1014" s="135" t="s">
        <v>4077</v>
      </c>
    </row>
    <row r="1015" spans="1:5" s="136" customFormat="1" x14ac:dyDescent="0.2">
      <c r="A1015" s="135" t="s">
        <v>4078</v>
      </c>
      <c r="B1015" s="135" t="s">
        <v>4079</v>
      </c>
      <c r="C1015" s="135" t="s">
        <v>4080</v>
      </c>
      <c r="D1015" s="135" t="s">
        <v>3797</v>
      </c>
      <c r="E1015" s="135" t="s">
        <v>4081</v>
      </c>
    </row>
    <row r="1016" spans="1:5" s="136" customFormat="1" x14ac:dyDescent="0.2">
      <c r="A1016" s="135" t="s">
        <v>4082</v>
      </c>
      <c r="B1016" s="135" t="s">
        <v>4083</v>
      </c>
      <c r="C1016" s="135" t="s">
        <v>4084</v>
      </c>
      <c r="D1016" s="135" t="s">
        <v>3797</v>
      </c>
      <c r="E1016" s="135" t="s">
        <v>4085</v>
      </c>
    </row>
    <row r="1017" spans="1:5" s="136" customFormat="1" x14ac:dyDescent="0.2">
      <c r="A1017" s="135" t="s">
        <v>4086</v>
      </c>
      <c r="B1017" s="135" t="s">
        <v>4087</v>
      </c>
      <c r="C1017" s="135" t="s">
        <v>4088</v>
      </c>
      <c r="D1017" s="135" t="s">
        <v>3844</v>
      </c>
      <c r="E1017" s="135" t="s">
        <v>4089</v>
      </c>
    </row>
    <row r="1018" spans="1:5" s="136" customFormat="1" x14ac:dyDescent="0.2">
      <c r="A1018" s="135" t="s">
        <v>4090</v>
      </c>
      <c r="B1018" s="135" t="s">
        <v>4091</v>
      </c>
      <c r="C1018" s="135" t="s">
        <v>4092</v>
      </c>
      <c r="D1018" s="135" t="s">
        <v>3844</v>
      </c>
      <c r="E1018" s="135" t="s">
        <v>4093</v>
      </c>
    </row>
    <row r="1019" spans="1:5" s="136" customFormat="1" x14ac:dyDescent="0.2">
      <c r="A1019" s="135" t="s">
        <v>4094</v>
      </c>
      <c r="B1019" s="135" t="s">
        <v>4095</v>
      </c>
      <c r="C1019" s="135" t="s">
        <v>4096</v>
      </c>
      <c r="D1019" s="135" t="s">
        <v>3844</v>
      </c>
      <c r="E1019" s="135" t="s">
        <v>4097</v>
      </c>
    </row>
    <row r="1020" spans="1:5" s="136" customFormat="1" x14ac:dyDescent="0.2">
      <c r="A1020" s="135" t="s">
        <v>4098</v>
      </c>
      <c r="B1020" s="135" t="s">
        <v>4099</v>
      </c>
      <c r="C1020" s="135" t="s">
        <v>4100</v>
      </c>
      <c r="D1020" s="135" t="s">
        <v>3797</v>
      </c>
      <c r="E1020" s="135" t="s">
        <v>4101</v>
      </c>
    </row>
    <row r="1021" spans="1:5" s="136" customFormat="1" x14ac:dyDescent="0.2">
      <c r="A1021" s="135" t="s">
        <v>4102</v>
      </c>
      <c r="B1021" s="135" t="s">
        <v>4103</v>
      </c>
      <c r="C1021" s="135" t="s">
        <v>4104</v>
      </c>
      <c r="D1021" s="135" t="s">
        <v>3797</v>
      </c>
      <c r="E1021" s="135" t="s">
        <v>4105</v>
      </c>
    </row>
    <row r="1022" spans="1:5" s="136" customFormat="1" x14ac:dyDescent="0.2">
      <c r="A1022" s="135" t="s">
        <v>4106</v>
      </c>
      <c r="B1022" s="135" t="s">
        <v>4107</v>
      </c>
      <c r="C1022" s="135" t="s">
        <v>4108</v>
      </c>
      <c r="D1022" s="135" t="s">
        <v>3797</v>
      </c>
      <c r="E1022" s="135" t="s">
        <v>4109</v>
      </c>
    </row>
    <row r="1023" spans="1:5" s="136" customFormat="1" x14ac:dyDescent="0.2">
      <c r="A1023" s="135" t="s">
        <v>4110</v>
      </c>
      <c r="B1023" s="135" t="s">
        <v>4111</v>
      </c>
      <c r="C1023" s="135" t="s">
        <v>4112</v>
      </c>
      <c r="D1023" s="135" t="s">
        <v>3844</v>
      </c>
      <c r="E1023" s="135" t="s">
        <v>4113</v>
      </c>
    </row>
    <row r="1024" spans="1:5" s="136" customFormat="1" x14ac:dyDescent="0.2">
      <c r="A1024" s="135" t="s">
        <v>4114</v>
      </c>
      <c r="B1024" s="135" t="s">
        <v>4115</v>
      </c>
      <c r="C1024" s="135" t="s">
        <v>4116</v>
      </c>
      <c r="D1024" s="135" t="s">
        <v>4117</v>
      </c>
      <c r="E1024" s="135" t="s">
        <v>4118</v>
      </c>
    </row>
    <row r="1025" spans="1:5" s="136" customFormat="1" x14ac:dyDescent="0.2">
      <c r="A1025" s="135" t="s">
        <v>4119</v>
      </c>
      <c r="B1025" s="135" t="s">
        <v>4120</v>
      </c>
      <c r="C1025" s="135" t="s">
        <v>4121</v>
      </c>
      <c r="D1025" s="135" t="s">
        <v>4122</v>
      </c>
      <c r="E1025" s="135" t="s">
        <v>4123</v>
      </c>
    </row>
    <row r="1026" spans="1:5" s="136" customFormat="1" x14ac:dyDescent="0.2">
      <c r="A1026" s="135" t="s">
        <v>4124</v>
      </c>
      <c r="B1026" s="135" t="s">
        <v>4125</v>
      </c>
      <c r="C1026" s="135" t="s">
        <v>4126</v>
      </c>
      <c r="D1026" s="135" t="s">
        <v>4127</v>
      </c>
      <c r="E1026" s="135" t="s">
        <v>4128</v>
      </c>
    </row>
    <row r="1027" spans="1:5" s="136" customFormat="1" x14ac:dyDescent="0.2">
      <c r="A1027" s="135" t="s">
        <v>4129</v>
      </c>
      <c r="B1027" s="135" t="s">
        <v>4130</v>
      </c>
      <c r="C1027" s="135" t="s">
        <v>4131</v>
      </c>
      <c r="D1027" s="135" t="s">
        <v>4132</v>
      </c>
      <c r="E1027" s="135" t="s">
        <v>4133</v>
      </c>
    </row>
    <row r="1028" spans="1:5" s="136" customFormat="1" x14ac:dyDescent="0.2">
      <c r="A1028" s="135" t="s">
        <v>4134</v>
      </c>
      <c r="B1028" s="135" t="s">
        <v>4135</v>
      </c>
      <c r="C1028" s="135" t="s">
        <v>4136</v>
      </c>
      <c r="D1028" s="135" t="s">
        <v>4137</v>
      </c>
      <c r="E1028" s="135" t="s">
        <v>4138</v>
      </c>
    </row>
    <row r="1029" spans="1:5" s="136" customFormat="1" x14ac:dyDescent="0.2">
      <c r="A1029" s="135" t="s">
        <v>4139</v>
      </c>
      <c r="B1029" s="135" t="s">
        <v>4140</v>
      </c>
      <c r="C1029" s="135" t="s">
        <v>4141</v>
      </c>
      <c r="D1029" s="135" t="s">
        <v>4142</v>
      </c>
      <c r="E1029" s="135" t="s">
        <v>4143</v>
      </c>
    </row>
    <row r="1030" spans="1:5" s="136" customFormat="1" x14ac:dyDescent="0.2">
      <c r="A1030" s="135" t="s">
        <v>4144</v>
      </c>
      <c r="B1030" s="135" t="s">
        <v>4145</v>
      </c>
      <c r="C1030" s="135" t="s">
        <v>4146</v>
      </c>
      <c r="D1030" s="135" t="s">
        <v>4147</v>
      </c>
      <c r="E1030" s="135" t="s">
        <v>4148</v>
      </c>
    </row>
    <row r="1031" spans="1:5" s="136" customFormat="1" x14ac:dyDescent="0.2">
      <c r="A1031" s="135" t="s">
        <v>4149</v>
      </c>
      <c r="B1031" s="135" t="s">
        <v>4150</v>
      </c>
      <c r="C1031" s="135" t="s">
        <v>4151</v>
      </c>
      <c r="D1031" s="135" t="s">
        <v>4132</v>
      </c>
      <c r="E1031" s="135" t="s">
        <v>4152</v>
      </c>
    </row>
    <row r="1032" spans="1:5" s="136" customFormat="1" x14ac:dyDescent="0.2">
      <c r="A1032" s="135" t="s">
        <v>4153</v>
      </c>
      <c r="B1032" s="135" t="s">
        <v>4154</v>
      </c>
      <c r="C1032" s="135" t="s">
        <v>4155</v>
      </c>
      <c r="D1032" s="135" t="s">
        <v>4117</v>
      </c>
      <c r="E1032" s="135" t="s">
        <v>4156</v>
      </c>
    </row>
    <row r="1033" spans="1:5" s="136" customFormat="1" x14ac:dyDescent="0.2">
      <c r="A1033" s="135" t="s">
        <v>4157</v>
      </c>
      <c r="B1033" s="135" t="s">
        <v>4158</v>
      </c>
      <c r="C1033" s="135" t="s">
        <v>4159</v>
      </c>
      <c r="D1033" s="135" t="s">
        <v>4160</v>
      </c>
      <c r="E1033" s="135" t="s">
        <v>4161</v>
      </c>
    </row>
    <row r="1034" spans="1:5" s="136" customFormat="1" x14ac:dyDescent="0.2">
      <c r="A1034" s="135" t="s">
        <v>4162</v>
      </c>
      <c r="B1034" s="135" t="s">
        <v>4163</v>
      </c>
      <c r="C1034" s="135" t="s">
        <v>4164</v>
      </c>
      <c r="D1034" s="135" t="s">
        <v>4165</v>
      </c>
      <c r="E1034" s="135" t="s">
        <v>4166</v>
      </c>
    </row>
    <row r="1035" spans="1:5" s="136" customFormat="1" x14ac:dyDescent="0.2">
      <c r="A1035" s="135" t="s">
        <v>4167</v>
      </c>
      <c r="B1035" s="135" t="s">
        <v>4168</v>
      </c>
      <c r="C1035" s="135" t="s">
        <v>4169</v>
      </c>
      <c r="D1035" s="135" t="s">
        <v>4132</v>
      </c>
      <c r="E1035" s="135" t="s">
        <v>4170</v>
      </c>
    </row>
    <row r="1036" spans="1:5" s="136" customFormat="1" x14ac:dyDescent="0.2">
      <c r="A1036" s="135" t="s">
        <v>4171</v>
      </c>
      <c r="B1036" s="135" t="s">
        <v>4172</v>
      </c>
      <c r="C1036" s="135" t="s">
        <v>4173</v>
      </c>
      <c r="D1036" s="135" t="s">
        <v>4174</v>
      </c>
      <c r="E1036" s="135" t="s">
        <v>4175</v>
      </c>
    </row>
    <row r="1037" spans="1:5" s="136" customFormat="1" x14ac:dyDescent="0.2">
      <c r="A1037" s="135" t="s">
        <v>4176</v>
      </c>
      <c r="B1037" s="135" t="s">
        <v>4177</v>
      </c>
      <c r="C1037" s="135" t="s">
        <v>4178</v>
      </c>
      <c r="D1037" s="135" t="s">
        <v>4165</v>
      </c>
      <c r="E1037" s="135" t="s">
        <v>4179</v>
      </c>
    </row>
    <row r="1038" spans="1:5" s="136" customFormat="1" x14ac:dyDescent="0.2">
      <c r="A1038" s="135" t="s">
        <v>4180</v>
      </c>
      <c r="B1038" s="135" t="s">
        <v>4181</v>
      </c>
      <c r="C1038" s="135" t="s">
        <v>1398</v>
      </c>
      <c r="D1038" s="135" t="s">
        <v>4182</v>
      </c>
      <c r="E1038" s="135" t="s">
        <v>4183</v>
      </c>
    </row>
    <row r="1039" spans="1:5" s="136" customFormat="1" x14ac:dyDescent="0.2">
      <c r="A1039" s="135" t="s">
        <v>4184</v>
      </c>
      <c r="B1039" s="135" t="s">
        <v>4185</v>
      </c>
      <c r="C1039" s="135" t="s">
        <v>4186</v>
      </c>
      <c r="D1039" s="135" t="s">
        <v>4187</v>
      </c>
      <c r="E1039" s="135" t="s">
        <v>4188</v>
      </c>
    </row>
    <row r="1040" spans="1:5" s="136" customFormat="1" x14ac:dyDescent="0.2">
      <c r="A1040" s="135" t="s">
        <v>4189</v>
      </c>
      <c r="B1040" s="135" t="s">
        <v>4190</v>
      </c>
      <c r="C1040" s="135" t="s">
        <v>4191</v>
      </c>
      <c r="D1040" s="135" t="s">
        <v>4192</v>
      </c>
      <c r="E1040" s="135" t="s">
        <v>4193</v>
      </c>
    </row>
    <row r="1041" spans="1:5" s="136" customFormat="1" x14ac:dyDescent="0.2">
      <c r="A1041" s="135" t="s">
        <v>4194</v>
      </c>
      <c r="B1041" s="135" t="s">
        <v>4195</v>
      </c>
      <c r="C1041" s="135" t="s">
        <v>4196</v>
      </c>
      <c r="D1041" s="135" t="s">
        <v>4197</v>
      </c>
      <c r="E1041" s="135" t="s">
        <v>4198</v>
      </c>
    </row>
    <row r="1042" spans="1:5" s="136" customFormat="1" x14ac:dyDescent="0.2">
      <c r="A1042" s="135" t="s">
        <v>4199</v>
      </c>
      <c r="B1042" s="135" t="s">
        <v>4200</v>
      </c>
      <c r="C1042" s="135" t="s">
        <v>4201</v>
      </c>
      <c r="D1042" s="135" t="s">
        <v>4147</v>
      </c>
      <c r="E1042" s="135" t="s">
        <v>4202</v>
      </c>
    </row>
    <row r="1043" spans="1:5" s="136" customFormat="1" x14ac:dyDescent="0.2">
      <c r="A1043" s="135" t="s">
        <v>4203</v>
      </c>
      <c r="B1043" s="135" t="s">
        <v>4204</v>
      </c>
      <c r="C1043" s="135" t="s">
        <v>4205</v>
      </c>
      <c r="D1043" s="135" t="s">
        <v>4206</v>
      </c>
      <c r="E1043" s="135" t="s">
        <v>4207</v>
      </c>
    </row>
    <row r="1044" spans="1:5" s="136" customFormat="1" x14ac:dyDescent="0.2">
      <c r="A1044" s="135" t="s">
        <v>4208</v>
      </c>
      <c r="B1044" s="135" t="s">
        <v>4209</v>
      </c>
      <c r="C1044" s="135" t="s">
        <v>4210</v>
      </c>
      <c r="D1044" s="135" t="s">
        <v>4122</v>
      </c>
      <c r="E1044" s="135" t="s">
        <v>4211</v>
      </c>
    </row>
    <row r="1045" spans="1:5" s="136" customFormat="1" x14ac:dyDescent="0.2">
      <c r="A1045" s="135" t="s">
        <v>4212</v>
      </c>
      <c r="B1045" s="135" t="s">
        <v>4213</v>
      </c>
      <c r="C1045" s="135" t="s">
        <v>4214</v>
      </c>
      <c r="D1045" s="135" t="s">
        <v>4117</v>
      </c>
      <c r="E1045" s="135" t="s">
        <v>4215</v>
      </c>
    </row>
    <row r="1046" spans="1:5" s="136" customFormat="1" x14ac:dyDescent="0.2">
      <c r="A1046" s="135" t="s">
        <v>4216</v>
      </c>
      <c r="B1046" s="135" t="s">
        <v>4217</v>
      </c>
      <c r="C1046" s="135" t="s">
        <v>4218</v>
      </c>
      <c r="D1046" s="135" t="s">
        <v>4117</v>
      </c>
      <c r="E1046" s="135" t="s">
        <v>4215</v>
      </c>
    </row>
    <row r="1047" spans="1:5" s="136" customFormat="1" x14ac:dyDescent="0.2">
      <c r="A1047" s="135" t="s">
        <v>4219</v>
      </c>
      <c r="B1047" s="135" t="s">
        <v>4220</v>
      </c>
      <c r="C1047" s="135" t="s">
        <v>4221</v>
      </c>
      <c r="D1047" s="135" t="s">
        <v>4122</v>
      </c>
      <c r="E1047" s="135" t="s">
        <v>4222</v>
      </c>
    </row>
    <row r="1048" spans="1:5" s="136" customFormat="1" x14ac:dyDescent="0.2">
      <c r="A1048" s="135" t="s">
        <v>4223</v>
      </c>
      <c r="B1048" s="135" t="s">
        <v>4224</v>
      </c>
      <c r="C1048" s="135" t="s">
        <v>4225</v>
      </c>
      <c r="D1048" s="135" t="s">
        <v>4122</v>
      </c>
      <c r="E1048" s="135" t="s">
        <v>4226</v>
      </c>
    </row>
    <row r="1049" spans="1:5" s="136" customFormat="1" x14ac:dyDescent="0.2">
      <c r="A1049" s="135" t="s">
        <v>4227</v>
      </c>
      <c r="B1049" s="135" t="s">
        <v>4228</v>
      </c>
      <c r="C1049" s="135" t="s">
        <v>4229</v>
      </c>
      <c r="D1049" s="135" t="s">
        <v>4122</v>
      </c>
      <c r="E1049" s="135" t="s">
        <v>4230</v>
      </c>
    </row>
    <row r="1050" spans="1:5" s="136" customFormat="1" x14ac:dyDescent="0.2">
      <c r="A1050" s="135" t="s">
        <v>4231</v>
      </c>
      <c r="B1050" s="135" t="s">
        <v>4232</v>
      </c>
      <c r="C1050" s="135" t="s">
        <v>4233</v>
      </c>
      <c r="D1050" s="135" t="s">
        <v>4122</v>
      </c>
      <c r="E1050" s="135" t="s">
        <v>4234</v>
      </c>
    </row>
    <row r="1051" spans="1:5" s="136" customFormat="1" x14ac:dyDescent="0.2">
      <c r="A1051" s="135" t="s">
        <v>4235</v>
      </c>
      <c r="B1051" s="135" t="s">
        <v>4236</v>
      </c>
      <c r="C1051" s="135" t="s">
        <v>4237</v>
      </c>
      <c r="D1051" s="135" t="s">
        <v>4122</v>
      </c>
      <c r="E1051" s="135" t="s">
        <v>4238</v>
      </c>
    </row>
    <row r="1052" spans="1:5" s="136" customFormat="1" x14ac:dyDescent="0.2">
      <c r="A1052" s="135" t="s">
        <v>4239</v>
      </c>
      <c r="B1052" s="135" t="s">
        <v>4240</v>
      </c>
      <c r="C1052" s="135" t="s">
        <v>4241</v>
      </c>
      <c r="D1052" s="135" t="s">
        <v>4122</v>
      </c>
      <c r="E1052" s="135" t="s">
        <v>4242</v>
      </c>
    </row>
    <row r="1053" spans="1:5" s="136" customFormat="1" x14ac:dyDescent="0.2">
      <c r="A1053" s="135" t="s">
        <v>4243</v>
      </c>
      <c r="B1053" s="135" t="s">
        <v>4244</v>
      </c>
      <c r="C1053" s="135" t="s">
        <v>4245</v>
      </c>
      <c r="D1053" s="135" t="s">
        <v>4246</v>
      </c>
      <c r="E1053" s="135" t="s">
        <v>4247</v>
      </c>
    </row>
    <row r="1054" spans="1:5" s="136" customFormat="1" x14ac:dyDescent="0.2">
      <c r="A1054" s="135" t="s">
        <v>4248</v>
      </c>
      <c r="B1054" s="135" t="s">
        <v>4249</v>
      </c>
      <c r="C1054" s="135" t="s">
        <v>4250</v>
      </c>
      <c r="D1054" s="135" t="s">
        <v>4251</v>
      </c>
      <c r="E1054" s="135" t="s">
        <v>4252</v>
      </c>
    </row>
    <row r="1055" spans="1:5" s="136" customFormat="1" x14ac:dyDescent="0.2">
      <c r="A1055" s="135" t="s">
        <v>4253</v>
      </c>
      <c r="B1055" s="135" t="s">
        <v>4254</v>
      </c>
      <c r="C1055" s="135" t="s">
        <v>4255</v>
      </c>
      <c r="D1055" s="135" t="s">
        <v>4256</v>
      </c>
      <c r="E1055" s="135" t="s">
        <v>4257</v>
      </c>
    </row>
    <row r="1056" spans="1:5" s="136" customFormat="1" x14ac:dyDescent="0.2">
      <c r="A1056" s="135" t="s">
        <v>4258</v>
      </c>
      <c r="B1056" s="135" t="s">
        <v>4259</v>
      </c>
      <c r="C1056" s="135" t="s">
        <v>4260</v>
      </c>
      <c r="D1056" s="135" t="s">
        <v>4117</v>
      </c>
      <c r="E1056" s="135" t="s">
        <v>4261</v>
      </c>
    </row>
    <row r="1057" spans="1:5" s="136" customFormat="1" x14ac:dyDescent="0.2">
      <c r="A1057" s="135" t="s">
        <v>4262</v>
      </c>
      <c r="B1057" s="135" t="s">
        <v>4263</v>
      </c>
      <c r="C1057" s="135" t="s">
        <v>4264</v>
      </c>
      <c r="D1057" s="135" t="s">
        <v>4165</v>
      </c>
      <c r="E1057" s="135" t="s">
        <v>4166</v>
      </c>
    </row>
    <row r="1058" spans="1:5" s="136" customFormat="1" x14ac:dyDescent="0.2">
      <c r="A1058" s="135" t="s">
        <v>4265</v>
      </c>
      <c r="B1058" s="135" t="s">
        <v>4266</v>
      </c>
      <c r="C1058" s="135" t="s">
        <v>4267</v>
      </c>
      <c r="D1058" s="135" t="s">
        <v>4165</v>
      </c>
      <c r="E1058" s="135" t="s">
        <v>4268</v>
      </c>
    </row>
    <row r="1059" spans="1:5" s="136" customFormat="1" x14ac:dyDescent="0.2">
      <c r="A1059" s="135" t="s">
        <v>4269</v>
      </c>
      <c r="B1059" s="135" t="s">
        <v>4270</v>
      </c>
      <c r="C1059" s="135" t="s">
        <v>4271</v>
      </c>
      <c r="D1059" s="135" t="s">
        <v>4165</v>
      </c>
      <c r="E1059" s="135" t="s">
        <v>4272</v>
      </c>
    </row>
    <row r="1060" spans="1:5" s="136" customFormat="1" x14ac:dyDescent="0.2">
      <c r="A1060" s="135" t="s">
        <v>4273</v>
      </c>
      <c r="B1060" s="135" t="s">
        <v>4274</v>
      </c>
      <c r="C1060" s="135" t="s">
        <v>4275</v>
      </c>
      <c r="D1060" s="135" t="s">
        <v>4165</v>
      </c>
      <c r="E1060" s="135" t="s">
        <v>4276</v>
      </c>
    </row>
    <row r="1061" spans="1:5" s="136" customFormat="1" x14ac:dyDescent="0.2">
      <c r="A1061" s="135" t="s">
        <v>4277</v>
      </c>
      <c r="B1061" s="135" t="s">
        <v>4278</v>
      </c>
      <c r="C1061" s="135" t="s">
        <v>4279</v>
      </c>
      <c r="D1061" s="135" t="s">
        <v>4165</v>
      </c>
      <c r="E1061" s="135" t="s">
        <v>4280</v>
      </c>
    </row>
    <row r="1062" spans="1:5" s="136" customFormat="1" x14ac:dyDescent="0.2">
      <c r="A1062" s="135" t="s">
        <v>4281</v>
      </c>
      <c r="B1062" s="135" t="s">
        <v>4282</v>
      </c>
      <c r="C1062" s="135" t="s">
        <v>4283</v>
      </c>
      <c r="D1062" s="135" t="s">
        <v>4165</v>
      </c>
      <c r="E1062" s="135" t="s">
        <v>4284</v>
      </c>
    </row>
    <row r="1063" spans="1:5" s="136" customFormat="1" x14ac:dyDescent="0.2">
      <c r="A1063" s="135" t="s">
        <v>4285</v>
      </c>
      <c r="B1063" s="135" t="s">
        <v>4286</v>
      </c>
      <c r="C1063" s="135" t="s">
        <v>4287</v>
      </c>
      <c r="D1063" s="135" t="s">
        <v>4165</v>
      </c>
      <c r="E1063" s="135" t="s">
        <v>4288</v>
      </c>
    </row>
    <row r="1064" spans="1:5" s="136" customFormat="1" x14ac:dyDescent="0.2">
      <c r="A1064" s="135" t="s">
        <v>4289</v>
      </c>
      <c r="B1064" s="135" t="s">
        <v>4290</v>
      </c>
      <c r="C1064" s="135" t="s">
        <v>4291</v>
      </c>
      <c r="D1064" s="135" t="s">
        <v>4165</v>
      </c>
      <c r="E1064" s="135" t="s">
        <v>4292</v>
      </c>
    </row>
    <row r="1065" spans="1:5" s="136" customFormat="1" x14ac:dyDescent="0.2">
      <c r="A1065" s="135" t="s">
        <v>4293</v>
      </c>
      <c r="B1065" s="135" t="s">
        <v>4294</v>
      </c>
      <c r="C1065" s="135" t="s">
        <v>4295</v>
      </c>
      <c r="D1065" s="135" t="s">
        <v>4296</v>
      </c>
      <c r="E1065" s="135" t="s">
        <v>4297</v>
      </c>
    </row>
    <row r="1066" spans="1:5" s="136" customFormat="1" x14ac:dyDescent="0.2">
      <c r="A1066" s="135" t="s">
        <v>4298</v>
      </c>
      <c r="B1066" s="135" t="s">
        <v>4299</v>
      </c>
      <c r="C1066" s="135" t="s">
        <v>4300</v>
      </c>
    </row>
    <row r="1067" spans="1:5" s="136" customFormat="1" x14ac:dyDescent="0.2">
      <c r="A1067" s="135" t="s">
        <v>4301</v>
      </c>
      <c r="B1067" s="135" t="s">
        <v>4302</v>
      </c>
      <c r="C1067" s="135" t="s">
        <v>4303</v>
      </c>
      <c r="D1067" s="135" t="s">
        <v>4304</v>
      </c>
      <c r="E1067" s="135" t="s">
        <v>4305</v>
      </c>
    </row>
    <row r="1068" spans="1:5" s="136" customFormat="1" x14ac:dyDescent="0.2">
      <c r="A1068" s="135" t="s">
        <v>4306</v>
      </c>
      <c r="B1068" s="135" t="s">
        <v>4307</v>
      </c>
      <c r="C1068" s="135" t="s">
        <v>4308</v>
      </c>
      <c r="D1068" s="135" t="s">
        <v>4304</v>
      </c>
      <c r="E1068" s="135" t="s">
        <v>4309</v>
      </c>
    </row>
    <row r="1069" spans="1:5" s="136" customFormat="1" x14ac:dyDescent="0.2">
      <c r="A1069" s="135" t="s">
        <v>4310</v>
      </c>
      <c r="B1069" s="135" t="s">
        <v>4311</v>
      </c>
      <c r="C1069" s="135" t="s">
        <v>4312</v>
      </c>
      <c r="D1069" s="135" t="s">
        <v>4304</v>
      </c>
      <c r="E1069" s="135" t="s">
        <v>4313</v>
      </c>
    </row>
    <row r="1070" spans="1:5" s="136" customFormat="1" x14ac:dyDescent="0.2">
      <c r="A1070" s="135" t="s">
        <v>4314</v>
      </c>
      <c r="B1070" s="135" t="s">
        <v>4315</v>
      </c>
      <c r="C1070" s="135" t="s">
        <v>4316</v>
      </c>
    </row>
    <row r="1071" spans="1:5" s="136" customFormat="1" x14ac:dyDescent="0.2">
      <c r="A1071" s="135" t="s">
        <v>4317</v>
      </c>
      <c r="B1071" s="135" t="s">
        <v>4318</v>
      </c>
      <c r="C1071" s="135" t="s">
        <v>4319</v>
      </c>
      <c r="D1071" s="135" t="s">
        <v>4320</v>
      </c>
      <c r="E1071" s="135" t="s">
        <v>4321</v>
      </c>
    </row>
    <row r="1072" spans="1:5" s="136" customFormat="1" x14ac:dyDescent="0.2">
      <c r="A1072" s="135" t="s">
        <v>4322</v>
      </c>
      <c r="B1072" s="135" t="s">
        <v>4323</v>
      </c>
      <c r="C1072" s="135" t="s">
        <v>4324</v>
      </c>
      <c r="D1072" s="135" t="s">
        <v>4320</v>
      </c>
      <c r="E1072" s="135" t="s">
        <v>4325</v>
      </c>
    </row>
    <row r="1073" spans="1:5" s="136" customFormat="1" x14ac:dyDescent="0.2">
      <c r="A1073" s="135" t="s">
        <v>4326</v>
      </c>
      <c r="B1073" s="135" t="s">
        <v>4327</v>
      </c>
      <c r="C1073" s="135" t="s">
        <v>4328</v>
      </c>
      <c r="D1073" s="135" t="s">
        <v>4320</v>
      </c>
      <c r="E1073" s="135" t="s">
        <v>4329</v>
      </c>
    </row>
    <row r="1074" spans="1:5" s="136" customFormat="1" x14ac:dyDescent="0.2">
      <c r="A1074" s="135" t="s">
        <v>4330</v>
      </c>
      <c r="B1074" s="135" t="s">
        <v>4331</v>
      </c>
      <c r="C1074" s="135" t="s">
        <v>4332</v>
      </c>
      <c r="D1074" s="135" t="s">
        <v>4320</v>
      </c>
      <c r="E1074" s="135" t="s">
        <v>4333</v>
      </c>
    </row>
    <row r="1075" spans="1:5" s="136" customFormat="1" x14ac:dyDescent="0.2">
      <c r="A1075" s="135" t="s">
        <v>4334</v>
      </c>
      <c r="B1075" s="135" t="s">
        <v>4335</v>
      </c>
      <c r="C1075" s="135" t="s">
        <v>4336</v>
      </c>
      <c r="D1075" s="135" t="s">
        <v>4320</v>
      </c>
      <c r="E1075" s="135" t="s">
        <v>4337</v>
      </c>
    </row>
    <row r="1076" spans="1:5" s="136" customFormat="1" x14ac:dyDescent="0.2">
      <c r="A1076" s="135" t="s">
        <v>4338</v>
      </c>
      <c r="B1076" s="135" t="s">
        <v>4339</v>
      </c>
      <c r="C1076" s="135" t="s">
        <v>4340</v>
      </c>
      <c r="D1076" s="135" t="s">
        <v>4320</v>
      </c>
      <c r="E1076" s="135" t="s">
        <v>4341</v>
      </c>
    </row>
    <row r="1077" spans="1:5" s="136" customFormat="1" x14ac:dyDescent="0.2">
      <c r="A1077" s="135" t="s">
        <v>4342</v>
      </c>
      <c r="B1077" s="135" t="s">
        <v>4343</v>
      </c>
      <c r="C1077" s="135" t="s">
        <v>4344</v>
      </c>
      <c r="D1077" s="135" t="s">
        <v>4320</v>
      </c>
      <c r="E1077" s="135" t="s">
        <v>4345</v>
      </c>
    </row>
    <row r="1078" spans="1:5" s="136" customFormat="1" x14ac:dyDescent="0.2">
      <c r="A1078" s="135" t="s">
        <v>4346</v>
      </c>
      <c r="B1078" s="135" t="s">
        <v>4347</v>
      </c>
      <c r="C1078" s="135" t="s">
        <v>4348</v>
      </c>
      <c r="D1078" s="135" t="s">
        <v>4349</v>
      </c>
      <c r="E1078" s="135" t="s">
        <v>4350</v>
      </c>
    </row>
    <row r="1079" spans="1:5" s="136" customFormat="1" x14ac:dyDescent="0.2">
      <c r="A1079" s="135" t="s">
        <v>4351</v>
      </c>
      <c r="B1079" s="135" t="s">
        <v>4352</v>
      </c>
      <c r="C1079" s="135" t="s">
        <v>4353</v>
      </c>
      <c r="D1079" s="135" t="s">
        <v>4354</v>
      </c>
      <c r="E1079" s="135" t="s">
        <v>4355</v>
      </c>
    </row>
    <row r="1080" spans="1:5" s="136" customFormat="1" x14ac:dyDescent="0.2">
      <c r="A1080" s="135" t="s">
        <v>4356</v>
      </c>
      <c r="B1080" s="135" t="s">
        <v>4357</v>
      </c>
      <c r="C1080" s="135" t="s">
        <v>4358</v>
      </c>
      <c r="D1080" s="135" t="s">
        <v>3711</v>
      </c>
      <c r="E1080" s="135" t="s">
        <v>4359</v>
      </c>
    </row>
    <row r="1081" spans="1:5" s="136" customFormat="1" x14ac:dyDescent="0.2">
      <c r="A1081" s="135" t="s">
        <v>4360</v>
      </c>
      <c r="B1081" s="135" t="s">
        <v>4361</v>
      </c>
      <c r="C1081" s="135" t="s">
        <v>4362</v>
      </c>
      <c r="D1081" s="135" t="s">
        <v>4363</v>
      </c>
      <c r="E1081" s="135" t="s">
        <v>4364</v>
      </c>
    </row>
    <row r="1082" spans="1:5" s="136" customFormat="1" x14ac:dyDescent="0.2">
      <c r="A1082" s="135" t="s">
        <v>4365</v>
      </c>
      <c r="B1082" s="135" t="s">
        <v>4366</v>
      </c>
      <c r="C1082" s="135" t="s">
        <v>4367</v>
      </c>
      <c r="D1082" s="135" t="s">
        <v>4368</v>
      </c>
      <c r="E1082" s="135" t="s">
        <v>4369</v>
      </c>
    </row>
    <row r="1083" spans="1:5" s="136" customFormat="1" x14ac:dyDescent="0.2">
      <c r="A1083" s="135" t="s">
        <v>4370</v>
      </c>
      <c r="B1083" s="135" t="s">
        <v>4371</v>
      </c>
      <c r="C1083" s="135" t="s">
        <v>4372</v>
      </c>
      <c r="D1083" s="135" t="s">
        <v>4373</v>
      </c>
      <c r="E1083" s="135" t="s">
        <v>4374</v>
      </c>
    </row>
    <row r="1084" spans="1:5" s="136" customFormat="1" x14ac:dyDescent="0.2">
      <c r="A1084" s="135" t="s">
        <v>4375</v>
      </c>
      <c r="B1084" s="135" t="s">
        <v>4376</v>
      </c>
      <c r="C1084" s="135" t="s">
        <v>4377</v>
      </c>
      <c r="D1084" s="135" t="s">
        <v>4378</v>
      </c>
      <c r="E1084" s="135" t="s">
        <v>4379</v>
      </c>
    </row>
    <row r="1085" spans="1:5" s="136" customFormat="1" x14ac:dyDescent="0.2">
      <c r="A1085" s="135" t="s">
        <v>4380</v>
      </c>
      <c r="B1085" s="135" t="s">
        <v>4381</v>
      </c>
      <c r="C1085" s="135" t="s">
        <v>4382</v>
      </c>
      <c r="D1085" s="135" t="s">
        <v>4383</v>
      </c>
      <c r="E1085" s="135" t="s">
        <v>4384</v>
      </c>
    </row>
    <row r="1086" spans="1:5" s="136" customFormat="1" x14ac:dyDescent="0.2">
      <c r="A1086" s="135" t="s">
        <v>4385</v>
      </c>
      <c r="B1086" s="135" t="s">
        <v>4386</v>
      </c>
      <c r="C1086" s="135" t="s">
        <v>4387</v>
      </c>
      <c r="D1086" s="135" t="s">
        <v>4304</v>
      </c>
      <c r="E1086" s="135" t="s">
        <v>4388</v>
      </c>
    </row>
    <row r="1087" spans="1:5" s="136" customFormat="1" x14ac:dyDescent="0.2">
      <c r="A1087" s="135" t="s">
        <v>4389</v>
      </c>
      <c r="B1087" s="135" t="s">
        <v>4390</v>
      </c>
      <c r="C1087" s="135" t="s">
        <v>4391</v>
      </c>
      <c r="D1087" s="135" t="s">
        <v>4392</v>
      </c>
      <c r="E1087" s="135" t="s">
        <v>4393</v>
      </c>
    </row>
    <row r="1088" spans="1:5" s="136" customFormat="1" x14ac:dyDescent="0.2">
      <c r="A1088" s="135" t="s">
        <v>4394</v>
      </c>
      <c r="B1088" s="135" t="s">
        <v>4395</v>
      </c>
      <c r="C1088" s="135" t="s">
        <v>4396</v>
      </c>
      <c r="D1088" s="135" t="s">
        <v>4304</v>
      </c>
      <c r="E1088" s="135" t="s">
        <v>4397</v>
      </c>
    </row>
    <row r="1089" spans="1:5" s="136" customFormat="1" x14ac:dyDescent="0.2">
      <c r="A1089" s="135" t="s">
        <v>4398</v>
      </c>
      <c r="B1089" s="135" t="s">
        <v>4399</v>
      </c>
      <c r="C1089" s="135" t="s">
        <v>4400</v>
      </c>
      <c r="D1089" s="135" t="s">
        <v>4401</v>
      </c>
      <c r="E1089" s="135" t="s">
        <v>4402</v>
      </c>
    </row>
    <row r="1090" spans="1:5" s="136" customFormat="1" x14ac:dyDescent="0.2">
      <c r="A1090" s="135" t="s">
        <v>4403</v>
      </c>
      <c r="B1090" s="135" t="s">
        <v>4404</v>
      </c>
      <c r="C1090" s="135" t="s">
        <v>4405</v>
      </c>
      <c r="D1090" s="135" t="s">
        <v>4406</v>
      </c>
      <c r="E1090" s="135" t="s">
        <v>4407</v>
      </c>
    </row>
    <row r="1091" spans="1:5" s="136" customFormat="1" x14ac:dyDescent="0.2">
      <c r="A1091" s="135" t="s">
        <v>4408</v>
      </c>
      <c r="B1091" s="135" t="s">
        <v>4409</v>
      </c>
      <c r="C1091" s="135" t="s">
        <v>4410</v>
      </c>
      <c r="D1091" s="135" t="s">
        <v>4411</v>
      </c>
      <c r="E1091" s="135" t="s">
        <v>4412</v>
      </c>
    </row>
    <row r="1092" spans="1:5" s="136" customFormat="1" x14ac:dyDescent="0.2">
      <c r="A1092" s="135" t="s">
        <v>4413</v>
      </c>
      <c r="B1092" s="135" t="s">
        <v>4414</v>
      </c>
      <c r="C1092" s="135" t="s">
        <v>4415</v>
      </c>
      <c r="D1092" s="135" t="s">
        <v>4416</v>
      </c>
      <c r="E1092" s="135" t="s">
        <v>4417</v>
      </c>
    </row>
    <row r="1093" spans="1:5" s="136" customFormat="1" x14ac:dyDescent="0.2">
      <c r="A1093" s="135" t="s">
        <v>4418</v>
      </c>
      <c r="B1093" s="135" t="s">
        <v>4419</v>
      </c>
      <c r="C1093" s="135" t="s">
        <v>4420</v>
      </c>
      <c r="D1093" s="135" t="s">
        <v>4320</v>
      </c>
      <c r="E1093" s="135" t="s">
        <v>4421</v>
      </c>
    </row>
    <row r="1094" spans="1:5" s="136" customFormat="1" x14ac:dyDescent="0.2">
      <c r="A1094" s="135" t="s">
        <v>4422</v>
      </c>
      <c r="B1094" s="135" t="s">
        <v>4423</v>
      </c>
      <c r="C1094" s="135" t="s">
        <v>4424</v>
      </c>
      <c r="D1094" s="135" t="s">
        <v>4425</v>
      </c>
      <c r="E1094" s="135" t="s">
        <v>4426</v>
      </c>
    </row>
    <row r="1095" spans="1:5" s="136" customFormat="1" x14ac:dyDescent="0.2">
      <c r="A1095" s="135" t="s">
        <v>4427</v>
      </c>
      <c r="B1095" s="135" t="s">
        <v>4428</v>
      </c>
      <c r="C1095" s="135" t="s">
        <v>4429</v>
      </c>
      <c r="D1095" s="135" t="s">
        <v>4430</v>
      </c>
      <c r="E1095" s="135" t="s">
        <v>4431</v>
      </c>
    </row>
    <row r="1096" spans="1:5" s="136" customFormat="1" x14ac:dyDescent="0.2">
      <c r="A1096" s="135" t="s">
        <v>4432</v>
      </c>
      <c r="B1096" s="135" t="s">
        <v>4433</v>
      </c>
      <c r="C1096" s="135" t="s">
        <v>4434</v>
      </c>
      <c r="D1096" s="135" t="s">
        <v>4435</v>
      </c>
      <c r="E1096" s="135" t="s">
        <v>4436</v>
      </c>
    </row>
    <row r="1097" spans="1:5" s="136" customFormat="1" x14ac:dyDescent="0.2">
      <c r="A1097" s="135" t="s">
        <v>4437</v>
      </c>
      <c r="B1097" s="135" t="s">
        <v>4438</v>
      </c>
      <c r="C1097" s="135" t="s">
        <v>4439</v>
      </c>
      <c r="D1097" s="135" t="s">
        <v>4349</v>
      </c>
      <c r="E1097" s="135" t="s">
        <v>4440</v>
      </c>
    </row>
    <row r="1098" spans="1:5" s="136" customFormat="1" x14ac:dyDescent="0.2">
      <c r="A1098" s="135" t="s">
        <v>4441</v>
      </c>
      <c r="B1098" s="135" t="s">
        <v>4442</v>
      </c>
      <c r="C1098" s="135" t="s">
        <v>4443</v>
      </c>
      <c r="D1098" s="135" t="s">
        <v>4444</v>
      </c>
      <c r="E1098" s="135" t="s">
        <v>4445</v>
      </c>
    </row>
    <row r="1099" spans="1:5" s="136" customFormat="1" x14ac:dyDescent="0.2">
      <c r="A1099" s="135" t="s">
        <v>4446</v>
      </c>
      <c r="B1099" s="135" t="s">
        <v>4447</v>
      </c>
      <c r="C1099" s="135" t="s">
        <v>4448</v>
      </c>
      <c r="D1099" s="135" t="s">
        <v>4368</v>
      </c>
      <c r="E1099" s="135" t="s">
        <v>4449</v>
      </c>
    </row>
    <row r="1100" spans="1:5" s="136" customFormat="1" x14ac:dyDescent="0.2">
      <c r="A1100" s="135" t="s">
        <v>4450</v>
      </c>
      <c r="B1100" s="135" t="s">
        <v>4451</v>
      </c>
      <c r="C1100" s="135" t="s">
        <v>4452</v>
      </c>
      <c r="D1100" s="135" t="s">
        <v>4411</v>
      </c>
      <c r="E1100" s="135" t="s">
        <v>4453</v>
      </c>
    </row>
    <row r="1101" spans="1:5" s="136" customFormat="1" x14ac:dyDescent="0.2">
      <c r="A1101" s="135" t="s">
        <v>4454</v>
      </c>
      <c r="B1101" s="135" t="s">
        <v>4455</v>
      </c>
      <c r="C1101" s="135" t="s">
        <v>4456</v>
      </c>
      <c r="D1101" s="135" t="s">
        <v>4411</v>
      </c>
      <c r="E1101" s="135" t="s">
        <v>4457</v>
      </c>
    </row>
    <row r="1102" spans="1:5" s="136" customFormat="1" x14ac:dyDescent="0.2">
      <c r="A1102" s="135" t="s">
        <v>4458</v>
      </c>
      <c r="B1102" s="135" t="s">
        <v>4459</v>
      </c>
      <c r="C1102" s="135" t="s">
        <v>4460</v>
      </c>
      <c r="D1102" s="135" t="s">
        <v>4411</v>
      </c>
      <c r="E1102" s="135" t="s">
        <v>4461</v>
      </c>
    </row>
    <row r="1103" spans="1:5" s="136" customFormat="1" x14ac:dyDescent="0.2">
      <c r="A1103" s="135" t="s">
        <v>4462</v>
      </c>
      <c r="B1103" s="135" t="s">
        <v>4463</v>
      </c>
      <c r="C1103" s="135" t="s">
        <v>4464</v>
      </c>
      <c r="D1103" s="135" t="s">
        <v>4411</v>
      </c>
      <c r="E1103" s="135" t="s">
        <v>4465</v>
      </c>
    </row>
    <row r="1104" spans="1:5" s="136" customFormat="1" x14ac:dyDescent="0.2">
      <c r="A1104" s="135" t="s">
        <v>4466</v>
      </c>
      <c r="B1104" s="135" t="s">
        <v>4467</v>
      </c>
      <c r="C1104" s="135" t="s">
        <v>4468</v>
      </c>
      <c r="D1104" s="135" t="s">
        <v>3711</v>
      </c>
      <c r="E1104" s="135" t="s">
        <v>4469</v>
      </c>
    </row>
    <row r="1105" spans="1:5" s="136" customFormat="1" x14ac:dyDescent="0.2">
      <c r="A1105" s="135" t="s">
        <v>4470</v>
      </c>
      <c r="B1105" s="135" t="s">
        <v>4471</v>
      </c>
      <c r="C1105" s="135" t="s">
        <v>4472</v>
      </c>
      <c r="D1105" s="135" t="s">
        <v>3711</v>
      </c>
      <c r="E1105" s="135" t="s">
        <v>4473</v>
      </c>
    </row>
    <row r="1106" spans="1:5" s="136" customFormat="1" x14ac:dyDescent="0.2">
      <c r="A1106" s="135" t="s">
        <v>4474</v>
      </c>
      <c r="B1106" s="135" t="s">
        <v>4475</v>
      </c>
      <c r="C1106" s="135" t="s">
        <v>4476</v>
      </c>
      <c r="D1106" s="135" t="s">
        <v>3711</v>
      </c>
      <c r="E1106" s="135" t="s">
        <v>4473</v>
      </c>
    </row>
    <row r="1107" spans="1:5" s="136" customFormat="1" x14ac:dyDescent="0.2">
      <c r="A1107" s="135" t="s">
        <v>4477</v>
      </c>
      <c r="B1107" s="135" t="s">
        <v>4478</v>
      </c>
      <c r="C1107" s="135" t="s">
        <v>4479</v>
      </c>
      <c r="D1107" s="135" t="s">
        <v>4401</v>
      </c>
      <c r="E1107" s="135" t="s">
        <v>4480</v>
      </c>
    </row>
    <row r="1108" spans="1:5" s="136" customFormat="1" x14ac:dyDescent="0.2">
      <c r="A1108" s="135" t="s">
        <v>4481</v>
      </c>
      <c r="B1108" s="135" t="s">
        <v>4482</v>
      </c>
      <c r="C1108" s="135" t="s">
        <v>4483</v>
      </c>
      <c r="D1108" s="135" t="s">
        <v>4444</v>
      </c>
      <c r="E1108" s="135" t="s">
        <v>4484</v>
      </c>
    </row>
    <row r="1109" spans="1:5" s="136" customFormat="1" x14ac:dyDescent="0.2">
      <c r="A1109" s="135" t="s">
        <v>4485</v>
      </c>
      <c r="B1109" s="135" t="s">
        <v>4486</v>
      </c>
      <c r="C1109" s="135" t="s">
        <v>4487</v>
      </c>
      <c r="D1109" s="135" t="s">
        <v>4373</v>
      </c>
      <c r="E1109" s="135" t="s">
        <v>4488</v>
      </c>
    </row>
    <row r="1110" spans="1:5" s="136" customFormat="1" x14ac:dyDescent="0.2">
      <c r="A1110" s="135" t="s">
        <v>4489</v>
      </c>
      <c r="B1110" s="135" t="s">
        <v>4490</v>
      </c>
      <c r="C1110" s="135" t="s">
        <v>4491</v>
      </c>
      <c r="D1110" s="135" t="s">
        <v>4406</v>
      </c>
      <c r="E1110" s="135" t="s">
        <v>4492</v>
      </c>
    </row>
    <row r="1111" spans="1:5" s="136" customFormat="1" x14ac:dyDescent="0.2">
      <c r="A1111" s="135" t="s">
        <v>4493</v>
      </c>
      <c r="B1111" s="135" t="s">
        <v>4494</v>
      </c>
      <c r="C1111" s="135" t="s">
        <v>4495</v>
      </c>
    </row>
    <row r="1112" spans="1:5" s="136" customFormat="1" x14ac:dyDescent="0.2">
      <c r="A1112" s="135" t="s">
        <v>4496</v>
      </c>
      <c r="B1112" s="135" t="s">
        <v>4497</v>
      </c>
      <c r="C1112" s="135" t="s">
        <v>4498</v>
      </c>
      <c r="D1112" s="135" t="s">
        <v>4499</v>
      </c>
      <c r="E1112" s="135" t="s">
        <v>4500</v>
      </c>
    </row>
    <row r="1113" spans="1:5" s="136" customFormat="1" x14ac:dyDescent="0.2">
      <c r="A1113" s="135" t="s">
        <v>4501</v>
      </c>
      <c r="B1113" s="135" t="s">
        <v>4502</v>
      </c>
      <c r="C1113" s="135" t="s">
        <v>4503</v>
      </c>
      <c r="D1113" s="135" t="s">
        <v>4499</v>
      </c>
      <c r="E1113" s="135" t="s">
        <v>4504</v>
      </c>
    </row>
    <row r="1114" spans="1:5" s="136" customFormat="1" x14ac:dyDescent="0.2">
      <c r="A1114" s="135" t="s">
        <v>4505</v>
      </c>
      <c r="B1114" s="135" t="s">
        <v>4506</v>
      </c>
      <c r="C1114" s="135" t="s">
        <v>4507</v>
      </c>
      <c r="D1114" s="135" t="s">
        <v>4499</v>
      </c>
      <c r="E1114" s="135" t="s">
        <v>4508</v>
      </c>
    </row>
    <row r="1115" spans="1:5" s="136" customFormat="1" x14ac:dyDescent="0.2">
      <c r="A1115" s="135" t="s">
        <v>4509</v>
      </c>
      <c r="B1115" s="135" t="s">
        <v>4510</v>
      </c>
      <c r="C1115" s="135" t="s">
        <v>4511</v>
      </c>
      <c r="D1115" s="135" t="s">
        <v>4499</v>
      </c>
      <c r="E1115" s="135" t="s">
        <v>4512</v>
      </c>
    </row>
    <row r="1116" spans="1:5" s="136" customFormat="1" x14ac:dyDescent="0.2">
      <c r="A1116" s="135" t="s">
        <v>4513</v>
      </c>
      <c r="B1116" s="135" t="s">
        <v>4514</v>
      </c>
      <c r="C1116" s="135" t="s">
        <v>4515</v>
      </c>
      <c r="D1116" s="135" t="s">
        <v>4499</v>
      </c>
      <c r="E1116" s="135" t="s">
        <v>4516</v>
      </c>
    </row>
    <row r="1117" spans="1:5" s="136" customFormat="1" x14ac:dyDescent="0.2">
      <c r="A1117" s="135" t="s">
        <v>4517</v>
      </c>
      <c r="B1117" s="135" t="s">
        <v>4518</v>
      </c>
      <c r="C1117" s="135" t="s">
        <v>4519</v>
      </c>
      <c r="D1117" s="135" t="s">
        <v>4499</v>
      </c>
      <c r="E1117" s="135" t="s">
        <v>4520</v>
      </c>
    </row>
    <row r="1118" spans="1:5" s="136" customFormat="1" x14ac:dyDescent="0.2">
      <c r="A1118" s="135" t="s">
        <v>4521</v>
      </c>
      <c r="B1118" s="135" t="s">
        <v>4522</v>
      </c>
      <c r="C1118" s="135" t="s">
        <v>4523</v>
      </c>
      <c r="D1118" s="135" t="s">
        <v>4499</v>
      </c>
      <c r="E1118" s="135" t="s">
        <v>4524</v>
      </c>
    </row>
    <row r="1119" spans="1:5" s="136" customFormat="1" x14ac:dyDescent="0.2">
      <c r="A1119" s="135" t="s">
        <v>4525</v>
      </c>
      <c r="B1119" s="135" t="s">
        <v>4526</v>
      </c>
      <c r="C1119" s="135" t="s">
        <v>4527</v>
      </c>
      <c r="D1119" s="135" t="s">
        <v>4499</v>
      </c>
      <c r="E1119" s="135" t="s">
        <v>4528</v>
      </c>
    </row>
    <row r="1120" spans="1:5" s="136" customFormat="1" x14ac:dyDescent="0.2">
      <c r="A1120" s="135" t="s">
        <v>4529</v>
      </c>
      <c r="B1120" s="135" t="s">
        <v>4530</v>
      </c>
      <c r="C1120" s="135" t="s">
        <v>4531</v>
      </c>
      <c r="D1120" s="135" t="s">
        <v>4499</v>
      </c>
      <c r="E1120" s="135" t="s">
        <v>4532</v>
      </c>
    </row>
    <row r="1121" spans="1:5" s="136" customFormat="1" x14ac:dyDescent="0.2">
      <c r="A1121" s="135" t="s">
        <v>4533</v>
      </c>
      <c r="B1121" s="135" t="s">
        <v>4534</v>
      </c>
      <c r="C1121" s="135" t="s">
        <v>4535</v>
      </c>
      <c r="D1121" s="135" t="s">
        <v>4499</v>
      </c>
      <c r="E1121" s="135" t="s">
        <v>4536</v>
      </c>
    </row>
    <row r="1122" spans="1:5" s="136" customFormat="1" x14ac:dyDescent="0.2">
      <c r="A1122" s="135" t="s">
        <v>4537</v>
      </c>
      <c r="B1122" s="135" t="s">
        <v>4538</v>
      </c>
      <c r="C1122" s="135" t="s">
        <v>4539</v>
      </c>
      <c r="D1122" s="135" t="s">
        <v>4499</v>
      </c>
      <c r="E1122" s="135" t="s">
        <v>4540</v>
      </c>
    </row>
    <row r="1123" spans="1:5" s="136" customFormat="1" x14ac:dyDescent="0.2">
      <c r="A1123" s="135" t="s">
        <v>4541</v>
      </c>
      <c r="B1123" s="135" t="s">
        <v>4542</v>
      </c>
      <c r="C1123" s="135" t="s">
        <v>4543</v>
      </c>
      <c r="D1123" s="135" t="s">
        <v>4499</v>
      </c>
      <c r="E1123" s="135" t="s">
        <v>4544</v>
      </c>
    </row>
    <row r="1124" spans="1:5" s="136" customFormat="1" x14ac:dyDescent="0.2">
      <c r="A1124" s="135" t="s">
        <v>4545</v>
      </c>
      <c r="B1124" s="135" t="s">
        <v>4546</v>
      </c>
      <c r="C1124" s="135" t="s">
        <v>4547</v>
      </c>
      <c r="D1124" s="135" t="s">
        <v>4499</v>
      </c>
      <c r="E1124" s="135" t="s">
        <v>4548</v>
      </c>
    </row>
    <row r="1125" spans="1:5" s="136" customFormat="1" x14ac:dyDescent="0.2">
      <c r="A1125" s="135" t="s">
        <v>4549</v>
      </c>
      <c r="B1125" s="135" t="s">
        <v>4550</v>
      </c>
      <c r="C1125" s="135" t="s">
        <v>4551</v>
      </c>
      <c r="D1125" s="135" t="s">
        <v>4499</v>
      </c>
      <c r="E1125" s="135" t="s">
        <v>4552</v>
      </c>
    </row>
    <row r="1126" spans="1:5" s="136" customFormat="1" x14ac:dyDescent="0.2">
      <c r="A1126" s="135" t="s">
        <v>4553</v>
      </c>
      <c r="B1126" s="135" t="s">
        <v>4554</v>
      </c>
      <c r="C1126" s="135" t="s">
        <v>4555</v>
      </c>
      <c r="D1126" s="135" t="s">
        <v>4499</v>
      </c>
      <c r="E1126" s="135" t="s">
        <v>4556</v>
      </c>
    </row>
    <row r="1127" spans="1:5" s="136" customFormat="1" x14ac:dyDescent="0.2">
      <c r="A1127" s="135" t="s">
        <v>4557</v>
      </c>
      <c r="B1127" s="135" t="s">
        <v>4558</v>
      </c>
      <c r="C1127" s="135" t="s">
        <v>4559</v>
      </c>
      <c r="D1127" s="135" t="s">
        <v>4499</v>
      </c>
      <c r="E1127" s="135" t="s">
        <v>4560</v>
      </c>
    </row>
    <row r="1128" spans="1:5" s="136" customFormat="1" x14ac:dyDescent="0.2">
      <c r="A1128" s="135" t="s">
        <v>4561</v>
      </c>
      <c r="B1128" s="135" t="s">
        <v>4562</v>
      </c>
      <c r="C1128" s="135" t="s">
        <v>4563</v>
      </c>
      <c r="D1128" s="135" t="s">
        <v>4564</v>
      </c>
      <c r="E1128" s="135" t="s">
        <v>4565</v>
      </c>
    </row>
    <row r="1129" spans="1:5" s="136" customFormat="1" x14ac:dyDescent="0.2">
      <c r="A1129" s="135" t="s">
        <v>4566</v>
      </c>
      <c r="B1129" s="135" t="s">
        <v>4567</v>
      </c>
      <c r="C1129" s="135" t="s">
        <v>4568</v>
      </c>
      <c r="D1129" s="135" t="s">
        <v>4569</v>
      </c>
      <c r="E1129" s="135" t="s">
        <v>4570</v>
      </c>
    </row>
    <row r="1130" spans="1:5" s="136" customFormat="1" x14ac:dyDescent="0.2">
      <c r="A1130" s="135" t="s">
        <v>4571</v>
      </c>
      <c r="B1130" s="135" t="s">
        <v>4572</v>
      </c>
      <c r="C1130" s="135" t="s">
        <v>4573</v>
      </c>
      <c r="D1130" s="135" t="s">
        <v>4574</v>
      </c>
      <c r="E1130" s="135" t="s">
        <v>4575</v>
      </c>
    </row>
    <row r="1131" spans="1:5" s="136" customFormat="1" x14ac:dyDescent="0.2">
      <c r="A1131" s="135" t="s">
        <v>4576</v>
      </c>
      <c r="B1131" s="135" t="s">
        <v>4577</v>
      </c>
      <c r="C1131" s="135" t="s">
        <v>4578</v>
      </c>
      <c r="D1131" s="135" t="s">
        <v>4579</v>
      </c>
      <c r="E1131" s="135" t="s">
        <v>4580</v>
      </c>
    </row>
    <row r="1132" spans="1:5" s="136" customFormat="1" x14ac:dyDescent="0.2">
      <c r="A1132" s="135" t="s">
        <v>4581</v>
      </c>
      <c r="B1132" s="135" t="s">
        <v>4582</v>
      </c>
      <c r="C1132" s="135" t="s">
        <v>4583</v>
      </c>
      <c r="D1132" s="135" t="s">
        <v>4584</v>
      </c>
      <c r="E1132" s="135" t="s">
        <v>4585</v>
      </c>
    </row>
    <row r="1133" spans="1:5" s="136" customFormat="1" x14ac:dyDescent="0.2">
      <c r="A1133" s="135" t="s">
        <v>4586</v>
      </c>
      <c r="B1133" s="135" t="s">
        <v>4587</v>
      </c>
      <c r="C1133" s="135" t="s">
        <v>4588</v>
      </c>
      <c r="D1133" s="135" t="s">
        <v>4589</v>
      </c>
      <c r="E1133" s="135" t="s">
        <v>4590</v>
      </c>
    </row>
    <row r="1134" spans="1:5" s="136" customFormat="1" x14ac:dyDescent="0.2">
      <c r="A1134" s="135" t="s">
        <v>4591</v>
      </c>
      <c r="B1134" s="135" t="s">
        <v>4592</v>
      </c>
      <c r="C1134" s="135" t="s">
        <v>4593</v>
      </c>
      <c r="D1134" s="135" t="s">
        <v>4594</v>
      </c>
      <c r="E1134" s="135" t="s">
        <v>4595</v>
      </c>
    </row>
    <row r="1135" spans="1:5" s="136" customFormat="1" x14ac:dyDescent="0.2">
      <c r="A1135" s="135" t="s">
        <v>4596</v>
      </c>
      <c r="B1135" s="135" t="s">
        <v>4597</v>
      </c>
      <c r="C1135" s="135" t="s">
        <v>4598</v>
      </c>
      <c r="D1135" s="135" t="s">
        <v>4599</v>
      </c>
      <c r="E1135" s="135" t="s">
        <v>4600</v>
      </c>
    </row>
    <row r="1136" spans="1:5" s="136" customFormat="1" x14ac:dyDescent="0.2">
      <c r="A1136" s="135" t="s">
        <v>4601</v>
      </c>
      <c r="B1136" s="135" t="s">
        <v>4602</v>
      </c>
      <c r="C1136" s="135" t="s">
        <v>4603</v>
      </c>
      <c r="D1136" s="135" t="s">
        <v>4604</v>
      </c>
      <c r="E1136" s="135" t="s">
        <v>4605</v>
      </c>
    </row>
    <row r="1137" spans="1:5" s="136" customFormat="1" x14ac:dyDescent="0.2">
      <c r="A1137" s="135" t="s">
        <v>4606</v>
      </c>
      <c r="B1137" s="135" t="s">
        <v>4607</v>
      </c>
      <c r="C1137" s="135" t="s">
        <v>4608</v>
      </c>
      <c r="D1137" s="135" t="s">
        <v>4604</v>
      </c>
      <c r="E1137" s="135" t="s">
        <v>4609</v>
      </c>
    </row>
    <row r="1138" spans="1:5" s="136" customFormat="1" x14ac:dyDescent="0.2">
      <c r="A1138" s="135" t="s">
        <v>4610</v>
      </c>
      <c r="B1138" s="135" t="s">
        <v>4611</v>
      </c>
      <c r="C1138" s="135" t="s">
        <v>4612</v>
      </c>
      <c r="D1138" s="135" t="s">
        <v>4613</v>
      </c>
      <c r="E1138" s="135" t="s">
        <v>4614</v>
      </c>
    </row>
    <row r="1139" spans="1:5" s="136" customFormat="1" x14ac:dyDescent="0.2">
      <c r="A1139" s="135" t="s">
        <v>4615</v>
      </c>
      <c r="B1139" s="135" t="s">
        <v>4616</v>
      </c>
      <c r="C1139" s="135" t="s">
        <v>4617</v>
      </c>
      <c r="D1139" s="135" t="s">
        <v>4604</v>
      </c>
      <c r="E1139" s="135" t="s">
        <v>4618</v>
      </c>
    </row>
    <row r="1140" spans="1:5" s="136" customFormat="1" x14ac:dyDescent="0.2">
      <c r="A1140" s="135" t="s">
        <v>4619</v>
      </c>
      <c r="B1140" s="135" t="s">
        <v>4620</v>
      </c>
      <c r="C1140" s="135" t="s">
        <v>4621</v>
      </c>
      <c r="D1140" s="135" t="s">
        <v>4622</v>
      </c>
      <c r="E1140" s="135" t="s">
        <v>4623</v>
      </c>
    </row>
    <row r="1141" spans="1:5" s="136" customFormat="1" x14ac:dyDescent="0.2">
      <c r="A1141" s="135" t="s">
        <v>4624</v>
      </c>
      <c r="B1141" s="135" t="s">
        <v>4625</v>
      </c>
      <c r="C1141" s="135" t="s">
        <v>4626</v>
      </c>
      <c r="D1141" s="135" t="s">
        <v>4594</v>
      </c>
      <c r="E1141" s="135" t="s">
        <v>4627</v>
      </c>
    </row>
    <row r="1142" spans="1:5" s="136" customFormat="1" x14ac:dyDescent="0.2">
      <c r="A1142" s="135" t="s">
        <v>4628</v>
      </c>
      <c r="B1142" s="135" t="s">
        <v>4629</v>
      </c>
      <c r="C1142" s="135" t="s">
        <v>4630</v>
      </c>
      <c r="D1142" s="135" t="s">
        <v>4589</v>
      </c>
      <c r="E1142" s="135" t="s">
        <v>4631</v>
      </c>
    </row>
    <row r="1143" spans="1:5" s="136" customFormat="1" x14ac:dyDescent="0.2">
      <c r="A1143" s="135" t="s">
        <v>4632</v>
      </c>
      <c r="B1143" s="135" t="s">
        <v>4633</v>
      </c>
      <c r="C1143" s="135" t="s">
        <v>4634</v>
      </c>
      <c r="D1143" s="135" t="s">
        <v>4584</v>
      </c>
      <c r="E1143" s="135" t="s">
        <v>4635</v>
      </c>
    </row>
    <row r="1144" spans="1:5" s="136" customFormat="1" x14ac:dyDescent="0.2">
      <c r="A1144" s="135" t="s">
        <v>4636</v>
      </c>
      <c r="B1144" s="135" t="s">
        <v>4637</v>
      </c>
      <c r="C1144" s="135" t="s">
        <v>4638</v>
      </c>
      <c r="D1144" s="135" t="s">
        <v>4639</v>
      </c>
      <c r="E1144" s="135" t="s">
        <v>4640</v>
      </c>
    </row>
    <row r="1145" spans="1:5" s="136" customFormat="1" x14ac:dyDescent="0.2">
      <c r="A1145" s="135" t="s">
        <v>4641</v>
      </c>
      <c r="B1145" s="135" t="s">
        <v>4642</v>
      </c>
      <c r="C1145" s="135" t="s">
        <v>4643</v>
      </c>
      <c r="D1145" s="135" t="s">
        <v>4589</v>
      </c>
      <c r="E1145" s="135" t="s">
        <v>4644</v>
      </c>
    </row>
    <row r="1146" spans="1:5" s="136" customFormat="1" x14ac:dyDescent="0.2">
      <c r="A1146" s="135" t="s">
        <v>4645</v>
      </c>
      <c r="B1146" s="135" t="s">
        <v>4646</v>
      </c>
      <c r="C1146" s="135" t="s">
        <v>4647</v>
      </c>
      <c r="D1146" s="135" t="s">
        <v>4648</v>
      </c>
      <c r="E1146" s="135" t="s">
        <v>4649</v>
      </c>
    </row>
    <row r="1147" spans="1:5" s="136" customFormat="1" x14ac:dyDescent="0.2">
      <c r="A1147" s="135" t="s">
        <v>4650</v>
      </c>
      <c r="B1147" s="135" t="s">
        <v>4651</v>
      </c>
      <c r="C1147" s="135" t="s">
        <v>4652</v>
      </c>
      <c r="D1147" s="135" t="s">
        <v>4653</v>
      </c>
      <c r="E1147" s="135" t="s">
        <v>4654</v>
      </c>
    </row>
    <row r="1148" spans="1:5" s="136" customFormat="1" x14ac:dyDescent="0.2">
      <c r="A1148" s="135" t="s">
        <v>4655</v>
      </c>
      <c r="B1148" s="135" t="s">
        <v>4656</v>
      </c>
      <c r="C1148" s="135" t="s">
        <v>4657</v>
      </c>
      <c r="D1148" s="135" t="s">
        <v>4658</v>
      </c>
      <c r="E1148" s="135" t="s">
        <v>4659</v>
      </c>
    </row>
    <row r="1149" spans="1:5" s="136" customFormat="1" x14ac:dyDescent="0.2">
      <c r="A1149" s="135" t="s">
        <v>4660</v>
      </c>
      <c r="B1149" s="135" t="s">
        <v>4661</v>
      </c>
      <c r="C1149" s="135" t="s">
        <v>4662</v>
      </c>
      <c r="D1149" s="135" t="s">
        <v>4663</v>
      </c>
      <c r="E1149" s="135" t="s">
        <v>4664</v>
      </c>
    </row>
    <row r="1150" spans="1:5" s="136" customFormat="1" x14ac:dyDescent="0.2">
      <c r="A1150" s="135" t="s">
        <v>4665</v>
      </c>
      <c r="B1150" s="135" t="s">
        <v>4666</v>
      </c>
      <c r="C1150" s="135" t="s">
        <v>4667</v>
      </c>
      <c r="D1150" s="135" t="s">
        <v>4668</v>
      </c>
      <c r="E1150" s="135" t="s">
        <v>4669</v>
      </c>
    </row>
    <row r="1151" spans="1:5" s="136" customFormat="1" x14ac:dyDescent="0.2">
      <c r="A1151" s="135" t="s">
        <v>4670</v>
      </c>
      <c r="B1151" s="135" t="s">
        <v>4671</v>
      </c>
      <c r="C1151" s="135" t="s">
        <v>4672</v>
      </c>
      <c r="D1151" s="135" t="s">
        <v>4604</v>
      </c>
      <c r="E1151" s="135" t="s">
        <v>4673</v>
      </c>
    </row>
    <row r="1152" spans="1:5" s="136" customFormat="1" x14ac:dyDescent="0.2">
      <c r="A1152" s="135" t="s">
        <v>4674</v>
      </c>
      <c r="B1152" s="135" t="s">
        <v>4675</v>
      </c>
      <c r="C1152" s="135" t="s">
        <v>4676</v>
      </c>
      <c r="D1152" s="135" t="s">
        <v>4677</v>
      </c>
      <c r="E1152" s="135" t="s">
        <v>4678</v>
      </c>
    </row>
    <row r="1153" spans="1:5" s="136" customFormat="1" x14ac:dyDescent="0.2">
      <c r="A1153" s="135" t="s">
        <v>4679</v>
      </c>
      <c r="B1153" s="135" t="s">
        <v>4680</v>
      </c>
      <c r="C1153" s="135" t="s">
        <v>4681</v>
      </c>
      <c r="D1153" s="135" t="s">
        <v>4604</v>
      </c>
      <c r="E1153" s="135" t="s">
        <v>4682</v>
      </c>
    </row>
    <row r="1154" spans="1:5" s="136" customFormat="1" x14ac:dyDescent="0.2">
      <c r="A1154" s="135" t="s">
        <v>4683</v>
      </c>
      <c r="B1154" s="135" t="s">
        <v>4684</v>
      </c>
      <c r="C1154" s="135" t="s">
        <v>4685</v>
      </c>
      <c r="D1154" s="135" t="s">
        <v>4639</v>
      </c>
      <c r="E1154" s="135" t="s">
        <v>4686</v>
      </c>
    </row>
    <row r="1155" spans="1:5" s="136" customFormat="1" x14ac:dyDescent="0.2">
      <c r="A1155" s="135" t="s">
        <v>4687</v>
      </c>
      <c r="B1155" s="135" t="s">
        <v>4688</v>
      </c>
      <c r="C1155" s="135" t="s">
        <v>4689</v>
      </c>
      <c r="D1155" s="135" t="s">
        <v>4663</v>
      </c>
      <c r="E1155" s="135" t="s">
        <v>4690</v>
      </c>
    </row>
    <row r="1156" spans="1:5" s="136" customFormat="1" x14ac:dyDescent="0.2">
      <c r="A1156" s="135" t="s">
        <v>4691</v>
      </c>
      <c r="B1156" s="135" t="s">
        <v>4692</v>
      </c>
      <c r="C1156" s="135" t="s">
        <v>4693</v>
      </c>
      <c r="D1156" s="135" t="s">
        <v>4677</v>
      </c>
      <c r="E1156" s="135" t="s">
        <v>4694</v>
      </c>
    </row>
    <row r="1157" spans="1:5" s="136" customFormat="1" x14ac:dyDescent="0.2">
      <c r="A1157" s="135" t="s">
        <v>4695</v>
      </c>
      <c r="B1157" s="135" t="s">
        <v>4696</v>
      </c>
      <c r="C1157" s="135" t="s">
        <v>4697</v>
      </c>
      <c r="D1157" s="135" t="s">
        <v>4698</v>
      </c>
      <c r="E1157" s="135" t="s">
        <v>4699</v>
      </c>
    </row>
    <row r="1158" spans="1:5" s="136" customFormat="1" x14ac:dyDescent="0.2">
      <c r="A1158" s="135" t="s">
        <v>4700</v>
      </c>
      <c r="B1158" s="135" t="s">
        <v>4701</v>
      </c>
      <c r="C1158" s="135" t="s">
        <v>4702</v>
      </c>
      <c r="D1158" s="135" t="s">
        <v>4599</v>
      </c>
      <c r="E1158" s="135" t="s">
        <v>4703</v>
      </c>
    </row>
    <row r="1159" spans="1:5" s="136" customFormat="1" x14ac:dyDescent="0.2">
      <c r="A1159" s="135" t="s">
        <v>4704</v>
      </c>
      <c r="B1159" s="135" t="s">
        <v>4705</v>
      </c>
      <c r="C1159" s="135" t="s">
        <v>4706</v>
      </c>
      <c r="D1159" s="135" t="s">
        <v>4499</v>
      </c>
      <c r="E1159" s="135" t="s">
        <v>4707</v>
      </c>
    </row>
    <row r="1160" spans="1:5" s="136" customFormat="1" x14ac:dyDescent="0.2">
      <c r="A1160" s="135" t="s">
        <v>4708</v>
      </c>
      <c r="B1160" s="135" t="s">
        <v>4709</v>
      </c>
      <c r="C1160" s="135" t="s">
        <v>4710</v>
      </c>
      <c r="D1160" s="135" t="s">
        <v>4589</v>
      </c>
      <c r="E1160" s="135" t="s">
        <v>4711</v>
      </c>
    </row>
    <row r="1161" spans="1:5" s="136" customFormat="1" x14ac:dyDescent="0.2">
      <c r="A1161" s="135" t="s">
        <v>4712</v>
      </c>
      <c r="B1161" s="135" t="s">
        <v>4713</v>
      </c>
      <c r="C1161" s="135" t="s">
        <v>4714</v>
      </c>
      <c r="D1161" s="135" t="s">
        <v>4599</v>
      </c>
      <c r="E1161" s="135" t="s">
        <v>4715</v>
      </c>
    </row>
    <row r="1162" spans="1:5" s="136" customFormat="1" x14ac:dyDescent="0.2">
      <c r="A1162" s="135" t="s">
        <v>4716</v>
      </c>
      <c r="B1162" s="135" t="s">
        <v>4717</v>
      </c>
      <c r="C1162" s="135" t="s">
        <v>4718</v>
      </c>
      <c r="D1162" s="135" t="s">
        <v>4579</v>
      </c>
      <c r="E1162" s="135" t="s">
        <v>4719</v>
      </c>
    </row>
    <row r="1163" spans="1:5" s="136" customFormat="1" x14ac:dyDescent="0.2">
      <c r="A1163" s="135" t="s">
        <v>4720</v>
      </c>
      <c r="B1163" s="135" t="s">
        <v>4721</v>
      </c>
      <c r="C1163" s="135" t="s">
        <v>4722</v>
      </c>
      <c r="D1163" s="135" t="s">
        <v>4499</v>
      </c>
      <c r="E1163" s="135" t="s">
        <v>4723</v>
      </c>
    </row>
    <row r="1164" spans="1:5" s="136" customFormat="1" x14ac:dyDescent="0.2">
      <c r="A1164" s="135" t="s">
        <v>4724</v>
      </c>
      <c r="B1164" s="135" t="s">
        <v>4725</v>
      </c>
      <c r="C1164" s="135" t="s">
        <v>4726</v>
      </c>
      <c r="D1164" s="135" t="s">
        <v>4579</v>
      </c>
      <c r="E1164" s="135" t="s">
        <v>4727</v>
      </c>
    </row>
    <row r="1165" spans="1:5" s="136" customFormat="1" x14ac:dyDescent="0.2">
      <c r="A1165" s="135" t="s">
        <v>4728</v>
      </c>
      <c r="B1165" s="135" t="s">
        <v>4729</v>
      </c>
      <c r="C1165" s="135" t="s">
        <v>4730</v>
      </c>
      <c r="D1165" s="135" t="s">
        <v>4677</v>
      </c>
      <c r="E1165" s="135" t="s">
        <v>4694</v>
      </c>
    </row>
    <row r="1166" spans="1:5" s="136" customFormat="1" x14ac:dyDescent="0.2">
      <c r="A1166" s="135" t="s">
        <v>4731</v>
      </c>
      <c r="B1166" s="135" t="s">
        <v>4732</v>
      </c>
      <c r="C1166" s="135" t="s">
        <v>4733</v>
      </c>
      <c r="D1166" s="135" t="s">
        <v>4589</v>
      </c>
      <c r="E1166" s="135" t="s">
        <v>4734</v>
      </c>
    </row>
    <row r="1167" spans="1:5" s="136" customFormat="1" x14ac:dyDescent="0.2">
      <c r="A1167" s="135" t="s">
        <v>4735</v>
      </c>
      <c r="B1167" s="135" t="s">
        <v>4736</v>
      </c>
      <c r="C1167" s="135" t="s">
        <v>4737</v>
      </c>
      <c r="D1167" s="135" t="s">
        <v>4639</v>
      </c>
      <c r="E1167" s="135" t="s">
        <v>4738</v>
      </c>
    </row>
    <row r="1168" spans="1:5" s="136" customFormat="1" x14ac:dyDescent="0.2">
      <c r="A1168" s="135" t="s">
        <v>4739</v>
      </c>
      <c r="B1168" s="135" t="s">
        <v>4740</v>
      </c>
      <c r="C1168" s="135" t="s">
        <v>4741</v>
      </c>
      <c r="D1168" s="135" t="s">
        <v>4639</v>
      </c>
      <c r="E1168" s="135" t="s">
        <v>4738</v>
      </c>
    </row>
    <row r="1169" spans="1:5" s="136" customFormat="1" x14ac:dyDescent="0.2">
      <c r="A1169" s="135" t="s">
        <v>4742</v>
      </c>
      <c r="B1169" s="135" t="s">
        <v>4743</v>
      </c>
      <c r="C1169" s="135" t="s">
        <v>4744</v>
      </c>
      <c r="D1169" s="135" t="s">
        <v>4499</v>
      </c>
      <c r="E1169" s="135" t="s">
        <v>4745</v>
      </c>
    </row>
    <row r="1170" spans="1:5" s="136" customFormat="1" x14ac:dyDescent="0.2">
      <c r="A1170" s="135" t="s">
        <v>4746</v>
      </c>
      <c r="B1170" s="135" t="s">
        <v>4747</v>
      </c>
      <c r="C1170" s="135" t="s">
        <v>4748</v>
      </c>
      <c r="D1170" s="135" t="s">
        <v>4599</v>
      </c>
      <c r="E1170" s="135" t="s">
        <v>4749</v>
      </c>
    </row>
    <row r="1171" spans="1:5" s="136" customFormat="1" x14ac:dyDescent="0.2">
      <c r="A1171" s="135" t="s">
        <v>4750</v>
      </c>
      <c r="B1171" s="135" t="s">
        <v>4751</v>
      </c>
      <c r="C1171" s="135" t="s">
        <v>4752</v>
      </c>
      <c r="D1171" s="135" t="s">
        <v>4599</v>
      </c>
      <c r="E1171" s="135" t="s">
        <v>4753</v>
      </c>
    </row>
    <row r="1172" spans="1:5" s="136" customFormat="1" x14ac:dyDescent="0.2">
      <c r="A1172" s="135" t="s">
        <v>4754</v>
      </c>
      <c r="B1172" s="135" t="s">
        <v>4755</v>
      </c>
      <c r="C1172" s="135" t="s">
        <v>4756</v>
      </c>
      <c r="D1172" s="135" t="s">
        <v>4584</v>
      </c>
      <c r="E1172" s="135" t="s">
        <v>4757</v>
      </c>
    </row>
    <row r="1173" spans="1:5" s="136" customFormat="1" x14ac:dyDescent="0.2">
      <c r="A1173" s="135" t="s">
        <v>4758</v>
      </c>
      <c r="B1173" s="135" t="s">
        <v>4759</v>
      </c>
      <c r="C1173" s="135" t="s">
        <v>4760</v>
      </c>
      <c r="D1173" s="135" t="s">
        <v>4663</v>
      </c>
      <c r="E1173" s="135" t="s">
        <v>4761</v>
      </c>
    </row>
    <row r="1174" spans="1:5" s="136" customFormat="1" x14ac:dyDescent="0.2">
      <c r="A1174" s="135" t="s">
        <v>4762</v>
      </c>
      <c r="B1174" s="135" t="s">
        <v>4763</v>
      </c>
      <c r="C1174" s="135" t="s">
        <v>4764</v>
      </c>
      <c r="D1174" s="135" t="s">
        <v>4584</v>
      </c>
      <c r="E1174" s="135" t="s">
        <v>4765</v>
      </c>
    </row>
    <row r="1175" spans="1:5" s="136" customFormat="1" x14ac:dyDescent="0.2">
      <c r="A1175" s="135" t="s">
        <v>4766</v>
      </c>
      <c r="B1175" s="135" t="s">
        <v>4767</v>
      </c>
      <c r="C1175" s="135" t="s">
        <v>4768</v>
      </c>
      <c r="D1175" s="135" t="s">
        <v>4584</v>
      </c>
      <c r="E1175" s="135" t="s">
        <v>4769</v>
      </c>
    </row>
    <row r="1176" spans="1:5" s="136" customFormat="1" x14ac:dyDescent="0.2">
      <c r="A1176" s="135" t="s">
        <v>4770</v>
      </c>
      <c r="B1176" s="135" t="s">
        <v>4771</v>
      </c>
      <c r="C1176" s="135" t="s">
        <v>4772</v>
      </c>
      <c r="D1176" s="135" t="s">
        <v>4584</v>
      </c>
      <c r="E1176" s="135" t="s">
        <v>4773</v>
      </c>
    </row>
    <row r="1177" spans="1:5" s="136" customFormat="1" x14ac:dyDescent="0.2">
      <c r="A1177" s="135" t="s">
        <v>4774</v>
      </c>
      <c r="B1177" s="135" t="s">
        <v>4775</v>
      </c>
      <c r="C1177" s="135" t="s">
        <v>4776</v>
      </c>
      <c r="D1177" s="135" t="s">
        <v>4569</v>
      </c>
      <c r="E1177" s="135" t="s">
        <v>4777</v>
      </c>
    </row>
    <row r="1178" spans="1:5" s="136" customFormat="1" x14ac:dyDescent="0.2">
      <c r="A1178" s="135" t="s">
        <v>4778</v>
      </c>
      <c r="B1178" s="135" t="s">
        <v>4779</v>
      </c>
      <c r="C1178" s="135" t="s">
        <v>4780</v>
      </c>
      <c r="D1178" s="135" t="s">
        <v>4653</v>
      </c>
      <c r="E1178" s="135" t="s">
        <v>4781</v>
      </c>
    </row>
    <row r="1179" spans="1:5" s="136" customFormat="1" x14ac:dyDescent="0.2">
      <c r="A1179" s="135" t="s">
        <v>4782</v>
      </c>
      <c r="B1179" s="135" t="s">
        <v>4783</v>
      </c>
      <c r="C1179" s="135" t="s">
        <v>4784</v>
      </c>
      <c r="D1179" s="135" t="s">
        <v>4653</v>
      </c>
      <c r="E1179" s="135" t="s">
        <v>4785</v>
      </c>
    </row>
    <row r="1180" spans="1:5" s="136" customFormat="1" x14ac:dyDescent="0.2">
      <c r="A1180" s="135" t="s">
        <v>4786</v>
      </c>
      <c r="B1180" s="135" t="s">
        <v>4787</v>
      </c>
      <c r="C1180" s="135" t="s">
        <v>4788</v>
      </c>
      <c r="D1180" s="135" t="s">
        <v>4653</v>
      </c>
      <c r="E1180" s="135" t="s">
        <v>4789</v>
      </c>
    </row>
    <row r="1181" spans="1:5" s="136" customFormat="1" x14ac:dyDescent="0.2">
      <c r="A1181" s="135" t="s">
        <v>4790</v>
      </c>
      <c r="B1181" s="135" t="s">
        <v>4791</v>
      </c>
      <c r="C1181" s="135" t="s">
        <v>4792</v>
      </c>
      <c r="D1181" s="135" t="s">
        <v>4793</v>
      </c>
      <c r="E1181" s="135" t="s">
        <v>4794</v>
      </c>
    </row>
    <row r="1182" spans="1:5" s="136" customFormat="1" x14ac:dyDescent="0.2">
      <c r="A1182" s="135" t="s">
        <v>4795</v>
      </c>
      <c r="B1182" s="135" t="s">
        <v>4796</v>
      </c>
      <c r="C1182" s="135" t="s">
        <v>4797</v>
      </c>
      <c r="D1182" s="135" t="s">
        <v>4793</v>
      </c>
      <c r="E1182" s="135" t="s">
        <v>4798</v>
      </c>
    </row>
    <row r="1183" spans="1:5" s="136" customFormat="1" x14ac:dyDescent="0.2">
      <c r="A1183" s="135" t="s">
        <v>4799</v>
      </c>
      <c r="B1183" s="135" t="s">
        <v>4800</v>
      </c>
      <c r="C1183" s="135" t="s">
        <v>4801</v>
      </c>
      <c r="D1183" s="135" t="s">
        <v>4802</v>
      </c>
      <c r="E1183" s="135" t="s">
        <v>4803</v>
      </c>
    </row>
    <row r="1184" spans="1:5" s="136" customFormat="1" x14ac:dyDescent="0.2">
      <c r="A1184" s="135" t="s">
        <v>4804</v>
      </c>
      <c r="B1184" s="135" t="s">
        <v>4805</v>
      </c>
      <c r="C1184" s="135" t="s">
        <v>4806</v>
      </c>
      <c r="D1184" s="135" t="s">
        <v>4807</v>
      </c>
      <c r="E1184" s="135" t="s">
        <v>4808</v>
      </c>
    </row>
    <row r="1185" spans="1:5" s="136" customFormat="1" x14ac:dyDescent="0.2">
      <c r="A1185" s="135" t="s">
        <v>4809</v>
      </c>
      <c r="B1185" s="135" t="s">
        <v>4810</v>
      </c>
      <c r="C1185" s="135" t="s">
        <v>4811</v>
      </c>
      <c r="D1185" s="135" t="s">
        <v>4812</v>
      </c>
      <c r="E1185" s="135" t="s">
        <v>4813</v>
      </c>
    </row>
    <row r="1186" spans="1:5" s="136" customFormat="1" x14ac:dyDescent="0.2">
      <c r="A1186" s="135" t="s">
        <v>4814</v>
      </c>
      <c r="B1186" s="135" t="s">
        <v>4815</v>
      </c>
      <c r="C1186" s="135" t="s">
        <v>4816</v>
      </c>
      <c r="D1186" s="135" t="s">
        <v>4793</v>
      </c>
      <c r="E1186" s="135" t="s">
        <v>4817</v>
      </c>
    </row>
    <row r="1187" spans="1:5" s="136" customFormat="1" x14ac:dyDescent="0.2">
      <c r="A1187" s="135" t="s">
        <v>4818</v>
      </c>
      <c r="B1187" s="135" t="s">
        <v>4819</v>
      </c>
      <c r="C1187" s="135" t="s">
        <v>4820</v>
      </c>
      <c r="D1187" s="135" t="s">
        <v>4821</v>
      </c>
      <c r="E1187" s="135" t="s">
        <v>4822</v>
      </c>
    </row>
    <row r="1188" spans="1:5" s="136" customFormat="1" x14ac:dyDescent="0.2">
      <c r="A1188" s="135" t="s">
        <v>4823</v>
      </c>
      <c r="B1188" s="135" t="s">
        <v>4824</v>
      </c>
      <c r="C1188" s="135" t="s">
        <v>4825</v>
      </c>
      <c r="D1188" s="135" t="s">
        <v>4826</v>
      </c>
      <c r="E1188" s="135" t="s">
        <v>4827</v>
      </c>
    </row>
    <row r="1189" spans="1:5" s="136" customFormat="1" x14ac:dyDescent="0.2">
      <c r="A1189" s="135" t="s">
        <v>4828</v>
      </c>
      <c r="B1189" s="135" t="s">
        <v>4829</v>
      </c>
      <c r="C1189" s="135" t="s">
        <v>4830</v>
      </c>
      <c r="D1189" s="135" t="s">
        <v>4821</v>
      </c>
      <c r="E1189" s="135" t="s">
        <v>4831</v>
      </c>
    </row>
    <row r="1190" spans="1:5" s="136" customFormat="1" x14ac:dyDescent="0.2">
      <c r="A1190" s="135" t="s">
        <v>4832</v>
      </c>
      <c r="B1190" s="135" t="s">
        <v>4833</v>
      </c>
      <c r="C1190" s="135" t="s">
        <v>4834</v>
      </c>
      <c r="D1190" s="135" t="s">
        <v>4835</v>
      </c>
      <c r="E1190" s="135" t="s">
        <v>4836</v>
      </c>
    </row>
    <row r="1191" spans="1:5" s="136" customFormat="1" x14ac:dyDescent="0.2">
      <c r="A1191" s="135" t="s">
        <v>4837</v>
      </c>
      <c r="B1191" s="135" t="s">
        <v>4838</v>
      </c>
      <c r="C1191" s="135" t="s">
        <v>4839</v>
      </c>
      <c r="D1191" s="135" t="s">
        <v>4840</v>
      </c>
      <c r="E1191" s="135" t="s">
        <v>4841</v>
      </c>
    </row>
    <row r="1192" spans="1:5" s="136" customFormat="1" x14ac:dyDescent="0.2">
      <c r="A1192" s="135" t="s">
        <v>4842</v>
      </c>
      <c r="B1192" s="135" t="s">
        <v>4843</v>
      </c>
      <c r="C1192" s="135" t="s">
        <v>4844</v>
      </c>
      <c r="D1192" s="135" t="s">
        <v>4812</v>
      </c>
      <c r="E1192" s="135" t="s">
        <v>4845</v>
      </c>
    </row>
    <row r="1193" spans="1:5" s="136" customFormat="1" x14ac:dyDescent="0.2">
      <c r="A1193" s="135" t="s">
        <v>4846</v>
      </c>
      <c r="B1193" s="135" t="s">
        <v>4847</v>
      </c>
      <c r="C1193" s="135" t="s">
        <v>4848</v>
      </c>
      <c r="D1193" s="135" t="s">
        <v>4835</v>
      </c>
      <c r="E1193" s="135" t="s">
        <v>4849</v>
      </c>
    </row>
    <row r="1194" spans="1:5" s="136" customFormat="1" x14ac:dyDescent="0.2">
      <c r="A1194" s="135" t="s">
        <v>4850</v>
      </c>
      <c r="B1194" s="135" t="s">
        <v>4851</v>
      </c>
      <c r="C1194" s="135" t="s">
        <v>4852</v>
      </c>
      <c r="D1194" s="135" t="s">
        <v>4821</v>
      </c>
      <c r="E1194" s="135" t="s">
        <v>4853</v>
      </c>
    </row>
    <row r="1195" spans="1:5" s="136" customFormat="1" x14ac:dyDescent="0.2">
      <c r="A1195" s="135" t="s">
        <v>4854</v>
      </c>
      <c r="B1195" s="135" t="s">
        <v>4855</v>
      </c>
      <c r="C1195" s="135" t="s">
        <v>4856</v>
      </c>
      <c r="D1195" s="135" t="s">
        <v>4599</v>
      </c>
      <c r="E1195" s="135" t="s">
        <v>4857</v>
      </c>
    </row>
    <row r="1196" spans="1:5" s="136" customFormat="1" x14ac:dyDescent="0.2">
      <c r="A1196" s="135" t="s">
        <v>4858</v>
      </c>
      <c r="B1196" s="135" t="s">
        <v>4859</v>
      </c>
      <c r="C1196" s="135" t="s">
        <v>4860</v>
      </c>
      <c r="D1196" s="135" t="s">
        <v>4812</v>
      </c>
      <c r="E1196" s="135" t="s">
        <v>4861</v>
      </c>
    </row>
    <row r="1197" spans="1:5" s="136" customFormat="1" x14ac:dyDescent="0.2">
      <c r="A1197" s="135" t="s">
        <v>4862</v>
      </c>
      <c r="B1197" s="135" t="s">
        <v>4863</v>
      </c>
      <c r="C1197" s="135" t="s">
        <v>4864</v>
      </c>
      <c r="D1197" s="135" t="s">
        <v>4793</v>
      </c>
      <c r="E1197" s="135" t="s">
        <v>4865</v>
      </c>
    </row>
    <row r="1198" spans="1:5" s="136" customFormat="1" x14ac:dyDescent="0.2">
      <c r="A1198" s="135" t="s">
        <v>4866</v>
      </c>
      <c r="B1198" s="135" t="s">
        <v>4867</v>
      </c>
      <c r="C1198" s="135" t="s">
        <v>4868</v>
      </c>
      <c r="D1198" s="135" t="s">
        <v>4793</v>
      </c>
      <c r="E1198" s="135" t="s">
        <v>4869</v>
      </c>
    </row>
    <row r="1199" spans="1:5" s="136" customFormat="1" x14ac:dyDescent="0.2">
      <c r="A1199" s="135" t="s">
        <v>4870</v>
      </c>
      <c r="B1199" s="135" t="s">
        <v>4871</v>
      </c>
      <c r="C1199" s="135" t="s">
        <v>4872</v>
      </c>
      <c r="D1199" s="135" t="s">
        <v>4793</v>
      </c>
      <c r="E1199" s="135" t="s">
        <v>4869</v>
      </c>
    </row>
    <row r="1200" spans="1:5" s="136" customFormat="1" x14ac:dyDescent="0.2">
      <c r="A1200" s="135" t="s">
        <v>4873</v>
      </c>
      <c r="B1200" s="135" t="s">
        <v>4874</v>
      </c>
      <c r="C1200" s="135" t="s">
        <v>4875</v>
      </c>
      <c r="D1200" s="135" t="s">
        <v>4807</v>
      </c>
      <c r="E1200" s="135" t="s">
        <v>4876</v>
      </c>
    </row>
    <row r="1201" spans="1:5" s="136" customFormat="1" x14ac:dyDescent="0.2">
      <c r="A1201" s="135" t="s">
        <v>4877</v>
      </c>
      <c r="B1201" s="135" t="s">
        <v>4878</v>
      </c>
      <c r="C1201" s="135" t="s">
        <v>4879</v>
      </c>
      <c r="D1201" s="135" t="s">
        <v>4802</v>
      </c>
      <c r="E1201" s="135" t="s">
        <v>4880</v>
      </c>
    </row>
    <row r="1202" spans="1:5" s="136" customFormat="1" x14ac:dyDescent="0.2">
      <c r="A1202" s="135" t="s">
        <v>4881</v>
      </c>
      <c r="B1202" s="135" t="s">
        <v>4882</v>
      </c>
      <c r="C1202" s="135" t="s">
        <v>4883</v>
      </c>
      <c r="D1202" s="135" t="s">
        <v>4807</v>
      </c>
      <c r="E1202" s="135" t="s">
        <v>4884</v>
      </c>
    </row>
    <row r="1203" spans="1:5" s="136" customFormat="1" x14ac:dyDescent="0.2">
      <c r="A1203" s="135" t="s">
        <v>4885</v>
      </c>
      <c r="B1203" s="135" t="s">
        <v>4886</v>
      </c>
      <c r="C1203" s="135" t="s">
        <v>4887</v>
      </c>
      <c r="D1203" s="135" t="s">
        <v>4802</v>
      </c>
      <c r="E1203" s="135" t="s">
        <v>4888</v>
      </c>
    </row>
    <row r="1204" spans="1:5" s="136" customFormat="1" x14ac:dyDescent="0.2">
      <c r="A1204" s="135" t="s">
        <v>4889</v>
      </c>
      <c r="B1204" s="135" t="s">
        <v>4890</v>
      </c>
      <c r="C1204" s="135" t="s">
        <v>4891</v>
      </c>
      <c r="D1204" s="135" t="s">
        <v>4802</v>
      </c>
      <c r="E1204" s="135" t="s">
        <v>4892</v>
      </c>
    </row>
    <row r="1205" spans="1:5" s="136" customFormat="1" x14ac:dyDescent="0.2">
      <c r="A1205" s="135" t="s">
        <v>4893</v>
      </c>
      <c r="B1205" s="135" t="s">
        <v>4894</v>
      </c>
      <c r="C1205" s="135" t="s">
        <v>4895</v>
      </c>
      <c r="D1205" s="135" t="s">
        <v>4807</v>
      </c>
      <c r="E1205" s="135" t="s">
        <v>4896</v>
      </c>
    </row>
    <row r="1206" spans="1:5" s="136" customFormat="1" x14ac:dyDescent="0.2">
      <c r="A1206" s="135" t="s">
        <v>4897</v>
      </c>
      <c r="B1206" s="135" t="s">
        <v>4898</v>
      </c>
      <c r="C1206" s="135" t="s">
        <v>4899</v>
      </c>
      <c r="D1206" s="135" t="s">
        <v>4900</v>
      </c>
      <c r="E1206" s="135" t="s">
        <v>4901</v>
      </c>
    </row>
    <row r="1207" spans="1:5" s="136" customFormat="1" x14ac:dyDescent="0.2">
      <c r="A1207" s="135" t="s">
        <v>4902</v>
      </c>
      <c r="B1207" s="135" t="s">
        <v>4903</v>
      </c>
      <c r="C1207" s="135" t="s">
        <v>4904</v>
      </c>
      <c r="D1207" s="135" t="s">
        <v>4905</v>
      </c>
      <c r="E1207" s="135" t="s">
        <v>4906</v>
      </c>
    </row>
    <row r="1208" spans="1:5" s="136" customFormat="1" x14ac:dyDescent="0.2">
      <c r="A1208" s="135" t="s">
        <v>4907</v>
      </c>
      <c r="B1208" s="135" t="s">
        <v>4908</v>
      </c>
      <c r="C1208" s="135" t="s">
        <v>4909</v>
      </c>
      <c r="D1208" s="135" t="s">
        <v>4910</v>
      </c>
      <c r="E1208" s="135" t="s">
        <v>4911</v>
      </c>
    </row>
    <row r="1209" spans="1:5" s="136" customFormat="1" x14ac:dyDescent="0.2">
      <c r="A1209" s="135" t="s">
        <v>4912</v>
      </c>
      <c r="B1209" s="135" t="s">
        <v>4913</v>
      </c>
      <c r="C1209" s="135" t="s">
        <v>4914</v>
      </c>
      <c r="D1209" s="135" t="s">
        <v>4915</v>
      </c>
      <c r="E1209" s="135" t="s">
        <v>4916</v>
      </c>
    </row>
    <row r="1210" spans="1:5" s="136" customFormat="1" x14ac:dyDescent="0.2">
      <c r="A1210" s="135" t="s">
        <v>4917</v>
      </c>
      <c r="B1210" s="135" t="s">
        <v>4918</v>
      </c>
      <c r="C1210" s="135" t="s">
        <v>4919</v>
      </c>
      <c r="D1210" s="135" t="s">
        <v>4920</v>
      </c>
      <c r="E1210" s="135" t="s">
        <v>4921</v>
      </c>
    </row>
    <row r="1211" spans="1:5" s="136" customFormat="1" x14ac:dyDescent="0.2">
      <c r="A1211" s="135" t="s">
        <v>4922</v>
      </c>
      <c r="B1211" s="135" t="s">
        <v>4923</v>
      </c>
      <c r="C1211" s="135" t="s">
        <v>4924</v>
      </c>
      <c r="D1211" s="135" t="s">
        <v>4925</v>
      </c>
      <c r="E1211" s="135" t="s">
        <v>4926</v>
      </c>
    </row>
    <row r="1212" spans="1:5" s="136" customFormat="1" x14ac:dyDescent="0.2">
      <c r="A1212" s="135" t="s">
        <v>4927</v>
      </c>
      <c r="B1212" s="135" t="s">
        <v>4928</v>
      </c>
      <c r="C1212" s="135" t="s">
        <v>4929</v>
      </c>
      <c r="D1212" s="135" t="s">
        <v>4925</v>
      </c>
      <c r="E1212" s="135" t="s">
        <v>4930</v>
      </c>
    </row>
    <row r="1213" spans="1:5" s="136" customFormat="1" x14ac:dyDescent="0.2">
      <c r="A1213" s="135" t="s">
        <v>4931</v>
      </c>
      <c r="B1213" s="135" t="s">
        <v>4932</v>
      </c>
      <c r="C1213" s="135" t="s">
        <v>4933</v>
      </c>
      <c r="D1213" s="135" t="s">
        <v>4934</v>
      </c>
      <c r="E1213" s="135" t="s">
        <v>4935</v>
      </c>
    </row>
    <row r="1214" spans="1:5" s="136" customFormat="1" x14ac:dyDescent="0.2">
      <c r="A1214" s="135" t="s">
        <v>4936</v>
      </c>
      <c r="B1214" s="135" t="s">
        <v>4937</v>
      </c>
      <c r="C1214" s="135" t="s">
        <v>4938</v>
      </c>
      <c r="D1214" s="135" t="s">
        <v>4920</v>
      </c>
      <c r="E1214" s="135" t="s">
        <v>4939</v>
      </c>
    </row>
    <row r="1215" spans="1:5" s="136" customFormat="1" x14ac:dyDescent="0.2">
      <c r="A1215" s="135" t="s">
        <v>4940</v>
      </c>
      <c r="B1215" s="135" t="s">
        <v>4941</v>
      </c>
      <c r="C1215" s="135" t="s">
        <v>4942</v>
      </c>
      <c r="D1215" s="135" t="s">
        <v>4920</v>
      </c>
      <c r="E1215" s="135" t="s">
        <v>4943</v>
      </c>
    </row>
    <row r="1216" spans="1:5" s="136" customFormat="1" x14ac:dyDescent="0.2">
      <c r="A1216" s="135" t="s">
        <v>4944</v>
      </c>
      <c r="B1216" s="135" t="s">
        <v>4945</v>
      </c>
      <c r="C1216" s="135" t="s">
        <v>4946</v>
      </c>
      <c r="D1216" s="135" t="s">
        <v>4920</v>
      </c>
      <c r="E1216" s="135" t="s">
        <v>4947</v>
      </c>
    </row>
    <row r="1217" spans="1:5" s="136" customFormat="1" x14ac:dyDescent="0.2">
      <c r="A1217" s="135" t="s">
        <v>4948</v>
      </c>
      <c r="B1217" s="135" t="s">
        <v>4949</v>
      </c>
      <c r="C1217" s="135" t="s">
        <v>4950</v>
      </c>
      <c r="D1217" s="135" t="s">
        <v>4934</v>
      </c>
      <c r="E1217" s="135" t="s">
        <v>4951</v>
      </c>
    </row>
    <row r="1218" spans="1:5" s="136" customFormat="1" x14ac:dyDescent="0.2">
      <c r="A1218" s="135" t="s">
        <v>4952</v>
      </c>
      <c r="B1218" s="135" t="s">
        <v>4953</v>
      </c>
      <c r="C1218" s="135" t="s">
        <v>4954</v>
      </c>
      <c r="D1218" s="135" t="s">
        <v>4920</v>
      </c>
      <c r="E1218" s="135" t="s">
        <v>4955</v>
      </c>
    </row>
    <row r="1219" spans="1:5" s="136" customFormat="1" x14ac:dyDescent="0.2">
      <c r="A1219" s="135" t="s">
        <v>4956</v>
      </c>
      <c r="B1219" s="135" t="s">
        <v>4957</v>
      </c>
      <c r="C1219" s="135" t="s">
        <v>4958</v>
      </c>
      <c r="D1219" s="135" t="s">
        <v>4934</v>
      </c>
      <c r="E1219" s="135" t="s">
        <v>4959</v>
      </c>
    </row>
    <row r="1220" spans="1:5" s="136" customFormat="1" x14ac:dyDescent="0.2">
      <c r="A1220" s="135" t="s">
        <v>4960</v>
      </c>
      <c r="B1220" s="135" t="s">
        <v>4961</v>
      </c>
      <c r="C1220" s="135" t="s">
        <v>4962</v>
      </c>
      <c r="D1220" s="135" t="s">
        <v>4963</v>
      </c>
      <c r="E1220" s="135" t="s">
        <v>4964</v>
      </c>
    </row>
    <row r="1221" spans="1:5" s="136" customFormat="1" x14ac:dyDescent="0.2">
      <c r="A1221" s="135" t="s">
        <v>4965</v>
      </c>
      <c r="B1221" s="135" t="s">
        <v>4966</v>
      </c>
      <c r="C1221" s="135" t="s">
        <v>4967</v>
      </c>
      <c r="D1221" s="135" t="s">
        <v>4968</v>
      </c>
      <c r="E1221" s="135" t="s">
        <v>4969</v>
      </c>
    </row>
    <row r="1222" spans="1:5" s="136" customFormat="1" x14ac:dyDescent="0.2">
      <c r="A1222" s="135" t="s">
        <v>4970</v>
      </c>
      <c r="B1222" s="135" t="s">
        <v>4971</v>
      </c>
      <c r="C1222" s="135" t="s">
        <v>4972</v>
      </c>
      <c r="D1222" s="135" t="s">
        <v>4925</v>
      </c>
      <c r="E1222" s="135" t="s">
        <v>4973</v>
      </c>
    </row>
    <row r="1223" spans="1:5" s="136" customFormat="1" x14ac:dyDescent="0.2">
      <c r="A1223" s="135" t="s">
        <v>4974</v>
      </c>
      <c r="B1223" s="135" t="s">
        <v>4975</v>
      </c>
      <c r="C1223" s="135" t="s">
        <v>4976</v>
      </c>
      <c r="D1223" s="135" t="s">
        <v>4934</v>
      </c>
      <c r="E1223" s="135" t="s">
        <v>4977</v>
      </c>
    </row>
    <row r="1224" spans="1:5" s="136" customFormat="1" x14ac:dyDescent="0.2">
      <c r="A1224" s="135" t="s">
        <v>4978</v>
      </c>
      <c r="B1224" s="135" t="s">
        <v>4979</v>
      </c>
      <c r="C1224" s="135" t="s">
        <v>4980</v>
      </c>
      <c r="D1224" s="135" t="s">
        <v>4934</v>
      </c>
      <c r="E1224" s="135" t="s">
        <v>4981</v>
      </c>
    </row>
    <row r="1225" spans="1:5" s="136" customFormat="1" x14ac:dyDescent="0.2">
      <c r="A1225" s="135" t="s">
        <v>4982</v>
      </c>
      <c r="B1225" s="135" t="s">
        <v>4983</v>
      </c>
      <c r="C1225" s="135" t="s">
        <v>4984</v>
      </c>
      <c r="D1225" s="135" t="s">
        <v>4925</v>
      </c>
      <c r="E1225" s="135" t="s">
        <v>4985</v>
      </c>
    </row>
    <row r="1226" spans="1:5" s="136" customFormat="1" x14ac:dyDescent="0.2">
      <c r="A1226" s="135" t="s">
        <v>4986</v>
      </c>
      <c r="B1226" s="135" t="s">
        <v>4987</v>
      </c>
      <c r="C1226" s="135" t="s">
        <v>4988</v>
      </c>
      <c r="D1226" s="135" t="s">
        <v>4925</v>
      </c>
      <c r="E1226" s="135" t="s">
        <v>4989</v>
      </c>
    </row>
    <row r="1227" spans="1:5" s="136" customFormat="1" x14ac:dyDescent="0.2">
      <c r="A1227" s="135" t="s">
        <v>4990</v>
      </c>
      <c r="B1227" s="135" t="s">
        <v>4991</v>
      </c>
      <c r="C1227" s="135" t="s">
        <v>4992</v>
      </c>
      <c r="D1227" s="135" t="s">
        <v>4925</v>
      </c>
      <c r="E1227" s="135" t="s">
        <v>4993</v>
      </c>
    </row>
    <row r="1228" spans="1:5" s="136" customFormat="1" x14ac:dyDescent="0.2">
      <c r="A1228" s="135" t="s">
        <v>4994</v>
      </c>
      <c r="B1228" s="135" t="s">
        <v>4995</v>
      </c>
      <c r="C1228" s="135" t="s">
        <v>4996</v>
      </c>
      <c r="D1228" s="135" t="s">
        <v>4925</v>
      </c>
      <c r="E1228" s="135" t="s">
        <v>4997</v>
      </c>
    </row>
    <row r="1229" spans="1:5" s="136" customFormat="1" x14ac:dyDescent="0.2">
      <c r="A1229" s="135" t="s">
        <v>4998</v>
      </c>
      <c r="B1229" s="135" t="s">
        <v>4999</v>
      </c>
      <c r="C1229" s="135" t="s">
        <v>5000</v>
      </c>
    </row>
    <row r="1230" spans="1:5" s="136" customFormat="1" x14ac:dyDescent="0.2">
      <c r="A1230" s="135" t="s">
        <v>5001</v>
      </c>
      <c r="B1230" s="135" t="s">
        <v>5002</v>
      </c>
      <c r="C1230" s="135" t="s">
        <v>5003</v>
      </c>
      <c r="D1230" s="135" t="s">
        <v>5004</v>
      </c>
      <c r="E1230" s="135" t="s">
        <v>5005</v>
      </c>
    </row>
    <row r="1231" spans="1:5" s="136" customFormat="1" x14ac:dyDescent="0.2">
      <c r="A1231" s="135" t="s">
        <v>5006</v>
      </c>
      <c r="B1231" s="135" t="s">
        <v>5007</v>
      </c>
      <c r="C1231" s="135" t="s">
        <v>5008</v>
      </c>
      <c r="D1231" s="135" t="s">
        <v>5004</v>
      </c>
      <c r="E1231" s="135" t="s">
        <v>5009</v>
      </c>
    </row>
    <row r="1232" spans="1:5" s="136" customFormat="1" x14ac:dyDescent="0.2">
      <c r="A1232" s="135" t="s">
        <v>5010</v>
      </c>
      <c r="B1232" s="135" t="s">
        <v>5011</v>
      </c>
      <c r="C1232" s="135" t="s">
        <v>5012</v>
      </c>
      <c r="D1232" s="135" t="s">
        <v>5004</v>
      </c>
      <c r="E1232" s="135" t="s">
        <v>5013</v>
      </c>
    </row>
    <row r="1233" spans="1:5" s="136" customFormat="1" x14ac:dyDescent="0.2">
      <c r="A1233" s="135" t="s">
        <v>5014</v>
      </c>
      <c r="B1233" s="135" t="s">
        <v>5015</v>
      </c>
      <c r="C1233" s="135" t="s">
        <v>5016</v>
      </c>
      <c r="D1233" s="135" t="s">
        <v>5004</v>
      </c>
      <c r="E1233" s="135" t="s">
        <v>5017</v>
      </c>
    </row>
    <row r="1234" spans="1:5" s="136" customFormat="1" x14ac:dyDescent="0.2">
      <c r="A1234" s="135" t="s">
        <v>5018</v>
      </c>
      <c r="B1234" s="135" t="s">
        <v>5019</v>
      </c>
      <c r="C1234" s="135" t="s">
        <v>5020</v>
      </c>
      <c r="D1234" s="135" t="s">
        <v>5004</v>
      </c>
      <c r="E1234" s="135" t="s">
        <v>5021</v>
      </c>
    </row>
    <row r="1235" spans="1:5" s="136" customFormat="1" x14ac:dyDescent="0.2">
      <c r="A1235" s="135" t="s">
        <v>5022</v>
      </c>
      <c r="B1235" s="135" t="s">
        <v>5023</v>
      </c>
      <c r="C1235" s="135" t="s">
        <v>5024</v>
      </c>
      <c r="D1235" s="135" t="s">
        <v>5004</v>
      </c>
      <c r="E1235" s="135" t="s">
        <v>5025</v>
      </c>
    </row>
    <row r="1236" spans="1:5" s="136" customFormat="1" x14ac:dyDescent="0.2">
      <c r="A1236" s="135" t="s">
        <v>5026</v>
      </c>
      <c r="B1236" s="135" t="s">
        <v>5027</v>
      </c>
      <c r="C1236" s="135" t="s">
        <v>5028</v>
      </c>
      <c r="D1236" s="135" t="s">
        <v>5004</v>
      </c>
      <c r="E1236" s="135" t="s">
        <v>5029</v>
      </c>
    </row>
    <row r="1237" spans="1:5" s="136" customFormat="1" x14ac:dyDescent="0.2">
      <c r="A1237" s="135" t="s">
        <v>5030</v>
      </c>
      <c r="B1237" s="135" t="s">
        <v>5031</v>
      </c>
      <c r="C1237" s="135" t="s">
        <v>5032</v>
      </c>
      <c r="D1237" s="135" t="s">
        <v>5033</v>
      </c>
      <c r="E1237" s="135" t="s">
        <v>5034</v>
      </c>
    </row>
    <row r="1238" spans="1:5" s="136" customFormat="1" x14ac:dyDescent="0.2">
      <c r="A1238" s="135" t="s">
        <v>5035</v>
      </c>
      <c r="B1238" s="135" t="s">
        <v>5036</v>
      </c>
      <c r="C1238" s="135" t="s">
        <v>5037</v>
      </c>
      <c r="D1238" s="135" t="s">
        <v>5038</v>
      </c>
      <c r="E1238" s="135" t="s">
        <v>5039</v>
      </c>
    </row>
    <row r="1239" spans="1:5" s="136" customFormat="1" x14ac:dyDescent="0.2">
      <c r="A1239" s="135" t="s">
        <v>5040</v>
      </c>
      <c r="B1239" s="135" t="s">
        <v>5041</v>
      </c>
      <c r="C1239" s="135" t="s">
        <v>5042</v>
      </c>
      <c r="D1239" s="135" t="s">
        <v>5004</v>
      </c>
      <c r="E1239" s="135" t="s">
        <v>5043</v>
      </c>
    </row>
    <row r="1240" spans="1:5" s="136" customFormat="1" x14ac:dyDescent="0.2">
      <c r="A1240" s="135" t="s">
        <v>5044</v>
      </c>
      <c r="B1240" s="135" t="s">
        <v>5045</v>
      </c>
      <c r="C1240" s="135" t="s">
        <v>5046</v>
      </c>
      <c r="D1240" s="135" t="s">
        <v>5004</v>
      </c>
      <c r="E1240" s="135" t="s">
        <v>5047</v>
      </c>
    </row>
    <row r="1241" spans="1:5" s="136" customFormat="1" x14ac:dyDescent="0.2">
      <c r="A1241" s="135" t="s">
        <v>5048</v>
      </c>
      <c r="B1241" s="135" t="s">
        <v>5049</v>
      </c>
      <c r="C1241" s="135" t="s">
        <v>5050</v>
      </c>
      <c r="D1241" s="135" t="s">
        <v>5051</v>
      </c>
      <c r="E1241" s="135" t="s">
        <v>5052</v>
      </c>
    </row>
    <row r="1242" spans="1:5" s="136" customFormat="1" x14ac:dyDescent="0.2">
      <c r="A1242" s="135" t="s">
        <v>5053</v>
      </c>
      <c r="B1242" s="135" t="s">
        <v>5054</v>
      </c>
      <c r="C1242" s="135" t="s">
        <v>5055</v>
      </c>
      <c r="D1242" s="135" t="s">
        <v>5051</v>
      </c>
      <c r="E1242" s="135" t="s">
        <v>5056</v>
      </c>
    </row>
    <row r="1243" spans="1:5" s="136" customFormat="1" x14ac:dyDescent="0.2">
      <c r="A1243" s="135" t="s">
        <v>5057</v>
      </c>
      <c r="B1243" s="135" t="s">
        <v>5058</v>
      </c>
      <c r="C1243" s="135" t="s">
        <v>5059</v>
      </c>
      <c r="D1243" s="135" t="s">
        <v>5051</v>
      </c>
      <c r="E1243" s="135" t="s">
        <v>5060</v>
      </c>
    </row>
    <row r="1244" spans="1:5" s="136" customFormat="1" x14ac:dyDescent="0.2">
      <c r="A1244" s="135" t="s">
        <v>5061</v>
      </c>
      <c r="B1244" s="135" t="s">
        <v>5062</v>
      </c>
      <c r="C1244" s="135" t="s">
        <v>5063</v>
      </c>
      <c r="D1244" s="135" t="s">
        <v>5064</v>
      </c>
      <c r="E1244" s="135" t="s">
        <v>5065</v>
      </c>
    </row>
    <row r="1245" spans="1:5" s="136" customFormat="1" x14ac:dyDescent="0.2">
      <c r="A1245" s="135" t="s">
        <v>5066</v>
      </c>
      <c r="B1245" s="135" t="s">
        <v>5067</v>
      </c>
      <c r="C1245" s="135" t="s">
        <v>5068</v>
      </c>
      <c r="D1245" s="135" t="s">
        <v>5069</v>
      </c>
      <c r="E1245" s="135" t="s">
        <v>5070</v>
      </c>
    </row>
    <row r="1246" spans="1:5" s="136" customFormat="1" x14ac:dyDescent="0.2">
      <c r="A1246" s="135" t="s">
        <v>5071</v>
      </c>
      <c r="B1246" s="135" t="s">
        <v>5072</v>
      </c>
      <c r="C1246" s="135" t="s">
        <v>5073</v>
      </c>
      <c r="D1246" s="135" t="s">
        <v>5074</v>
      </c>
      <c r="E1246" s="135" t="s">
        <v>5075</v>
      </c>
    </row>
    <row r="1247" spans="1:5" s="136" customFormat="1" x14ac:dyDescent="0.2">
      <c r="A1247" s="135" t="s">
        <v>5076</v>
      </c>
      <c r="B1247" s="135" t="s">
        <v>5077</v>
      </c>
      <c r="C1247" s="135" t="s">
        <v>5078</v>
      </c>
      <c r="D1247" s="135" t="s">
        <v>5064</v>
      </c>
      <c r="E1247" s="135" t="s">
        <v>5079</v>
      </c>
    </row>
    <row r="1248" spans="1:5" s="136" customFormat="1" x14ac:dyDescent="0.2">
      <c r="A1248" s="135" t="s">
        <v>5080</v>
      </c>
      <c r="B1248" s="135" t="s">
        <v>5081</v>
      </c>
      <c r="C1248" s="135" t="s">
        <v>5082</v>
      </c>
      <c r="D1248" s="135" t="s">
        <v>5004</v>
      </c>
      <c r="E1248" s="135" t="s">
        <v>5083</v>
      </c>
    </row>
    <row r="1249" spans="1:5" s="136" customFormat="1" x14ac:dyDescent="0.2">
      <c r="A1249" s="135" t="s">
        <v>5084</v>
      </c>
      <c r="B1249" s="135" t="s">
        <v>5085</v>
      </c>
      <c r="C1249" s="135" t="s">
        <v>5086</v>
      </c>
      <c r="D1249" s="135" t="s">
        <v>5004</v>
      </c>
      <c r="E1249" s="135" t="s">
        <v>5087</v>
      </c>
    </row>
    <row r="1250" spans="1:5" s="136" customFormat="1" x14ac:dyDescent="0.2">
      <c r="A1250" s="135" t="s">
        <v>5088</v>
      </c>
      <c r="B1250" s="135" t="s">
        <v>5089</v>
      </c>
      <c r="C1250" s="135" t="s">
        <v>5090</v>
      </c>
      <c r="D1250" s="135" t="s">
        <v>5004</v>
      </c>
      <c r="E1250" s="135" t="s">
        <v>5091</v>
      </c>
    </row>
    <row r="1251" spans="1:5" s="136" customFormat="1" x14ac:dyDescent="0.2">
      <c r="A1251" s="135" t="s">
        <v>5092</v>
      </c>
      <c r="B1251" s="135" t="s">
        <v>5093</v>
      </c>
      <c r="C1251" s="135" t="s">
        <v>5094</v>
      </c>
      <c r="D1251" s="135" t="s">
        <v>5064</v>
      </c>
      <c r="E1251" s="135" t="s">
        <v>5095</v>
      </c>
    </row>
    <row r="1252" spans="1:5" s="136" customFormat="1" x14ac:dyDescent="0.2">
      <c r="A1252" s="135" t="s">
        <v>5096</v>
      </c>
      <c r="B1252" s="135" t="s">
        <v>5097</v>
      </c>
      <c r="C1252" s="135" t="s">
        <v>5098</v>
      </c>
      <c r="D1252" s="135" t="s">
        <v>5069</v>
      </c>
      <c r="E1252" s="135" t="s">
        <v>5099</v>
      </c>
    </row>
    <row r="1253" spans="1:5" s="136" customFormat="1" x14ac:dyDescent="0.2">
      <c r="A1253" s="135" t="s">
        <v>5100</v>
      </c>
      <c r="B1253" s="135" t="s">
        <v>5101</v>
      </c>
      <c r="C1253" s="135" t="s">
        <v>5102</v>
      </c>
      <c r="D1253" s="135" t="s">
        <v>5074</v>
      </c>
      <c r="E1253" s="135" t="s">
        <v>5103</v>
      </c>
    </row>
    <row r="1254" spans="1:5" s="136" customFormat="1" x14ac:dyDescent="0.2">
      <c r="A1254" s="135" t="s">
        <v>5104</v>
      </c>
      <c r="B1254" s="135" t="s">
        <v>5105</v>
      </c>
      <c r="C1254" s="135" t="s">
        <v>5106</v>
      </c>
      <c r="D1254" s="135" t="s">
        <v>5064</v>
      </c>
      <c r="E1254" s="135" t="s">
        <v>5107</v>
      </c>
    </row>
    <row r="1255" spans="1:5" s="136" customFormat="1" x14ac:dyDescent="0.2">
      <c r="A1255" s="135" t="s">
        <v>5108</v>
      </c>
      <c r="B1255" s="135" t="s">
        <v>5109</v>
      </c>
      <c r="C1255" s="135" t="s">
        <v>5110</v>
      </c>
      <c r="D1255" s="135" t="s">
        <v>5004</v>
      </c>
      <c r="E1255" s="135" t="s">
        <v>5111</v>
      </c>
    </row>
    <row r="1256" spans="1:5" s="136" customFormat="1" x14ac:dyDescent="0.2">
      <c r="A1256" s="135" t="s">
        <v>5112</v>
      </c>
      <c r="B1256" s="135" t="s">
        <v>5113</v>
      </c>
      <c r="C1256" s="135" t="s">
        <v>5114</v>
      </c>
      <c r="D1256" s="135" t="s">
        <v>5115</v>
      </c>
      <c r="E1256" s="135" t="s">
        <v>5116</v>
      </c>
    </row>
    <row r="1257" spans="1:5" s="136" customFormat="1" x14ac:dyDescent="0.2">
      <c r="A1257" s="135" t="s">
        <v>5117</v>
      </c>
      <c r="B1257" s="135" t="s">
        <v>5118</v>
      </c>
      <c r="C1257" s="135" t="s">
        <v>5119</v>
      </c>
      <c r="D1257" s="135" t="s">
        <v>5064</v>
      </c>
      <c r="E1257" s="135" t="s">
        <v>5095</v>
      </c>
    </row>
    <row r="1258" spans="1:5" s="136" customFormat="1" x14ac:dyDescent="0.2">
      <c r="A1258" s="135" t="s">
        <v>5120</v>
      </c>
      <c r="B1258" s="135" t="s">
        <v>5121</v>
      </c>
      <c r="C1258" s="135" t="s">
        <v>5122</v>
      </c>
      <c r="D1258" s="135" t="s">
        <v>5064</v>
      </c>
      <c r="E1258" s="135" t="s">
        <v>5123</v>
      </c>
    </row>
    <row r="1259" spans="1:5" s="136" customFormat="1" x14ac:dyDescent="0.2">
      <c r="A1259" s="135" t="s">
        <v>5124</v>
      </c>
      <c r="B1259" s="135" t="s">
        <v>5125</v>
      </c>
      <c r="C1259" s="135" t="s">
        <v>5126</v>
      </c>
      <c r="D1259" s="135" t="s">
        <v>5127</v>
      </c>
      <c r="E1259" s="135" t="s">
        <v>5128</v>
      </c>
    </row>
    <row r="1260" spans="1:5" s="136" customFormat="1" x14ac:dyDescent="0.2">
      <c r="A1260" s="135" t="s">
        <v>5129</v>
      </c>
      <c r="B1260" s="135" t="s">
        <v>5130</v>
      </c>
      <c r="C1260" s="135" t="s">
        <v>5131</v>
      </c>
      <c r="D1260" s="135" t="s">
        <v>5064</v>
      </c>
      <c r="E1260" s="135" t="s">
        <v>5132</v>
      </c>
    </row>
    <row r="1261" spans="1:5" s="136" customFormat="1" x14ac:dyDescent="0.2">
      <c r="A1261" s="135" t="s">
        <v>5133</v>
      </c>
      <c r="B1261" s="135" t="s">
        <v>5134</v>
      </c>
      <c r="C1261" s="135" t="s">
        <v>5135</v>
      </c>
      <c r="D1261" s="135" t="s">
        <v>5064</v>
      </c>
      <c r="E1261" s="135" t="s">
        <v>5136</v>
      </c>
    </row>
    <row r="1262" spans="1:5" s="136" customFormat="1" x14ac:dyDescent="0.2">
      <c r="A1262" s="135" t="s">
        <v>5137</v>
      </c>
      <c r="B1262" s="135" t="s">
        <v>5138</v>
      </c>
      <c r="C1262" s="135" t="s">
        <v>5139</v>
      </c>
      <c r="D1262" s="135" t="s">
        <v>5127</v>
      </c>
      <c r="E1262" s="135" t="s">
        <v>5140</v>
      </c>
    </row>
    <row r="1263" spans="1:5" s="136" customFormat="1" x14ac:dyDescent="0.2">
      <c r="A1263" s="135" t="s">
        <v>5141</v>
      </c>
      <c r="B1263" s="135" t="s">
        <v>5142</v>
      </c>
      <c r="C1263" s="135" t="s">
        <v>5143</v>
      </c>
      <c r="D1263" s="135" t="s">
        <v>5074</v>
      </c>
      <c r="E1263" s="135" t="s">
        <v>5144</v>
      </c>
    </row>
    <row r="1264" spans="1:5" s="136" customFormat="1" x14ac:dyDescent="0.2">
      <c r="A1264" s="135" t="s">
        <v>5145</v>
      </c>
      <c r="B1264" s="135" t="s">
        <v>5146</v>
      </c>
      <c r="C1264" s="135" t="s">
        <v>5147</v>
      </c>
      <c r="D1264" s="135" t="s">
        <v>5069</v>
      </c>
      <c r="E1264" s="135" t="s">
        <v>5148</v>
      </c>
    </row>
    <row r="1265" spans="1:5" s="136" customFormat="1" x14ac:dyDescent="0.2">
      <c r="A1265" s="135" t="s">
        <v>5149</v>
      </c>
      <c r="B1265" s="135" t="s">
        <v>5150</v>
      </c>
      <c r="C1265" s="135" t="s">
        <v>5151</v>
      </c>
      <c r="D1265" s="135" t="s">
        <v>5069</v>
      </c>
      <c r="E1265" s="135" t="s">
        <v>5152</v>
      </c>
    </row>
    <row r="1266" spans="1:5" s="136" customFormat="1" x14ac:dyDescent="0.2">
      <c r="A1266" s="135" t="s">
        <v>5153</v>
      </c>
      <c r="B1266" s="135" t="s">
        <v>5154</v>
      </c>
      <c r="C1266" s="135" t="s">
        <v>5155</v>
      </c>
    </row>
    <row r="1267" spans="1:5" s="136" customFormat="1" x14ac:dyDescent="0.2">
      <c r="A1267" s="135" t="s">
        <v>5156</v>
      </c>
      <c r="B1267" s="135" t="s">
        <v>5157</v>
      </c>
      <c r="C1267" s="135" t="s">
        <v>5158</v>
      </c>
      <c r="D1267" s="135" t="s">
        <v>5159</v>
      </c>
      <c r="E1267" s="135" t="s">
        <v>5160</v>
      </c>
    </row>
    <row r="1268" spans="1:5" s="136" customFormat="1" x14ac:dyDescent="0.2">
      <c r="A1268" s="135" t="s">
        <v>5161</v>
      </c>
      <c r="B1268" s="135" t="s">
        <v>5162</v>
      </c>
      <c r="C1268" s="135" t="s">
        <v>5163</v>
      </c>
      <c r="D1268" s="135" t="s">
        <v>5159</v>
      </c>
      <c r="E1268" s="135" t="s">
        <v>5164</v>
      </c>
    </row>
    <row r="1269" spans="1:5" s="136" customFormat="1" x14ac:dyDescent="0.2">
      <c r="A1269" s="135" t="s">
        <v>5165</v>
      </c>
      <c r="B1269" s="135" t="s">
        <v>5166</v>
      </c>
      <c r="C1269" s="135" t="s">
        <v>5167</v>
      </c>
      <c r="D1269" s="135" t="s">
        <v>5159</v>
      </c>
      <c r="E1269" s="135" t="s">
        <v>5168</v>
      </c>
    </row>
    <row r="1270" spans="1:5" s="136" customFormat="1" x14ac:dyDescent="0.2">
      <c r="A1270" s="135" t="s">
        <v>5169</v>
      </c>
      <c r="B1270" s="135" t="s">
        <v>5170</v>
      </c>
      <c r="C1270" s="135" t="s">
        <v>5171</v>
      </c>
      <c r="D1270" s="135" t="s">
        <v>5159</v>
      </c>
      <c r="E1270" s="135" t="s">
        <v>5172</v>
      </c>
    </row>
    <row r="1271" spans="1:5" s="136" customFormat="1" x14ac:dyDescent="0.2">
      <c r="A1271" s="135" t="s">
        <v>5173</v>
      </c>
      <c r="B1271" s="135" t="s">
        <v>5174</v>
      </c>
      <c r="C1271" s="135" t="s">
        <v>5175</v>
      </c>
      <c r="D1271" s="135" t="s">
        <v>5159</v>
      </c>
      <c r="E1271" s="135" t="s">
        <v>5176</v>
      </c>
    </row>
    <row r="1272" spans="1:5" s="136" customFormat="1" x14ac:dyDescent="0.2">
      <c r="A1272" s="135" t="s">
        <v>5177</v>
      </c>
      <c r="B1272" s="135" t="s">
        <v>5178</v>
      </c>
      <c r="C1272" s="135" t="s">
        <v>5179</v>
      </c>
      <c r="D1272" s="135" t="s">
        <v>5159</v>
      </c>
      <c r="E1272" s="135" t="s">
        <v>5180</v>
      </c>
    </row>
    <row r="1273" spans="1:5" s="136" customFormat="1" x14ac:dyDescent="0.2">
      <c r="A1273" s="135" t="s">
        <v>5181</v>
      </c>
      <c r="B1273" s="135" t="s">
        <v>5182</v>
      </c>
      <c r="C1273" s="135" t="s">
        <v>5183</v>
      </c>
      <c r="D1273" s="135" t="s">
        <v>5159</v>
      </c>
      <c r="E1273" s="135" t="s">
        <v>5184</v>
      </c>
    </row>
    <row r="1274" spans="1:5" s="136" customFormat="1" x14ac:dyDescent="0.2">
      <c r="A1274" s="135" t="s">
        <v>5185</v>
      </c>
      <c r="B1274" s="135" t="s">
        <v>5186</v>
      </c>
      <c r="C1274" s="135" t="s">
        <v>5187</v>
      </c>
      <c r="D1274" s="135" t="s">
        <v>5159</v>
      </c>
      <c r="E1274" s="135" t="s">
        <v>5188</v>
      </c>
    </row>
    <row r="1275" spans="1:5" s="136" customFormat="1" x14ac:dyDescent="0.2">
      <c r="A1275" s="135" t="s">
        <v>5189</v>
      </c>
      <c r="B1275" s="135" t="s">
        <v>5190</v>
      </c>
      <c r="C1275" s="135" t="s">
        <v>5191</v>
      </c>
      <c r="D1275" s="135" t="s">
        <v>5159</v>
      </c>
      <c r="E1275" s="135" t="s">
        <v>5192</v>
      </c>
    </row>
    <row r="1276" spans="1:5" s="136" customFormat="1" x14ac:dyDescent="0.2">
      <c r="A1276" s="135" t="s">
        <v>5193</v>
      </c>
      <c r="B1276" s="135" t="s">
        <v>5194</v>
      </c>
      <c r="C1276" s="135" t="s">
        <v>5195</v>
      </c>
      <c r="D1276" s="135" t="s">
        <v>5159</v>
      </c>
      <c r="E1276" s="135" t="s">
        <v>5196</v>
      </c>
    </row>
    <row r="1277" spans="1:5" s="136" customFormat="1" x14ac:dyDescent="0.2">
      <c r="A1277" s="135" t="s">
        <v>5197</v>
      </c>
      <c r="B1277" s="135" t="s">
        <v>5198</v>
      </c>
      <c r="C1277" s="135" t="s">
        <v>5199</v>
      </c>
      <c r="D1277" s="135" t="s">
        <v>5159</v>
      </c>
      <c r="E1277" s="135" t="s">
        <v>5200</v>
      </c>
    </row>
    <row r="1278" spans="1:5" s="136" customFormat="1" x14ac:dyDescent="0.2">
      <c r="A1278" s="135" t="s">
        <v>5201</v>
      </c>
      <c r="B1278" s="135" t="s">
        <v>5202</v>
      </c>
      <c r="C1278" s="135" t="s">
        <v>5203</v>
      </c>
      <c r="D1278" s="135" t="s">
        <v>5159</v>
      </c>
      <c r="E1278" s="135" t="s">
        <v>5204</v>
      </c>
    </row>
    <row r="1279" spans="1:5" s="136" customFormat="1" x14ac:dyDescent="0.2">
      <c r="A1279" s="135" t="s">
        <v>5205</v>
      </c>
      <c r="B1279" s="135" t="s">
        <v>5206</v>
      </c>
      <c r="C1279" s="135" t="s">
        <v>5207</v>
      </c>
      <c r="D1279" s="135" t="s">
        <v>5159</v>
      </c>
      <c r="E1279" s="135" t="s">
        <v>5208</v>
      </c>
    </row>
    <row r="1280" spans="1:5" s="136" customFormat="1" x14ac:dyDescent="0.2">
      <c r="A1280" s="135" t="s">
        <v>5209</v>
      </c>
      <c r="B1280" s="135" t="s">
        <v>5210</v>
      </c>
      <c r="C1280" s="135" t="s">
        <v>5211</v>
      </c>
      <c r="D1280" s="135" t="s">
        <v>5159</v>
      </c>
      <c r="E1280" s="135" t="s">
        <v>5212</v>
      </c>
    </row>
    <row r="1281" spans="1:5" s="136" customFormat="1" x14ac:dyDescent="0.2">
      <c r="A1281" s="135" t="s">
        <v>5213</v>
      </c>
      <c r="B1281" s="135" t="s">
        <v>5214</v>
      </c>
      <c r="C1281" s="135" t="s">
        <v>5215</v>
      </c>
      <c r="D1281" s="135" t="s">
        <v>5159</v>
      </c>
      <c r="E1281" s="135" t="s">
        <v>5216</v>
      </c>
    </row>
    <row r="1282" spans="1:5" s="136" customFormat="1" x14ac:dyDescent="0.2">
      <c r="A1282" s="135" t="s">
        <v>5217</v>
      </c>
      <c r="B1282" s="135" t="s">
        <v>5218</v>
      </c>
      <c r="C1282" s="135" t="s">
        <v>5219</v>
      </c>
      <c r="D1282" s="135" t="s">
        <v>5159</v>
      </c>
      <c r="E1282" s="135" t="s">
        <v>5220</v>
      </c>
    </row>
    <row r="1283" spans="1:5" s="136" customFormat="1" x14ac:dyDescent="0.2">
      <c r="A1283" s="135" t="s">
        <v>5221</v>
      </c>
      <c r="B1283" s="135" t="s">
        <v>5222</v>
      </c>
      <c r="C1283" s="135" t="s">
        <v>5223</v>
      </c>
      <c r="D1283" s="135" t="s">
        <v>5224</v>
      </c>
      <c r="E1283" s="135" t="s">
        <v>5225</v>
      </c>
    </row>
    <row r="1284" spans="1:5" s="136" customFormat="1" x14ac:dyDescent="0.2">
      <c r="A1284" s="135" t="s">
        <v>5226</v>
      </c>
      <c r="B1284" s="135" t="s">
        <v>5227</v>
      </c>
      <c r="C1284" s="135" t="s">
        <v>5228</v>
      </c>
      <c r="D1284" s="135" t="s">
        <v>5159</v>
      </c>
      <c r="E1284" s="135" t="s">
        <v>5229</v>
      </c>
    </row>
    <row r="1285" spans="1:5" s="136" customFormat="1" x14ac:dyDescent="0.2">
      <c r="A1285" s="135" t="s">
        <v>5230</v>
      </c>
      <c r="B1285" s="135" t="s">
        <v>5231</v>
      </c>
      <c r="C1285" s="135" t="s">
        <v>5232</v>
      </c>
      <c r="D1285" s="135" t="s">
        <v>5159</v>
      </c>
      <c r="E1285" s="135" t="s">
        <v>5233</v>
      </c>
    </row>
    <row r="1286" spans="1:5" s="136" customFormat="1" x14ac:dyDescent="0.2">
      <c r="A1286" s="135" t="s">
        <v>5234</v>
      </c>
      <c r="B1286" s="135" t="s">
        <v>5235</v>
      </c>
      <c r="C1286" s="135" t="s">
        <v>5236</v>
      </c>
      <c r="D1286" s="135" t="s">
        <v>5159</v>
      </c>
      <c r="E1286" s="135" t="s">
        <v>5237</v>
      </c>
    </row>
    <row r="1287" spans="1:5" s="136" customFormat="1" x14ac:dyDescent="0.2">
      <c r="A1287" s="135" t="s">
        <v>5238</v>
      </c>
      <c r="B1287" s="135" t="s">
        <v>5239</v>
      </c>
      <c r="C1287" s="135" t="s">
        <v>5240</v>
      </c>
      <c r="D1287" s="135" t="s">
        <v>5159</v>
      </c>
      <c r="E1287" s="135" t="s">
        <v>5241</v>
      </c>
    </row>
    <row r="1288" spans="1:5" s="136" customFormat="1" x14ac:dyDescent="0.2">
      <c r="A1288" s="135" t="s">
        <v>5242</v>
      </c>
      <c r="B1288" s="135" t="s">
        <v>5243</v>
      </c>
      <c r="C1288" s="135" t="s">
        <v>5244</v>
      </c>
      <c r="D1288" s="135" t="s">
        <v>5224</v>
      </c>
      <c r="E1288" s="135" t="s">
        <v>5245</v>
      </c>
    </row>
    <row r="1289" spans="1:5" s="136" customFormat="1" x14ac:dyDescent="0.2">
      <c r="A1289" s="135" t="s">
        <v>5246</v>
      </c>
      <c r="B1289" s="135" t="s">
        <v>5247</v>
      </c>
      <c r="C1289" s="135" t="s">
        <v>5248</v>
      </c>
      <c r="D1289" s="135" t="s">
        <v>5159</v>
      </c>
      <c r="E1289" s="135" t="s">
        <v>5249</v>
      </c>
    </row>
    <row r="1290" spans="1:5" s="136" customFormat="1" x14ac:dyDescent="0.2">
      <c r="A1290" s="135" t="s">
        <v>5250</v>
      </c>
      <c r="B1290" s="135" t="s">
        <v>5251</v>
      </c>
      <c r="C1290" s="135" t="s">
        <v>5252</v>
      </c>
      <c r="D1290" s="135" t="s">
        <v>5159</v>
      </c>
      <c r="E1290" s="135" t="s">
        <v>5253</v>
      </c>
    </row>
    <row r="1291" spans="1:5" s="136" customFormat="1" x14ac:dyDescent="0.2">
      <c r="A1291" s="135" t="s">
        <v>5254</v>
      </c>
      <c r="B1291" s="135" t="s">
        <v>5255</v>
      </c>
      <c r="C1291" s="135" t="s">
        <v>3645</v>
      </c>
    </row>
    <row r="1292" spans="1:5" s="136" customFormat="1" x14ac:dyDescent="0.2">
      <c r="A1292" s="135" t="s">
        <v>5256</v>
      </c>
      <c r="B1292" s="135" t="s">
        <v>5257</v>
      </c>
      <c r="C1292" s="135" t="s">
        <v>5258</v>
      </c>
      <c r="D1292" s="135" t="s">
        <v>5259</v>
      </c>
      <c r="E1292" s="135" t="s">
        <v>5260</v>
      </c>
    </row>
    <row r="1293" spans="1:5" s="136" customFormat="1" x14ac:dyDescent="0.2">
      <c r="A1293" s="135" t="s">
        <v>5261</v>
      </c>
      <c r="B1293" s="135" t="s">
        <v>5262</v>
      </c>
      <c r="C1293" s="135" t="s">
        <v>5263</v>
      </c>
      <c r="D1293" s="135" t="s">
        <v>5259</v>
      </c>
      <c r="E1293" s="135" t="s">
        <v>5264</v>
      </c>
    </row>
    <row r="1294" spans="1:5" s="136" customFormat="1" x14ac:dyDescent="0.2">
      <c r="A1294" s="135" t="s">
        <v>5265</v>
      </c>
      <c r="B1294" s="135" t="s">
        <v>5266</v>
      </c>
      <c r="C1294" s="135" t="s">
        <v>5267</v>
      </c>
      <c r="D1294" s="135" t="s">
        <v>5259</v>
      </c>
      <c r="E1294" s="135" t="s">
        <v>5268</v>
      </c>
    </row>
    <row r="1295" spans="1:5" s="136" customFormat="1" x14ac:dyDescent="0.2">
      <c r="A1295" s="135" t="s">
        <v>5269</v>
      </c>
      <c r="B1295" s="135" t="s">
        <v>5270</v>
      </c>
      <c r="C1295" s="135" t="s">
        <v>5271</v>
      </c>
      <c r="D1295" s="135" t="s">
        <v>5259</v>
      </c>
      <c r="E1295" s="135" t="s">
        <v>5272</v>
      </c>
    </row>
    <row r="1296" spans="1:5" s="136" customFormat="1" x14ac:dyDescent="0.2">
      <c r="A1296" s="135" t="s">
        <v>5273</v>
      </c>
      <c r="B1296" s="135" t="s">
        <v>5274</v>
      </c>
      <c r="C1296" s="135" t="s">
        <v>5275</v>
      </c>
      <c r="D1296" s="135" t="s">
        <v>5259</v>
      </c>
      <c r="E1296" s="135" t="s">
        <v>5276</v>
      </c>
    </row>
    <row r="1297" spans="1:5" s="136" customFormat="1" x14ac:dyDescent="0.2">
      <c r="A1297" s="135" t="s">
        <v>5277</v>
      </c>
      <c r="B1297" s="135" t="s">
        <v>5278</v>
      </c>
      <c r="C1297" s="135" t="s">
        <v>5279</v>
      </c>
      <c r="D1297" s="135" t="s">
        <v>5259</v>
      </c>
      <c r="E1297" s="135" t="s">
        <v>5280</v>
      </c>
    </row>
    <row r="1298" spans="1:5" s="136" customFormat="1" x14ac:dyDescent="0.2">
      <c r="A1298" s="135" t="s">
        <v>5281</v>
      </c>
      <c r="B1298" s="135" t="s">
        <v>5282</v>
      </c>
      <c r="C1298" s="135" t="s">
        <v>5283</v>
      </c>
      <c r="D1298" s="135" t="s">
        <v>5259</v>
      </c>
      <c r="E1298" s="135" t="s">
        <v>5284</v>
      </c>
    </row>
    <row r="1299" spans="1:5" s="136" customFormat="1" x14ac:dyDescent="0.2">
      <c r="A1299" s="135" t="s">
        <v>5285</v>
      </c>
      <c r="B1299" s="135" t="s">
        <v>5286</v>
      </c>
      <c r="C1299" s="135" t="s">
        <v>5287</v>
      </c>
      <c r="D1299" s="135" t="s">
        <v>5259</v>
      </c>
      <c r="E1299" s="135" t="s">
        <v>5288</v>
      </c>
    </row>
    <row r="1300" spans="1:5" s="136" customFormat="1" x14ac:dyDescent="0.2">
      <c r="A1300" s="135" t="s">
        <v>5289</v>
      </c>
      <c r="B1300" s="135" t="s">
        <v>5290</v>
      </c>
      <c r="C1300" s="135" t="s">
        <v>5291</v>
      </c>
      <c r="D1300" s="135" t="s">
        <v>5159</v>
      </c>
      <c r="E1300" s="135" t="s">
        <v>5292</v>
      </c>
    </row>
    <row r="1301" spans="1:5" s="136" customFormat="1" x14ac:dyDescent="0.2">
      <c r="A1301" s="135" t="s">
        <v>5293</v>
      </c>
      <c r="B1301" s="135" t="s">
        <v>5294</v>
      </c>
      <c r="C1301" s="135" t="s">
        <v>5295</v>
      </c>
      <c r="D1301" s="135" t="s">
        <v>5296</v>
      </c>
      <c r="E1301" s="135" t="s">
        <v>5297</v>
      </c>
    </row>
    <row r="1302" spans="1:5" s="136" customFormat="1" x14ac:dyDescent="0.2">
      <c r="A1302" s="135" t="s">
        <v>5298</v>
      </c>
      <c r="B1302" s="135" t="s">
        <v>5299</v>
      </c>
      <c r="C1302" s="135" t="s">
        <v>5300</v>
      </c>
      <c r="D1302" s="135" t="s">
        <v>5159</v>
      </c>
      <c r="E1302" s="135" t="s">
        <v>5301</v>
      </c>
    </row>
    <row r="1303" spans="1:5" s="136" customFormat="1" x14ac:dyDescent="0.2">
      <c r="A1303" s="135" t="s">
        <v>5302</v>
      </c>
      <c r="B1303" s="135" t="s">
        <v>5303</v>
      </c>
      <c r="C1303" s="135" t="s">
        <v>5304</v>
      </c>
      <c r="D1303" s="135" t="s">
        <v>5305</v>
      </c>
      <c r="E1303" s="135" t="s">
        <v>5306</v>
      </c>
    </row>
    <row r="1304" spans="1:5" s="136" customFormat="1" x14ac:dyDescent="0.2">
      <c r="A1304" s="135" t="s">
        <v>5307</v>
      </c>
      <c r="B1304" s="135" t="s">
        <v>5308</v>
      </c>
      <c r="C1304" s="135" t="s">
        <v>5309</v>
      </c>
      <c r="D1304" s="135" t="s">
        <v>5259</v>
      </c>
      <c r="E1304" s="135" t="s">
        <v>5310</v>
      </c>
    </row>
    <row r="1305" spans="1:5" s="136" customFormat="1" x14ac:dyDescent="0.2">
      <c r="A1305" s="135" t="s">
        <v>5311</v>
      </c>
      <c r="B1305" s="135" t="s">
        <v>5312</v>
      </c>
      <c r="C1305" s="135" t="s">
        <v>5313</v>
      </c>
      <c r="D1305" s="135" t="s">
        <v>5259</v>
      </c>
      <c r="E1305" s="135" t="s">
        <v>5314</v>
      </c>
    </row>
    <row r="1306" spans="1:5" s="136" customFormat="1" x14ac:dyDescent="0.2">
      <c r="A1306" s="135" t="s">
        <v>5315</v>
      </c>
      <c r="B1306" s="135" t="s">
        <v>5316</v>
      </c>
      <c r="C1306" s="135" t="s">
        <v>5317</v>
      </c>
      <c r="D1306" s="135" t="s">
        <v>5159</v>
      </c>
      <c r="E1306" s="135" t="s">
        <v>5318</v>
      </c>
    </row>
    <row r="1307" spans="1:5" s="136" customFormat="1" x14ac:dyDescent="0.2">
      <c r="A1307" s="135" t="s">
        <v>5319</v>
      </c>
      <c r="B1307" s="135" t="s">
        <v>5320</v>
      </c>
      <c r="C1307" s="135" t="s">
        <v>5321</v>
      </c>
      <c r="D1307" s="135" t="s">
        <v>5259</v>
      </c>
      <c r="E1307" s="135" t="s">
        <v>5322</v>
      </c>
    </row>
    <row r="1308" spans="1:5" s="136" customFormat="1" x14ac:dyDescent="0.2">
      <c r="A1308" s="135" t="s">
        <v>5323</v>
      </c>
      <c r="B1308" s="135" t="s">
        <v>5324</v>
      </c>
      <c r="C1308" s="135" t="s">
        <v>5325</v>
      </c>
      <c r="D1308" s="135" t="s">
        <v>5259</v>
      </c>
      <c r="E1308" s="135" t="s">
        <v>5326</v>
      </c>
    </row>
    <row r="1309" spans="1:5" s="136" customFormat="1" x14ac:dyDescent="0.2">
      <c r="A1309" s="135" t="s">
        <v>5327</v>
      </c>
      <c r="B1309" s="135" t="s">
        <v>5328</v>
      </c>
      <c r="C1309" s="135" t="s">
        <v>5329</v>
      </c>
      <c r="D1309" s="135" t="s">
        <v>5296</v>
      </c>
      <c r="E1309" s="135" t="s">
        <v>5330</v>
      </c>
    </row>
    <row r="1310" spans="1:5" s="136" customFormat="1" x14ac:dyDescent="0.2">
      <c r="A1310" s="135" t="s">
        <v>5331</v>
      </c>
      <c r="B1310" s="135" t="s">
        <v>5332</v>
      </c>
      <c r="C1310" s="135" t="s">
        <v>5333</v>
      </c>
      <c r="D1310" s="135" t="s">
        <v>5259</v>
      </c>
      <c r="E1310" s="135" t="s">
        <v>5334</v>
      </c>
    </row>
    <row r="1311" spans="1:5" s="136" customFormat="1" x14ac:dyDescent="0.2">
      <c r="A1311" s="135" t="s">
        <v>5335</v>
      </c>
      <c r="B1311" s="135" t="s">
        <v>5336</v>
      </c>
      <c r="C1311" s="135" t="s">
        <v>5337</v>
      </c>
      <c r="D1311" s="135" t="s">
        <v>5338</v>
      </c>
      <c r="E1311" s="135" t="s">
        <v>5339</v>
      </c>
    </row>
    <row r="1312" spans="1:5" s="136" customFormat="1" x14ac:dyDescent="0.2">
      <c r="A1312" s="135" t="s">
        <v>5340</v>
      </c>
      <c r="B1312" s="135" t="s">
        <v>5341</v>
      </c>
      <c r="C1312" s="135" t="s">
        <v>5342</v>
      </c>
      <c r="D1312" s="135" t="s">
        <v>5259</v>
      </c>
      <c r="E1312" s="135" t="s">
        <v>5343</v>
      </c>
    </row>
    <row r="1313" spans="1:5" s="136" customFormat="1" x14ac:dyDescent="0.2">
      <c r="A1313" s="135" t="s">
        <v>5344</v>
      </c>
      <c r="B1313" s="135" t="s">
        <v>5345</v>
      </c>
      <c r="C1313" s="135" t="s">
        <v>5346</v>
      </c>
      <c r="D1313" s="135" t="s">
        <v>5347</v>
      </c>
      <c r="E1313" s="135" t="s">
        <v>5348</v>
      </c>
    </row>
    <row r="1314" spans="1:5" s="136" customFormat="1" x14ac:dyDescent="0.2">
      <c r="A1314" s="135" t="s">
        <v>5349</v>
      </c>
      <c r="B1314" s="135" t="s">
        <v>5350</v>
      </c>
      <c r="C1314" s="135" t="s">
        <v>5351</v>
      </c>
      <c r="D1314" s="135" t="s">
        <v>5259</v>
      </c>
      <c r="E1314" s="135" t="s">
        <v>5352</v>
      </c>
    </row>
    <row r="1315" spans="1:5" s="136" customFormat="1" x14ac:dyDescent="0.2">
      <c r="A1315" s="135" t="s">
        <v>5353</v>
      </c>
      <c r="B1315" s="135" t="s">
        <v>5354</v>
      </c>
      <c r="C1315" s="135" t="s">
        <v>5355</v>
      </c>
      <c r="D1315" s="135" t="s">
        <v>5259</v>
      </c>
      <c r="E1315" s="135" t="s">
        <v>5356</v>
      </c>
    </row>
    <row r="1316" spans="1:5" s="136" customFormat="1" x14ac:dyDescent="0.2">
      <c r="A1316" s="135" t="s">
        <v>5357</v>
      </c>
      <c r="B1316" s="135" t="s">
        <v>5358</v>
      </c>
      <c r="C1316" s="135" t="s">
        <v>5359</v>
      </c>
      <c r="D1316" s="135" t="s">
        <v>5305</v>
      </c>
      <c r="E1316" s="135" t="s">
        <v>5360</v>
      </c>
    </row>
    <row r="1317" spans="1:5" s="136" customFormat="1" x14ac:dyDescent="0.2">
      <c r="A1317" s="135" t="s">
        <v>5361</v>
      </c>
      <c r="B1317" s="135" t="s">
        <v>5362</v>
      </c>
      <c r="C1317" s="135" t="s">
        <v>5363</v>
      </c>
      <c r="D1317" s="135" t="s">
        <v>5259</v>
      </c>
      <c r="E1317" s="135" t="s">
        <v>5364</v>
      </c>
    </row>
    <row r="1318" spans="1:5" s="136" customFormat="1" x14ac:dyDescent="0.2">
      <c r="A1318" s="135" t="s">
        <v>5365</v>
      </c>
      <c r="B1318" s="135" t="s">
        <v>5366</v>
      </c>
      <c r="C1318" s="135" t="s">
        <v>5367</v>
      </c>
      <c r="D1318" s="135" t="s">
        <v>5259</v>
      </c>
      <c r="E1318" s="135" t="s">
        <v>5368</v>
      </c>
    </row>
    <row r="1319" spans="1:5" s="136" customFormat="1" x14ac:dyDescent="0.2">
      <c r="A1319" s="135" t="s">
        <v>5369</v>
      </c>
      <c r="B1319" s="135" t="s">
        <v>5370</v>
      </c>
      <c r="C1319" s="135" t="s">
        <v>5371</v>
      </c>
      <c r="D1319" s="135" t="s">
        <v>5259</v>
      </c>
      <c r="E1319" s="135" t="s">
        <v>5372</v>
      </c>
    </row>
    <row r="1320" spans="1:5" s="136" customFormat="1" x14ac:dyDescent="0.2">
      <c r="A1320" s="135" t="s">
        <v>5373</v>
      </c>
      <c r="B1320" s="135" t="s">
        <v>5374</v>
      </c>
      <c r="C1320" s="135" t="s">
        <v>5375</v>
      </c>
      <c r="D1320" s="135" t="s">
        <v>5296</v>
      </c>
      <c r="E1320" s="135" t="s">
        <v>5376</v>
      </c>
    </row>
    <row r="1321" spans="1:5" s="136" customFormat="1" x14ac:dyDescent="0.2">
      <c r="A1321" s="135" t="s">
        <v>5377</v>
      </c>
      <c r="B1321" s="135" t="s">
        <v>5378</v>
      </c>
      <c r="C1321" s="135" t="s">
        <v>5379</v>
      </c>
      <c r="D1321" s="135" t="s">
        <v>5296</v>
      </c>
      <c r="E1321" s="135" t="s">
        <v>5380</v>
      </c>
    </row>
    <row r="1322" spans="1:5" s="136" customFormat="1" x14ac:dyDescent="0.2">
      <c r="A1322" s="135" t="s">
        <v>5381</v>
      </c>
      <c r="B1322" s="135" t="s">
        <v>5382</v>
      </c>
      <c r="C1322" s="135" t="s">
        <v>5383</v>
      </c>
      <c r="D1322" s="135" t="s">
        <v>5259</v>
      </c>
      <c r="E1322" s="135" t="s">
        <v>5384</v>
      </c>
    </row>
    <row r="1323" spans="1:5" s="136" customFormat="1" x14ac:dyDescent="0.2">
      <c r="A1323" s="135" t="s">
        <v>5385</v>
      </c>
      <c r="B1323" s="135" t="s">
        <v>5386</v>
      </c>
      <c r="C1323" s="135" t="s">
        <v>5387</v>
      </c>
      <c r="D1323" s="135" t="s">
        <v>5259</v>
      </c>
      <c r="E1323" s="135" t="s">
        <v>5388</v>
      </c>
    </row>
    <row r="1324" spans="1:5" s="136" customFormat="1" x14ac:dyDescent="0.2">
      <c r="A1324" s="135" t="s">
        <v>5389</v>
      </c>
      <c r="B1324" s="135" t="s">
        <v>5390</v>
      </c>
      <c r="C1324" s="135" t="s">
        <v>5391</v>
      </c>
      <c r="D1324" s="135" t="s">
        <v>5224</v>
      </c>
      <c r="E1324" s="135" t="s">
        <v>5392</v>
      </c>
    </row>
    <row r="1325" spans="1:5" s="136" customFormat="1" x14ac:dyDescent="0.2">
      <c r="A1325" s="135" t="s">
        <v>5393</v>
      </c>
      <c r="B1325" s="135" t="s">
        <v>5394</v>
      </c>
      <c r="C1325" s="135" t="s">
        <v>5395</v>
      </c>
      <c r="D1325" s="135" t="s">
        <v>5259</v>
      </c>
      <c r="E1325" s="135" t="s">
        <v>5396</v>
      </c>
    </row>
    <row r="1326" spans="1:5" s="136" customFormat="1" x14ac:dyDescent="0.2">
      <c r="A1326" s="135" t="s">
        <v>5397</v>
      </c>
      <c r="B1326" s="135" t="s">
        <v>5398</v>
      </c>
      <c r="C1326" s="135" t="s">
        <v>5399</v>
      </c>
      <c r="D1326" s="135" t="s">
        <v>5400</v>
      </c>
      <c r="E1326" s="135" t="s">
        <v>5401</v>
      </c>
    </row>
    <row r="1327" spans="1:5" s="136" customFormat="1" x14ac:dyDescent="0.2">
      <c r="A1327" s="135" t="s">
        <v>5402</v>
      </c>
      <c r="B1327" s="135" t="s">
        <v>5403</v>
      </c>
      <c r="C1327" s="135" t="s">
        <v>5404</v>
      </c>
      <c r="D1327" s="135" t="s">
        <v>5259</v>
      </c>
      <c r="E1327" s="135" t="s">
        <v>5405</v>
      </c>
    </row>
    <row r="1328" spans="1:5" s="136" customFormat="1" x14ac:dyDescent="0.2">
      <c r="A1328" s="135" t="s">
        <v>5406</v>
      </c>
      <c r="B1328" s="135" t="s">
        <v>5407</v>
      </c>
      <c r="C1328" s="135" t="s">
        <v>5408</v>
      </c>
      <c r="D1328" s="135" t="s">
        <v>5259</v>
      </c>
      <c r="E1328" s="135" t="s">
        <v>5409</v>
      </c>
    </row>
    <row r="1329" spans="1:5" s="136" customFormat="1" x14ac:dyDescent="0.2">
      <c r="A1329" s="135" t="s">
        <v>5410</v>
      </c>
      <c r="B1329" s="135" t="s">
        <v>5411</v>
      </c>
      <c r="C1329" s="135" t="s">
        <v>5412</v>
      </c>
      <c r="D1329" s="135" t="s">
        <v>5259</v>
      </c>
      <c r="E1329" s="135" t="s">
        <v>5413</v>
      </c>
    </row>
    <row r="1330" spans="1:5" s="136" customFormat="1" x14ac:dyDescent="0.2">
      <c r="A1330" s="135" t="s">
        <v>5414</v>
      </c>
      <c r="B1330" s="135" t="s">
        <v>5415</v>
      </c>
      <c r="C1330" s="135" t="s">
        <v>5416</v>
      </c>
      <c r="D1330" s="135" t="s">
        <v>5004</v>
      </c>
      <c r="E1330" s="135" t="s">
        <v>5111</v>
      </c>
    </row>
    <row r="1331" spans="1:5" s="136" customFormat="1" x14ac:dyDescent="0.2">
      <c r="A1331" s="135" t="s">
        <v>5417</v>
      </c>
      <c r="B1331" s="135" t="s">
        <v>5418</v>
      </c>
      <c r="C1331" s="135" t="s">
        <v>5419</v>
      </c>
      <c r="D1331" s="135" t="s">
        <v>5259</v>
      </c>
      <c r="E1331" s="135" t="s">
        <v>5420</v>
      </c>
    </row>
    <row r="1332" spans="1:5" s="136" customFormat="1" x14ac:dyDescent="0.2">
      <c r="A1332" s="135" t="s">
        <v>5421</v>
      </c>
      <c r="B1332" s="135" t="s">
        <v>5422</v>
      </c>
      <c r="C1332" s="135" t="s">
        <v>5423</v>
      </c>
      <c r="D1332" s="135" t="s">
        <v>5259</v>
      </c>
      <c r="E1332" s="135" t="s">
        <v>5424</v>
      </c>
    </row>
    <row r="1333" spans="1:5" s="136" customFormat="1" x14ac:dyDescent="0.2">
      <c r="A1333" s="135" t="s">
        <v>5425</v>
      </c>
      <c r="B1333" s="135" t="s">
        <v>5426</v>
      </c>
      <c r="C1333" s="135" t="s">
        <v>5427</v>
      </c>
      <c r="D1333" s="135" t="s">
        <v>5428</v>
      </c>
      <c r="E1333" s="135" t="s">
        <v>5429</v>
      </c>
    </row>
    <row r="1334" spans="1:5" s="136" customFormat="1" x14ac:dyDescent="0.2">
      <c r="A1334" s="135" t="s">
        <v>5430</v>
      </c>
      <c r="B1334" s="135" t="s">
        <v>5431</v>
      </c>
      <c r="C1334" s="135" t="s">
        <v>5432</v>
      </c>
      <c r="D1334" s="135" t="s">
        <v>5259</v>
      </c>
      <c r="E1334" s="135" t="s">
        <v>5433</v>
      </c>
    </row>
    <row r="1335" spans="1:5" s="136" customFormat="1" x14ac:dyDescent="0.2">
      <c r="A1335" s="135" t="s">
        <v>5434</v>
      </c>
      <c r="B1335" s="135" t="s">
        <v>5435</v>
      </c>
      <c r="C1335" s="135" t="s">
        <v>5436</v>
      </c>
      <c r="D1335" s="135" t="s">
        <v>5259</v>
      </c>
      <c r="E1335" s="135" t="s">
        <v>5334</v>
      </c>
    </row>
    <row r="1336" spans="1:5" s="136" customFormat="1" x14ac:dyDescent="0.2">
      <c r="A1336" s="135" t="s">
        <v>5437</v>
      </c>
      <c r="B1336" s="135" t="s">
        <v>5438</v>
      </c>
      <c r="C1336" s="135" t="s">
        <v>5439</v>
      </c>
      <c r="D1336" s="135" t="s">
        <v>5259</v>
      </c>
      <c r="E1336" s="135" t="s">
        <v>5440</v>
      </c>
    </row>
    <row r="1337" spans="1:5" s="136" customFormat="1" x14ac:dyDescent="0.2">
      <c r="A1337" s="135" t="s">
        <v>5441</v>
      </c>
      <c r="B1337" s="135" t="s">
        <v>5442</v>
      </c>
      <c r="C1337" s="135" t="s">
        <v>5443</v>
      </c>
      <c r="D1337" s="135" t="s">
        <v>5347</v>
      </c>
      <c r="E1337" s="135" t="s">
        <v>5444</v>
      </c>
    </row>
    <row r="1338" spans="1:5" s="136" customFormat="1" x14ac:dyDescent="0.2">
      <c r="A1338" s="135" t="s">
        <v>5445</v>
      </c>
      <c r="B1338" s="135" t="s">
        <v>5446</v>
      </c>
      <c r="C1338" s="135" t="s">
        <v>5447</v>
      </c>
      <c r="D1338" s="135" t="s">
        <v>5347</v>
      </c>
      <c r="E1338" s="135" t="s">
        <v>5448</v>
      </c>
    </row>
    <row r="1339" spans="1:5" s="136" customFormat="1" x14ac:dyDescent="0.2">
      <c r="A1339" s="135" t="s">
        <v>5449</v>
      </c>
      <c r="B1339" s="135" t="s">
        <v>5450</v>
      </c>
      <c r="C1339" s="135" t="s">
        <v>5451</v>
      </c>
      <c r="D1339" s="135" t="s">
        <v>5347</v>
      </c>
      <c r="E1339" s="135" t="s">
        <v>5448</v>
      </c>
    </row>
    <row r="1340" spans="1:5" s="136" customFormat="1" x14ac:dyDescent="0.2">
      <c r="A1340" s="135" t="s">
        <v>5452</v>
      </c>
      <c r="B1340" s="135" t="s">
        <v>5453</v>
      </c>
      <c r="C1340" s="135" t="s">
        <v>5454</v>
      </c>
    </row>
    <row r="1341" spans="1:5" s="136" customFormat="1" x14ac:dyDescent="0.2">
      <c r="A1341" s="135" t="s">
        <v>5455</v>
      </c>
      <c r="B1341" s="135" t="s">
        <v>5456</v>
      </c>
      <c r="C1341" s="135" t="s">
        <v>5457</v>
      </c>
      <c r="D1341" s="135" t="s">
        <v>5458</v>
      </c>
      <c r="E1341" s="135" t="s">
        <v>5459</v>
      </c>
    </row>
    <row r="1342" spans="1:5" s="136" customFormat="1" x14ac:dyDescent="0.2">
      <c r="A1342" s="135" t="s">
        <v>5460</v>
      </c>
      <c r="B1342" s="135" t="s">
        <v>5461</v>
      </c>
      <c r="C1342" s="135" t="s">
        <v>5462</v>
      </c>
      <c r="D1342" s="135" t="s">
        <v>5458</v>
      </c>
      <c r="E1342" s="135" t="s">
        <v>5463</v>
      </c>
    </row>
    <row r="1343" spans="1:5" s="136" customFormat="1" x14ac:dyDescent="0.2">
      <c r="A1343" s="135" t="s">
        <v>5464</v>
      </c>
      <c r="B1343" s="135" t="s">
        <v>5465</v>
      </c>
      <c r="C1343" s="135" t="s">
        <v>5466</v>
      </c>
      <c r="D1343" s="135" t="s">
        <v>5458</v>
      </c>
      <c r="E1343" s="135" t="s">
        <v>5467</v>
      </c>
    </row>
    <row r="1344" spans="1:5" s="136" customFormat="1" x14ac:dyDescent="0.2">
      <c r="A1344" s="135" t="s">
        <v>5468</v>
      </c>
      <c r="B1344" s="135" t="s">
        <v>5469</v>
      </c>
      <c r="C1344" s="135" t="s">
        <v>5470</v>
      </c>
      <c r="D1344" s="135" t="s">
        <v>5458</v>
      </c>
      <c r="E1344" s="135" t="s">
        <v>5471</v>
      </c>
    </row>
    <row r="1345" spans="1:5" s="136" customFormat="1" x14ac:dyDescent="0.2">
      <c r="A1345" s="135" t="s">
        <v>5472</v>
      </c>
      <c r="B1345" s="135" t="s">
        <v>5473</v>
      </c>
      <c r="C1345" s="135" t="s">
        <v>5474</v>
      </c>
      <c r="D1345" s="135" t="s">
        <v>5458</v>
      </c>
      <c r="E1345" s="135" t="s">
        <v>5475</v>
      </c>
    </row>
    <row r="1346" spans="1:5" s="136" customFormat="1" x14ac:dyDescent="0.2">
      <c r="A1346" s="135" t="s">
        <v>5476</v>
      </c>
      <c r="B1346" s="135" t="s">
        <v>5477</v>
      </c>
      <c r="C1346" s="135" t="s">
        <v>5478</v>
      </c>
      <c r="D1346" s="135" t="s">
        <v>5458</v>
      </c>
      <c r="E1346" s="135" t="s">
        <v>5479</v>
      </c>
    </row>
    <row r="1347" spans="1:5" s="136" customFormat="1" x14ac:dyDescent="0.2">
      <c r="A1347" s="135" t="s">
        <v>5480</v>
      </c>
      <c r="B1347" s="135" t="s">
        <v>5481</v>
      </c>
      <c r="C1347" s="135" t="s">
        <v>5482</v>
      </c>
      <c r="D1347" s="135" t="s">
        <v>5458</v>
      </c>
      <c r="E1347" s="135" t="s">
        <v>5483</v>
      </c>
    </row>
    <row r="1348" spans="1:5" s="136" customFormat="1" x14ac:dyDescent="0.2">
      <c r="A1348" s="135" t="s">
        <v>5484</v>
      </c>
      <c r="B1348" s="135" t="s">
        <v>5485</v>
      </c>
      <c r="C1348" s="135" t="s">
        <v>5486</v>
      </c>
      <c r="D1348" s="135" t="s">
        <v>5458</v>
      </c>
      <c r="E1348" s="135" t="s">
        <v>5487</v>
      </c>
    </row>
    <row r="1349" spans="1:5" s="136" customFormat="1" x14ac:dyDescent="0.2">
      <c r="A1349" s="135" t="s">
        <v>5488</v>
      </c>
      <c r="B1349" s="135" t="s">
        <v>5489</v>
      </c>
      <c r="C1349" s="135" t="s">
        <v>5490</v>
      </c>
      <c r="D1349" s="135" t="s">
        <v>5458</v>
      </c>
      <c r="E1349" s="135" t="s">
        <v>5491</v>
      </c>
    </row>
    <row r="1350" spans="1:5" s="136" customFormat="1" x14ac:dyDescent="0.2">
      <c r="A1350" s="135" t="s">
        <v>5492</v>
      </c>
      <c r="B1350" s="135" t="s">
        <v>5493</v>
      </c>
      <c r="C1350" s="135" t="s">
        <v>5494</v>
      </c>
      <c r="D1350" s="135" t="s">
        <v>5495</v>
      </c>
      <c r="E1350" s="135" t="s">
        <v>5496</v>
      </c>
    </row>
    <row r="1351" spans="1:5" s="136" customFormat="1" x14ac:dyDescent="0.2">
      <c r="A1351" s="135" t="s">
        <v>5497</v>
      </c>
      <c r="B1351" s="135" t="s">
        <v>5498</v>
      </c>
      <c r="C1351" s="135" t="s">
        <v>5499</v>
      </c>
      <c r="D1351" s="135" t="s">
        <v>5159</v>
      </c>
      <c r="E1351" s="135" t="s">
        <v>5500</v>
      </c>
    </row>
    <row r="1352" spans="1:5" s="136" customFormat="1" x14ac:dyDescent="0.2">
      <c r="A1352" s="135" t="s">
        <v>5501</v>
      </c>
      <c r="B1352" s="135" t="s">
        <v>5502</v>
      </c>
      <c r="C1352" s="135" t="s">
        <v>5503</v>
      </c>
      <c r="D1352" s="135" t="s">
        <v>5458</v>
      </c>
      <c r="E1352" s="135" t="s">
        <v>5504</v>
      </c>
    </row>
    <row r="1353" spans="1:5" s="136" customFormat="1" x14ac:dyDescent="0.2">
      <c r="A1353" s="135" t="s">
        <v>5505</v>
      </c>
      <c r="B1353" s="135" t="s">
        <v>5506</v>
      </c>
      <c r="C1353" s="135" t="s">
        <v>5507</v>
      </c>
      <c r="D1353" s="135" t="s">
        <v>5508</v>
      </c>
      <c r="E1353" s="135" t="s">
        <v>5509</v>
      </c>
    </row>
    <row r="1354" spans="1:5" s="136" customFormat="1" x14ac:dyDescent="0.2">
      <c r="A1354" s="135" t="s">
        <v>5510</v>
      </c>
      <c r="B1354" s="135" t="s">
        <v>5511</v>
      </c>
      <c r="C1354" s="135" t="s">
        <v>5512</v>
      </c>
      <c r="D1354" s="135" t="s">
        <v>5513</v>
      </c>
      <c r="E1354" s="135" t="s">
        <v>5514</v>
      </c>
    </row>
    <row r="1355" spans="1:5" s="136" customFormat="1" x14ac:dyDescent="0.2">
      <c r="A1355" s="135" t="s">
        <v>5515</v>
      </c>
      <c r="B1355" s="135" t="s">
        <v>5516</v>
      </c>
      <c r="C1355" s="135" t="s">
        <v>5517</v>
      </c>
      <c r="D1355" s="135" t="s">
        <v>5518</v>
      </c>
      <c r="E1355" s="135" t="s">
        <v>5519</v>
      </c>
    </row>
    <row r="1356" spans="1:5" s="136" customFormat="1" x14ac:dyDescent="0.2">
      <c r="A1356" s="135" t="s">
        <v>5520</v>
      </c>
      <c r="B1356" s="135" t="s">
        <v>5521</v>
      </c>
      <c r="C1356" s="135" t="s">
        <v>5522</v>
      </c>
      <c r="D1356" s="135" t="s">
        <v>5259</v>
      </c>
      <c r="E1356" s="135" t="s">
        <v>5523</v>
      </c>
    </row>
    <row r="1357" spans="1:5" s="136" customFormat="1" x14ac:dyDescent="0.2">
      <c r="A1357" s="135" t="s">
        <v>5524</v>
      </c>
      <c r="B1357" s="135" t="s">
        <v>5525</v>
      </c>
      <c r="C1357" s="135" t="s">
        <v>5526</v>
      </c>
      <c r="D1357" s="135" t="s">
        <v>5527</v>
      </c>
      <c r="E1357" s="135" t="s">
        <v>5528</v>
      </c>
    </row>
    <row r="1358" spans="1:5" s="136" customFormat="1" x14ac:dyDescent="0.2">
      <c r="A1358" s="135" t="s">
        <v>5529</v>
      </c>
      <c r="B1358" s="135" t="s">
        <v>5530</v>
      </c>
      <c r="C1358" s="135" t="s">
        <v>5531</v>
      </c>
      <c r="D1358" s="135" t="s">
        <v>5532</v>
      </c>
      <c r="E1358" s="135" t="s">
        <v>5533</v>
      </c>
    </row>
    <row r="1359" spans="1:5" s="136" customFormat="1" x14ac:dyDescent="0.2">
      <c r="A1359" s="135" t="s">
        <v>5534</v>
      </c>
      <c r="B1359" s="135" t="s">
        <v>5535</v>
      </c>
      <c r="C1359" s="135" t="s">
        <v>5536</v>
      </c>
      <c r="D1359" s="135" t="s">
        <v>5537</v>
      </c>
      <c r="E1359" s="135" t="s">
        <v>5538</v>
      </c>
    </row>
    <row r="1360" spans="1:5" s="136" customFormat="1" x14ac:dyDescent="0.2">
      <c r="A1360" s="135" t="s">
        <v>5539</v>
      </c>
      <c r="B1360" s="135" t="s">
        <v>5540</v>
      </c>
      <c r="C1360" s="135" t="s">
        <v>5541</v>
      </c>
      <c r="D1360" s="135" t="s">
        <v>5527</v>
      </c>
      <c r="E1360" s="135" t="s">
        <v>5542</v>
      </c>
    </row>
    <row r="1361" spans="1:5" s="136" customFormat="1" x14ac:dyDescent="0.2">
      <c r="A1361" s="135" t="s">
        <v>5543</v>
      </c>
      <c r="B1361" s="135" t="s">
        <v>5544</v>
      </c>
      <c r="C1361" s="135" t="s">
        <v>5545</v>
      </c>
      <c r="D1361" s="135" t="s">
        <v>5546</v>
      </c>
      <c r="E1361" s="135" t="s">
        <v>5547</v>
      </c>
    </row>
    <row r="1362" spans="1:5" s="136" customFormat="1" x14ac:dyDescent="0.2">
      <c r="A1362" s="135" t="s">
        <v>5548</v>
      </c>
      <c r="B1362" s="135" t="s">
        <v>5549</v>
      </c>
      <c r="C1362" s="135" t="s">
        <v>5550</v>
      </c>
      <c r="D1362" s="135" t="s">
        <v>5551</v>
      </c>
      <c r="E1362" s="135" t="s">
        <v>5552</v>
      </c>
    </row>
    <row r="1363" spans="1:5" s="136" customFormat="1" x14ac:dyDescent="0.2">
      <c r="A1363" s="135" t="s">
        <v>5553</v>
      </c>
      <c r="B1363" s="135" t="s">
        <v>5554</v>
      </c>
      <c r="C1363" s="135" t="s">
        <v>5555</v>
      </c>
      <c r="D1363" s="135" t="s">
        <v>5556</v>
      </c>
      <c r="E1363" s="135" t="s">
        <v>5557</v>
      </c>
    </row>
    <row r="1364" spans="1:5" s="136" customFormat="1" x14ac:dyDescent="0.2">
      <c r="A1364" s="135" t="s">
        <v>5558</v>
      </c>
      <c r="B1364" s="135" t="s">
        <v>5559</v>
      </c>
      <c r="C1364" s="135" t="s">
        <v>5560</v>
      </c>
      <c r="D1364" s="135" t="s">
        <v>5561</v>
      </c>
      <c r="E1364" s="135" t="s">
        <v>5562</v>
      </c>
    </row>
    <row r="1365" spans="1:5" s="136" customFormat="1" x14ac:dyDescent="0.2">
      <c r="A1365" s="135" t="s">
        <v>5563</v>
      </c>
      <c r="B1365" s="135" t="s">
        <v>5564</v>
      </c>
      <c r="C1365" s="135" t="s">
        <v>5565</v>
      </c>
      <c r="D1365" s="135" t="s">
        <v>5259</v>
      </c>
      <c r="E1365" s="135" t="s">
        <v>5566</v>
      </c>
    </row>
    <row r="1366" spans="1:5" s="136" customFormat="1" x14ac:dyDescent="0.2">
      <c r="A1366" s="135" t="s">
        <v>5567</v>
      </c>
      <c r="B1366" s="135" t="s">
        <v>5568</v>
      </c>
      <c r="C1366" s="135" t="s">
        <v>5569</v>
      </c>
      <c r="D1366" s="135" t="s">
        <v>5556</v>
      </c>
      <c r="E1366" s="135" t="s">
        <v>5570</v>
      </c>
    </row>
    <row r="1367" spans="1:5" s="136" customFormat="1" x14ac:dyDescent="0.2">
      <c r="A1367" s="135" t="s">
        <v>5571</v>
      </c>
      <c r="B1367" s="135" t="s">
        <v>5572</v>
      </c>
      <c r="C1367" s="135" t="s">
        <v>5573</v>
      </c>
      <c r="D1367" s="135" t="s">
        <v>5561</v>
      </c>
      <c r="E1367" s="135" t="s">
        <v>5574</v>
      </c>
    </row>
    <row r="1368" spans="1:5" s="136" customFormat="1" x14ac:dyDescent="0.2">
      <c r="A1368" s="135" t="s">
        <v>5575</v>
      </c>
      <c r="B1368" s="135" t="s">
        <v>5576</v>
      </c>
      <c r="C1368" s="135" t="s">
        <v>5577</v>
      </c>
      <c r="D1368" s="135" t="s">
        <v>5578</v>
      </c>
      <c r="E1368" s="135" t="s">
        <v>5579</v>
      </c>
    </row>
    <row r="1369" spans="1:5" s="136" customFormat="1" x14ac:dyDescent="0.2">
      <c r="A1369" s="135" t="s">
        <v>5580</v>
      </c>
      <c r="B1369" s="135" t="s">
        <v>5581</v>
      </c>
      <c r="C1369" s="135" t="s">
        <v>5582</v>
      </c>
      <c r="D1369" s="135" t="s">
        <v>5561</v>
      </c>
      <c r="E1369" s="135" t="s">
        <v>5583</v>
      </c>
    </row>
    <row r="1370" spans="1:5" s="136" customFormat="1" x14ac:dyDescent="0.2">
      <c r="A1370" s="135" t="s">
        <v>5584</v>
      </c>
      <c r="B1370" s="135" t="s">
        <v>5585</v>
      </c>
      <c r="C1370" s="135" t="s">
        <v>5586</v>
      </c>
      <c r="D1370" s="135" t="s">
        <v>5561</v>
      </c>
      <c r="E1370" s="135" t="s">
        <v>5587</v>
      </c>
    </row>
    <row r="1371" spans="1:5" s="136" customFormat="1" x14ac:dyDescent="0.2">
      <c r="A1371" s="135" t="s">
        <v>5588</v>
      </c>
      <c r="B1371" s="135" t="s">
        <v>5589</v>
      </c>
      <c r="C1371" s="135" t="s">
        <v>5590</v>
      </c>
      <c r="D1371" s="135" t="s">
        <v>5546</v>
      </c>
      <c r="E1371" s="135" t="s">
        <v>5591</v>
      </c>
    </row>
    <row r="1372" spans="1:5" s="136" customFormat="1" x14ac:dyDescent="0.2">
      <c r="A1372" s="135" t="s">
        <v>5592</v>
      </c>
      <c r="B1372" s="135" t="s">
        <v>5593</v>
      </c>
      <c r="C1372" s="135" t="s">
        <v>5594</v>
      </c>
      <c r="D1372" s="135" t="s">
        <v>5513</v>
      </c>
      <c r="E1372" s="135" t="s">
        <v>5595</v>
      </c>
    </row>
    <row r="1373" spans="1:5" s="136" customFormat="1" x14ac:dyDescent="0.2">
      <c r="A1373" s="135" t="s">
        <v>5596</v>
      </c>
      <c r="B1373" s="135" t="s">
        <v>5597</v>
      </c>
      <c r="C1373" s="135" t="s">
        <v>5598</v>
      </c>
      <c r="D1373" s="135" t="s">
        <v>5561</v>
      </c>
      <c r="E1373" s="135" t="s">
        <v>5599</v>
      </c>
    </row>
    <row r="1374" spans="1:5" s="136" customFormat="1" x14ac:dyDescent="0.2">
      <c r="A1374" s="135" t="s">
        <v>5600</v>
      </c>
      <c r="B1374" s="135" t="s">
        <v>5601</v>
      </c>
      <c r="C1374" s="135" t="s">
        <v>5602</v>
      </c>
      <c r="D1374" s="135" t="s">
        <v>5513</v>
      </c>
      <c r="E1374" s="135" t="s">
        <v>5603</v>
      </c>
    </row>
    <row r="1375" spans="1:5" s="136" customFormat="1" x14ac:dyDescent="0.2">
      <c r="A1375" s="135" t="s">
        <v>5604</v>
      </c>
      <c r="B1375" s="135" t="s">
        <v>5605</v>
      </c>
      <c r="C1375" s="135" t="s">
        <v>5606</v>
      </c>
      <c r="D1375" s="135" t="s">
        <v>5578</v>
      </c>
      <c r="E1375" s="135" t="s">
        <v>5607</v>
      </c>
    </row>
    <row r="1376" spans="1:5" s="136" customFormat="1" x14ac:dyDescent="0.2">
      <c r="A1376" s="135" t="s">
        <v>5608</v>
      </c>
      <c r="B1376" s="135" t="s">
        <v>5609</v>
      </c>
      <c r="C1376" s="135" t="s">
        <v>5610</v>
      </c>
      <c r="D1376" s="135" t="s">
        <v>5546</v>
      </c>
      <c r="E1376" s="135" t="s">
        <v>5611</v>
      </c>
    </row>
    <row r="1377" spans="1:5" s="136" customFormat="1" x14ac:dyDescent="0.2">
      <c r="A1377" s="135" t="s">
        <v>5612</v>
      </c>
      <c r="B1377" s="135" t="s">
        <v>5613</v>
      </c>
      <c r="C1377" s="135" t="s">
        <v>5614</v>
      </c>
      <c r="D1377" s="135" t="s">
        <v>5615</v>
      </c>
      <c r="E1377" s="135" t="s">
        <v>5616</v>
      </c>
    </row>
    <row r="1378" spans="1:5" s="136" customFormat="1" x14ac:dyDescent="0.2">
      <c r="A1378" s="135" t="s">
        <v>5617</v>
      </c>
      <c r="B1378" s="135" t="s">
        <v>5618</v>
      </c>
      <c r="C1378" s="135" t="s">
        <v>5619</v>
      </c>
      <c r="D1378" s="135" t="s">
        <v>5259</v>
      </c>
      <c r="E1378" s="135" t="s">
        <v>5620</v>
      </c>
    </row>
    <row r="1379" spans="1:5" s="136" customFormat="1" x14ac:dyDescent="0.2">
      <c r="A1379" s="135" t="s">
        <v>5621</v>
      </c>
      <c r="B1379" s="135" t="s">
        <v>5622</v>
      </c>
      <c r="C1379" s="135" t="s">
        <v>5623</v>
      </c>
      <c r="D1379" s="135" t="s">
        <v>5546</v>
      </c>
      <c r="E1379" s="135" t="s">
        <v>5624</v>
      </c>
    </row>
    <row r="1380" spans="1:5" s="136" customFormat="1" x14ac:dyDescent="0.2">
      <c r="A1380" s="135" t="s">
        <v>5625</v>
      </c>
      <c r="B1380" s="135" t="s">
        <v>5626</v>
      </c>
      <c r="C1380" s="135" t="s">
        <v>5627</v>
      </c>
      <c r="D1380" s="135" t="s">
        <v>5561</v>
      </c>
      <c r="E1380" s="135" t="s">
        <v>5628</v>
      </c>
    </row>
    <row r="1381" spans="1:5" s="136" customFormat="1" x14ac:dyDescent="0.2">
      <c r="A1381" s="135" t="s">
        <v>5629</v>
      </c>
      <c r="B1381" s="135" t="s">
        <v>5630</v>
      </c>
      <c r="C1381" s="135" t="s">
        <v>5631</v>
      </c>
      <c r="D1381" s="135" t="s">
        <v>5537</v>
      </c>
      <c r="E1381" s="135" t="s">
        <v>5632</v>
      </c>
    </row>
    <row r="1382" spans="1:5" s="136" customFormat="1" x14ac:dyDescent="0.2">
      <c r="A1382" s="135" t="s">
        <v>5633</v>
      </c>
      <c r="B1382" s="135" t="s">
        <v>5634</v>
      </c>
      <c r="C1382" s="135" t="s">
        <v>5635</v>
      </c>
      <c r="D1382" s="135" t="s">
        <v>5578</v>
      </c>
      <c r="E1382" s="135" t="s">
        <v>5636</v>
      </c>
    </row>
    <row r="1383" spans="1:5" s="136" customFormat="1" x14ac:dyDescent="0.2">
      <c r="A1383" s="135" t="s">
        <v>5637</v>
      </c>
      <c r="B1383" s="135" t="s">
        <v>5638</v>
      </c>
      <c r="C1383" s="135" t="s">
        <v>5639</v>
      </c>
      <c r="D1383" s="135" t="s">
        <v>5578</v>
      </c>
      <c r="E1383" s="135" t="s">
        <v>5640</v>
      </c>
    </row>
    <row r="1384" spans="1:5" s="136" customFormat="1" x14ac:dyDescent="0.2">
      <c r="A1384" s="135" t="s">
        <v>5641</v>
      </c>
      <c r="B1384" s="135" t="s">
        <v>5642</v>
      </c>
      <c r="C1384" s="135" t="s">
        <v>5643</v>
      </c>
      <c r="D1384" s="135" t="s">
        <v>5578</v>
      </c>
      <c r="E1384" s="135" t="s">
        <v>5644</v>
      </c>
    </row>
    <row r="1385" spans="1:5" s="136" customFormat="1" x14ac:dyDescent="0.2">
      <c r="A1385" s="135" t="s">
        <v>5645</v>
      </c>
      <c r="B1385" s="135" t="s">
        <v>5646</v>
      </c>
      <c r="C1385" s="135" t="s">
        <v>5647</v>
      </c>
      <c r="D1385" s="135" t="s">
        <v>5561</v>
      </c>
      <c r="E1385" s="135" t="s">
        <v>5648</v>
      </c>
    </row>
    <row r="1386" spans="1:5" s="136" customFormat="1" x14ac:dyDescent="0.2">
      <c r="A1386" s="135" t="s">
        <v>5649</v>
      </c>
      <c r="B1386" s="135" t="s">
        <v>5650</v>
      </c>
      <c r="C1386" s="135" t="s">
        <v>5651</v>
      </c>
      <c r="D1386" s="135" t="s">
        <v>5527</v>
      </c>
      <c r="E1386" s="135" t="s">
        <v>5652</v>
      </c>
    </row>
    <row r="1387" spans="1:5" s="136" customFormat="1" x14ac:dyDescent="0.2">
      <c r="A1387" s="135" t="s">
        <v>5653</v>
      </c>
      <c r="B1387" s="135" t="s">
        <v>5654</v>
      </c>
      <c r="C1387" s="135" t="s">
        <v>5655</v>
      </c>
      <c r="D1387" s="135" t="s">
        <v>5578</v>
      </c>
      <c r="E1387" s="135" t="s">
        <v>5656</v>
      </c>
    </row>
    <row r="1388" spans="1:5" s="136" customFormat="1" x14ac:dyDescent="0.2">
      <c r="A1388" s="135" t="s">
        <v>5657</v>
      </c>
      <c r="B1388" s="135" t="s">
        <v>5658</v>
      </c>
      <c r="C1388" s="135" t="s">
        <v>5659</v>
      </c>
      <c r="D1388" s="135" t="s">
        <v>5532</v>
      </c>
      <c r="E1388" s="135" t="s">
        <v>5660</v>
      </c>
    </row>
    <row r="1389" spans="1:5" s="136" customFormat="1" x14ac:dyDescent="0.2">
      <c r="A1389" s="135" t="s">
        <v>5661</v>
      </c>
      <c r="B1389" s="135" t="s">
        <v>5662</v>
      </c>
      <c r="C1389" s="135" t="s">
        <v>5663</v>
      </c>
      <c r="D1389" s="135" t="s">
        <v>5532</v>
      </c>
      <c r="E1389" s="135" t="s">
        <v>5664</v>
      </c>
    </row>
    <row r="1390" spans="1:5" s="136" customFormat="1" x14ac:dyDescent="0.2">
      <c r="A1390" s="135" t="s">
        <v>5665</v>
      </c>
      <c r="B1390" s="135" t="s">
        <v>5666</v>
      </c>
      <c r="C1390" s="135" t="s">
        <v>5667</v>
      </c>
      <c r="D1390" s="135" t="s">
        <v>5668</v>
      </c>
      <c r="E1390" s="135" t="s">
        <v>5669</v>
      </c>
    </row>
    <row r="1391" spans="1:5" s="136" customFormat="1" x14ac:dyDescent="0.2">
      <c r="A1391" s="135" t="s">
        <v>5670</v>
      </c>
      <c r="B1391" s="135" t="s">
        <v>5671</v>
      </c>
      <c r="C1391" s="135" t="s">
        <v>5672</v>
      </c>
      <c r="D1391" s="135" t="s">
        <v>5673</v>
      </c>
      <c r="E1391" s="135" t="s">
        <v>5674</v>
      </c>
    </row>
    <row r="1392" spans="1:5" s="136" customFormat="1" x14ac:dyDescent="0.2">
      <c r="A1392" s="135" t="s">
        <v>5675</v>
      </c>
      <c r="B1392" s="135" t="s">
        <v>5676</v>
      </c>
      <c r="C1392" s="135" t="s">
        <v>5677</v>
      </c>
      <c r="D1392" s="135" t="s">
        <v>5127</v>
      </c>
      <c r="E1392" s="135" t="s">
        <v>5678</v>
      </c>
    </row>
    <row r="1393" spans="1:5" s="136" customFormat="1" x14ac:dyDescent="0.2">
      <c r="A1393" s="135" t="s">
        <v>5679</v>
      </c>
      <c r="B1393" s="135" t="s">
        <v>5680</v>
      </c>
      <c r="C1393" s="135" t="s">
        <v>5681</v>
      </c>
      <c r="D1393" s="135" t="s">
        <v>5127</v>
      </c>
      <c r="E1393" s="135" t="s">
        <v>5682</v>
      </c>
    </row>
    <row r="1394" spans="1:5" s="136" customFormat="1" x14ac:dyDescent="0.2">
      <c r="A1394" s="135" t="s">
        <v>5683</v>
      </c>
      <c r="B1394" s="135" t="s">
        <v>5684</v>
      </c>
      <c r="C1394" s="135" t="s">
        <v>5685</v>
      </c>
      <c r="D1394" s="135" t="s">
        <v>5686</v>
      </c>
      <c r="E1394" s="135" t="s">
        <v>5687</v>
      </c>
    </row>
    <row r="1395" spans="1:5" s="136" customFormat="1" x14ac:dyDescent="0.2">
      <c r="A1395" s="135" t="s">
        <v>5688</v>
      </c>
      <c r="B1395" s="135" t="s">
        <v>5689</v>
      </c>
      <c r="C1395" s="135" t="s">
        <v>5690</v>
      </c>
      <c r="D1395" s="135" t="s">
        <v>5686</v>
      </c>
      <c r="E1395" s="135" t="s">
        <v>5691</v>
      </c>
    </row>
    <row r="1396" spans="1:5" s="136" customFormat="1" x14ac:dyDescent="0.2">
      <c r="A1396" s="135" t="s">
        <v>5692</v>
      </c>
      <c r="B1396" s="135" t="s">
        <v>5693</v>
      </c>
      <c r="C1396" s="135" t="s">
        <v>5694</v>
      </c>
      <c r="D1396" s="135" t="s">
        <v>5695</v>
      </c>
      <c r="E1396" s="135" t="s">
        <v>5696</v>
      </c>
    </row>
    <row r="1397" spans="1:5" s="136" customFormat="1" x14ac:dyDescent="0.2">
      <c r="A1397" s="135" t="s">
        <v>5697</v>
      </c>
      <c r="B1397" s="135" t="s">
        <v>5698</v>
      </c>
      <c r="C1397" s="135" t="s">
        <v>5699</v>
      </c>
      <c r="D1397" s="135" t="s">
        <v>5673</v>
      </c>
      <c r="E1397" s="135" t="s">
        <v>5700</v>
      </c>
    </row>
    <row r="1398" spans="1:5" s="136" customFormat="1" x14ac:dyDescent="0.2">
      <c r="A1398" s="135" t="s">
        <v>5701</v>
      </c>
      <c r="B1398" s="135" t="s">
        <v>5702</v>
      </c>
      <c r="C1398" s="135" t="s">
        <v>5703</v>
      </c>
      <c r="D1398" s="135" t="s">
        <v>5127</v>
      </c>
      <c r="E1398" s="135" t="s">
        <v>5704</v>
      </c>
    </row>
    <row r="1399" spans="1:5" s="136" customFormat="1" x14ac:dyDescent="0.2">
      <c r="A1399" s="135" t="s">
        <v>5705</v>
      </c>
      <c r="B1399" s="135" t="s">
        <v>5706</v>
      </c>
      <c r="C1399" s="135" t="s">
        <v>5707</v>
      </c>
      <c r="D1399" s="135" t="s">
        <v>5673</v>
      </c>
      <c r="E1399" s="135" t="s">
        <v>5708</v>
      </c>
    </row>
    <row r="1400" spans="1:5" s="136" customFormat="1" x14ac:dyDescent="0.2">
      <c r="A1400" s="135" t="s">
        <v>5709</v>
      </c>
      <c r="B1400" s="135" t="s">
        <v>5710</v>
      </c>
      <c r="C1400" s="135" t="s">
        <v>5711</v>
      </c>
      <c r="D1400" s="135" t="s">
        <v>5673</v>
      </c>
      <c r="E1400" s="135" t="s">
        <v>5712</v>
      </c>
    </row>
    <row r="1401" spans="1:5" s="136" customFormat="1" x14ac:dyDescent="0.2">
      <c r="A1401" s="135" t="s">
        <v>5713</v>
      </c>
      <c r="B1401" s="135" t="s">
        <v>5714</v>
      </c>
      <c r="C1401" s="135" t="s">
        <v>5715</v>
      </c>
      <c r="D1401" s="135" t="s">
        <v>5716</v>
      </c>
      <c r="E1401" s="135" t="s">
        <v>5717</v>
      </c>
    </row>
    <row r="1402" spans="1:5" s="136" customFormat="1" x14ac:dyDescent="0.2">
      <c r="A1402" s="135" t="s">
        <v>5718</v>
      </c>
      <c r="B1402" s="135" t="s">
        <v>5719</v>
      </c>
      <c r="C1402" s="135" t="s">
        <v>5720</v>
      </c>
      <c r="D1402" s="135" t="s">
        <v>5127</v>
      </c>
      <c r="E1402" s="135" t="s">
        <v>5721</v>
      </c>
    </row>
    <row r="1403" spans="1:5" s="136" customFormat="1" x14ac:dyDescent="0.2">
      <c r="A1403" s="135" t="s">
        <v>5722</v>
      </c>
      <c r="B1403" s="135" t="s">
        <v>5723</v>
      </c>
      <c r="C1403" s="135" t="s">
        <v>5724</v>
      </c>
      <c r="D1403" s="135" t="s">
        <v>5673</v>
      </c>
      <c r="E1403" s="135" t="s">
        <v>5725</v>
      </c>
    </row>
    <row r="1404" spans="1:5" s="136" customFormat="1" x14ac:dyDescent="0.2">
      <c r="A1404" s="135" t="s">
        <v>5726</v>
      </c>
      <c r="B1404" s="135" t="s">
        <v>5727</v>
      </c>
      <c r="C1404" s="135" t="s">
        <v>5728</v>
      </c>
      <c r="D1404" s="135" t="s">
        <v>5673</v>
      </c>
      <c r="E1404" s="135" t="s">
        <v>5729</v>
      </c>
    </row>
    <row r="1405" spans="1:5" s="136" customFormat="1" x14ac:dyDescent="0.2">
      <c r="A1405" s="135" t="s">
        <v>5730</v>
      </c>
      <c r="B1405" s="135" t="s">
        <v>5731</v>
      </c>
      <c r="C1405" s="135" t="s">
        <v>5732</v>
      </c>
      <c r="D1405" s="135" t="s">
        <v>5673</v>
      </c>
      <c r="E1405" s="135" t="s">
        <v>5733</v>
      </c>
    </row>
    <row r="1406" spans="1:5" s="136" customFormat="1" x14ac:dyDescent="0.2">
      <c r="A1406" s="135" t="s">
        <v>5734</v>
      </c>
      <c r="B1406" s="135" t="s">
        <v>5735</v>
      </c>
      <c r="C1406" s="135" t="s">
        <v>5736</v>
      </c>
      <c r="D1406" s="135" t="s">
        <v>5127</v>
      </c>
      <c r="E1406" s="135" t="s">
        <v>5678</v>
      </c>
    </row>
    <row r="1407" spans="1:5" s="136" customFormat="1" x14ac:dyDescent="0.2">
      <c r="A1407" s="135" t="s">
        <v>5737</v>
      </c>
      <c r="B1407" s="135" t="s">
        <v>5738</v>
      </c>
      <c r="C1407" s="135" t="s">
        <v>5739</v>
      </c>
      <c r="D1407" s="135" t="s">
        <v>5716</v>
      </c>
      <c r="E1407" s="135" t="s">
        <v>5740</v>
      </c>
    </row>
    <row r="1408" spans="1:5" s="136" customFormat="1" x14ac:dyDescent="0.2">
      <c r="A1408" s="135" t="s">
        <v>5741</v>
      </c>
      <c r="B1408" s="135" t="s">
        <v>5742</v>
      </c>
      <c r="C1408" s="135" t="s">
        <v>5743</v>
      </c>
      <c r="D1408" s="135" t="s">
        <v>5673</v>
      </c>
      <c r="E1408" s="135" t="s">
        <v>5740</v>
      </c>
    </row>
    <row r="1409" spans="1:5" s="136" customFormat="1" x14ac:dyDescent="0.2">
      <c r="A1409" s="135" t="s">
        <v>5744</v>
      </c>
      <c r="B1409" s="135" t="s">
        <v>5745</v>
      </c>
      <c r="C1409" s="135" t="s">
        <v>5746</v>
      </c>
      <c r="D1409" s="135" t="s">
        <v>5686</v>
      </c>
      <c r="E1409" s="135" t="s">
        <v>5740</v>
      </c>
    </row>
    <row r="1410" spans="1:5" s="136" customFormat="1" x14ac:dyDescent="0.2">
      <c r="A1410" s="135" t="s">
        <v>5747</v>
      </c>
      <c r="B1410" s="135" t="s">
        <v>5748</v>
      </c>
      <c r="C1410" s="135" t="s">
        <v>5749</v>
      </c>
      <c r="D1410" s="135" t="s">
        <v>5673</v>
      </c>
      <c r="E1410" s="135" t="s">
        <v>5750</v>
      </c>
    </row>
    <row r="1411" spans="1:5" s="136" customFormat="1" x14ac:dyDescent="0.2">
      <c r="A1411" s="135" t="s">
        <v>5751</v>
      </c>
      <c r="B1411" s="135" t="s">
        <v>5752</v>
      </c>
      <c r="C1411" s="135" t="s">
        <v>5753</v>
      </c>
      <c r="D1411" s="135" t="s">
        <v>5673</v>
      </c>
      <c r="E1411" s="135" t="s">
        <v>5754</v>
      </c>
    </row>
    <row r="1412" spans="1:5" s="136" customFormat="1" x14ac:dyDescent="0.2">
      <c r="A1412" s="135" t="s">
        <v>5755</v>
      </c>
      <c r="B1412" s="135" t="s">
        <v>5756</v>
      </c>
      <c r="C1412" s="135" t="s">
        <v>5757</v>
      </c>
      <c r="D1412" s="135" t="s">
        <v>5758</v>
      </c>
      <c r="E1412" s="135" t="s">
        <v>5759</v>
      </c>
    </row>
    <row r="1413" spans="1:5" s="136" customFormat="1" x14ac:dyDescent="0.2">
      <c r="A1413" s="135" t="s">
        <v>5760</v>
      </c>
      <c r="B1413" s="135" t="s">
        <v>5761</v>
      </c>
      <c r="C1413" s="135" t="s">
        <v>5762</v>
      </c>
      <c r="D1413" s="135" t="s">
        <v>5686</v>
      </c>
      <c r="E1413" s="135" t="s">
        <v>5763</v>
      </c>
    </row>
    <row r="1414" spans="1:5" s="136" customFormat="1" x14ac:dyDescent="0.2">
      <c r="A1414" s="135" t="s">
        <v>5764</v>
      </c>
      <c r="B1414" s="135" t="s">
        <v>5765</v>
      </c>
      <c r="C1414" s="135" t="s">
        <v>5766</v>
      </c>
      <c r="D1414" s="135" t="s">
        <v>5673</v>
      </c>
      <c r="E1414" s="135" t="s">
        <v>5708</v>
      </c>
    </row>
    <row r="1415" spans="1:5" s="136" customFormat="1" x14ac:dyDescent="0.2">
      <c r="A1415" s="135" t="s">
        <v>5767</v>
      </c>
      <c r="B1415" s="135" t="s">
        <v>5768</v>
      </c>
      <c r="C1415" s="135" t="s">
        <v>5769</v>
      </c>
      <c r="D1415" s="135" t="s">
        <v>5673</v>
      </c>
      <c r="E1415" s="135" t="s">
        <v>5770</v>
      </c>
    </row>
    <row r="1416" spans="1:5" s="136" customFormat="1" x14ac:dyDescent="0.2">
      <c r="A1416" s="135" t="s">
        <v>5771</v>
      </c>
      <c r="B1416" s="135" t="s">
        <v>5772</v>
      </c>
      <c r="C1416" s="135" t="s">
        <v>5773</v>
      </c>
      <c r="D1416" s="135" t="s">
        <v>5673</v>
      </c>
      <c r="E1416" s="135" t="s">
        <v>5774</v>
      </c>
    </row>
    <row r="1417" spans="1:5" s="136" customFormat="1" x14ac:dyDescent="0.2">
      <c r="A1417" s="135" t="s">
        <v>5775</v>
      </c>
      <c r="B1417" s="135" t="s">
        <v>5776</v>
      </c>
      <c r="C1417" s="135" t="s">
        <v>5777</v>
      </c>
      <c r="D1417" s="135" t="s">
        <v>5673</v>
      </c>
      <c r="E1417" s="135" t="s">
        <v>5770</v>
      </c>
    </row>
    <row r="1418" spans="1:5" s="136" customFormat="1" x14ac:dyDescent="0.2">
      <c r="A1418" s="135" t="s">
        <v>5778</v>
      </c>
      <c r="B1418" s="135" t="s">
        <v>5779</v>
      </c>
      <c r="C1418" s="135" t="s">
        <v>5780</v>
      </c>
      <c r="D1418" s="135" t="s">
        <v>5781</v>
      </c>
      <c r="E1418" s="135" t="s">
        <v>5782</v>
      </c>
    </row>
    <row r="1419" spans="1:5" s="136" customFormat="1" x14ac:dyDescent="0.2">
      <c r="A1419" s="135" t="s">
        <v>5783</v>
      </c>
      <c r="B1419" s="135" t="s">
        <v>5784</v>
      </c>
      <c r="C1419" s="135" t="s">
        <v>5785</v>
      </c>
      <c r="D1419" s="135" t="s">
        <v>5786</v>
      </c>
      <c r="E1419" s="135" t="s">
        <v>5787</v>
      </c>
    </row>
    <row r="1420" spans="1:5" s="136" customFormat="1" x14ac:dyDescent="0.2">
      <c r="A1420" s="135" t="s">
        <v>5788</v>
      </c>
      <c r="B1420" s="135" t="s">
        <v>5789</v>
      </c>
      <c r="C1420" s="135" t="s">
        <v>5790</v>
      </c>
      <c r="D1420" s="135" t="s">
        <v>5695</v>
      </c>
      <c r="E1420" s="135" t="s">
        <v>5791</v>
      </c>
    </row>
    <row r="1421" spans="1:5" s="136" customFormat="1" x14ac:dyDescent="0.2">
      <c r="A1421" s="135" t="s">
        <v>5792</v>
      </c>
      <c r="B1421" s="135" t="s">
        <v>5793</v>
      </c>
      <c r="C1421" s="135" t="s">
        <v>5794</v>
      </c>
      <c r="D1421" s="135" t="s">
        <v>5695</v>
      </c>
      <c r="E1421" s="135" t="s">
        <v>5795</v>
      </c>
    </row>
    <row r="1422" spans="1:5" s="136" customFormat="1" x14ac:dyDescent="0.2">
      <c r="A1422" s="135" t="s">
        <v>5796</v>
      </c>
      <c r="B1422" s="135" t="s">
        <v>5797</v>
      </c>
      <c r="C1422" s="135" t="s">
        <v>5798</v>
      </c>
      <c r="D1422" s="135" t="s">
        <v>5695</v>
      </c>
      <c r="E1422" s="135" t="s">
        <v>5799</v>
      </c>
    </row>
    <row r="1423" spans="1:5" s="136" customFormat="1" x14ac:dyDescent="0.2">
      <c r="A1423" s="135" t="s">
        <v>5800</v>
      </c>
      <c r="B1423" s="135" t="s">
        <v>5801</v>
      </c>
      <c r="C1423" s="135" t="s">
        <v>5802</v>
      </c>
      <c r="D1423" s="135" t="s">
        <v>5695</v>
      </c>
      <c r="E1423" s="135" t="s">
        <v>5803</v>
      </c>
    </row>
    <row r="1424" spans="1:5" s="136" customFormat="1" x14ac:dyDescent="0.2">
      <c r="A1424" s="135" t="s">
        <v>5804</v>
      </c>
      <c r="B1424" s="135" t="s">
        <v>5805</v>
      </c>
      <c r="C1424" s="135" t="s">
        <v>5806</v>
      </c>
      <c r="D1424" s="135" t="s">
        <v>5781</v>
      </c>
      <c r="E1424" s="135" t="s">
        <v>5807</v>
      </c>
    </row>
    <row r="1425" spans="1:5" s="136" customFormat="1" x14ac:dyDescent="0.2">
      <c r="A1425" s="135" t="s">
        <v>5808</v>
      </c>
      <c r="B1425" s="135" t="s">
        <v>5809</v>
      </c>
      <c r="C1425" s="135" t="s">
        <v>5810</v>
      </c>
      <c r="D1425" s="135" t="s">
        <v>5811</v>
      </c>
      <c r="E1425" s="135" t="s">
        <v>5812</v>
      </c>
    </row>
    <row r="1426" spans="1:5" s="136" customFormat="1" x14ac:dyDescent="0.2">
      <c r="A1426" s="135" t="s">
        <v>5813</v>
      </c>
      <c r="B1426" s="135" t="s">
        <v>5814</v>
      </c>
      <c r="C1426" s="135" t="s">
        <v>5815</v>
      </c>
      <c r="D1426" s="135" t="s">
        <v>5811</v>
      </c>
      <c r="E1426" s="135" t="s">
        <v>5816</v>
      </c>
    </row>
    <row r="1427" spans="1:5" s="136" customFormat="1" x14ac:dyDescent="0.2">
      <c r="A1427" s="135" t="s">
        <v>5817</v>
      </c>
      <c r="B1427" s="135" t="s">
        <v>5818</v>
      </c>
      <c r="C1427" s="135" t="s">
        <v>5819</v>
      </c>
      <c r="D1427" s="135" t="s">
        <v>5781</v>
      </c>
      <c r="E1427" s="135" t="s">
        <v>5820</v>
      </c>
    </row>
    <row r="1428" spans="1:5" s="136" customFormat="1" x14ac:dyDescent="0.2">
      <c r="A1428" s="135" t="s">
        <v>5821</v>
      </c>
      <c r="B1428" s="135" t="s">
        <v>5822</v>
      </c>
      <c r="C1428" s="135" t="s">
        <v>5823</v>
      </c>
      <c r="D1428" s="135" t="s">
        <v>5781</v>
      </c>
      <c r="E1428" s="135" t="s">
        <v>5824</v>
      </c>
    </row>
    <row r="1429" spans="1:5" s="136" customFormat="1" x14ac:dyDescent="0.2">
      <c r="A1429" s="135" t="s">
        <v>5825</v>
      </c>
      <c r="B1429" s="135" t="s">
        <v>5826</v>
      </c>
      <c r="C1429" s="135" t="s">
        <v>5827</v>
      </c>
      <c r="D1429" s="135" t="s">
        <v>5828</v>
      </c>
      <c r="E1429" s="135" t="s">
        <v>5829</v>
      </c>
    </row>
    <row r="1430" spans="1:5" s="136" customFormat="1" x14ac:dyDescent="0.2">
      <c r="A1430" s="135" t="s">
        <v>5830</v>
      </c>
      <c r="B1430" s="135" t="s">
        <v>5831</v>
      </c>
      <c r="C1430" s="135" t="s">
        <v>5832</v>
      </c>
      <c r="D1430" s="135" t="s">
        <v>5828</v>
      </c>
      <c r="E1430" s="135" t="s">
        <v>5833</v>
      </c>
    </row>
    <row r="1431" spans="1:5" s="136" customFormat="1" x14ac:dyDescent="0.2">
      <c r="A1431" s="135" t="s">
        <v>5834</v>
      </c>
      <c r="B1431" s="135" t="s">
        <v>5835</v>
      </c>
      <c r="C1431" s="135" t="s">
        <v>5836</v>
      </c>
      <c r="D1431" s="135" t="s">
        <v>5837</v>
      </c>
      <c r="E1431" s="135" t="s">
        <v>5838</v>
      </c>
    </row>
    <row r="1432" spans="1:5" s="136" customFormat="1" x14ac:dyDescent="0.2">
      <c r="A1432" s="135" t="s">
        <v>5839</v>
      </c>
      <c r="B1432" s="135" t="s">
        <v>5840</v>
      </c>
      <c r="C1432" s="135" t="s">
        <v>5841</v>
      </c>
      <c r="D1432" s="135" t="s">
        <v>5842</v>
      </c>
      <c r="E1432" s="135" t="s">
        <v>5843</v>
      </c>
    </row>
    <row r="1433" spans="1:5" s="136" customFormat="1" x14ac:dyDescent="0.2">
      <c r="A1433" s="135" t="s">
        <v>5844</v>
      </c>
      <c r="B1433" s="135" t="s">
        <v>5845</v>
      </c>
      <c r="C1433" s="135" t="s">
        <v>5846</v>
      </c>
      <c r="D1433" s="135" t="s">
        <v>5847</v>
      </c>
      <c r="E1433" s="135" t="s">
        <v>5848</v>
      </c>
    </row>
    <row r="1434" spans="1:5" s="136" customFormat="1" x14ac:dyDescent="0.2">
      <c r="A1434" s="135" t="s">
        <v>5849</v>
      </c>
      <c r="B1434" s="135" t="s">
        <v>5850</v>
      </c>
      <c r="C1434" s="135" t="s">
        <v>5851</v>
      </c>
      <c r="D1434" s="135" t="s">
        <v>5852</v>
      </c>
      <c r="E1434" s="135" t="s">
        <v>5853</v>
      </c>
    </row>
    <row r="1435" spans="1:5" s="136" customFormat="1" x14ac:dyDescent="0.2">
      <c r="A1435" s="135" t="s">
        <v>5854</v>
      </c>
      <c r="B1435" s="135" t="s">
        <v>5855</v>
      </c>
      <c r="C1435" s="135" t="s">
        <v>5856</v>
      </c>
      <c r="D1435" s="135" t="s">
        <v>4915</v>
      </c>
      <c r="E1435" s="135" t="s">
        <v>5857</v>
      </c>
    </row>
    <row r="1436" spans="1:5" s="136" customFormat="1" x14ac:dyDescent="0.2">
      <c r="A1436" s="135" t="s">
        <v>5858</v>
      </c>
      <c r="B1436" s="135" t="s">
        <v>5859</v>
      </c>
      <c r="C1436" s="135" t="s">
        <v>5860</v>
      </c>
      <c r="D1436" s="135" t="s">
        <v>5837</v>
      </c>
      <c r="E1436" s="135" t="s">
        <v>5861</v>
      </c>
    </row>
    <row r="1437" spans="1:5" s="136" customFormat="1" x14ac:dyDescent="0.2">
      <c r="A1437" s="135" t="s">
        <v>5862</v>
      </c>
      <c r="B1437" s="135" t="s">
        <v>5863</v>
      </c>
      <c r="C1437" s="135" t="s">
        <v>5864</v>
      </c>
      <c r="D1437" s="135" t="s">
        <v>5837</v>
      </c>
      <c r="E1437" s="135" t="s">
        <v>5865</v>
      </c>
    </row>
    <row r="1438" spans="1:5" s="136" customFormat="1" x14ac:dyDescent="0.2">
      <c r="A1438" s="135" t="s">
        <v>5866</v>
      </c>
      <c r="B1438" s="135" t="s">
        <v>5867</v>
      </c>
      <c r="C1438" s="135" t="s">
        <v>5868</v>
      </c>
      <c r="D1438" s="135" t="s">
        <v>5828</v>
      </c>
      <c r="E1438" s="135" t="s">
        <v>5869</v>
      </c>
    </row>
    <row r="1439" spans="1:5" s="136" customFormat="1" x14ac:dyDescent="0.2">
      <c r="A1439" s="135" t="s">
        <v>5870</v>
      </c>
      <c r="B1439" s="135" t="s">
        <v>5871</v>
      </c>
      <c r="C1439" s="135" t="s">
        <v>5872</v>
      </c>
      <c r="D1439" s="135" t="s">
        <v>5873</v>
      </c>
      <c r="E1439" s="135" t="s">
        <v>5874</v>
      </c>
    </row>
    <row r="1440" spans="1:5" s="136" customFormat="1" x14ac:dyDescent="0.2">
      <c r="A1440" s="135" t="s">
        <v>5875</v>
      </c>
      <c r="B1440" s="135" t="s">
        <v>5876</v>
      </c>
      <c r="C1440" s="135" t="s">
        <v>5877</v>
      </c>
      <c r="D1440" s="135" t="s">
        <v>5837</v>
      </c>
      <c r="E1440" s="135" t="s">
        <v>5878</v>
      </c>
    </row>
    <row r="1441" spans="1:5" s="136" customFormat="1" x14ac:dyDescent="0.2">
      <c r="A1441" s="135" t="s">
        <v>5879</v>
      </c>
      <c r="B1441" s="135" t="s">
        <v>5880</v>
      </c>
      <c r="C1441" s="135" t="s">
        <v>5881</v>
      </c>
      <c r="D1441" s="135" t="s">
        <v>5837</v>
      </c>
      <c r="E1441" s="135" t="s">
        <v>5882</v>
      </c>
    </row>
    <row r="1442" spans="1:5" s="136" customFormat="1" x14ac:dyDescent="0.2">
      <c r="A1442" s="135" t="s">
        <v>5883</v>
      </c>
      <c r="B1442" s="135" t="s">
        <v>5884</v>
      </c>
      <c r="C1442" s="135" t="s">
        <v>5885</v>
      </c>
      <c r="D1442" s="135" t="s">
        <v>5842</v>
      </c>
      <c r="E1442" s="135" t="s">
        <v>5886</v>
      </c>
    </row>
    <row r="1443" spans="1:5" s="136" customFormat="1" x14ac:dyDescent="0.2">
      <c r="A1443" s="135" t="s">
        <v>5887</v>
      </c>
      <c r="B1443" s="135" t="s">
        <v>5888</v>
      </c>
      <c r="C1443" s="135" t="s">
        <v>5889</v>
      </c>
      <c r="D1443" s="135" t="s">
        <v>5842</v>
      </c>
      <c r="E1443" s="135" t="s">
        <v>5886</v>
      </c>
    </row>
    <row r="1444" spans="1:5" s="136" customFormat="1" x14ac:dyDescent="0.2">
      <c r="A1444" s="135" t="s">
        <v>5890</v>
      </c>
      <c r="B1444" s="135" t="s">
        <v>5891</v>
      </c>
      <c r="C1444" s="135" t="s">
        <v>5892</v>
      </c>
      <c r="D1444" s="135" t="s">
        <v>5842</v>
      </c>
      <c r="E1444" s="135" t="s">
        <v>5893</v>
      </c>
    </row>
    <row r="1445" spans="1:5" s="136" customFormat="1" x14ac:dyDescent="0.2">
      <c r="A1445" s="135" t="s">
        <v>5894</v>
      </c>
      <c r="B1445" s="135" t="s">
        <v>5895</v>
      </c>
      <c r="C1445" s="135" t="s">
        <v>5896</v>
      </c>
      <c r="D1445" s="135" t="s">
        <v>5847</v>
      </c>
      <c r="E1445" s="135" t="s">
        <v>5897</v>
      </c>
    </row>
    <row r="1446" spans="1:5" s="136" customFormat="1" x14ac:dyDescent="0.2">
      <c r="A1446" s="135" t="s">
        <v>5898</v>
      </c>
      <c r="B1446" s="135" t="s">
        <v>5899</v>
      </c>
      <c r="C1446" s="135" t="s">
        <v>5900</v>
      </c>
      <c r="D1446" s="135" t="s">
        <v>5847</v>
      </c>
      <c r="E1446" s="135" t="s">
        <v>5901</v>
      </c>
    </row>
    <row r="1447" spans="1:5" s="136" customFormat="1" x14ac:dyDescent="0.2">
      <c r="A1447" s="135" t="s">
        <v>5902</v>
      </c>
      <c r="B1447" s="135" t="s">
        <v>5903</v>
      </c>
      <c r="C1447" s="135" t="s">
        <v>5904</v>
      </c>
      <c r="D1447" s="135" t="s">
        <v>5847</v>
      </c>
      <c r="E1447" s="135" t="s">
        <v>5905</v>
      </c>
    </row>
    <row r="1448" spans="1:5" s="136" customFormat="1" x14ac:dyDescent="0.2">
      <c r="A1448" s="135" t="s">
        <v>5906</v>
      </c>
      <c r="B1448" s="135" t="s">
        <v>5907</v>
      </c>
      <c r="C1448" s="135" t="s">
        <v>5908</v>
      </c>
      <c r="D1448" s="135" t="s">
        <v>5847</v>
      </c>
      <c r="E1448" s="135" t="s">
        <v>5909</v>
      </c>
    </row>
    <row r="1449" spans="1:5" s="136" customFormat="1" x14ac:dyDescent="0.2">
      <c r="A1449" s="135" t="s">
        <v>5910</v>
      </c>
      <c r="B1449" s="135" t="s">
        <v>5911</v>
      </c>
      <c r="C1449" s="135" t="s">
        <v>5912</v>
      </c>
      <c r="D1449" s="135" t="s">
        <v>5913</v>
      </c>
      <c r="E1449" s="135" t="s">
        <v>5914</v>
      </c>
    </row>
    <row r="1450" spans="1:5" s="136" customFormat="1" x14ac:dyDescent="0.2">
      <c r="A1450" s="135" t="s">
        <v>5915</v>
      </c>
      <c r="B1450" s="135" t="s">
        <v>5916</v>
      </c>
      <c r="C1450" s="135" t="s">
        <v>5917</v>
      </c>
      <c r="D1450" s="135" t="s">
        <v>5847</v>
      </c>
      <c r="E1450" s="135" t="s">
        <v>5918</v>
      </c>
    </row>
    <row r="1451" spans="1:5" s="136" customFormat="1" x14ac:dyDescent="0.2">
      <c r="A1451" s="135" t="s">
        <v>5919</v>
      </c>
      <c r="B1451" s="135" t="s">
        <v>5920</v>
      </c>
      <c r="C1451" s="135" t="s">
        <v>5921</v>
      </c>
      <c r="D1451" s="135" t="s">
        <v>5913</v>
      </c>
      <c r="E1451" s="135" t="s">
        <v>5922</v>
      </c>
    </row>
    <row r="1452" spans="1:5" s="136" customFormat="1" x14ac:dyDescent="0.2">
      <c r="A1452" s="135" t="s">
        <v>5923</v>
      </c>
      <c r="B1452" s="135" t="s">
        <v>5924</v>
      </c>
      <c r="C1452" s="135" t="s">
        <v>5925</v>
      </c>
      <c r="D1452" s="135" t="s">
        <v>5913</v>
      </c>
      <c r="E1452" s="135" t="s">
        <v>5926</v>
      </c>
    </row>
    <row r="1453" spans="1:5" s="136" customFormat="1" x14ac:dyDescent="0.2">
      <c r="A1453" s="135" t="s">
        <v>5927</v>
      </c>
      <c r="B1453" s="135" t="s">
        <v>5928</v>
      </c>
      <c r="C1453" s="135" t="s">
        <v>5929</v>
      </c>
      <c r="D1453" s="135" t="s">
        <v>5913</v>
      </c>
      <c r="E1453" s="135" t="s">
        <v>5930</v>
      </c>
    </row>
    <row r="1454" spans="1:5" s="136" customFormat="1" x14ac:dyDescent="0.2">
      <c r="A1454" s="135" t="s">
        <v>5931</v>
      </c>
      <c r="B1454" s="135" t="s">
        <v>5932</v>
      </c>
      <c r="C1454" s="135" t="s">
        <v>5933</v>
      </c>
      <c r="D1454" s="135" t="s">
        <v>4915</v>
      </c>
      <c r="E1454" s="135" t="s">
        <v>5934</v>
      </c>
    </row>
    <row r="1455" spans="1:5" s="136" customFormat="1" x14ac:dyDescent="0.2">
      <c r="A1455" s="135" t="s">
        <v>5935</v>
      </c>
      <c r="B1455" s="135" t="s">
        <v>5936</v>
      </c>
      <c r="C1455" s="135" t="s">
        <v>5937</v>
      </c>
      <c r="D1455" s="135" t="s">
        <v>4915</v>
      </c>
      <c r="E1455" s="135" t="s">
        <v>5938</v>
      </c>
    </row>
    <row r="1456" spans="1:5" s="136" customFormat="1" x14ac:dyDescent="0.2">
      <c r="A1456" s="135" t="s">
        <v>5939</v>
      </c>
      <c r="B1456" s="135" t="s">
        <v>5940</v>
      </c>
      <c r="C1456" s="135" t="s">
        <v>5941</v>
      </c>
      <c r="D1456" s="135" t="s">
        <v>4915</v>
      </c>
      <c r="E1456" s="135" t="s">
        <v>5942</v>
      </c>
    </row>
    <row r="1457" spans="1:5" s="136" customFormat="1" x14ac:dyDescent="0.2">
      <c r="A1457" s="135" t="s">
        <v>5943</v>
      </c>
      <c r="B1457" s="135" t="s">
        <v>5944</v>
      </c>
      <c r="C1457" s="135" t="s">
        <v>5945</v>
      </c>
      <c r="D1457" s="135" t="s">
        <v>4915</v>
      </c>
      <c r="E1457" s="135" t="s">
        <v>5946</v>
      </c>
    </row>
    <row r="1458" spans="1:5" s="136" customFormat="1" x14ac:dyDescent="0.2">
      <c r="A1458" s="135" t="s">
        <v>5947</v>
      </c>
      <c r="B1458" s="135" t="s">
        <v>5948</v>
      </c>
      <c r="C1458" s="135" t="s">
        <v>5949</v>
      </c>
      <c r="D1458" s="135" t="s">
        <v>4915</v>
      </c>
      <c r="E1458" s="135" t="s">
        <v>5950</v>
      </c>
    </row>
    <row r="1459" spans="1:5" s="136" customFormat="1" x14ac:dyDescent="0.2">
      <c r="A1459" s="135" t="s">
        <v>5951</v>
      </c>
      <c r="B1459" s="135" t="s">
        <v>5952</v>
      </c>
      <c r="C1459" s="135" t="s">
        <v>5953</v>
      </c>
      <c r="D1459" s="135" t="s">
        <v>5954</v>
      </c>
      <c r="E1459" s="135" t="s">
        <v>5955</v>
      </c>
    </row>
    <row r="1460" spans="1:5" s="136" customFormat="1" x14ac:dyDescent="0.2">
      <c r="A1460" s="135" t="s">
        <v>5956</v>
      </c>
      <c r="B1460" s="135" t="s">
        <v>5957</v>
      </c>
      <c r="C1460" s="135" t="s">
        <v>5958</v>
      </c>
      <c r="D1460" s="135" t="s">
        <v>5959</v>
      </c>
      <c r="E1460" s="135" t="s">
        <v>5960</v>
      </c>
    </row>
    <row r="1461" spans="1:5" s="136" customFormat="1" x14ac:dyDescent="0.2">
      <c r="A1461" s="135" t="s">
        <v>5961</v>
      </c>
      <c r="B1461" s="135" t="s">
        <v>5962</v>
      </c>
      <c r="C1461" s="135" t="s">
        <v>5963</v>
      </c>
      <c r="D1461" s="135" t="s">
        <v>5964</v>
      </c>
      <c r="E1461" s="135" t="s">
        <v>5965</v>
      </c>
    </row>
    <row r="1462" spans="1:5" s="136" customFormat="1" x14ac:dyDescent="0.2">
      <c r="A1462" s="135" t="s">
        <v>5966</v>
      </c>
      <c r="B1462" s="135" t="s">
        <v>5967</v>
      </c>
      <c r="C1462" s="135" t="s">
        <v>5968</v>
      </c>
      <c r="D1462" s="135" t="s">
        <v>5959</v>
      </c>
      <c r="E1462" s="135" t="s">
        <v>5969</v>
      </c>
    </row>
    <row r="1463" spans="1:5" s="136" customFormat="1" x14ac:dyDescent="0.2">
      <c r="A1463" s="135" t="s">
        <v>5970</v>
      </c>
      <c r="B1463" s="135" t="s">
        <v>5971</v>
      </c>
      <c r="C1463" s="135" t="s">
        <v>5972</v>
      </c>
      <c r="D1463" s="135" t="s">
        <v>5973</v>
      </c>
      <c r="E1463" s="135" t="s">
        <v>5974</v>
      </c>
    </row>
    <row r="1464" spans="1:5" s="136" customFormat="1" x14ac:dyDescent="0.2">
      <c r="A1464" s="135" t="s">
        <v>5975</v>
      </c>
      <c r="B1464" s="135" t="s">
        <v>5976</v>
      </c>
      <c r="C1464" s="135" t="s">
        <v>5977</v>
      </c>
      <c r="D1464" s="135" t="s">
        <v>5964</v>
      </c>
      <c r="E1464" s="135" t="s">
        <v>5978</v>
      </c>
    </row>
    <row r="1465" spans="1:5" s="136" customFormat="1" x14ac:dyDescent="0.2">
      <c r="A1465" s="135" t="s">
        <v>5979</v>
      </c>
      <c r="B1465" s="135" t="s">
        <v>5980</v>
      </c>
      <c r="C1465" s="135" t="s">
        <v>5981</v>
      </c>
      <c r="D1465" s="135" t="s">
        <v>5964</v>
      </c>
      <c r="E1465" s="135" t="s">
        <v>5982</v>
      </c>
    </row>
    <row r="1466" spans="1:5" s="136" customFormat="1" x14ac:dyDescent="0.2">
      <c r="A1466" s="135" t="s">
        <v>5983</v>
      </c>
      <c r="B1466" s="135" t="s">
        <v>5984</v>
      </c>
      <c r="C1466" s="135" t="s">
        <v>5985</v>
      </c>
      <c r="D1466" s="135" t="s">
        <v>5964</v>
      </c>
      <c r="E1466" s="135" t="s">
        <v>5986</v>
      </c>
    </row>
    <row r="1467" spans="1:5" s="136" customFormat="1" x14ac:dyDescent="0.2">
      <c r="A1467" s="135" t="s">
        <v>5987</v>
      </c>
      <c r="B1467" s="135" t="s">
        <v>5988</v>
      </c>
      <c r="C1467" s="135" t="s">
        <v>5989</v>
      </c>
      <c r="D1467" s="135" t="s">
        <v>5964</v>
      </c>
      <c r="E1467" s="135" t="s">
        <v>5990</v>
      </c>
    </row>
    <row r="1468" spans="1:5" s="136" customFormat="1" x14ac:dyDescent="0.2">
      <c r="A1468" s="135" t="s">
        <v>5991</v>
      </c>
      <c r="B1468" s="135" t="s">
        <v>5992</v>
      </c>
      <c r="C1468" s="135" t="s">
        <v>5993</v>
      </c>
      <c r="D1468" s="135" t="s">
        <v>5964</v>
      </c>
      <c r="E1468" s="135" t="s">
        <v>5994</v>
      </c>
    </row>
    <row r="1469" spans="1:5" s="136" customFormat="1" x14ac:dyDescent="0.2">
      <c r="A1469" s="135" t="s">
        <v>5995</v>
      </c>
      <c r="B1469" s="135" t="s">
        <v>5996</v>
      </c>
      <c r="C1469" s="135" t="s">
        <v>5997</v>
      </c>
      <c r="D1469" s="135" t="s">
        <v>5964</v>
      </c>
      <c r="E1469" s="135" t="s">
        <v>5998</v>
      </c>
    </row>
    <row r="1470" spans="1:5" s="136" customFormat="1" x14ac:dyDescent="0.2">
      <c r="A1470" s="135" t="s">
        <v>5999</v>
      </c>
      <c r="B1470" s="135" t="s">
        <v>6000</v>
      </c>
      <c r="C1470" s="135" t="s">
        <v>6001</v>
      </c>
      <c r="D1470" s="135" t="s">
        <v>5964</v>
      </c>
      <c r="E1470" s="135" t="s">
        <v>6002</v>
      </c>
    </row>
    <row r="1471" spans="1:5" s="136" customFormat="1" x14ac:dyDescent="0.2">
      <c r="A1471" s="135" t="s">
        <v>6003</v>
      </c>
      <c r="B1471" s="135" t="s">
        <v>6004</v>
      </c>
      <c r="C1471" s="135" t="s">
        <v>6005</v>
      </c>
      <c r="D1471" s="135" t="s">
        <v>5959</v>
      </c>
      <c r="E1471" s="135" t="s">
        <v>6006</v>
      </c>
    </row>
    <row r="1472" spans="1:5" s="136" customFormat="1" x14ac:dyDescent="0.2">
      <c r="A1472" s="135" t="s">
        <v>6007</v>
      </c>
      <c r="B1472" s="135" t="s">
        <v>6008</v>
      </c>
      <c r="C1472" s="135" t="s">
        <v>6009</v>
      </c>
      <c r="D1472" s="135" t="s">
        <v>6010</v>
      </c>
      <c r="E1472" s="135" t="s">
        <v>6011</v>
      </c>
    </row>
    <row r="1473" spans="1:5" s="136" customFormat="1" x14ac:dyDescent="0.2">
      <c r="A1473" s="135" t="s">
        <v>6012</v>
      </c>
      <c r="B1473" s="135" t="s">
        <v>6013</v>
      </c>
      <c r="C1473" s="135" t="s">
        <v>6014</v>
      </c>
      <c r="D1473" s="135" t="s">
        <v>5959</v>
      </c>
      <c r="E1473" s="135" t="s">
        <v>6015</v>
      </c>
    </row>
    <row r="1474" spans="1:5" s="136" customFormat="1" x14ac:dyDescent="0.2">
      <c r="A1474" s="135" t="s">
        <v>6016</v>
      </c>
      <c r="B1474" s="135" t="s">
        <v>6017</v>
      </c>
      <c r="C1474" s="135" t="s">
        <v>6018</v>
      </c>
      <c r="D1474" s="135" t="s">
        <v>5959</v>
      </c>
      <c r="E1474" s="135" t="s">
        <v>6019</v>
      </c>
    </row>
    <row r="1475" spans="1:5" s="136" customFormat="1" x14ac:dyDescent="0.2">
      <c r="A1475" s="135" t="s">
        <v>6020</v>
      </c>
      <c r="B1475" s="135" t="s">
        <v>6021</v>
      </c>
      <c r="C1475" s="135" t="s">
        <v>6022</v>
      </c>
      <c r="D1475" s="135" t="s">
        <v>5959</v>
      </c>
      <c r="E1475" s="135" t="s">
        <v>6023</v>
      </c>
    </row>
    <row r="1476" spans="1:5" s="136" customFormat="1" x14ac:dyDescent="0.2">
      <c r="A1476" s="135" t="s">
        <v>6024</v>
      </c>
      <c r="B1476" s="135" t="s">
        <v>6025</v>
      </c>
      <c r="C1476" s="135" t="s">
        <v>6026</v>
      </c>
      <c r="D1476" s="135" t="s">
        <v>5959</v>
      </c>
      <c r="E1476" s="135" t="s">
        <v>6027</v>
      </c>
    </row>
    <row r="1477" spans="1:5" s="136" customFormat="1" x14ac:dyDescent="0.2">
      <c r="A1477" s="135" t="s">
        <v>6028</v>
      </c>
      <c r="B1477" s="135" t="s">
        <v>6029</v>
      </c>
      <c r="C1477" s="135" t="s">
        <v>6030</v>
      </c>
      <c r="D1477" s="135" t="s">
        <v>5959</v>
      </c>
      <c r="E1477" s="135" t="s">
        <v>6031</v>
      </c>
    </row>
    <row r="1478" spans="1:5" s="136" customFormat="1" x14ac:dyDescent="0.2">
      <c r="A1478" s="135" t="s">
        <v>6032</v>
      </c>
      <c r="B1478" s="135" t="s">
        <v>6033</v>
      </c>
      <c r="C1478" s="135" t="s">
        <v>6034</v>
      </c>
      <c r="D1478" s="135" t="s">
        <v>6035</v>
      </c>
      <c r="E1478" s="135" t="s">
        <v>6036</v>
      </c>
    </row>
    <row r="1479" spans="1:5" s="136" customFormat="1" x14ac:dyDescent="0.2">
      <c r="A1479" s="135" t="s">
        <v>6037</v>
      </c>
      <c r="B1479" s="135" t="s">
        <v>6038</v>
      </c>
      <c r="C1479" s="135" t="s">
        <v>6039</v>
      </c>
      <c r="D1479" s="135" t="s">
        <v>6040</v>
      </c>
      <c r="E1479" s="135" t="s">
        <v>6041</v>
      </c>
    </row>
    <row r="1480" spans="1:5" s="136" customFormat="1" x14ac:dyDescent="0.2">
      <c r="A1480" s="135" t="s">
        <v>6042</v>
      </c>
      <c r="B1480" s="135" t="s">
        <v>6043</v>
      </c>
      <c r="C1480" s="135" t="s">
        <v>6044</v>
      </c>
      <c r="D1480" s="135" t="s">
        <v>6045</v>
      </c>
      <c r="E1480" s="135" t="s">
        <v>6046</v>
      </c>
    </row>
    <row r="1481" spans="1:5" s="136" customFormat="1" x14ac:dyDescent="0.2">
      <c r="A1481" s="135" t="s">
        <v>6047</v>
      </c>
      <c r="B1481" s="135" t="s">
        <v>6048</v>
      </c>
      <c r="C1481" s="135" t="s">
        <v>6049</v>
      </c>
      <c r="D1481" s="135" t="s">
        <v>6050</v>
      </c>
      <c r="E1481" s="135" t="s">
        <v>6051</v>
      </c>
    </row>
    <row r="1482" spans="1:5" s="136" customFormat="1" x14ac:dyDescent="0.2">
      <c r="A1482" s="135" t="s">
        <v>6052</v>
      </c>
      <c r="B1482" s="135" t="s">
        <v>6053</v>
      </c>
      <c r="C1482" s="135" t="s">
        <v>6054</v>
      </c>
      <c r="D1482" s="135" t="s">
        <v>6055</v>
      </c>
      <c r="E1482" s="135" t="s">
        <v>6056</v>
      </c>
    </row>
    <row r="1483" spans="1:5" s="136" customFormat="1" x14ac:dyDescent="0.2">
      <c r="A1483" s="135" t="s">
        <v>6057</v>
      </c>
      <c r="B1483" s="135" t="s">
        <v>6058</v>
      </c>
      <c r="C1483" s="135" t="s">
        <v>6059</v>
      </c>
      <c r="D1483" s="135" t="s">
        <v>6060</v>
      </c>
      <c r="E1483" s="135" t="s">
        <v>6061</v>
      </c>
    </row>
    <row r="1484" spans="1:5" s="136" customFormat="1" x14ac:dyDescent="0.2">
      <c r="A1484" s="135" t="s">
        <v>6062</v>
      </c>
      <c r="B1484" s="135" t="s">
        <v>6063</v>
      </c>
      <c r="C1484" s="135" t="s">
        <v>6064</v>
      </c>
      <c r="D1484" s="135" t="s">
        <v>6040</v>
      </c>
      <c r="E1484" s="135" t="s">
        <v>6065</v>
      </c>
    </row>
    <row r="1485" spans="1:5" s="136" customFormat="1" x14ac:dyDescent="0.2">
      <c r="A1485" s="135" t="s">
        <v>6066</v>
      </c>
      <c r="B1485" s="135" t="s">
        <v>6067</v>
      </c>
      <c r="C1485" s="135" t="s">
        <v>6068</v>
      </c>
      <c r="D1485" s="135" t="s">
        <v>6060</v>
      </c>
      <c r="E1485" s="135" t="s">
        <v>6069</v>
      </c>
    </row>
    <row r="1486" spans="1:5" s="136" customFormat="1" x14ac:dyDescent="0.2">
      <c r="A1486" s="135" t="s">
        <v>6070</v>
      </c>
      <c r="B1486" s="135" t="s">
        <v>6071</v>
      </c>
      <c r="C1486" s="135" t="s">
        <v>6072</v>
      </c>
      <c r="D1486" s="135" t="s">
        <v>6060</v>
      </c>
      <c r="E1486" s="135" t="s">
        <v>6073</v>
      </c>
    </row>
    <row r="1487" spans="1:5" s="136" customFormat="1" x14ac:dyDescent="0.2">
      <c r="A1487" s="135" t="s">
        <v>6074</v>
      </c>
      <c r="B1487" s="135" t="s">
        <v>6075</v>
      </c>
      <c r="C1487" s="135" t="s">
        <v>6076</v>
      </c>
      <c r="D1487" s="135" t="s">
        <v>6060</v>
      </c>
      <c r="E1487" s="135" t="s">
        <v>6077</v>
      </c>
    </row>
    <row r="1488" spans="1:5" s="136" customFormat="1" x14ac:dyDescent="0.2">
      <c r="A1488" s="135" t="s">
        <v>6078</v>
      </c>
      <c r="B1488" s="135" t="s">
        <v>6079</v>
      </c>
      <c r="C1488" s="135" t="s">
        <v>6080</v>
      </c>
      <c r="D1488" s="135" t="s">
        <v>6040</v>
      </c>
      <c r="E1488" s="135" t="s">
        <v>6081</v>
      </c>
    </row>
    <row r="1489" spans="1:5" s="136" customFormat="1" x14ac:dyDescent="0.2">
      <c r="A1489" s="135" t="s">
        <v>6082</v>
      </c>
      <c r="B1489" s="135" t="s">
        <v>6083</v>
      </c>
      <c r="C1489" s="135" t="s">
        <v>6084</v>
      </c>
      <c r="D1489" s="135" t="s">
        <v>6040</v>
      </c>
      <c r="E1489" s="135" t="s">
        <v>6085</v>
      </c>
    </row>
    <row r="1490" spans="1:5" s="136" customFormat="1" x14ac:dyDescent="0.2">
      <c r="A1490" s="135" t="s">
        <v>6086</v>
      </c>
      <c r="B1490" s="135" t="s">
        <v>6087</v>
      </c>
      <c r="C1490" s="135" t="s">
        <v>6088</v>
      </c>
      <c r="D1490" s="135" t="s">
        <v>6040</v>
      </c>
      <c r="E1490" s="135" t="s">
        <v>6089</v>
      </c>
    </row>
    <row r="1491" spans="1:5" s="136" customFormat="1" x14ac:dyDescent="0.2">
      <c r="A1491" s="135" t="s">
        <v>6090</v>
      </c>
      <c r="B1491" s="135" t="s">
        <v>6091</v>
      </c>
      <c r="C1491" s="135" t="s">
        <v>6092</v>
      </c>
      <c r="D1491" s="135" t="s">
        <v>6050</v>
      </c>
      <c r="E1491" s="135" t="s">
        <v>6093</v>
      </c>
    </row>
    <row r="1492" spans="1:5" s="136" customFormat="1" x14ac:dyDescent="0.2">
      <c r="A1492" s="135" t="s">
        <v>6094</v>
      </c>
      <c r="B1492" s="135" t="s">
        <v>6095</v>
      </c>
      <c r="C1492" s="135" t="s">
        <v>6096</v>
      </c>
      <c r="D1492" s="135" t="s">
        <v>6050</v>
      </c>
      <c r="E1492" s="135" t="s">
        <v>6097</v>
      </c>
    </row>
    <row r="1493" spans="1:5" s="136" customFormat="1" x14ac:dyDescent="0.2">
      <c r="A1493" s="135" t="s">
        <v>6098</v>
      </c>
      <c r="B1493" s="135" t="s">
        <v>6099</v>
      </c>
      <c r="C1493" s="135" t="s">
        <v>6100</v>
      </c>
      <c r="D1493" s="135" t="s">
        <v>6101</v>
      </c>
      <c r="E1493" s="135" t="s">
        <v>6102</v>
      </c>
    </row>
    <row r="1494" spans="1:5" s="136" customFormat="1" x14ac:dyDescent="0.2">
      <c r="A1494" s="135" t="s">
        <v>6103</v>
      </c>
      <c r="B1494" s="135" t="s">
        <v>6104</v>
      </c>
      <c r="C1494" s="135" t="s">
        <v>6105</v>
      </c>
      <c r="D1494" s="135" t="s">
        <v>6101</v>
      </c>
      <c r="E1494" s="135" t="s">
        <v>6106</v>
      </c>
    </row>
    <row r="1495" spans="1:5" s="136" customFormat="1" x14ac:dyDescent="0.2">
      <c r="A1495" s="135" t="s">
        <v>6107</v>
      </c>
      <c r="B1495" s="135" t="s">
        <v>6108</v>
      </c>
      <c r="C1495" s="135" t="s">
        <v>6109</v>
      </c>
      <c r="D1495" s="135" t="s">
        <v>6101</v>
      </c>
      <c r="E1495" s="135" t="s">
        <v>6110</v>
      </c>
    </row>
    <row r="1496" spans="1:5" s="136" customFormat="1" x14ac:dyDescent="0.2">
      <c r="A1496" s="135" t="s">
        <v>6111</v>
      </c>
      <c r="B1496" s="135" t="s">
        <v>6112</v>
      </c>
      <c r="C1496" s="135" t="s">
        <v>6113</v>
      </c>
      <c r="D1496" s="135" t="s">
        <v>6114</v>
      </c>
      <c r="E1496" s="135" t="s">
        <v>6115</v>
      </c>
    </row>
    <row r="1497" spans="1:5" s="136" customFormat="1" x14ac:dyDescent="0.2">
      <c r="A1497" s="135" t="s">
        <v>6116</v>
      </c>
      <c r="B1497" s="135" t="s">
        <v>6117</v>
      </c>
      <c r="C1497" s="135" t="s">
        <v>6118</v>
      </c>
    </row>
    <row r="1498" spans="1:5" s="136" customFormat="1" x14ac:dyDescent="0.2">
      <c r="A1498" s="135" t="s">
        <v>6119</v>
      </c>
      <c r="B1498" s="135" t="s">
        <v>6120</v>
      </c>
      <c r="C1498" s="135" t="s">
        <v>6121</v>
      </c>
      <c r="D1498" s="135" t="s">
        <v>6122</v>
      </c>
      <c r="E1498" s="135" t="s">
        <v>6123</v>
      </c>
    </row>
    <row r="1499" spans="1:5" s="136" customFormat="1" x14ac:dyDescent="0.2">
      <c r="A1499" s="135" t="s">
        <v>6124</v>
      </c>
      <c r="B1499" s="135" t="s">
        <v>6125</v>
      </c>
      <c r="C1499" s="135" t="s">
        <v>6126</v>
      </c>
      <c r="D1499" s="135" t="s">
        <v>6127</v>
      </c>
      <c r="E1499" s="135" t="s">
        <v>6128</v>
      </c>
    </row>
    <row r="1500" spans="1:5" s="136" customFormat="1" x14ac:dyDescent="0.2">
      <c r="A1500" s="135" t="s">
        <v>6129</v>
      </c>
      <c r="B1500" s="135" t="s">
        <v>6130</v>
      </c>
      <c r="C1500" s="135" t="s">
        <v>6131</v>
      </c>
      <c r="D1500" s="135" t="s">
        <v>6127</v>
      </c>
      <c r="E1500" s="135" t="s">
        <v>6132</v>
      </c>
    </row>
    <row r="1501" spans="1:5" s="136" customFormat="1" x14ac:dyDescent="0.2">
      <c r="A1501" s="135" t="s">
        <v>6133</v>
      </c>
      <c r="B1501" s="135" t="s">
        <v>6134</v>
      </c>
      <c r="C1501" s="135" t="s">
        <v>6135</v>
      </c>
      <c r="D1501" s="135" t="s">
        <v>6136</v>
      </c>
      <c r="E1501" s="135" t="s">
        <v>6137</v>
      </c>
    </row>
    <row r="1502" spans="1:5" s="136" customFormat="1" x14ac:dyDescent="0.2">
      <c r="A1502" s="135" t="s">
        <v>6138</v>
      </c>
      <c r="B1502" s="135" t="s">
        <v>6139</v>
      </c>
      <c r="C1502" s="135" t="s">
        <v>6140</v>
      </c>
      <c r="D1502" s="135" t="s">
        <v>6141</v>
      </c>
      <c r="E1502" s="135" t="s">
        <v>6142</v>
      </c>
    </row>
    <row r="1503" spans="1:5" s="136" customFormat="1" x14ac:dyDescent="0.2">
      <c r="A1503" s="135" t="s">
        <v>6143</v>
      </c>
      <c r="B1503" s="135" t="s">
        <v>6144</v>
      </c>
      <c r="C1503" s="135" t="s">
        <v>6145</v>
      </c>
      <c r="D1503" s="135" t="s">
        <v>6146</v>
      </c>
      <c r="E1503" s="135" t="s">
        <v>6147</v>
      </c>
    </row>
    <row r="1504" spans="1:5" s="136" customFormat="1" x14ac:dyDescent="0.2">
      <c r="A1504" s="135" t="s">
        <v>6148</v>
      </c>
      <c r="B1504" s="135" t="s">
        <v>6149</v>
      </c>
      <c r="C1504" s="135" t="s">
        <v>6150</v>
      </c>
      <c r="D1504" s="135" t="s">
        <v>6151</v>
      </c>
      <c r="E1504" s="135" t="s">
        <v>6152</v>
      </c>
    </row>
    <row r="1505" spans="1:5" s="136" customFormat="1" x14ac:dyDescent="0.2">
      <c r="A1505" s="135" t="s">
        <v>6153</v>
      </c>
      <c r="B1505" s="135" t="s">
        <v>6154</v>
      </c>
      <c r="C1505" s="135" t="s">
        <v>6155</v>
      </c>
      <c r="D1505" s="135" t="s">
        <v>6156</v>
      </c>
      <c r="E1505" s="135" t="s">
        <v>6157</v>
      </c>
    </row>
    <row r="1506" spans="1:5" s="136" customFormat="1" x14ac:dyDescent="0.2">
      <c r="A1506" s="135" t="s">
        <v>6158</v>
      </c>
      <c r="B1506" s="135" t="s">
        <v>6159</v>
      </c>
      <c r="C1506" s="135" t="s">
        <v>6160</v>
      </c>
      <c r="D1506" s="135" t="s">
        <v>6161</v>
      </c>
      <c r="E1506" s="135" t="s">
        <v>6162</v>
      </c>
    </row>
    <row r="1507" spans="1:5" s="136" customFormat="1" x14ac:dyDescent="0.2">
      <c r="A1507" s="135" t="s">
        <v>6163</v>
      </c>
      <c r="B1507" s="135" t="s">
        <v>6164</v>
      </c>
      <c r="C1507" s="135" t="s">
        <v>6165</v>
      </c>
      <c r="D1507" s="135" t="s">
        <v>6161</v>
      </c>
      <c r="E1507" s="135" t="s">
        <v>6166</v>
      </c>
    </row>
    <row r="1508" spans="1:5" s="136" customFormat="1" x14ac:dyDescent="0.2">
      <c r="A1508" s="135" t="s">
        <v>6167</v>
      </c>
      <c r="B1508" s="135" t="s">
        <v>6168</v>
      </c>
      <c r="C1508" s="135" t="s">
        <v>6169</v>
      </c>
      <c r="D1508" s="135" t="s">
        <v>6161</v>
      </c>
      <c r="E1508" s="135" t="s">
        <v>6170</v>
      </c>
    </row>
    <row r="1509" spans="1:5" s="136" customFormat="1" x14ac:dyDescent="0.2">
      <c r="A1509" s="135" t="s">
        <v>6171</v>
      </c>
      <c r="B1509" s="135" t="s">
        <v>6172</v>
      </c>
      <c r="C1509" s="135" t="s">
        <v>6173</v>
      </c>
      <c r="D1509" s="135" t="s">
        <v>6174</v>
      </c>
      <c r="E1509" s="135" t="s">
        <v>6175</v>
      </c>
    </row>
    <row r="1510" spans="1:5" s="136" customFormat="1" x14ac:dyDescent="0.2">
      <c r="A1510" s="135" t="s">
        <v>6176</v>
      </c>
      <c r="B1510" s="135" t="s">
        <v>6177</v>
      </c>
      <c r="C1510" s="135" t="s">
        <v>6178</v>
      </c>
      <c r="D1510" s="135" t="s">
        <v>6179</v>
      </c>
      <c r="E1510" s="135" t="s">
        <v>6180</v>
      </c>
    </row>
    <row r="1511" spans="1:5" s="136" customFormat="1" x14ac:dyDescent="0.2">
      <c r="A1511" s="135" t="s">
        <v>6181</v>
      </c>
      <c r="B1511" s="135" t="s">
        <v>6182</v>
      </c>
      <c r="C1511" s="135" t="s">
        <v>6183</v>
      </c>
      <c r="D1511" s="135" t="s">
        <v>6179</v>
      </c>
      <c r="E1511" s="135" t="s">
        <v>6184</v>
      </c>
    </row>
    <row r="1512" spans="1:5" s="136" customFormat="1" x14ac:dyDescent="0.2">
      <c r="A1512" s="135" t="s">
        <v>6185</v>
      </c>
      <c r="B1512" s="135" t="s">
        <v>6186</v>
      </c>
      <c r="C1512" s="135" t="s">
        <v>6187</v>
      </c>
      <c r="D1512" s="135" t="s">
        <v>6188</v>
      </c>
      <c r="E1512" s="135" t="s">
        <v>6189</v>
      </c>
    </row>
    <row r="1513" spans="1:5" s="136" customFormat="1" x14ac:dyDescent="0.2">
      <c r="A1513" s="135" t="s">
        <v>6190</v>
      </c>
      <c r="B1513" s="135" t="s">
        <v>6191</v>
      </c>
      <c r="C1513" s="135" t="s">
        <v>6192</v>
      </c>
      <c r="D1513" s="135" t="s">
        <v>6193</v>
      </c>
      <c r="E1513" s="135" t="s">
        <v>6194</v>
      </c>
    </row>
    <row r="1514" spans="1:5" s="136" customFormat="1" x14ac:dyDescent="0.2">
      <c r="A1514" s="135" t="s">
        <v>6195</v>
      </c>
      <c r="B1514" s="135" t="s">
        <v>6196</v>
      </c>
      <c r="C1514" s="135" t="s">
        <v>6197</v>
      </c>
      <c r="D1514" s="135" t="s">
        <v>6146</v>
      </c>
      <c r="E1514" s="135" t="s">
        <v>6198</v>
      </c>
    </row>
    <row r="1515" spans="1:5" s="136" customFormat="1" x14ac:dyDescent="0.2">
      <c r="A1515" s="135" t="s">
        <v>6199</v>
      </c>
      <c r="B1515" s="135" t="s">
        <v>6200</v>
      </c>
      <c r="C1515" s="135" t="s">
        <v>6201</v>
      </c>
      <c r="D1515" s="135" t="s">
        <v>6156</v>
      </c>
      <c r="E1515" s="135" t="s">
        <v>6202</v>
      </c>
    </row>
    <row r="1516" spans="1:5" s="136" customFormat="1" x14ac:dyDescent="0.2">
      <c r="A1516" s="135" t="s">
        <v>6203</v>
      </c>
      <c r="B1516" s="135" t="s">
        <v>6204</v>
      </c>
      <c r="C1516" s="135" t="s">
        <v>6205</v>
      </c>
      <c r="D1516" s="135" t="s">
        <v>6179</v>
      </c>
      <c r="E1516" s="135" t="s">
        <v>6206</v>
      </c>
    </row>
    <row r="1517" spans="1:5" s="136" customFormat="1" x14ac:dyDescent="0.2">
      <c r="A1517" s="135" t="s">
        <v>6207</v>
      </c>
      <c r="B1517" s="135" t="s">
        <v>6208</v>
      </c>
      <c r="C1517" s="135" t="s">
        <v>6209</v>
      </c>
      <c r="D1517" s="135" t="s">
        <v>6127</v>
      </c>
      <c r="E1517" s="135" t="s">
        <v>6210</v>
      </c>
    </row>
    <row r="1518" spans="1:5" s="136" customFormat="1" x14ac:dyDescent="0.2">
      <c r="A1518" s="135" t="s">
        <v>6211</v>
      </c>
      <c r="B1518" s="135" t="s">
        <v>6212</v>
      </c>
      <c r="C1518" s="135" t="s">
        <v>6213</v>
      </c>
      <c r="D1518" s="135" t="s">
        <v>6156</v>
      </c>
      <c r="E1518" s="135" t="s">
        <v>6214</v>
      </c>
    </row>
    <row r="1519" spans="1:5" s="136" customFormat="1" x14ac:dyDescent="0.2">
      <c r="A1519" s="135" t="s">
        <v>6215</v>
      </c>
      <c r="B1519" s="135" t="s">
        <v>6216</v>
      </c>
      <c r="C1519" s="135" t="s">
        <v>6217</v>
      </c>
      <c r="D1519" s="135" t="s">
        <v>6161</v>
      </c>
      <c r="E1519" s="135" t="s">
        <v>6218</v>
      </c>
    </row>
    <row r="1520" spans="1:5" s="136" customFormat="1" x14ac:dyDescent="0.2">
      <c r="A1520" s="135" t="s">
        <v>6219</v>
      </c>
      <c r="B1520" s="135" t="s">
        <v>6220</v>
      </c>
      <c r="C1520" s="135" t="s">
        <v>6221</v>
      </c>
      <c r="D1520" s="135" t="s">
        <v>6174</v>
      </c>
      <c r="E1520" s="135" t="s">
        <v>6222</v>
      </c>
    </row>
    <row r="1521" spans="1:5" s="136" customFormat="1" x14ac:dyDescent="0.2">
      <c r="A1521" s="135" t="s">
        <v>6223</v>
      </c>
      <c r="B1521" s="135" t="s">
        <v>6224</v>
      </c>
      <c r="C1521" s="135" t="s">
        <v>6225</v>
      </c>
      <c r="D1521" s="135" t="s">
        <v>6226</v>
      </c>
      <c r="E1521" s="135" t="s">
        <v>6227</v>
      </c>
    </row>
    <row r="1522" spans="1:5" s="136" customFormat="1" x14ac:dyDescent="0.2">
      <c r="A1522" s="135" t="s">
        <v>6228</v>
      </c>
      <c r="B1522" s="135" t="s">
        <v>6229</v>
      </c>
      <c r="C1522" s="135" t="s">
        <v>6230</v>
      </c>
      <c r="D1522" s="135" t="s">
        <v>6146</v>
      </c>
      <c r="E1522" s="135" t="s">
        <v>6231</v>
      </c>
    </row>
    <row r="1523" spans="1:5" s="136" customFormat="1" x14ac:dyDescent="0.2">
      <c r="A1523" s="135" t="s">
        <v>6232</v>
      </c>
      <c r="B1523" s="135" t="s">
        <v>6233</v>
      </c>
      <c r="C1523" s="135" t="s">
        <v>6234</v>
      </c>
      <c r="D1523" s="135" t="s">
        <v>6146</v>
      </c>
      <c r="E1523" s="135" t="s">
        <v>6235</v>
      </c>
    </row>
    <row r="1524" spans="1:5" s="136" customFormat="1" x14ac:dyDescent="0.2">
      <c r="A1524" s="135" t="s">
        <v>6236</v>
      </c>
      <c r="B1524" s="135" t="s">
        <v>6237</v>
      </c>
      <c r="C1524" s="135" t="s">
        <v>6238</v>
      </c>
      <c r="D1524" s="135" t="s">
        <v>6146</v>
      </c>
      <c r="E1524" s="135" t="s">
        <v>6239</v>
      </c>
    </row>
    <row r="1525" spans="1:5" s="136" customFormat="1" x14ac:dyDescent="0.2">
      <c r="A1525" s="135" t="s">
        <v>6240</v>
      </c>
      <c r="B1525" s="135" t="s">
        <v>6241</v>
      </c>
      <c r="C1525" s="135" t="s">
        <v>6242</v>
      </c>
      <c r="D1525" s="135" t="s">
        <v>6174</v>
      </c>
      <c r="E1525" s="135" t="s">
        <v>6243</v>
      </c>
    </row>
    <row r="1526" spans="1:5" s="136" customFormat="1" x14ac:dyDescent="0.2">
      <c r="A1526" s="135" t="s">
        <v>6244</v>
      </c>
      <c r="B1526" s="135" t="s">
        <v>6245</v>
      </c>
      <c r="C1526" s="135" t="s">
        <v>6246</v>
      </c>
      <c r="D1526" s="135" t="s">
        <v>6247</v>
      </c>
      <c r="E1526" s="135" t="s">
        <v>6248</v>
      </c>
    </row>
    <row r="1527" spans="1:5" s="136" customFormat="1" x14ac:dyDescent="0.2">
      <c r="A1527" s="135" t="s">
        <v>6249</v>
      </c>
      <c r="B1527" s="135" t="s">
        <v>6250</v>
      </c>
      <c r="C1527" s="135" t="s">
        <v>6251</v>
      </c>
      <c r="D1527" s="135" t="s">
        <v>6252</v>
      </c>
      <c r="E1527" s="135" t="s">
        <v>6253</v>
      </c>
    </row>
    <row r="1528" spans="1:5" s="136" customFormat="1" x14ac:dyDescent="0.2">
      <c r="A1528" s="135" t="s">
        <v>6254</v>
      </c>
      <c r="B1528" s="135" t="s">
        <v>6255</v>
      </c>
      <c r="C1528" s="135" t="s">
        <v>6256</v>
      </c>
    </row>
    <row r="1529" spans="1:5" s="136" customFormat="1" x14ac:dyDescent="0.2">
      <c r="A1529" s="135" t="s">
        <v>6257</v>
      </c>
      <c r="B1529" s="135" t="s">
        <v>6258</v>
      </c>
      <c r="C1529" s="135" t="s">
        <v>6259</v>
      </c>
      <c r="D1529" s="135" t="s">
        <v>6260</v>
      </c>
      <c r="E1529" s="135" t="s">
        <v>6261</v>
      </c>
    </row>
    <row r="1530" spans="1:5" s="136" customFormat="1" x14ac:dyDescent="0.2">
      <c r="A1530" s="135" t="s">
        <v>6262</v>
      </c>
      <c r="B1530" s="135" t="s">
        <v>6263</v>
      </c>
      <c r="C1530" s="135" t="s">
        <v>6264</v>
      </c>
      <c r="D1530" s="135" t="s">
        <v>6260</v>
      </c>
      <c r="E1530" s="135" t="s">
        <v>6265</v>
      </c>
    </row>
    <row r="1531" spans="1:5" s="136" customFormat="1" x14ac:dyDescent="0.2">
      <c r="A1531" s="135" t="s">
        <v>6266</v>
      </c>
      <c r="B1531" s="135" t="s">
        <v>6267</v>
      </c>
      <c r="C1531" s="135" t="s">
        <v>6268</v>
      </c>
      <c r="D1531" s="135" t="s">
        <v>6260</v>
      </c>
      <c r="E1531" s="135" t="s">
        <v>6269</v>
      </c>
    </row>
    <row r="1532" spans="1:5" s="136" customFormat="1" x14ac:dyDescent="0.2">
      <c r="A1532" s="135" t="s">
        <v>6270</v>
      </c>
      <c r="B1532" s="135" t="s">
        <v>6271</v>
      </c>
      <c r="C1532" s="135" t="s">
        <v>6272</v>
      </c>
      <c r="D1532" s="135" t="s">
        <v>6260</v>
      </c>
      <c r="E1532" s="135" t="s">
        <v>6273</v>
      </c>
    </row>
    <row r="1533" spans="1:5" s="136" customFormat="1" x14ac:dyDescent="0.2">
      <c r="A1533" s="135" t="s">
        <v>6274</v>
      </c>
      <c r="B1533" s="135" t="s">
        <v>6275</v>
      </c>
      <c r="C1533" s="135" t="s">
        <v>6276</v>
      </c>
      <c r="D1533" s="135" t="s">
        <v>6260</v>
      </c>
      <c r="E1533" s="135" t="s">
        <v>6277</v>
      </c>
    </row>
    <row r="1534" spans="1:5" s="136" customFormat="1" x14ac:dyDescent="0.2">
      <c r="A1534" s="135" t="s">
        <v>6278</v>
      </c>
      <c r="B1534" s="135" t="s">
        <v>6279</v>
      </c>
      <c r="C1534" s="135" t="s">
        <v>6280</v>
      </c>
      <c r="D1534" s="135" t="s">
        <v>6260</v>
      </c>
      <c r="E1534" s="135" t="s">
        <v>6281</v>
      </c>
    </row>
    <row r="1535" spans="1:5" s="136" customFormat="1" x14ac:dyDescent="0.2">
      <c r="A1535" s="135" t="s">
        <v>6282</v>
      </c>
      <c r="B1535" s="135" t="s">
        <v>6283</v>
      </c>
      <c r="C1535" s="135" t="s">
        <v>6284</v>
      </c>
      <c r="D1535" s="135" t="s">
        <v>6260</v>
      </c>
      <c r="E1535" s="135" t="s">
        <v>6285</v>
      </c>
    </row>
    <row r="1536" spans="1:5" s="136" customFormat="1" x14ac:dyDescent="0.2">
      <c r="A1536" s="135" t="s">
        <v>6286</v>
      </c>
      <c r="B1536" s="135" t="s">
        <v>6287</v>
      </c>
      <c r="C1536" s="135" t="s">
        <v>6288</v>
      </c>
      <c r="D1536" s="135" t="s">
        <v>6289</v>
      </c>
      <c r="E1536" s="135" t="s">
        <v>6290</v>
      </c>
    </row>
    <row r="1537" spans="1:5" s="136" customFormat="1" x14ac:dyDescent="0.2">
      <c r="A1537" s="135" t="s">
        <v>6291</v>
      </c>
      <c r="B1537" s="135" t="s">
        <v>6292</v>
      </c>
      <c r="C1537" s="135" t="s">
        <v>6293</v>
      </c>
      <c r="D1537" s="135" t="s">
        <v>6294</v>
      </c>
      <c r="E1537" s="135" t="s">
        <v>6295</v>
      </c>
    </row>
    <row r="1538" spans="1:5" s="136" customFormat="1" x14ac:dyDescent="0.2">
      <c r="A1538" s="135" t="s">
        <v>6296</v>
      </c>
      <c r="B1538" s="135" t="s">
        <v>6297</v>
      </c>
      <c r="C1538" s="135" t="s">
        <v>6298</v>
      </c>
      <c r="D1538" s="135" t="s">
        <v>6299</v>
      </c>
      <c r="E1538" s="135" t="s">
        <v>6300</v>
      </c>
    </row>
    <row r="1539" spans="1:5" s="136" customFormat="1" x14ac:dyDescent="0.2">
      <c r="A1539" s="135" t="s">
        <v>6301</v>
      </c>
      <c r="B1539" s="135" t="s">
        <v>6302</v>
      </c>
      <c r="C1539" s="135" t="s">
        <v>6303</v>
      </c>
      <c r="D1539" s="135" t="s">
        <v>6304</v>
      </c>
      <c r="E1539" s="135" t="s">
        <v>6305</v>
      </c>
    </row>
    <row r="1540" spans="1:5" s="136" customFormat="1" x14ac:dyDescent="0.2">
      <c r="A1540" s="135" t="s">
        <v>6306</v>
      </c>
      <c r="B1540" s="135" t="s">
        <v>6307</v>
      </c>
      <c r="C1540" s="135" t="s">
        <v>6308</v>
      </c>
      <c r="D1540" s="135" t="s">
        <v>6309</v>
      </c>
      <c r="E1540" s="135" t="s">
        <v>6310</v>
      </c>
    </row>
    <row r="1541" spans="1:5" s="136" customFormat="1" x14ac:dyDescent="0.2">
      <c r="A1541" s="135" t="s">
        <v>6311</v>
      </c>
      <c r="B1541" s="135" t="s">
        <v>6312</v>
      </c>
      <c r="C1541" s="135" t="s">
        <v>6313</v>
      </c>
      <c r="D1541" s="135" t="s">
        <v>6314</v>
      </c>
      <c r="E1541" s="135" t="s">
        <v>6315</v>
      </c>
    </row>
    <row r="1542" spans="1:5" s="136" customFormat="1" x14ac:dyDescent="0.2">
      <c r="A1542" s="135" t="s">
        <v>6316</v>
      </c>
      <c r="B1542" s="135" t="s">
        <v>2907</v>
      </c>
      <c r="C1542" s="135" t="s">
        <v>2908</v>
      </c>
      <c r="D1542" s="135" t="s">
        <v>6317</v>
      </c>
      <c r="E1542" s="135" t="s">
        <v>6318</v>
      </c>
    </row>
    <row r="1543" spans="1:5" s="136" customFormat="1" x14ac:dyDescent="0.2">
      <c r="A1543" s="135" t="s">
        <v>6319</v>
      </c>
      <c r="B1543" s="135" t="s">
        <v>6320</v>
      </c>
      <c r="C1543" s="135" t="s">
        <v>4718</v>
      </c>
      <c r="D1543" s="135" t="s">
        <v>6321</v>
      </c>
      <c r="E1543" s="135" t="s">
        <v>6322</v>
      </c>
    </row>
    <row r="1544" spans="1:5" s="136" customFormat="1" x14ac:dyDescent="0.2">
      <c r="A1544" s="135" t="s">
        <v>6323</v>
      </c>
      <c r="B1544" s="135" t="s">
        <v>6324</v>
      </c>
      <c r="C1544" s="135" t="s">
        <v>6325</v>
      </c>
      <c r="D1544" s="135" t="s">
        <v>6326</v>
      </c>
      <c r="E1544" s="135" t="s">
        <v>6327</v>
      </c>
    </row>
    <row r="1545" spans="1:5" s="136" customFormat="1" x14ac:dyDescent="0.2">
      <c r="A1545" s="135" t="s">
        <v>6328</v>
      </c>
      <c r="B1545" s="135" t="s">
        <v>6329</v>
      </c>
      <c r="C1545" s="135" t="s">
        <v>6330</v>
      </c>
      <c r="D1545" s="135" t="s">
        <v>6331</v>
      </c>
      <c r="E1545" s="135" t="s">
        <v>6332</v>
      </c>
    </row>
    <row r="1546" spans="1:5" s="136" customFormat="1" x14ac:dyDescent="0.2">
      <c r="A1546" s="135" t="s">
        <v>6333</v>
      </c>
      <c r="B1546" s="135" t="s">
        <v>6334</v>
      </c>
      <c r="C1546" s="135" t="s">
        <v>6335</v>
      </c>
      <c r="D1546" s="135" t="s">
        <v>6336</v>
      </c>
      <c r="E1546" s="135" t="s">
        <v>6337</v>
      </c>
    </row>
    <row r="1547" spans="1:5" s="136" customFormat="1" x14ac:dyDescent="0.2">
      <c r="A1547" s="135" t="s">
        <v>6338</v>
      </c>
      <c r="B1547" s="135" t="s">
        <v>6339</v>
      </c>
      <c r="C1547" s="135" t="s">
        <v>6340</v>
      </c>
      <c r="D1547" s="135" t="s">
        <v>6341</v>
      </c>
      <c r="E1547" s="135" t="s">
        <v>6342</v>
      </c>
    </row>
    <row r="1548" spans="1:5" s="136" customFormat="1" x14ac:dyDescent="0.2">
      <c r="A1548" s="135" t="s">
        <v>6343</v>
      </c>
      <c r="B1548" s="135" t="s">
        <v>6344</v>
      </c>
      <c r="C1548" s="135" t="s">
        <v>6345</v>
      </c>
      <c r="D1548" s="135" t="s">
        <v>6346</v>
      </c>
      <c r="E1548" s="135" t="s">
        <v>6347</v>
      </c>
    </row>
    <row r="1549" spans="1:5" s="136" customFormat="1" x14ac:dyDescent="0.2">
      <c r="A1549" s="135" t="s">
        <v>6348</v>
      </c>
      <c r="B1549" s="135" t="s">
        <v>6349</v>
      </c>
      <c r="C1549" s="135" t="s">
        <v>6350</v>
      </c>
      <c r="D1549" s="135" t="s">
        <v>6351</v>
      </c>
      <c r="E1549" s="135" t="s">
        <v>6352</v>
      </c>
    </row>
    <row r="1550" spans="1:5" s="136" customFormat="1" x14ac:dyDescent="0.2">
      <c r="A1550" s="135" t="s">
        <v>6353</v>
      </c>
      <c r="B1550" s="135" t="s">
        <v>6354</v>
      </c>
      <c r="C1550" s="135" t="s">
        <v>6355</v>
      </c>
      <c r="D1550" s="135" t="s">
        <v>6260</v>
      </c>
      <c r="E1550" s="135" t="s">
        <v>6356</v>
      </c>
    </row>
    <row r="1551" spans="1:5" s="136" customFormat="1" x14ac:dyDescent="0.2">
      <c r="A1551" s="135" t="s">
        <v>6357</v>
      </c>
      <c r="B1551" s="135" t="s">
        <v>6358</v>
      </c>
      <c r="C1551" s="135" t="s">
        <v>6359</v>
      </c>
      <c r="D1551" s="135" t="s">
        <v>6260</v>
      </c>
      <c r="E1551" s="135" t="s">
        <v>6360</v>
      </c>
    </row>
    <row r="1552" spans="1:5" s="136" customFormat="1" x14ac:dyDescent="0.2">
      <c r="A1552" s="135" t="s">
        <v>6361</v>
      </c>
      <c r="B1552" s="135" t="s">
        <v>6362</v>
      </c>
      <c r="C1552" s="135" t="s">
        <v>6363</v>
      </c>
      <c r="D1552" s="135" t="s">
        <v>6260</v>
      </c>
      <c r="E1552" s="135" t="s">
        <v>6364</v>
      </c>
    </row>
    <row r="1553" spans="1:5" s="136" customFormat="1" x14ac:dyDescent="0.2">
      <c r="A1553" s="135" t="s">
        <v>6365</v>
      </c>
      <c r="B1553" s="135" t="s">
        <v>6366</v>
      </c>
      <c r="C1553" s="135" t="s">
        <v>6367</v>
      </c>
      <c r="D1553" s="135" t="s">
        <v>6260</v>
      </c>
      <c r="E1553" s="135" t="s">
        <v>6368</v>
      </c>
    </row>
    <row r="1554" spans="1:5" s="136" customFormat="1" x14ac:dyDescent="0.2">
      <c r="A1554" s="135" t="s">
        <v>6369</v>
      </c>
      <c r="B1554" s="135" t="s">
        <v>6370</v>
      </c>
      <c r="C1554" s="135" t="s">
        <v>6371</v>
      </c>
      <c r="D1554" s="135" t="s">
        <v>6346</v>
      </c>
      <c r="E1554" s="135" t="s">
        <v>6372</v>
      </c>
    </row>
    <row r="1555" spans="1:5" s="136" customFormat="1" x14ac:dyDescent="0.2">
      <c r="A1555" s="135" t="s">
        <v>6373</v>
      </c>
      <c r="B1555" s="135" t="s">
        <v>6374</v>
      </c>
      <c r="C1555" s="135" t="s">
        <v>6375</v>
      </c>
      <c r="D1555" s="135" t="s">
        <v>6346</v>
      </c>
      <c r="E1555" s="135" t="s">
        <v>6376</v>
      </c>
    </row>
    <row r="1556" spans="1:5" s="136" customFormat="1" x14ac:dyDescent="0.2">
      <c r="A1556" s="135" t="s">
        <v>6377</v>
      </c>
      <c r="B1556" s="135" t="s">
        <v>6378</v>
      </c>
      <c r="C1556" s="135" t="s">
        <v>6379</v>
      </c>
      <c r="D1556" s="135" t="s">
        <v>6299</v>
      </c>
      <c r="E1556" s="135" t="s">
        <v>6380</v>
      </c>
    </row>
    <row r="1557" spans="1:5" s="136" customFormat="1" x14ac:dyDescent="0.2">
      <c r="A1557" s="135" t="s">
        <v>6381</v>
      </c>
      <c r="B1557" s="135" t="s">
        <v>6382</v>
      </c>
      <c r="C1557" s="135" t="s">
        <v>6383</v>
      </c>
      <c r="D1557" s="135" t="s">
        <v>6317</v>
      </c>
      <c r="E1557" s="135" t="s">
        <v>6384</v>
      </c>
    </row>
    <row r="1558" spans="1:5" s="136" customFormat="1" x14ac:dyDescent="0.2">
      <c r="A1558" s="135" t="s">
        <v>6385</v>
      </c>
      <c r="B1558" s="135" t="s">
        <v>6386</v>
      </c>
      <c r="C1558" s="135" t="s">
        <v>6387</v>
      </c>
      <c r="D1558" s="135" t="s">
        <v>6317</v>
      </c>
      <c r="E1558" s="135" t="s">
        <v>6388</v>
      </c>
    </row>
    <row r="1559" spans="1:5" s="136" customFormat="1" x14ac:dyDescent="0.2">
      <c r="A1559" s="135" t="s">
        <v>6389</v>
      </c>
      <c r="B1559" s="135" t="s">
        <v>6390</v>
      </c>
      <c r="C1559" s="135" t="s">
        <v>6391</v>
      </c>
      <c r="D1559" s="135" t="s">
        <v>6392</v>
      </c>
      <c r="E1559" s="135" t="s">
        <v>6393</v>
      </c>
    </row>
    <row r="1560" spans="1:5" s="136" customFormat="1" x14ac:dyDescent="0.2">
      <c r="A1560" s="135" t="s">
        <v>6394</v>
      </c>
      <c r="B1560" s="135" t="s">
        <v>6395</v>
      </c>
      <c r="C1560" s="135" t="s">
        <v>6396</v>
      </c>
      <c r="D1560" s="135" t="s">
        <v>6397</v>
      </c>
      <c r="E1560" s="135" t="s">
        <v>6398</v>
      </c>
    </row>
    <row r="1561" spans="1:5" s="136" customFormat="1" x14ac:dyDescent="0.2">
      <c r="A1561" s="135" t="s">
        <v>6399</v>
      </c>
      <c r="B1561" s="135" t="s">
        <v>6400</v>
      </c>
      <c r="C1561" s="135" t="s">
        <v>6401</v>
      </c>
      <c r="D1561" s="135" t="s">
        <v>6402</v>
      </c>
      <c r="E1561" s="135" t="s">
        <v>6403</v>
      </c>
    </row>
    <row r="1562" spans="1:5" s="136" customFormat="1" x14ac:dyDescent="0.2">
      <c r="A1562" s="135" t="s">
        <v>6404</v>
      </c>
      <c r="B1562" s="135" t="s">
        <v>6405</v>
      </c>
      <c r="C1562" s="135" t="s">
        <v>6406</v>
      </c>
      <c r="D1562" s="135" t="s">
        <v>6407</v>
      </c>
      <c r="E1562" s="135" t="s">
        <v>6408</v>
      </c>
    </row>
    <row r="1563" spans="1:5" s="136" customFormat="1" x14ac:dyDescent="0.2">
      <c r="A1563" s="135" t="s">
        <v>6409</v>
      </c>
      <c r="B1563" s="135" t="s">
        <v>6410</v>
      </c>
      <c r="C1563" s="135" t="s">
        <v>6411</v>
      </c>
      <c r="D1563" s="135" t="s">
        <v>6412</v>
      </c>
      <c r="E1563" s="135" t="s">
        <v>6413</v>
      </c>
    </row>
    <row r="1564" spans="1:5" s="136" customFormat="1" x14ac:dyDescent="0.2">
      <c r="A1564" s="135" t="s">
        <v>6414</v>
      </c>
      <c r="B1564" s="135" t="s">
        <v>6415</v>
      </c>
      <c r="C1564" s="135" t="s">
        <v>6416</v>
      </c>
      <c r="D1564" s="135" t="s">
        <v>6417</v>
      </c>
      <c r="E1564" s="135" t="s">
        <v>6418</v>
      </c>
    </row>
    <row r="1565" spans="1:5" s="136" customFormat="1" x14ac:dyDescent="0.2">
      <c r="A1565" s="135" t="s">
        <v>6419</v>
      </c>
      <c r="B1565" s="135" t="s">
        <v>6420</v>
      </c>
      <c r="C1565" s="135" t="s">
        <v>6421</v>
      </c>
      <c r="D1565" s="135" t="s">
        <v>6331</v>
      </c>
      <c r="E1565" s="135" t="s">
        <v>6422</v>
      </c>
    </row>
    <row r="1566" spans="1:5" s="136" customFormat="1" x14ac:dyDescent="0.2">
      <c r="A1566" s="135" t="s">
        <v>6423</v>
      </c>
      <c r="B1566" s="135" t="s">
        <v>6424</v>
      </c>
      <c r="C1566" s="135" t="s">
        <v>6425</v>
      </c>
      <c r="D1566" s="135" t="s">
        <v>6426</v>
      </c>
      <c r="E1566" s="135" t="s">
        <v>6427</v>
      </c>
    </row>
    <row r="1567" spans="1:5" s="136" customFormat="1" x14ac:dyDescent="0.2">
      <c r="A1567" s="135" t="s">
        <v>6428</v>
      </c>
      <c r="B1567" s="135" t="s">
        <v>6429</v>
      </c>
      <c r="C1567" s="135" t="s">
        <v>6430</v>
      </c>
      <c r="D1567" s="135" t="s">
        <v>6431</v>
      </c>
      <c r="E1567" s="135" t="s">
        <v>6432</v>
      </c>
    </row>
    <row r="1568" spans="1:5" s="136" customFormat="1" x14ac:dyDescent="0.2">
      <c r="A1568" s="135" t="s">
        <v>6433</v>
      </c>
      <c r="B1568" s="135" t="s">
        <v>6434</v>
      </c>
      <c r="C1568" s="135" t="s">
        <v>6435</v>
      </c>
      <c r="D1568" s="135" t="s">
        <v>6436</v>
      </c>
      <c r="E1568" s="135" t="s">
        <v>6437</v>
      </c>
    </row>
    <row r="1569" spans="1:5" s="136" customFormat="1" x14ac:dyDescent="0.2">
      <c r="A1569" s="135" t="s">
        <v>6438</v>
      </c>
      <c r="B1569" s="135" t="s">
        <v>6439</v>
      </c>
      <c r="C1569" s="135" t="s">
        <v>6440</v>
      </c>
      <c r="D1569" s="135" t="s">
        <v>6441</v>
      </c>
      <c r="E1569" s="135" t="s">
        <v>6442</v>
      </c>
    </row>
    <row r="1570" spans="1:5" s="136" customFormat="1" x14ac:dyDescent="0.2">
      <c r="A1570" s="135" t="s">
        <v>6443</v>
      </c>
      <c r="B1570" s="135" t="s">
        <v>6444</v>
      </c>
      <c r="C1570" s="135" t="s">
        <v>6445</v>
      </c>
      <c r="D1570" s="135" t="s">
        <v>6446</v>
      </c>
      <c r="E1570" s="135" t="s">
        <v>6447</v>
      </c>
    </row>
    <row r="1571" spans="1:5" s="136" customFormat="1" x14ac:dyDescent="0.2">
      <c r="A1571" s="135" t="s">
        <v>6448</v>
      </c>
      <c r="B1571" s="135" t="s">
        <v>6449</v>
      </c>
      <c r="C1571" s="135" t="s">
        <v>6450</v>
      </c>
      <c r="D1571" s="135" t="s">
        <v>6397</v>
      </c>
      <c r="E1571" s="135" t="s">
        <v>6451</v>
      </c>
    </row>
    <row r="1572" spans="1:5" s="136" customFormat="1" x14ac:dyDescent="0.2">
      <c r="A1572" s="135" t="s">
        <v>6452</v>
      </c>
      <c r="B1572" s="135" t="s">
        <v>6453</v>
      </c>
      <c r="C1572" s="135" t="s">
        <v>6454</v>
      </c>
      <c r="D1572" s="135" t="s">
        <v>6436</v>
      </c>
      <c r="E1572" s="135" t="s">
        <v>6455</v>
      </c>
    </row>
    <row r="1573" spans="1:5" s="136" customFormat="1" x14ac:dyDescent="0.2">
      <c r="A1573" s="135" t="s">
        <v>6456</v>
      </c>
      <c r="B1573" s="135" t="s">
        <v>6457</v>
      </c>
      <c r="C1573" s="135" t="s">
        <v>6458</v>
      </c>
      <c r="D1573" s="135" t="s">
        <v>6331</v>
      </c>
      <c r="E1573" s="135" t="s">
        <v>6459</v>
      </c>
    </row>
    <row r="1574" spans="1:5" s="136" customFormat="1" x14ac:dyDescent="0.2">
      <c r="A1574" s="135" t="s">
        <v>6460</v>
      </c>
      <c r="B1574" s="135" t="s">
        <v>6461</v>
      </c>
      <c r="C1574" s="135" t="s">
        <v>6462</v>
      </c>
      <c r="D1574" s="135" t="s">
        <v>6436</v>
      </c>
      <c r="E1574" s="135" t="s">
        <v>6463</v>
      </c>
    </row>
    <row r="1575" spans="1:5" s="136" customFormat="1" x14ac:dyDescent="0.2">
      <c r="A1575" s="135" t="s">
        <v>6464</v>
      </c>
      <c r="B1575" s="135" t="s">
        <v>6465</v>
      </c>
      <c r="C1575" s="135" t="s">
        <v>6466</v>
      </c>
      <c r="D1575" s="135" t="s">
        <v>6436</v>
      </c>
      <c r="E1575" s="135" t="s">
        <v>6467</v>
      </c>
    </row>
    <row r="1576" spans="1:5" s="136" customFormat="1" x14ac:dyDescent="0.2">
      <c r="A1576" s="135" t="s">
        <v>6468</v>
      </c>
      <c r="B1576" s="135" t="s">
        <v>6469</v>
      </c>
      <c r="C1576" s="135" t="s">
        <v>6470</v>
      </c>
      <c r="D1576" s="135" t="s">
        <v>6436</v>
      </c>
      <c r="E1576" s="135" t="s">
        <v>6471</v>
      </c>
    </row>
    <row r="1577" spans="1:5" s="136" customFormat="1" x14ac:dyDescent="0.2">
      <c r="A1577" s="135" t="s">
        <v>6472</v>
      </c>
      <c r="B1577" s="135" t="s">
        <v>6473</v>
      </c>
      <c r="C1577" s="135" t="s">
        <v>6474</v>
      </c>
      <c r="D1577" s="135" t="s">
        <v>6475</v>
      </c>
      <c r="E1577" s="135" t="s">
        <v>6476</v>
      </c>
    </row>
    <row r="1578" spans="1:5" s="136" customFormat="1" x14ac:dyDescent="0.2">
      <c r="A1578" s="135" t="s">
        <v>6477</v>
      </c>
      <c r="B1578" s="135" t="s">
        <v>6478</v>
      </c>
      <c r="C1578" s="135" t="s">
        <v>6479</v>
      </c>
      <c r="D1578" s="135" t="s">
        <v>6480</v>
      </c>
      <c r="E1578" s="135" t="s">
        <v>6481</v>
      </c>
    </row>
    <row r="1579" spans="1:5" s="136" customFormat="1" x14ac:dyDescent="0.2">
      <c r="A1579" s="135" t="s">
        <v>6482</v>
      </c>
      <c r="B1579" s="135" t="s">
        <v>6483</v>
      </c>
      <c r="C1579" s="135" t="s">
        <v>6484</v>
      </c>
      <c r="D1579" s="135" t="s">
        <v>6480</v>
      </c>
      <c r="E1579" s="135" t="s">
        <v>6485</v>
      </c>
    </row>
    <row r="1580" spans="1:5" s="136" customFormat="1" x14ac:dyDescent="0.2">
      <c r="A1580" s="135" t="s">
        <v>6486</v>
      </c>
      <c r="B1580" s="135" t="s">
        <v>6487</v>
      </c>
      <c r="C1580" s="135" t="s">
        <v>6488</v>
      </c>
      <c r="D1580" s="135" t="s">
        <v>6489</v>
      </c>
      <c r="E1580" s="135" t="s">
        <v>6490</v>
      </c>
    </row>
    <row r="1581" spans="1:5" s="136" customFormat="1" x14ac:dyDescent="0.2">
      <c r="A1581" s="135" t="s">
        <v>6491</v>
      </c>
      <c r="B1581" s="135" t="s">
        <v>6492</v>
      </c>
      <c r="C1581" s="135" t="s">
        <v>6493</v>
      </c>
      <c r="D1581" s="135" t="s">
        <v>6494</v>
      </c>
      <c r="E1581" s="135" t="s">
        <v>6495</v>
      </c>
    </row>
    <row r="1582" spans="1:5" s="136" customFormat="1" x14ac:dyDescent="0.2">
      <c r="A1582" s="135" t="s">
        <v>6496</v>
      </c>
      <c r="B1582" s="135" t="s">
        <v>6497</v>
      </c>
      <c r="C1582" s="135" t="s">
        <v>6498</v>
      </c>
      <c r="D1582" s="135" t="s">
        <v>6499</v>
      </c>
      <c r="E1582" s="135" t="s">
        <v>6500</v>
      </c>
    </row>
    <row r="1583" spans="1:5" s="136" customFormat="1" x14ac:dyDescent="0.2">
      <c r="A1583" s="135" t="s">
        <v>6501</v>
      </c>
      <c r="B1583" s="135" t="s">
        <v>6502</v>
      </c>
      <c r="C1583" s="135" t="s">
        <v>6503</v>
      </c>
      <c r="D1583" s="135" t="s">
        <v>6504</v>
      </c>
      <c r="E1583" s="135" t="s">
        <v>6505</v>
      </c>
    </row>
    <row r="1584" spans="1:5" s="136" customFormat="1" x14ac:dyDescent="0.2">
      <c r="A1584" s="135" t="s">
        <v>6506</v>
      </c>
      <c r="B1584" s="135" t="s">
        <v>6507</v>
      </c>
      <c r="C1584" s="135" t="s">
        <v>6508</v>
      </c>
      <c r="D1584" s="135" t="s">
        <v>6499</v>
      </c>
      <c r="E1584" s="135" t="s">
        <v>6509</v>
      </c>
    </row>
    <row r="1585" spans="1:5" s="136" customFormat="1" x14ac:dyDescent="0.2">
      <c r="A1585" s="135" t="s">
        <v>6510</v>
      </c>
      <c r="B1585" s="135" t="s">
        <v>6511</v>
      </c>
      <c r="C1585" s="135" t="s">
        <v>4718</v>
      </c>
      <c r="D1585" s="135" t="s">
        <v>6499</v>
      </c>
      <c r="E1585" s="135" t="s">
        <v>6512</v>
      </c>
    </row>
    <row r="1586" spans="1:5" s="136" customFormat="1" x14ac:dyDescent="0.2">
      <c r="A1586" s="135" t="s">
        <v>6513</v>
      </c>
      <c r="B1586" s="135" t="s">
        <v>6514</v>
      </c>
      <c r="C1586" s="135" t="s">
        <v>6515</v>
      </c>
      <c r="D1586" s="135" t="s">
        <v>6489</v>
      </c>
      <c r="E1586" s="135" t="s">
        <v>6516</v>
      </c>
    </row>
    <row r="1587" spans="1:5" s="136" customFormat="1" x14ac:dyDescent="0.2">
      <c r="A1587" s="135" t="s">
        <v>6517</v>
      </c>
      <c r="B1587" s="135" t="s">
        <v>6518</v>
      </c>
      <c r="C1587" s="135" t="s">
        <v>6519</v>
      </c>
      <c r="D1587" s="135" t="s">
        <v>6489</v>
      </c>
      <c r="E1587" s="135" t="s">
        <v>6520</v>
      </c>
    </row>
    <row r="1588" spans="1:5" s="136" customFormat="1" x14ac:dyDescent="0.2">
      <c r="A1588" s="135" t="s">
        <v>6521</v>
      </c>
      <c r="B1588" s="135" t="s">
        <v>6522</v>
      </c>
      <c r="C1588" s="135" t="s">
        <v>6523</v>
      </c>
      <c r="D1588" s="135" t="s">
        <v>6480</v>
      </c>
      <c r="E1588" s="135" t="s">
        <v>6524</v>
      </c>
    </row>
    <row r="1589" spans="1:5" s="136" customFormat="1" x14ac:dyDescent="0.2">
      <c r="A1589" s="135" t="s">
        <v>6525</v>
      </c>
      <c r="B1589" s="135" t="s">
        <v>6526</v>
      </c>
      <c r="C1589" s="135" t="s">
        <v>6527</v>
      </c>
      <c r="D1589" s="135" t="s">
        <v>6480</v>
      </c>
      <c r="E1589" s="135" t="s">
        <v>6528</v>
      </c>
    </row>
    <row r="1590" spans="1:5" s="136" customFormat="1" x14ac:dyDescent="0.2">
      <c r="A1590" s="135" t="s">
        <v>6529</v>
      </c>
      <c r="B1590" s="135" t="s">
        <v>6530</v>
      </c>
      <c r="C1590" s="135" t="s">
        <v>6531</v>
      </c>
      <c r="D1590" s="135" t="s">
        <v>6480</v>
      </c>
      <c r="E1590" s="135" t="s">
        <v>6532</v>
      </c>
    </row>
    <row r="1591" spans="1:5" s="136" customFormat="1" x14ac:dyDescent="0.2">
      <c r="A1591" s="135" t="s">
        <v>6533</v>
      </c>
      <c r="B1591" s="135" t="s">
        <v>6534</v>
      </c>
      <c r="C1591" s="135" t="s">
        <v>6535</v>
      </c>
      <c r="D1591" s="135" t="s">
        <v>6494</v>
      </c>
      <c r="E1591" s="135" t="s">
        <v>6536</v>
      </c>
    </row>
    <row r="1592" spans="1:5" s="136" customFormat="1" x14ac:dyDescent="0.2">
      <c r="A1592" s="135" t="s">
        <v>6537</v>
      </c>
      <c r="B1592" s="135" t="s">
        <v>6538</v>
      </c>
      <c r="C1592" s="135" t="s">
        <v>6539</v>
      </c>
      <c r="D1592" s="135" t="s">
        <v>6494</v>
      </c>
      <c r="E1592" s="135" t="s">
        <v>6540</v>
      </c>
    </row>
    <row r="1593" spans="1:5" s="136" customFormat="1" x14ac:dyDescent="0.2">
      <c r="A1593" s="135" t="s">
        <v>6541</v>
      </c>
      <c r="B1593" s="135" t="s">
        <v>6542</v>
      </c>
      <c r="C1593" s="135" t="s">
        <v>6543</v>
      </c>
      <c r="D1593" s="135" t="s">
        <v>6494</v>
      </c>
      <c r="E1593" s="135" t="s">
        <v>6544</v>
      </c>
    </row>
    <row r="1594" spans="1:5" s="136" customFormat="1" x14ac:dyDescent="0.2">
      <c r="A1594" s="135" t="s">
        <v>6545</v>
      </c>
      <c r="B1594" s="135" t="s">
        <v>6546</v>
      </c>
      <c r="C1594" s="135" t="s">
        <v>6547</v>
      </c>
      <c r="D1594" s="135" t="s">
        <v>6494</v>
      </c>
      <c r="E1594" s="135" t="s">
        <v>6548</v>
      </c>
    </row>
    <row r="1595" spans="1:5" s="136" customFormat="1" x14ac:dyDescent="0.2">
      <c r="A1595" s="135" t="s">
        <v>6549</v>
      </c>
      <c r="B1595" s="135" t="s">
        <v>6550</v>
      </c>
      <c r="C1595" s="135" t="s">
        <v>6551</v>
      </c>
      <c r="D1595" s="135" t="s">
        <v>6480</v>
      </c>
      <c r="E1595" s="135" t="s">
        <v>6552</v>
      </c>
    </row>
    <row r="1596" spans="1:5" s="136" customFormat="1" x14ac:dyDescent="0.2">
      <c r="A1596" s="135" t="s">
        <v>6553</v>
      </c>
      <c r="B1596" s="135" t="s">
        <v>6554</v>
      </c>
      <c r="C1596" s="135" t="s">
        <v>6555</v>
      </c>
      <c r="D1596" s="135" t="s">
        <v>6480</v>
      </c>
      <c r="E1596" s="135" t="s">
        <v>6552</v>
      </c>
    </row>
    <row r="1597" spans="1:5" s="136" customFormat="1" x14ac:dyDescent="0.2">
      <c r="A1597" s="135" t="s">
        <v>6556</v>
      </c>
      <c r="B1597" s="135" t="s">
        <v>6557</v>
      </c>
      <c r="C1597" s="135" t="s">
        <v>6558</v>
      </c>
      <c r="D1597" s="135" t="s">
        <v>6480</v>
      </c>
      <c r="E1597" s="135" t="s">
        <v>6559</v>
      </c>
    </row>
    <row r="1598" spans="1:5" s="136" customFormat="1" x14ac:dyDescent="0.2">
      <c r="A1598" s="135" t="s">
        <v>6560</v>
      </c>
      <c r="B1598" s="135" t="s">
        <v>6561</v>
      </c>
      <c r="C1598" s="135" t="s">
        <v>6562</v>
      </c>
      <c r="D1598" s="135" t="s">
        <v>6480</v>
      </c>
      <c r="E1598" s="135" t="s">
        <v>6563</v>
      </c>
    </row>
    <row r="1599" spans="1:5" s="136" customFormat="1" x14ac:dyDescent="0.2">
      <c r="A1599" s="135" t="s">
        <v>6564</v>
      </c>
      <c r="B1599" s="135" t="s">
        <v>6565</v>
      </c>
      <c r="C1599" s="135" t="s">
        <v>6566</v>
      </c>
      <c r="D1599" s="135" t="s">
        <v>6480</v>
      </c>
      <c r="E1599" s="135" t="s">
        <v>6567</v>
      </c>
    </row>
    <row r="1600" spans="1:5" s="136" customFormat="1" x14ac:dyDescent="0.2">
      <c r="A1600" s="135" t="s">
        <v>6568</v>
      </c>
      <c r="B1600" s="135" t="s">
        <v>6569</v>
      </c>
      <c r="C1600" s="135" t="s">
        <v>6570</v>
      </c>
      <c r="D1600" s="135" t="s">
        <v>6499</v>
      </c>
      <c r="E1600" s="135" t="s">
        <v>6571</v>
      </c>
    </row>
    <row r="1601" spans="1:5" s="136" customFormat="1" x14ac:dyDescent="0.2">
      <c r="A1601" s="135" t="s">
        <v>6572</v>
      </c>
      <c r="B1601" s="135" t="s">
        <v>6573</v>
      </c>
      <c r="C1601" s="135" t="s">
        <v>6574</v>
      </c>
      <c r="D1601" s="135" t="s">
        <v>6499</v>
      </c>
      <c r="E1601" s="135" t="s">
        <v>6575</v>
      </c>
    </row>
    <row r="1602" spans="1:5" s="136" customFormat="1" x14ac:dyDescent="0.2">
      <c r="A1602" s="135" t="s">
        <v>6576</v>
      </c>
      <c r="B1602" s="135" t="s">
        <v>6577</v>
      </c>
      <c r="C1602" s="135" t="s">
        <v>6578</v>
      </c>
      <c r="D1602" s="135" t="s">
        <v>6579</v>
      </c>
      <c r="E1602" s="135" t="s">
        <v>6580</v>
      </c>
    </row>
    <row r="1603" spans="1:5" s="136" customFormat="1" x14ac:dyDescent="0.2">
      <c r="A1603" s="135" t="s">
        <v>6581</v>
      </c>
      <c r="B1603" s="135" t="s">
        <v>6582</v>
      </c>
      <c r="C1603" s="135" t="s">
        <v>6583</v>
      </c>
      <c r="D1603" s="135" t="s">
        <v>6584</v>
      </c>
      <c r="E1603" s="135" t="s">
        <v>6585</v>
      </c>
    </row>
    <row r="1604" spans="1:5" s="136" customFormat="1" x14ac:dyDescent="0.2">
      <c r="A1604" s="135" t="s">
        <v>6586</v>
      </c>
      <c r="B1604" s="135" t="s">
        <v>6587</v>
      </c>
      <c r="C1604" s="135" t="s">
        <v>6588</v>
      </c>
      <c r="D1604" s="135" t="s">
        <v>6584</v>
      </c>
      <c r="E1604" s="135" t="s">
        <v>6589</v>
      </c>
    </row>
    <row r="1605" spans="1:5" s="136" customFormat="1" x14ac:dyDescent="0.2">
      <c r="A1605" s="135" t="s">
        <v>6590</v>
      </c>
      <c r="B1605" s="135" t="s">
        <v>6591</v>
      </c>
      <c r="C1605" s="135" t="s">
        <v>6592</v>
      </c>
      <c r="D1605" s="135" t="s">
        <v>6584</v>
      </c>
      <c r="E1605" s="135" t="s">
        <v>6593</v>
      </c>
    </row>
    <row r="1606" spans="1:5" s="136" customFormat="1" x14ac:dyDescent="0.2">
      <c r="A1606" s="135" t="s">
        <v>6594</v>
      </c>
      <c r="B1606" s="135" t="s">
        <v>6595</v>
      </c>
      <c r="C1606" s="135" t="s">
        <v>6596</v>
      </c>
      <c r="D1606" s="135" t="s">
        <v>6597</v>
      </c>
      <c r="E1606" s="135" t="s">
        <v>6598</v>
      </c>
    </row>
    <row r="1607" spans="1:5" s="136" customFormat="1" x14ac:dyDescent="0.2">
      <c r="A1607" s="135" t="s">
        <v>6599</v>
      </c>
      <c r="B1607" s="135" t="s">
        <v>6600</v>
      </c>
      <c r="C1607" s="135" t="s">
        <v>6601</v>
      </c>
      <c r="D1607" s="135" t="s">
        <v>6602</v>
      </c>
      <c r="E1607" s="135" t="s">
        <v>6603</v>
      </c>
    </row>
    <row r="1608" spans="1:5" s="136" customFormat="1" x14ac:dyDescent="0.2">
      <c r="A1608" s="135" t="s">
        <v>6604</v>
      </c>
      <c r="B1608" s="135" t="s">
        <v>6605</v>
      </c>
      <c r="C1608" s="135" t="s">
        <v>6606</v>
      </c>
      <c r="D1608" s="135" t="s">
        <v>6607</v>
      </c>
      <c r="E1608" s="135" t="s">
        <v>6608</v>
      </c>
    </row>
    <row r="1609" spans="1:5" s="136" customFormat="1" x14ac:dyDescent="0.2">
      <c r="A1609" s="135" t="s">
        <v>6609</v>
      </c>
      <c r="B1609" s="135" t="s">
        <v>6610</v>
      </c>
      <c r="C1609" s="135" t="s">
        <v>6611</v>
      </c>
      <c r="D1609" s="135" t="s">
        <v>6612</v>
      </c>
      <c r="E1609" s="135" t="s">
        <v>6613</v>
      </c>
    </row>
    <row r="1610" spans="1:5" s="136" customFormat="1" x14ac:dyDescent="0.2">
      <c r="A1610" s="135" t="s">
        <v>6614</v>
      </c>
      <c r="B1610" s="135" t="s">
        <v>6615</v>
      </c>
      <c r="C1610" s="135" t="s">
        <v>6616</v>
      </c>
      <c r="D1610" s="135" t="s">
        <v>6607</v>
      </c>
      <c r="E1610" s="135" t="s">
        <v>6617</v>
      </c>
    </row>
    <row r="1611" spans="1:5" s="136" customFormat="1" x14ac:dyDescent="0.2">
      <c r="A1611" s="135" t="s">
        <v>6618</v>
      </c>
      <c r="B1611" s="135" t="s">
        <v>6619</v>
      </c>
      <c r="C1611" s="135" t="s">
        <v>6620</v>
      </c>
      <c r="D1611" s="135" t="s">
        <v>6607</v>
      </c>
      <c r="E1611" s="135" t="s">
        <v>6621</v>
      </c>
    </row>
    <row r="1612" spans="1:5" s="136" customFormat="1" x14ac:dyDescent="0.2">
      <c r="A1612" s="135" t="s">
        <v>6622</v>
      </c>
      <c r="B1612" s="135" t="s">
        <v>6623</v>
      </c>
      <c r="C1612" s="135" t="s">
        <v>6624</v>
      </c>
      <c r="D1612" s="135" t="s">
        <v>6579</v>
      </c>
      <c r="E1612" s="135" t="s">
        <v>6625</v>
      </c>
    </row>
    <row r="1613" spans="1:5" s="136" customFormat="1" x14ac:dyDescent="0.2">
      <c r="A1613" s="135" t="s">
        <v>6626</v>
      </c>
      <c r="B1613" s="135" t="s">
        <v>6627</v>
      </c>
      <c r="C1613" s="135" t="s">
        <v>6628</v>
      </c>
      <c r="D1613" s="135" t="s">
        <v>6579</v>
      </c>
      <c r="E1613" s="135" t="s">
        <v>6629</v>
      </c>
    </row>
    <row r="1614" spans="1:5" s="136" customFormat="1" x14ac:dyDescent="0.2">
      <c r="A1614" s="135" t="s">
        <v>6630</v>
      </c>
      <c r="B1614" s="135" t="s">
        <v>6631</v>
      </c>
      <c r="C1614" s="135" t="s">
        <v>6632</v>
      </c>
      <c r="D1614" s="135" t="s">
        <v>6584</v>
      </c>
      <c r="E1614" s="135" t="s">
        <v>6633</v>
      </c>
    </row>
    <row r="1615" spans="1:5" s="136" customFormat="1" x14ac:dyDescent="0.2">
      <c r="A1615" s="135" t="s">
        <v>6634</v>
      </c>
      <c r="B1615" s="135" t="s">
        <v>6635</v>
      </c>
      <c r="C1615" s="135" t="s">
        <v>6636</v>
      </c>
      <c r="D1615" s="135" t="s">
        <v>6579</v>
      </c>
      <c r="E1615" s="135" t="s">
        <v>6637</v>
      </c>
    </row>
    <row r="1616" spans="1:5" s="136" customFormat="1" x14ac:dyDescent="0.2">
      <c r="A1616" s="135" t="s">
        <v>6638</v>
      </c>
      <c r="B1616" s="135" t="s">
        <v>6639</v>
      </c>
      <c r="C1616" s="135" t="s">
        <v>6640</v>
      </c>
      <c r="D1616" s="135" t="s">
        <v>6584</v>
      </c>
      <c r="E1616" s="135" t="s">
        <v>6641</v>
      </c>
    </row>
    <row r="1617" spans="1:5" s="136" customFormat="1" x14ac:dyDescent="0.2">
      <c r="A1617" s="135" t="s">
        <v>6642</v>
      </c>
      <c r="B1617" s="135" t="s">
        <v>6643</v>
      </c>
      <c r="C1617" s="135" t="s">
        <v>6644</v>
      </c>
      <c r="D1617" s="135" t="s">
        <v>6584</v>
      </c>
      <c r="E1617" s="135" t="s">
        <v>6645</v>
      </c>
    </row>
    <row r="1618" spans="1:5" s="136" customFormat="1" x14ac:dyDescent="0.2">
      <c r="A1618" s="135" t="s">
        <v>6646</v>
      </c>
      <c r="B1618" s="135" t="s">
        <v>6647</v>
      </c>
      <c r="C1618" s="135" t="s">
        <v>6648</v>
      </c>
      <c r="D1618" s="135" t="s">
        <v>6584</v>
      </c>
      <c r="E1618" s="135" t="s">
        <v>6649</v>
      </c>
    </row>
    <row r="1619" spans="1:5" s="136" customFormat="1" x14ac:dyDescent="0.2">
      <c r="A1619" s="135" t="s">
        <v>6650</v>
      </c>
      <c r="B1619" s="135" t="s">
        <v>6651</v>
      </c>
      <c r="C1619" s="135" t="s">
        <v>6652</v>
      </c>
      <c r="D1619" s="135" t="s">
        <v>6653</v>
      </c>
      <c r="E1619" s="135" t="s">
        <v>6654</v>
      </c>
    </row>
    <row r="1620" spans="1:5" s="136" customFormat="1" x14ac:dyDescent="0.2">
      <c r="A1620" s="135" t="s">
        <v>6655</v>
      </c>
      <c r="B1620" s="135" t="s">
        <v>6656</v>
      </c>
      <c r="C1620" s="135" t="s">
        <v>6657</v>
      </c>
      <c r="D1620" s="135" t="s">
        <v>6658</v>
      </c>
      <c r="E1620" s="135" t="s">
        <v>6659</v>
      </c>
    </row>
    <row r="1621" spans="1:5" s="136" customFormat="1" x14ac:dyDescent="0.2">
      <c r="A1621" s="135" t="s">
        <v>6660</v>
      </c>
      <c r="B1621" s="135" t="s">
        <v>6661</v>
      </c>
      <c r="C1621" s="135" t="s">
        <v>6662</v>
      </c>
      <c r="D1621" s="135" t="s">
        <v>6663</v>
      </c>
      <c r="E1621" s="135" t="s">
        <v>6664</v>
      </c>
    </row>
    <row r="1622" spans="1:5" s="136" customFormat="1" x14ac:dyDescent="0.2">
      <c r="A1622" s="135" t="s">
        <v>6665</v>
      </c>
      <c r="B1622" s="135" t="s">
        <v>6666</v>
      </c>
      <c r="C1622" s="135" t="s">
        <v>6667</v>
      </c>
      <c r="D1622" s="135" t="s">
        <v>6668</v>
      </c>
      <c r="E1622" s="135" t="s">
        <v>6669</v>
      </c>
    </row>
    <row r="1623" spans="1:5" s="136" customFormat="1" x14ac:dyDescent="0.2">
      <c r="A1623" s="135" t="s">
        <v>6670</v>
      </c>
      <c r="B1623" s="135" t="s">
        <v>6671</v>
      </c>
      <c r="C1623" s="135" t="s">
        <v>6672</v>
      </c>
      <c r="D1623" s="135" t="s">
        <v>6673</v>
      </c>
      <c r="E1623" s="135" t="s">
        <v>6674</v>
      </c>
    </row>
    <row r="1624" spans="1:5" s="136" customFormat="1" x14ac:dyDescent="0.2">
      <c r="A1624" s="135" t="s">
        <v>6675</v>
      </c>
      <c r="B1624" s="135" t="s">
        <v>6676</v>
      </c>
      <c r="C1624" s="135" t="s">
        <v>6677</v>
      </c>
      <c r="D1624" s="135" t="s">
        <v>6678</v>
      </c>
      <c r="E1624" s="135" t="s">
        <v>6679</v>
      </c>
    </row>
    <row r="1625" spans="1:5" s="136" customFormat="1" x14ac:dyDescent="0.2">
      <c r="A1625" s="135" t="s">
        <v>6680</v>
      </c>
      <c r="B1625" s="135" t="s">
        <v>6681</v>
      </c>
      <c r="C1625" s="135" t="s">
        <v>6682</v>
      </c>
      <c r="D1625" s="135" t="s">
        <v>6683</v>
      </c>
      <c r="E1625" s="135" t="s">
        <v>6684</v>
      </c>
    </row>
    <row r="1626" spans="1:5" s="136" customFormat="1" x14ac:dyDescent="0.2">
      <c r="A1626" s="135" t="s">
        <v>6685</v>
      </c>
      <c r="B1626" s="135" t="s">
        <v>6686</v>
      </c>
      <c r="C1626" s="135" t="s">
        <v>6687</v>
      </c>
      <c r="D1626" s="135" t="s">
        <v>6653</v>
      </c>
      <c r="E1626" s="135" t="s">
        <v>6688</v>
      </c>
    </row>
    <row r="1627" spans="1:5" s="136" customFormat="1" x14ac:dyDescent="0.2">
      <c r="A1627" s="135" t="s">
        <v>6689</v>
      </c>
      <c r="B1627" s="135" t="s">
        <v>6690</v>
      </c>
      <c r="C1627" s="135" t="s">
        <v>6691</v>
      </c>
      <c r="D1627" s="135" t="s">
        <v>6692</v>
      </c>
      <c r="E1627" s="135" t="s">
        <v>6693</v>
      </c>
    </row>
    <row r="1628" spans="1:5" s="136" customFormat="1" x14ac:dyDescent="0.2">
      <c r="A1628" s="135" t="s">
        <v>6694</v>
      </c>
      <c r="B1628" s="135" t="s">
        <v>6695</v>
      </c>
      <c r="C1628" s="135" t="s">
        <v>6696</v>
      </c>
      <c r="D1628" s="135" t="s">
        <v>6668</v>
      </c>
      <c r="E1628" s="135" t="s">
        <v>6697</v>
      </c>
    </row>
    <row r="1629" spans="1:5" s="136" customFormat="1" x14ac:dyDescent="0.2">
      <c r="A1629" s="135" t="s">
        <v>6698</v>
      </c>
      <c r="B1629" s="135" t="s">
        <v>6699</v>
      </c>
      <c r="C1629" s="135" t="s">
        <v>6700</v>
      </c>
      <c r="D1629" s="135" t="s">
        <v>6653</v>
      </c>
      <c r="E1629" s="135" t="s">
        <v>6701</v>
      </c>
    </row>
    <row r="1630" spans="1:5" s="136" customFormat="1" x14ac:dyDescent="0.2">
      <c r="A1630" s="135" t="s">
        <v>6702</v>
      </c>
      <c r="B1630" s="135" t="s">
        <v>6703</v>
      </c>
      <c r="C1630" s="135" t="s">
        <v>6704</v>
      </c>
      <c r="D1630" s="135" t="s">
        <v>6673</v>
      </c>
      <c r="E1630" s="135" t="s">
        <v>6705</v>
      </c>
    </row>
    <row r="1631" spans="1:5" s="136" customFormat="1" x14ac:dyDescent="0.2">
      <c r="A1631" s="135" t="s">
        <v>6706</v>
      </c>
      <c r="B1631" s="135" t="s">
        <v>6707</v>
      </c>
      <c r="C1631" s="135" t="s">
        <v>6708</v>
      </c>
      <c r="D1631" s="135" t="s">
        <v>6709</v>
      </c>
      <c r="E1631" s="135" t="s">
        <v>6710</v>
      </c>
    </row>
    <row r="1632" spans="1:5" s="136" customFormat="1" x14ac:dyDescent="0.2">
      <c r="A1632" s="135" t="s">
        <v>6711</v>
      </c>
      <c r="B1632" s="135" t="s">
        <v>6712</v>
      </c>
      <c r="C1632" s="135" t="s">
        <v>6713</v>
      </c>
      <c r="D1632" s="135" t="s">
        <v>6653</v>
      </c>
      <c r="E1632" s="135" t="s">
        <v>6714</v>
      </c>
    </row>
    <row r="1633" spans="1:5" s="136" customFormat="1" x14ac:dyDescent="0.2">
      <c r="A1633" s="135" t="s">
        <v>6715</v>
      </c>
      <c r="B1633" s="135" t="s">
        <v>6716</v>
      </c>
      <c r="C1633" s="135" t="s">
        <v>6717</v>
      </c>
      <c r="D1633" s="135" t="s">
        <v>6653</v>
      </c>
      <c r="E1633" s="135" t="s">
        <v>6718</v>
      </c>
    </row>
    <row r="1634" spans="1:5" s="136" customFormat="1" x14ac:dyDescent="0.2">
      <c r="A1634" s="135" t="s">
        <v>6719</v>
      </c>
      <c r="B1634" s="135" t="s">
        <v>6720</v>
      </c>
      <c r="C1634" s="135" t="s">
        <v>6721</v>
      </c>
      <c r="D1634" s="135" t="s">
        <v>6722</v>
      </c>
      <c r="E1634" s="135" t="s">
        <v>6723</v>
      </c>
    </row>
    <row r="1635" spans="1:5" s="136" customFormat="1" x14ac:dyDescent="0.2">
      <c r="A1635" s="135" t="s">
        <v>6724</v>
      </c>
      <c r="B1635" s="135" t="s">
        <v>6725</v>
      </c>
      <c r="C1635" s="135" t="s">
        <v>6726</v>
      </c>
      <c r="D1635" s="135" t="s">
        <v>6668</v>
      </c>
      <c r="E1635" s="135" t="s">
        <v>6727</v>
      </c>
    </row>
    <row r="1636" spans="1:5" s="136" customFormat="1" x14ac:dyDescent="0.2">
      <c r="A1636" s="135" t="s">
        <v>6728</v>
      </c>
      <c r="B1636" s="135" t="s">
        <v>6729</v>
      </c>
      <c r="C1636" s="135" t="s">
        <v>6730</v>
      </c>
      <c r="D1636" s="135" t="s">
        <v>6663</v>
      </c>
      <c r="E1636" s="135" t="s">
        <v>6731</v>
      </c>
    </row>
    <row r="1637" spans="1:5" s="136" customFormat="1" x14ac:dyDescent="0.2">
      <c r="A1637" s="135" t="s">
        <v>6732</v>
      </c>
      <c r="B1637" s="135" t="s">
        <v>6733</v>
      </c>
      <c r="C1637" s="135" t="s">
        <v>6734</v>
      </c>
      <c r="D1637" s="135" t="s">
        <v>6663</v>
      </c>
      <c r="E1637" s="135" t="s">
        <v>6735</v>
      </c>
    </row>
    <row r="1638" spans="1:5" s="136" customFormat="1" x14ac:dyDescent="0.2">
      <c r="A1638" s="135" t="s">
        <v>6736</v>
      </c>
      <c r="B1638" s="135" t="s">
        <v>6737</v>
      </c>
      <c r="C1638" s="135" t="s">
        <v>6738</v>
      </c>
      <c r="D1638" s="135" t="s">
        <v>6663</v>
      </c>
      <c r="E1638" s="135" t="s">
        <v>6739</v>
      </c>
    </row>
    <row r="1639" spans="1:5" s="136" customFormat="1" x14ac:dyDescent="0.2">
      <c r="A1639" s="135" t="s">
        <v>6740</v>
      </c>
      <c r="B1639" s="135" t="s">
        <v>6741</v>
      </c>
      <c r="C1639" s="135" t="s">
        <v>6742</v>
      </c>
      <c r="D1639" s="135" t="s">
        <v>6480</v>
      </c>
      <c r="E1639" s="135" t="s">
        <v>6743</v>
      </c>
    </row>
    <row r="1640" spans="1:5" s="136" customFormat="1" x14ac:dyDescent="0.2">
      <c r="A1640" s="135" t="s">
        <v>6744</v>
      </c>
      <c r="B1640" s="135" t="s">
        <v>6745</v>
      </c>
      <c r="C1640" s="135" t="s">
        <v>6746</v>
      </c>
      <c r="D1640" s="135" t="s">
        <v>6747</v>
      </c>
      <c r="E1640" s="135" t="s">
        <v>6748</v>
      </c>
    </row>
    <row r="1641" spans="1:5" s="136" customFormat="1" x14ac:dyDescent="0.2">
      <c r="A1641" s="135" t="s">
        <v>6749</v>
      </c>
      <c r="B1641" s="135" t="s">
        <v>6750</v>
      </c>
      <c r="C1641" s="135" t="s">
        <v>6751</v>
      </c>
      <c r="D1641" s="135" t="s">
        <v>6747</v>
      </c>
      <c r="E1641" s="135" t="s">
        <v>6752</v>
      </c>
    </row>
    <row r="1642" spans="1:5" s="136" customFormat="1" x14ac:dyDescent="0.2">
      <c r="A1642" s="135" t="s">
        <v>6753</v>
      </c>
      <c r="B1642" s="135" t="s">
        <v>6754</v>
      </c>
      <c r="C1642" s="135" t="s">
        <v>6755</v>
      </c>
      <c r="D1642" s="135" t="s">
        <v>6480</v>
      </c>
      <c r="E1642" s="135" t="s">
        <v>6756</v>
      </c>
    </row>
    <row r="1643" spans="1:5" s="136" customFormat="1" x14ac:dyDescent="0.2">
      <c r="A1643" s="135" t="s">
        <v>6757</v>
      </c>
      <c r="B1643" s="135" t="s">
        <v>6758</v>
      </c>
      <c r="C1643" s="135" t="s">
        <v>6759</v>
      </c>
      <c r="D1643" s="135" t="s">
        <v>6480</v>
      </c>
      <c r="E1643" s="135" t="s">
        <v>6760</v>
      </c>
    </row>
    <row r="1644" spans="1:5" s="136" customFormat="1" x14ac:dyDescent="0.2">
      <c r="A1644" s="135" t="s">
        <v>6761</v>
      </c>
      <c r="B1644" s="135" t="s">
        <v>6762</v>
      </c>
      <c r="C1644" s="135" t="s">
        <v>6763</v>
      </c>
      <c r="D1644" s="135" t="s">
        <v>6764</v>
      </c>
      <c r="E1644" s="135" t="s">
        <v>6765</v>
      </c>
    </row>
    <row r="1645" spans="1:5" s="136" customFormat="1" x14ac:dyDescent="0.2">
      <c r="A1645" s="135" t="s">
        <v>6766</v>
      </c>
      <c r="B1645" s="135" t="s">
        <v>6767</v>
      </c>
      <c r="C1645" s="135" t="s">
        <v>6768</v>
      </c>
      <c r="D1645" s="135" t="s">
        <v>6769</v>
      </c>
      <c r="E1645" s="135" t="s">
        <v>6770</v>
      </c>
    </row>
    <row r="1646" spans="1:5" s="136" customFormat="1" x14ac:dyDescent="0.2">
      <c r="A1646" s="135" t="s">
        <v>6771</v>
      </c>
      <c r="B1646" s="135" t="s">
        <v>6772</v>
      </c>
      <c r="C1646" s="135" t="s">
        <v>6773</v>
      </c>
      <c r="D1646" s="135" t="s">
        <v>6769</v>
      </c>
      <c r="E1646" s="135" t="s">
        <v>6774</v>
      </c>
    </row>
    <row r="1647" spans="1:5" s="136" customFormat="1" x14ac:dyDescent="0.2">
      <c r="A1647" s="135" t="s">
        <v>6775</v>
      </c>
      <c r="B1647" s="135" t="s">
        <v>6776</v>
      </c>
      <c r="C1647" s="135" t="s">
        <v>6777</v>
      </c>
      <c r="D1647" s="135" t="s">
        <v>6769</v>
      </c>
      <c r="E1647" s="135" t="s">
        <v>6778</v>
      </c>
    </row>
    <row r="1648" spans="1:5" s="136" customFormat="1" x14ac:dyDescent="0.2">
      <c r="A1648" s="135" t="s">
        <v>6779</v>
      </c>
      <c r="B1648" s="135" t="s">
        <v>6780</v>
      </c>
      <c r="C1648" s="135" t="s">
        <v>4638</v>
      </c>
      <c r="D1648" s="135" t="s">
        <v>6747</v>
      </c>
      <c r="E1648" s="135" t="s">
        <v>6781</v>
      </c>
    </row>
    <row r="1649" spans="1:5" s="136" customFormat="1" x14ac:dyDescent="0.2">
      <c r="A1649" s="135" t="s">
        <v>6782</v>
      </c>
      <c r="B1649" s="135" t="s">
        <v>6783</v>
      </c>
      <c r="C1649" s="135" t="s">
        <v>6784</v>
      </c>
      <c r="D1649" s="135" t="s">
        <v>6747</v>
      </c>
      <c r="E1649" s="135" t="s">
        <v>6785</v>
      </c>
    </row>
    <row r="1650" spans="1:5" s="136" customFormat="1" x14ac:dyDescent="0.2">
      <c r="A1650" s="135" t="s">
        <v>6786</v>
      </c>
      <c r="B1650" s="135" t="s">
        <v>6787</v>
      </c>
      <c r="C1650" s="135" t="s">
        <v>6788</v>
      </c>
      <c r="D1650" s="135" t="s">
        <v>6747</v>
      </c>
      <c r="E1650" s="135" t="s">
        <v>6789</v>
      </c>
    </row>
    <row r="1651" spans="1:5" s="136" customFormat="1" x14ac:dyDescent="0.2">
      <c r="A1651" s="135" t="s">
        <v>6790</v>
      </c>
      <c r="B1651" s="135" t="s">
        <v>6791</v>
      </c>
      <c r="C1651" s="135" t="s">
        <v>6792</v>
      </c>
      <c r="D1651" s="135" t="s">
        <v>6747</v>
      </c>
      <c r="E1651" s="135" t="s">
        <v>6793</v>
      </c>
    </row>
    <row r="1652" spans="1:5" s="136" customFormat="1" x14ac:dyDescent="0.2">
      <c r="A1652" s="135" t="s">
        <v>6794</v>
      </c>
      <c r="B1652" s="135" t="s">
        <v>6795</v>
      </c>
      <c r="C1652" s="135" t="s">
        <v>6796</v>
      </c>
      <c r="D1652" s="135" t="s">
        <v>6747</v>
      </c>
      <c r="E1652" s="135" t="s">
        <v>6793</v>
      </c>
    </row>
    <row r="1653" spans="1:5" s="136" customFormat="1" x14ac:dyDescent="0.2">
      <c r="A1653" s="135" t="s">
        <v>6797</v>
      </c>
      <c r="B1653" s="135" t="s">
        <v>6798</v>
      </c>
      <c r="C1653" s="135" t="s">
        <v>6799</v>
      </c>
      <c r="D1653" s="135" t="s">
        <v>6747</v>
      </c>
      <c r="E1653" s="135" t="s">
        <v>6793</v>
      </c>
    </row>
    <row r="1654" spans="1:5" s="136" customFormat="1" x14ac:dyDescent="0.2">
      <c r="A1654" s="135" t="s">
        <v>6800</v>
      </c>
      <c r="B1654" s="135" t="s">
        <v>6801</v>
      </c>
      <c r="C1654" s="135" t="s">
        <v>6802</v>
      </c>
      <c r="D1654" s="135" t="s">
        <v>6747</v>
      </c>
      <c r="E1654" s="135" t="s">
        <v>6793</v>
      </c>
    </row>
    <row r="1655" spans="1:5" s="136" customFormat="1" x14ac:dyDescent="0.2">
      <c r="A1655" s="135" t="s">
        <v>6803</v>
      </c>
      <c r="B1655" s="135" t="s">
        <v>6804</v>
      </c>
      <c r="C1655" s="135" t="s">
        <v>6805</v>
      </c>
      <c r="D1655" s="135" t="s">
        <v>6747</v>
      </c>
      <c r="E1655" s="135" t="s">
        <v>6806</v>
      </c>
    </row>
    <row r="1656" spans="1:5" s="136" customFormat="1" x14ac:dyDescent="0.2">
      <c r="A1656" s="135" t="s">
        <v>6807</v>
      </c>
      <c r="B1656" s="135" t="s">
        <v>6808</v>
      </c>
      <c r="C1656" s="135" t="s">
        <v>6809</v>
      </c>
      <c r="D1656" s="135" t="s">
        <v>6747</v>
      </c>
      <c r="E1656" s="135" t="s">
        <v>6810</v>
      </c>
    </row>
    <row r="1657" spans="1:5" s="136" customFormat="1" x14ac:dyDescent="0.2">
      <c r="A1657" s="135" t="s">
        <v>6811</v>
      </c>
      <c r="B1657" s="135" t="s">
        <v>6812</v>
      </c>
      <c r="C1657" s="135" t="s">
        <v>6813</v>
      </c>
      <c r="D1657" s="135" t="s">
        <v>6747</v>
      </c>
      <c r="E1657" s="135" t="s">
        <v>6814</v>
      </c>
    </row>
    <row r="1658" spans="1:5" s="136" customFormat="1" x14ac:dyDescent="0.2">
      <c r="A1658" s="135" t="s">
        <v>6815</v>
      </c>
      <c r="B1658" s="135" t="s">
        <v>6816</v>
      </c>
      <c r="C1658" s="135" t="s">
        <v>6817</v>
      </c>
      <c r="D1658" s="135" t="s">
        <v>6747</v>
      </c>
      <c r="E1658" s="135" t="s">
        <v>6818</v>
      </c>
    </row>
    <row r="1659" spans="1:5" s="136" customFormat="1" x14ac:dyDescent="0.2">
      <c r="A1659" s="135" t="s">
        <v>6819</v>
      </c>
      <c r="B1659" s="135" t="s">
        <v>6820</v>
      </c>
      <c r="C1659" s="135" t="s">
        <v>6821</v>
      </c>
      <c r="D1659" s="135" t="s">
        <v>6747</v>
      </c>
      <c r="E1659" s="135" t="s">
        <v>6822</v>
      </c>
    </row>
    <row r="1660" spans="1:5" s="136" customFormat="1" x14ac:dyDescent="0.2">
      <c r="A1660" s="135" t="s">
        <v>6823</v>
      </c>
      <c r="B1660" s="135" t="s">
        <v>6824</v>
      </c>
      <c r="C1660" s="135" t="s">
        <v>6825</v>
      </c>
      <c r="D1660" s="135" t="s">
        <v>6747</v>
      </c>
      <c r="E1660" s="135" t="s">
        <v>6826</v>
      </c>
    </row>
    <row r="1661" spans="1:5" s="136" customFormat="1" x14ac:dyDescent="0.2">
      <c r="A1661" s="135" t="s">
        <v>6827</v>
      </c>
      <c r="B1661" s="135" t="s">
        <v>6828</v>
      </c>
      <c r="C1661" s="135" t="s">
        <v>6829</v>
      </c>
      <c r="D1661" s="135" t="s">
        <v>6480</v>
      </c>
      <c r="E1661" s="135" t="s">
        <v>6830</v>
      </c>
    </row>
    <row r="1662" spans="1:5" s="136" customFormat="1" x14ac:dyDescent="0.2">
      <c r="A1662" s="135" t="s">
        <v>6831</v>
      </c>
      <c r="B1662" s="135" t="s">
        <v>6832</v>
      </c>
      <c r="C1662" s="135" t="s">
        <v>6833</v>
      </c>
      <c r="D1662" s="135" t="s">
        <v>6834</v>
      </c>
      <c r="E1662" s="135" t="s">
        <v>6835</v>
      </c>
    </row>
    <row r="1663" spans="1:5" s="136" customFormat="1" x14ac:dyDescent="0.2">
      <c r="A1663" s="135" t="s">
        <v>6836</v>
      </c>
      <c r="B1663" s="135" t="s">
        <v>6837</v>
      </c>
      <c r="C1663" s="135" t="s">
        <v>6838</v>
      </c>
      <c r="D1663" s="135" t="s">
        <v>6834</v>
      </c>
      <c r="E1663" s="135" t="s">
        <v>6839</v>
      </c>
    </row>
    <row r="1664" spans="1:5" s="136" customFormat="1" x14ac:dyDescent="0.2">
      <c r="A1664" s="135" t="s">
        <v>6840</v>
      </c>
      <c r="B1664" s="135" t="s">
        <v>6841</v>
      </c>
      <c r="C1664" s="135" t="s">
        <v>6842</v>
      </c>
      <c r="D1664" s="135" t="s">
        <v>6834</v>
      </c>
      <c r="E1664" s="135" t="s">
        <v>6843</v>
      </c>
    </row>
    <row r="1665" spans="1:5" s="136" customFormat="1" x14ac:dyDescent="0.2">
      <c r="A1665" s="135" t="s">
        <v>6844</v>
      </c>
      <c r="B1665" s="135" t="s">
        <v>6845</v>
      </c>
      <c r="C1665" s="135" t="s">
        <v>6846</v>
      </c>
      <c r="D1665" s="135" t="s">
        <v>6834</v>
      </c>
      <c r="E1665" s="135" t="s">
        <v>6847</v>
      </c>
    </row>
    <row r="1666" spans="1:5" s="136" customFormat="1" x14ac:dyDescent="0.2">
      <c r="A1666" s="135" t="s">
        <v>6848</v>
      </c>
      <c r="B1666" s="135" t="s">
        <v>6849</v>
      </c>
      <c r="C1666" s="135" t="s">
        <v>6850</v>
      </c>
      <c r="D1666" s="135" t="s">
        <v>6834</v>
      </c>
      <c r="E1666" s="135" t="s">
        <v>6851</v>
      </c>
    </row>
    <row r="1667" spans="1:5" s="136" customFormat="1" x14ac:dyDescent="0.2">
      <c r="A1667" s="135" t="s">
        <v>6852</v>
      </c>
      <c r="B1667" s="135" t="s">
        <v>6853</v>
      </c>
      <c r="C1667" s="135" t="s">
        <v>6854</v>
      </c>
      <c r="D1667" s="135" t="s">
        <v>6834</v>
      </c>
      <c r="E1667" s="135" t="s">
        <v>6855</v>
      </c>
    </row>
    <row r="1668" spans="1:5" s="136" customFormat="1" x14ac:dyDescent="0.2">
      <c r="A1668" s="135" t="s">
        <v>6856</v>
      </c>
      <c r="B1668" s="135" t="s">
        <v>6857</v>
      </c>
      <c r="C1668" s="135" t="s">
        <v>6858</v>
      </c>
      <c r="D1668" s="135" t="s">
        <v>6834</v>
      </c>
      <c r="E1668" s="135" t="s">
        <v>6859</v>
      </c>
    </row>
    <row r="1669" spans="1:5" s="136" customFormat="1" x14ac:dyDescent="0.2">
      <c r="A1669" s="135" t="s">
        <v>6860</v>
      </c>
      <c r="B1669" s="135" t="s">
        <v>6861</v>
      </c>
      <c r="C1669" s="135" t="s">
        <v>6862</v>
      </c>
      <c r="D1669" s="135" t="s">
        <v>6769</v>
      </c>
      <c r="E1669" s="135" t="s">
        <v>6863</v>
      </c>
    </row>
    <row r="1670" spans="1:5" s="136" customFormat="1" x14ac:dyDescent="0.2">
      <c r="A1670" s="135" t="s">
        <v>6864</v>
      </c>
      <c r="B1670" s="135" t="s">
        <v>6865</v>
      </c>
      <c r="C1670" s="135" t="s">
        <v>6866</v>
      </c>
      <c r="D1670" s="135" t="s">
        <v>6769</v>
      </c>
      <c r="E1670" s="135" t="s">
        <v>6867</v>
      </c>
    </row>
    <row r="1671" spans="1:5" s="136" customFormat="1" x14ac:dyDescent="0.2">
      <c r="A1671" s="135" t="s">
        <v>6868</v>
      </c>
      <c r="B1671" s="135" t="s">
        <v>6869</v>
      </c>
      <c r="C1671" s="135" t="s">
        <v>6870</v>
      </c>
      <c r="D1671" s="135" t="s">
        <v>6769</v>
      </c>
      <c r="E1671" s="135" t="s">
        <v>6871</v>
      </c>
    </row>
    <row r="1672" spans="1:5" s="136" customFormat="1" x14ac:dyDescent="0.2">
      <c r="A1672" s="135" t="s">
        <v>6872</v>
      </c>
      <c r="B1672" s="135" t="s">
        <v>6873</v>
      </c>
      <c r="C1672" s="135" t="s">
        <v>6874</v>
      </c>
      <c r="D1672" s="135" t="s">
        <v>6769</v>
      </c>
      <c r="E1672" s="135" t="s">
        <v>6875</v>
      </c>
    </row>
    <row r="1673" spans="1:5" s="136" customFormat="1" x14ac:dyDescent="0.2">
      <c r="A1673" s="135" t="s">
        <v>6876</v>
      </c>
      <c r="B1673" s="135" t="s">
        <v>6877</v>
      </c>
      <c r="C1673" s="135" t="s">
        <v>6878</v>
      </c>
    </row>
    <row r="1674" spans="1:5" s="136" customFormat="1" x14ac:dyDescent="0.2">
      <c r="A1674" s="135" t="s">
        <v>6879</v>
      </c>
      <c r="B1674" s="135" t="s">
        <v>6880</v>
      </c>
      <c r="C1674" s="135" t="s">
        <v>6881</v>
      </c>
      <c r="D1674" s="135" t="s">
        <v>6882</v>
      </c>
      <c r="E1674" s="135" t="s">
        <v>6883</v>
      </c>
    </row>
    <row r="1675" spans="1:5" s="136" customFormat="1" x14ac:dyDescent="0.2">
      <c r="A1675" s="135" t="s">
        <v>6884</v>
      </c>
      <c r="B1675" s="135" t="s">
        <v>6885</v>
      </c>
      <c r="C1675" s="135" t="s">
        <v>6886</v>
      </c>
      <c r="D1675" s="135" t="s">
        <v>6882</v>
      </c>
      <c r="E1675" s="135" t="s">
        <v>6887</v>
      </c>
    </row>
    <row r="1676" spans="1:5" s="136" customFormat="1" x14ac:dyDescent="0.2">
      <c r="A1676" s="135" t="s">
        <v>6888</v>
      </c>
      <c r="B1676" s="135" t="s">
        <v>6889</v>
      </c>
      <c r="C1676" s="135" t="s">
        <v>6890</v>
      </c>
      <c r="D1676" s="135" t="s">
        <v>6882</v>
      </c>
      <c r="E1676" s="135" t="s">
        <v>6891</v>
      </c>
    </row>
    <row r="1677" spans="1:5" s="136" customFormat="1" x14ac:dyDescent="0.2">
      <c r="A1677" s="135" t="s">
        <v>6892</v>
      </c>
      <c r="B1677" s="135" t="s">
        <v>6893</v>
      </c>
      <c r="C1677" s="135" t="s">
        <v>6894</v>
      </c>
      <c r="D1677" s="135" t="s">
        <v>6882</v>
      </c>
      <c r="E1677" s="135" t="s">
        <v>6895</v>
      </c>
    </row>
    <row r="1678" spans="1:5" s="136" customFormat="1" x14ac:dyDescent="0.2">
      <c r="A1678" s="135" t="s">
        <v>6896</v>
      </c>
      <c r="B1678" s="135" t="s">
        <v>6897</v>
      </c>
      <c r="C1678" s="135" t="s">
        <v>6898</v>
      </c>
      <c r="D1678" s="135" t="s">
        <v>6882</v>
      </c>
      <c r="E1678" s="135" t="s">
        <v>6899</v>
      </c>
    </row>
    <row r="1679" spans="1:5" s="136" customFormat="1" x14ac:dyDescent="0.2">
      <c r="A1679" s="135" t="s">
        <v>6900</v>
      </c>
      <c r="B1679" s="135" t="s">
        <v>6901</v>
      </c>
      <c r="C1679" s="135" t="s">
        <v>6902</v>
      </c>
      <c r="D1679" s="135" t="s">
        <v>6882</v>
      </c>
      <c r="E1679" s="135" t="s">
        <v>6903</v>
      </c>
    </row>
    <row r="1680" spans="1:5" s="136" customFormat="1" x14ac:dyDescent="0.2">
      <c r="A1680" s="135" t="s">
        <v>6904</v>
      </c>
      <c r="B1680" s="135" t="s">
        <v>6905</v>
      </c>
      <c r="C1680" s="135" t="s">
        <v>6906</v>
      </c>
      <c r="D1680" s="135" t="s">
        <v>6882</v>
      </c>
      <c r="E1680" s="135" t="s">
        <v>6907</v>
      </c>
    </row>
    <row r="1681" spans="1:5" s="136" customFormat="1" x14ac:dyDescent="0.2">
      <c r="A1681" s="135" t="s">
        <v>6908</v>
      </c>
      <c r="B1681" s="135" t="s">
        <v>6909</v>
      </c>
      <c r="C1681" s="135" t="s">
        <v>6910</v>
      </c>
    </row>
    <row r="1682" spans="1:5" s="136" customFormat="1" x14ac:dyDescent="0.2">
      <c r="A1682" s="135" t="s">
        <v>6911</v>
      </c>
      <c r="B1682" s="135" t="s">
        <v>6912</v>
      </c>
      <c r="C1682" s="135" t="s">
        <v>6913</v>
      </c>
      <c r="D1682" s="135" t="s">
        <v>6914</v>
      </c>
      <c r="E1682" s="135" t="s">
        <v>6915</v>
      </c>
    </row>
    <row r="1683" spans="1:5" s="136" customFormat="1" x14ac:dyDescent="0.2">
      <c r="A1683" s="135" t="s">
        <v>6916</v>
      </c>
      <c r="B1683" s="135" t="s">
        <v>6917</v>
      </c>
      <c r="C1683" s="135" t="s">
        <v>6918</v>
      </c>
      <c r="D1683" s="135" t="s">
        <v>6914</v>
      </c>
      <c r="E1683" s="135" t="s">
        <v>6919</v>
      </c>
    </row>
    <row r="1684" spans="1:5" s="136" customFormat="1" x14ac:dyDescent="0.2">
      <c r="A1684" s="135" t="s">
        <v>6920</v>
      </c>
      <c r="B1684" s="135" t="s">
        <v>6921</v>
      </c>
      <c r="C1684" s="135" t="s">
        <v>6922</v>
      </c>
      <c r="D1684" s="135" t="s">
        <v>6914</v>
      </c>
      <c r="E1684" s="135" t="s">
        <v>6923</v>
      </c>
    </row>
    <row r="1685" spans="1:5" s="136" customFormat="1" x14ac:dyDescent="0.2">
      <c r="A1685" s="135" t="s">
        <v>6924</v>
      </c>
      <c r="B1685" s="135" t="s">
        <v>6925</v>
      </c>
      <c r="C1685" s="135" t="s">
        <v>6926</v>
      </c>
      <c r="D1685" s="135" t="s">
        <v>6914</v>
      </c>
      <c r="E1685" s="135" t="s">
        <v>6927</v>
      </c>
    </row>
    <row r="1686" spans="1:5" s="136" customFormat="1" x14ac:dyDescent="0.2">
      <c r="A1686" s="135" t="s">
        <v>6928</v>
      </c>
      <c r="B1686" s="135" t="s">
        <v>6929</v>
      </c>
      <c r="C1686" s="135" t="s">
        <v>6930</v>
      </c>
      <c r="D1686" s="135" t="s">
        <v>6914</v>
      </c>
      <c r="E1686" s="135" t="s">
        <v>6931</v>
      </c>
    </row>
    <row r="1687" spans="1:5" s="136" customFormat="1" x14ac:dyDescent="0.2">
      <c r="A1687" s="135" t="s">
        <v>6932</v>
      </c>
      <c r="B1687" s="135" t="s">
        <v>6933</v>
      </c>
      <c r="C1687" s="135" t="s">
        <v>6934</v>
      </c>
      <c r="D1687" s="135" t="s">
        <v>6914</v>
      </c>
      <c r="E1687" s="135" t="s">
        <v>6935</v>
      </c>
    </row>
    <row r="1688" spans="1:5" s="136" customFormat="1" x14ac:dyDescent="0.2">
      <c r="A1688" s="135" t="s">
        <v>6936</v>
      </c>
      <c r="B1688" s="135" t="s">
        <v>6937</v>
      </c>
      <c r="C1688" s="135" t="s">
        <v>6938</v>
      </c>
      <c r="D1688" s="135" t="s">
        <v>6914</v>
      </c>
      <c r="E1688" s="135" t="s">
        <v>6939</v>
      </c>
    </row>
    <row r="1689" spans="1:5" s="136" customFormat="1" x14ac:dyDescent="0.2">
      <c r="A1689" s="135" t="s">
        <v>6940</v>
      </c>
      <c r="B1689" s="135" t="s">
        <v>6941</v>
      </c>
      <c r="C1689" s="135" t="s">
        <v>6942</v>
      </c>
      <c r="D1689" s="135" t="s">
        <v>6943</v>
      </c>
      <c r="E1689" s="135" t="s">
        <v>6944</v>
      </c>
    </row>
    <row r="1690" spans="1:5" s="136" customFormat="1" x14ac:dyDescent="0.2">
      <c r="A1690" s="135" t="s">
        <v>6945</v>
      </c>
      <c r="B1690" s="135" t="s">
        <v>6946</v>
      </c>
      <c r="C1690" s="135" t="s">
        <v>6947</v>
      </c>
      <c r="D1690" s="135" t="s">
        <v>6948</v>
      </c>
      <c r="E1690" s="135" t="s">
        <v>6949</v>
      </c>
    </row>
    <row r="1691" spans="1:5" s="136" customFormat="1" x14ac:dyDescent="0.2">
      <c r="A1691" s="135" t="s">
        <v>6950</v>
      </c>
      <c r="B1691" s="135" t="s">
        <v>6951</v>
      </c>
      <c r="C1691" s="135" t="s">
        <v>6952</v>
      </c>
      <c r="D1691" s="135" t="s">
        <v>6953</v>
      </c>
      <c r="E1691" s="135" t="s">
        <v>6954</v>
      </c>
    </row>
    <row r="1692" spans="1:5" s="136" customFormat="1" x14ac:dyDescent="0.2">
      <c r="A1692" s="135" t="s">
        <v>6955</v>
      </c>
      <c r="B1692" s="135" t="s">
        <v>6956</v>
      </c>
      <c r="C1692" s="135" t="s">
        <v>6957</v>
      </c>
      <c r="D1692" s="135" t="s">
        <v>6958</v>
      </c>
      <c r="E1692" s="135" t="s">
        <v>6959</v>
      </c>
    </row>
    <row r="1693" spans="1:5" s="136" customFormat="1" x14ac:dyDescent="0.2">
      <c r="A1693" s="135" t="s">
        <v>6960</v>
      </c>
      <c r="B1693" s="135" t="s">
        <v>6961</v>
      </c>
      <c r="C1693" s="135" t="s">
        <v>6962</v>
      </c>
      <c r="D1693" s="135" t="s">
        <v>6963</v>
      </c>
      <c r="E1693" s="135" t="s">
        <v>6964</v>
      </c>
    </row>
    <row r="1694" spans="1:5" s="136" customFormat="1" x14ac:dyDescent="0.2">
      <c r="A1694" s="135" t="s">
        <v>6965</v>
      </c>
      <c r="B1694" s="135" t="s">
        <v>6966</v>
      </c>
      <c r="C1694" s="135" t="s">
        <v>6967</v>
      </c>
      <c r="D1694" s="135" t="s">
        <v>6943</v>
      </c>
      <c r="E1694" s="135" t="s">
        <v>6968</v>
      </c>
    </row>
    <row r="1695" spans="1:5" s="136" customFormat="1" x14ac:dyDescent="0.2">
      <c r="A1695" s="135" t="s">
        <v>6969</v>
      </c>
      <c r="B1695" s="135" t="s">
        <v>6970</v>
      </c>
      <c r="C1695" s="135" t="s">
        <v>6971</v>
      </c>
      <c r="D1695" s="135" t="s">
        <v>6972</v>
      </c>
      <c r="E1695" s="135" t="s">
        <v>6973</v>
      </c>
    </row>
    <row r="1696" spans="1:5" s="136" customFormat="1" x14ac:dyDescent="0.2">
      <c r="A1696" s="135" t="s">
        <v>6974</v>
      </c>
      <c r="B1696" s="135" t="s">
        <v>6975</v>
      </c>
      <c r="C1696" s="135" t="s">
        <v>6976</v>
      </c>
      <c r="D1696" s="135" t="s">
        <v>6977</v>
      </c>
      <c r="E1696" s="135" t="s">
        <v>6978</v>
      </c>
    </row>
    <row r="1697" spans="1:5" s="136" customFormat="1" x14ac:dyDescent="0.2">
      <c r="A1697" s="135" t="s">
        <v>6979</v>
      </c>
      <c r="B1697" s="135" t="s">
        <v>6980</v>
      </c>
      <c r="C1697" s="135" t="s">
        <v>6981</v>
      </c>
      <c r="D1697" s="135" t="s">
        <v>6943</v>
      </c>
      <c r="E1697" s="135" t="s">
        <v>6982</v>
      </c>
    </row>
    <row r="1698" spans="1:5" s="136" customFormat="1" x14ac:dyDescent="0.2">
      <c r="A1698" s="135" t="s">
        <v>6983</v>
      </c>
      <c r="B1698" s="135" t="s">
        <v>6984</v>
      </c>
      <c r="C1698" s="135" t="s">
        <v>6985</v>
      </c>
      <c r="D1698" s="135" t="s">
        <v>6986</v>
      </c>
      <c r="E1698" s="135" t="s">
        <v>6987</v>
      </c>
    </row>
    <row r="1699" spans="1:5" s="136" customFormat="1" x14ac:dyDescent="0.2">
      <c r="A1699" s="135" t="s">
        <v>6988</v>
      </c>
      <c r="B1699" s="135" t="s">
        <v>6989</v>
      </c>
      <c r="C1699" s="135" t="s">
        <v>6990</v>
      </c>
      <c r="D1699" s="135" t="s">
        <v>6991</v>
      </c>
      <c r="E1699" s="135" t="s">
        <v>6992</v>
      </c>
    </row>
    <row r="1700" spans="1:5" s="136" customFormat="1" x14ac:dyDescent="0.2">
      <c r="A1700" s="135" t="s">
        <v>6993</v>
      </c>
      <c r="B1700" s="135" t="s">
        <v>6994</v>
      </c>
      <c r="C1700" s="135" t="s">
        <v>6995</v>
      </c>
      <c r="D1700" s="135" t="s">
        <v>6882</v>
      </c>
      <c r="E1700" s="135" t="s">
        <v>6996</v>
      </c>
    </row>
    <row r="1701" spans="1:5" s="136" customFormat="1" x14ac:dyDescent="0.2">
      <c r="A1701" s="135" t="s">
        <v>6997</v>
      </c>
      <c r="B1701" s="135" t="s">
        <v>6998</v>
      </c>
      <c r="C1701" s="135" t="s">
        <v>6999</v>
      </c>
      <c r="D1701" s="135" t="s">
        <v>7000</v>
      </c>
      <c r="E1701" s="135" t="s">
        <v>7001</v>
      </c>
    </row>
    <row r="1702" spans="1:5" s="136" customFormat="1" x14ac:dyDescent="0.2">
      <c r="A1702" s="135" t="s">
        <v>7002</v>
      </c>
      <c r="B1702" s="135" t="s">
        <v>7003</v>
      </c>
      <c r="C1702" s="135" t="s">
        <v>7004</v>
      </c>
      <c r="D1702" s="135" t="s">
        <v>6914</v>
      </c>
      <c r="E1702" s="135" t="s">
        <v>7005</v>
      </c>
    </row>
    <row r="1703" spans="1:5" s="136" customFormat="1" x14ac:dyDescent="0.2">
      <c r="A1703" s="135" t="s">
        <v>7006</v>
      </c>
      <c r="B1703" s="135" t="s">
        <v>7007</v>
      </c>
      <c r="C1703" s="135" t="s">
        <v>7008</v>
      </c>
      <c r="D1703" s="135" t="s">
        <v>6914</v>
      </c>
      <c r="E1703" s="135" t="s">
        <v>7009</v>
      </c>
    </row>
    <row r="1704" spans="1:5" s="136" customFormat="1" x14ac:dyDescent="0.2">
      <c r="A1704" s="135" t="s">
        <v>7010</v>
      </c>
      <c r="B1704" s="135" t="s">
        <v>7011</v>
      </c>
      <c r="C1704" s="135" t="s">
        <v>7012</v>
      </c>
      <c r="D1704" s="135" t="s">
        <v>6914</v>
      </c>
      <c r="E1704" s="135" t="s">
        <v>7009</v>
      </c>
    </row>
    <row r="1705" spans="1:5" s="136" customFormat="1" x14ac:dyDescent="0.2">
      <c r="A1705" s="135" t="s">
        <v>7013</v>
      </c>
      <c r="B1705" s="135" t="s">
        <v>7014</v>
      </c>
      <c r="C1705" s="135" t="s">
        <v>7015</v>
      </c>
      <c r="D1705" s="135" t="s">
        <v>7016</v>
      </c>
      <c r="E1705" s="135" t="s">
        <v>7017</v>
      </c>
    </row>
    <row r="1706" spans="1:5" s="136" customFormat="1" x14ac:dyDescent="0.2">
      <c r="A1706" s="135" t="s">
        <v>7018</v>
      </c>
      <c r="B1706" s="135" t="s">
        <v>7019</v>
      </c>
      <c r="C1706" s="135" t="s">
        <v>7020</v>
      </c>
      <c r="D1706" s="135" t="s">
        <v>6914</v>
      </c>
      <c r="E1706" s="135" t="s">
        <v>7021</v>
      </c>
    </row>
    <row r="1707" spans="1:5" s="136" customFormat="1" x14ac:dyDescent="0.2">
      <c r="A1707" s="135" t="s">
        <v>7022</v>
      </c>
      <c r="B1707" s="135" t="s">
        <v>7023</v>
      </c>
      <c r="C1707" s="135" t="s">
        <v>1804</v>
      </c>
      <c r="D1707" s="135" t="s">
        <v>6914</v>
      </c>
      <c r="E1707" s="135" t="s">
        <v>7024</v>
      </c>
    </row>
    <row r="1708" spans="1:5" s="136" customFormat="1" x14ac:dyDescent="0.2">
      <c r="A1708" s="135" t="s">
        <v>7025</v>
      </c>
      <c r="B1708" s="135" t="s">
        <v>7026</v>
      </c>
      <c r="C1708" s="135" t="s">
        <v>7027</v>
      </c>
      <c r="D1708" s="135" t="s">
        <v>7016</v>
      </c>
      <c r="E1708" s="135" t="s">
        <v>7028</v>
      </c>
    </row>
    <row r="1709" spans="1:5" s="136" customFormat="1" x14ac:dyDescent="0.2">
      <c r="A1709" s="135" t="s">
        <v>7029</v>
      </c>
      <c r="B1709" s="135" t="s">
        <v>7030</v>
      </c>
      <c r="C1709" s="135" t="s">
        <v>7031</v>
      </c>
      <c r="D1709" s="135" t="s">
        <v>6972</v>
      </c>
      <c r="E1709" s="135" t="s">
        <v>7032</v>
      </c>
    </row>
    <row r="1710" spans="1:5" s="136" customFormat="1" x14ac:dyDescent="0.2">
      <c r="A1710" s="135" t="s">
        <v>7033</v>
      </c>
      <c r="B1710" s="135" t="s">
        <v>7034</v>
      </c>
      <c r="C1710" s="135" t="s">
        <v>7035</v>
      </c>
      <c r="D1710" s="135" t="s">
        <v>6953</v>
      </c>
      <c r="E1710" s="135" t="s">
        <v>7036</v>
      </c>
    </row>
    <row r="1711" spans="1:5" s="136" customFormat="1" x14ac:dyDescent="0.2">
      <c r="A1711" s="135" t="s">
        <v>7037</v>
      </c>
      <c r="B1711" s="135" t="s">
        <v>7038</v>
      </c>
      <c r="C1711" s="135" t="s">
        <v>7039</v>
      </c>
      <c r="D1711" s="135" t="s">
        <v>7040</v>
      </c>
      <c r="E1711" s="135" t="s">
        <v>7041</v>
      </c>
    </row>
    <row r="1712" spans="1:5" s="136" customFormat="1" x14ac:dyDescent="0.2">
      <c r="A1712" s="135" t="s">
        <v>7042</v>
      </c>
      <c r="B1712" s="135" t="s">
        <v>7043</v>
      </c>
      <c r="C1712" s="135" t="s">
        <v>7044</v>
      </c>
      <c r="D1712" s="135" t="s">
        <v>7045</v>
      </c>
      <c r="E1712" s="135" t="s">
        <v>7046</v>
      </c>
    </row>
    <row r="1713" spans="1:5" s="136" customFormat="1" x14ac:dyDescent="0.2">
      <c r="A1713" s="135" t="s">
        <v>7047</v>
      </c>
      <c r="B1713" s="135" t="s">
        <v>7048</v>
      </c>
      <c r="C1713" s="135" t="s">
        <v>7049</v>
      </c>
      <c r="D1713" s="135" t="s">
        <v>7050</v>
      </c>
      <c r="E1713" s="135" t="s">
        <v>7051</v>
      </c>
    </row>
    <row r="1714" spans="1:5" s="136" customFormat="1" x14ac:dyDescent="0.2">
      <c r="A1714" s="135" t="s">
        <v>7052</v>
      </c>
      <c r="B1714" s="135" t="s">
        <v>7053</v>
      </c>
      <c r="C1714" s="135" t="s">
        <v>7054</v>
      </c>
      <c r="D1714" s="135" t="s">
        <v>6914</v>
      </c>
      <c r="E1714" s="135" t="s">
        <v>7055</v>
      </c>
    </row>
    <row r="1715" spans="1:5" s="136" customFormat="1" x14ac:dyDescent="0.2">
      <c r="A1715" s="135" t="s">
        <v>7056</v>
      </c>
      <c r="B1715" s="135" t="s">
        <v>7057</v>
      </c>
      <c r="C1715" s="135" t="s">
        <v>7058</v>
      </c>
      <c r="D1715" s="135" t="s">
        <v>6914</v>
      </c>
      <c r="E1715" s="135" t="s">
        <v>7059</v>
      </c>
    </row>
    <row r="1716" spans="1:5" s="136" customFormat="1" x14ac:dyDescent="0.2">
      <c r="A1716" s="135" t="s">
        <v>7060</v>
      </c>
      <c r="B1716" s="135" t="s">
        <v>7061</v>
      </c>
      <c r="C1716" s="135" t="s">
        <v>7062</v>
      </c>
      <c r="D1716" s="135" t="s">
        <v>6914</v>
      </c>
      <c r="E1716" s="135" t="s">
        <v>7063</v>
      </c>
    </row>
    <row r="1717" spans="1:5" s="136" customFormat="1" x14ac:dyDescent="0.2">
      <c r="A1717" s="135" t="s">
        <v>7064</v>
      </c>
      <c r="B1717" s="135" t="s">
        <v>7065</v>
      </c>
      <c r="C1717" s="135" t="s">
        <v>7066</v>
      </c>
      <c r="D1717" s="135" t="s">
        <v>6914</v>
      </c>
      <c r="E1717" s="135" t="s">
        <v>7067</v>
      </c>
    </row>
    <row r="1718" spans="1:5" s="136" customFormat="1" x14ac:dyDescent="0.2">
      <c r="A1718" s="135" t="s">
        <v>7068</v>
      </c>
      <c r="B1718" s="135" t="s">
        <v>7069</v>
      </c>
      <c r="C1718" s="135" t="s">
        <v>7070</v>
      </c>
      <c r="D1718" s="135" t="s">
        <v>6914</v>
      </c>
      <c r="E1718" s="135" t="s">
        <v>7071</v>
      </c>
    </row>
    <row r="1719" spans="1:5" s="136" customFormat="1" x14ac:dyDescent="0.2">
      <c r="A1719" s="135" t="s">
        <v>7072</v>
      </c>
      <c r="B1719" s="135" t="s">
        <v>7073</v>
      </c>
      <c r="C1719" s="135" t="s">
        <v>7074</v>
      </c>
      <c r="D1719" s="135" t="s">
        <v>6914</v>
      </c>
      <c r="E1719" s="135" t="s">
        <v>7075</v>
      </c>
    </row>
    <row r="1720" spans="1:5" s="136" customFormat="1" x14ac:dyDescent="0.2">
      <c r="A1720" s="135" t="s">
        <v>7076</v>
      </c>
      <c r="B1720" s="135" t="s">
        <v>7077</v>
      </c>
      <c r="C1720" s="135" t="s">
        <v>7078</v>
      </c>
      <c r="D1720" s="135" t="s">
        <v>6914</v>
      </c>
      <c r="E1720" s="135" t="s">
        <v>7079</v>
      </c>
    </row>
    <row r="1721" spans="1:5" s="136" customFormat="1" x14ac:dyDescent="0.2">
      <c r="A1721" s="135" t="s">
        <v>7080</v>
      </c>
      <c r="B1721" s="135" t="s">
        <v>7081</v>
      </c>
      <c r="C1721" s="135" t="s">
        <v>7082</v>
      </c>
      <c r="D1721" s="135" t="s">
        <v>6914</v>
      </c>
      <c r="E1721" s="135" t="s">
        <v>7083</v>
      </c>
    </row>
    <row r="1722" spans="1:5" s="136" customFormat="1" x14ac:dyDescent="0.2">
      <c r="A1722" s="135" t="s">
        <v>7084</v>
      </c>
      <c r="B1722" s="135" t="s">
        <v>7085</v>
      </c>
      <c r="C1722" s="135" t="s">
        <v>7086</v>
      </c>
      <c r="D1722" s="135" t="s">
        <v>6914</v>
      </c>
      <c r="E1722" s="135" t="s">
        <v>7087</v>
      </c>
    </row>
    <row r="1723" spans="1:5" s="136" customFormat="1" x14ac:dyDescent="0.2">
      <c r="A1723" s="135" t="s">
        <v>7088</v>
      </c>
      <c r="B1723" s="135" t="s">
        <v>7089</v>
      </c>
      <c r="C1723" s="135" t="s">
        <v>7090</v>
      </c>
      <c r="D1723" s="135" t="s">
        <v>6882</v>
      </c>
      <c r="E1723" s="135" t="s">
        <v>7091</v>
      </c>
    </row>
    <row r="1724" spans="1:5" s="136" customFormat="1" x14ac:dyDescent="0.2">
      <c r="A1724" s="135" t="s">
        <v>7092</v>
      </c>
      <c r="B1724" s="135" t="s">
        <v>7093</v>
      </c>
      <c r="C1724" s="135" t="s">
        <v>7094</v>
      </c>
      <c r="D1724" s="135" t="s">
        <v>6882</v>
      </c>
      <c r="E1724" s="135" t="s">
        <v>7095</v>
      </c>
    </row>
    <row r="1725" spans="1:5" s="136" customFormat="1" x14ac:dyDescent="0.2">
      <c r="A1725" s="135" t="s">
        <v>7096</v>
      </c>
      <c r="B1725" s="135" t="s">
        <v>7097</v>
      </c>
      <c r="C1725" s="135" t="s">
        <v>7098</v>
      </c>
      <c r="D1725" s="135" t="s">
        <v>6882</v>
      </c>
      <c r="E1725" s="135" t="s">
        <v>7099</v>
      </c>
    </row>
    <row r="1726" spans="1:5" s="136" customFormat="1" x14ac:dyDescent="0.2">
      <c r="A1726" s="135" t="s">
        <v>7100</v>
      </c>
      <c r="B1726" s="135" t="s">
        <v>7101</v>
      </c>
      <c r="C1726" s="135" t="s">
        <v>7102</v>
      </c>
      <c r="D1726" s="135" t="s">
        <v>6882</v>
      </c>
      <c r="E1726" s="135" t="s">
        <v>7103</v>
      </c>
    </row>
    <row r="1727" spans="1:5" s="136" customFormat="1" x14ac:dyDescent="0.2">
      <c r="A1727" s="135" t="s">
        <v>7104</v>
      </c>
      <c r="B1727" s="135" t="s">
        <v>7105</v>
      </c>
      <c r="C1727" s="135" t="s">
        <v>7106</v>
      </c>
      <c r="D1727" s="135" t="s">
        <v>7107</v>
      </c>
      <c r="E1727" s="135" t="s">
        <v>7108</v>
      </c>
    </row>
    <row r="1728" spans="1:5" s="136" customFormat="1" x14ac:dyDescent="0.2">
      <c r="A1728" s="135" t="s">
        <v>7109</v>
      </c>
      <c r="B1728" s="135" t="s">
        <v>7110</v>
      </c>
      <c r="C1728" s="135" t="s">
        <v>7111</v>
      </c>
      <c r="D1728" s="135" t="s">
        <v>6953</v>
      </c>
      <c r="E1728" s="135" t="s">
        <v>7112</v>
      </c>
    </row>
    <row r="1729" spans="1:5" s="136" customFormat="1" x14ac:dyDescent="0.2">
      <c r="A1729" s="135" t="s">
        <v>7113</v>
      </c>
      <c r="B1729" s="135" t="s">
        <v>7114</v>
      </c>
      <c r="C1729" s="135" t="s">
        <v>7115</v>
      </c>
      <c r="D1729" s="135" t="s">
        <v>7040</v>
      </c>
      <c r="E1729" s="135" t="s">
        <v>7116</v>
      </c>
    </row>
    <row r="1730" spans="1:5" s="136" customFormat="1" x14ac:dyDescent="0.2">
      <c r="A1730" s="135" t="s">
        <v>7117</v>
      </c>
      <c r="B1730" s="135" t="s">
        <v>7118</v>
      </c>
      <c r="C1730" s="135" t="s">
        <v>7119</v>
      </c>
      <c r="D1730" s="135" t="s">
        <v>7045</v>
      </c>
      <c r="E1730" s="135" t="s">
        <v>7120</v>
      </c>
    </row>
    <row r="1731" spans="1:5" s="136" customFormat="1" x14ac:dyDescent="0.2">
      <c r="A1731" s="135" t="s">
        <v>7121</v>
      </c>
      <c r="B1731" s="135" t="s">
        <v>7122</v>
      </c>
      <c r="C1731" s="135" t="s">
        <v>7123</v>
      </c>
      <c r="D1731" s="135" t="s">
        <v>7045</v>
      </c>
      <c r="E1731" s="135" t="s">
        <v>7124</v>
      </c>
    </row>
    <row r="1732" spans="1:5" s="136" customFormat="1" x14ac:dyDescent="0.2">
      <c r="A1732" s="135" t="s">
        <v>7125</v>
      </c>
      <c r="B1732" s="135" t="s">
        <v>7126</v>
      </c>
      <c r="C1732" s="135" t="s">
        <v>7127</v>
      </c>
      <c r="D1732" s="135" t="s">
        <v>7000</v>
      </c>
      <c r="E1732" s="135" t="s">
        <v>7128</v>
      </c>
    </row>
    <row r="1733" spans="1:5" s="136" customFormat="1" x14ac:dyDescent="0.2">
      <c r="A1733" s="135" t="s">
        <v>7129</v>
      </c>
      <c r="B1733" s="135" t="s">
        <v>7130</v>
      </c>
      <c r="C1733" s="135" t="s">
        <v>7131</v>
      </c>
      <c r="D1733" s="135" t="s">
        <v>6943</v>
      </c>
      <c r="E1733" s="135" t="s">
        <v>7132</v>
      </c>
    </row>
    <row r="1734" spans="1:5" s="136" customFormat="1" x14ac:dyDescent="0.2">
      <c r="A1734" s="135" t="s">
        <v>7133</v>
      </c>
      <c r="B1734" s="135" t="s">
        <v>7134</v>
      </c>
      <c r="C1734" s="135" t="s">
        <v>7135</v>
      </c>
      <c r="D1734" s="135" t="s">
        <v>7136</v>
      </c>
      <c r="E1734" s="135" t="s">
        <v>7137</v>
      </c>
    </row>
    <row r="1735" spans="1:5" s="136" customFormat="1" x14ac:dyDescent="0.2">
      <c r="A1735" s="135" t="s">
        <v>7138</v>
      </c>
      <c r="B1735" s="135" t="s">
        <v>7139</v>
      </c>
      <c r="C1735" s="135" t="s">
        <v>7140</v>
      </c>
      <c r="D1735" s="135" t="s">
        <v>6963</v>
      </c>
      <c r="E1735" s="135" t="s">
        <v>7141</v>
      </c>
    </row>
    <row r="1736" spans="1:5" s="136" customFormat="1" x14ac:dyDescent="0.2">
      <c r="A1736" s="135" t="s">
        <v>7142</v>
      </c>
      <c r="B1736" s="135" t="s">
        <v>7143</v>
      </c>
      <c r="C1736" s="135" t="s">
        <v>7144</v>
      </c>
      <c r="D1736" s="135" t="s">
        <v>6963</v>
      </c>
      <c r="E1736" s="135" t="s">
        <v>7145</v>
      </c>
    </row>
    <row r="1737" spans="1:5" s="136" customFormat="1" x14ac:dyDescent="0.2">
      <c r="A1737" s="135" t="s">
        <v>7146</v>
      </c>
      <c r="B1737" s="135" t="s">
        <v>7147</v>
      </c>
      <c r="C1737" s="135" t="s">
        <v>7148</v>
      </c>
      <c r="D1737" s="135" t="s">
        <v>6963</v>
      </c>
      <c r="E1737" s="135" t="s">
        <v>7149</v>
      </c>
    </row>
    <row r="1738" spans="1:5" s="136" customFormat="1" x14ac:dyDescent="0.2">
      <c r="A1738" s="135" t="s">
        <v>7150</v>
      </c>
      <c r="B1738" s="135" t="s">
        <v>7151</v>
      </c>
      <c r="C1738" s="135" t="s">
        <v>7152</v>
      </c>
      <c r="D1738" s="135" t="s">
        <v>6963</v>
      </c>
      <c r="E1738" s="135" t="s">
        <v>7153</v>
      </c>
    </row>
    <row r="1739" spans="1:5" s="136" customFormat="1" x14ac:dyDescent="0.2">
      <c r="A1739" s="135" t="s">
        <v>7154</v>
      </c>
      <c r="B1739" s="135" t="s">
        <v>7155</v>
      </c>
      <c r="C1739" s="135" t="s">
        <v>7156</v>
      </c>
      <c r="D1739" s="135" t="s">
        <v>6963</v>
      </c>
      <c r="E1739" s="135" t="s">
        <v>7157</v>
      </c>
    </row>
    <row r="1740" spans="1:5" s="136" customFormat="1" x14ac:dyDescent="0.2">
      <c r="A1740" s="135" t="s">
        <v>7158</v>
      </c>
      <c r="B1740" s="135" t="s">
        <v>7159</v>
      </c>
      <c r="C1740" s="135" t="s">
        <v>7160</v>
      </c>
      <c r="D1740" s="135" t="s">
        <v>6963</v>
      </c>
      <c r="E1740" s="135" t="s">
        <v>7161</v>
      </c>
    </row>
    <row r="1741" spans="1:5" s="136" customFormat="1" x14ac:dyDescent="0.2">
      <c r="A1741" s="135" t="s">
        <v>7162</v>
      </c>
      <c r="B1741" s="135" t="s">
        <v>7163</v>
      </c>
      <c r="C1741" s="135" t="s">
        <v>7164</v>
      </c>
      <c r="D1741" s="135" t="s">
        <v>6963</v>
      </c>
      <c r="E1741" s="135" t="s">
        <v>7165</v>
      </c>
    </row>
    <row r="1742" spans="1:5" s="136" customFormat="1" x14ac:dyDescent="0.2">
      <c r="A1742" s="135" t="s">
        <v>7166</v>
      </c>
      <c r="B1742" s="135" t="s">
        <v>7167</v>
      </c>
      <c r="C1742" s="135" t="s">
        <v>7168</v>
      </c>
      <c r="D1742" s="135" t="s">
        <v>7169</v>
      </c>
      <c r="E1742" s="135" t="s">
        <v>7170</v>
      </c>
    </row>
    <row r="1743" spans="1:5" s="136" customFormat="1" x14ac:dyDescent="0.2">
      <c r="A1743" s="135" t="s">
        <v>7171</v>
      </c>
      <c r="B1743" s="135" t="s">
        <v>7172</v>
      </c>
      <c r="C1743" s="135" t="s">
        <v>7173</v>
      </c>
      <c r="D1743" s="135" t="s">
        <v>6986</v>
      </c>
      <c r="E1743" s="135" t="s">
        <v>7174</v>
      </c>
    </row>
    <row r="1744" spans="1:5" s="136" customFormat="1" x14ac:dyDescent="0.2">
      <c r="A1744" s="135" t="s">
        <v>7175</v>
      </c>
      <c r="B1744" s="135" t="s">
        <v>7176</v>
      </c>
      <c r="C1744" s="135" t="s">
        <v>7177</v>
      </c>
      <c r="D1744" s="135" t="s">
        <v>6991</v>
      </c>
      <c r="E1744" s="135" t="s">
        <v>7178</v>
      </c>
    </row>
    <row r="1745" spans="1:5" s="136" customFormat="1" x14ac:dyDescent="0.2">
      <c r="A1745" s="135" t="s">
        <v>7179</v>
      </c>
      <c r="B1745" s="135" t="s">
        <v>7180</v>
      </c>
      <c r="C1745" s="135" t="s">
        <v>7181</v>
      </c>
      <c r="D1745" s="135" t="s">
        <v>6991</v>
      </c>
      <c r="E1745" s="135" t="s">
        <v>7182</v>
      </c>
    </row>
    <row r="1746" spans="1:5" s="136" customFormat="1" x14ac:dyDescent="0.2">
      <c r="A1746" s="135" t="s">
        <v>7183</v>
      </c>
      <c r="B1746" s="135" t="s">
        <v>7184</v>
      </c>
      <c r="C1746" s="135" t="s">
        <v>7185</v>
      </c>
      <c r="D1746" s="135" t="s">
        <v>6986</v>
      </c>
      <c r="E1746" s="135" t="s">
        <v>7186</v>
      </c>
    </row>
    <row r="1747" spans="1:5" s="136" customFormat="1" x14ac:dyDescent="0.2">
      <c r="A1747" s="135" t="s">
        <v>7187</v>
      </c>
      <c r="B1747" s="135" t="s">
        <v>7188</v>
      </c>
      <c r="C1747" s="135" t="s">
        <v>7189</v>
      </c>
      <c r="D1747" s="135" t="s">
        <v>7190</v>
      </c>
      <c r="E1747" s="135" t="s">
        <v>7191</v>
      </c>
    </row>
    <row r="1748" spans="1:5" s="136" customFormat="1" x14ac:dyDescent="0.2">
      <c r="A1748" s="135" t="s">
        <v>7192</v>
      </c>
      <c r="B1748" s="135" t="s">
        <v>7193</v>
      </c>
      <c r="C1748" s="135" t="s">
        <v>7194</v>
      </c>
      <c r="D1748" s="135" t="s">
        <v>7195</v>
      </c>
      <c r="E1748" s="135" t="s">
        <v>7196</v>
      </c>
    </row>
    <row r="1749" spans="1:5" s="136" customFormat="1" x14ac:dyDescent="0.2">
      <c r="A1749" s="135" t="s">
        <v>7197</v>
      </c>
      <c r="B1749" s="135" t="s">
        <v>7198</v>
      </c>
      <c r="C1749" s="135" t="s">
        <v>7199</v>
      </c>
      <c r="D1749" s="135" t="s">
        <v>7000</v>
      </c>
      <c r="E1749" s="135" t="s">
        <v>7200</v>
      </c>
    </row>
    <row r="1750" spans="1:5" s="136" customFormat="1" x14ac:dyDescent="0.2">
      <c r="A1750" s="135" t="s">
        <v>7201</v>
      </c>
      <c r="B1750" s="135" t="s">
        <v>7202</v>
      </c>
      <c r="C1750" s="135" t="s">
        <v>7203</v>
      </c>
      <c r="D1750" s="135" t="s">
        <v>7190</v>
      </c>
      <c r="E1750" s="135" t="s">
        <v>7204</v>
      </c>
    </row>
    <row r="1751" spans="1:5" s="136" customFormat="1" x14ac:dyDescent="0.2">
      <c r="A1751" s="135" t="s">
        <v>7205</v>
      </c>
      <c r="B1751" s="135" t="s">
        <v>7206</v>
      </c>
      <c r="C1751" s="135" t="s">
        <v>7207</v>
      </c>
      <c r="D1751" s="135" t="s">
        <v>7195</v>
      </c>
      <c r="E1751" s="135" t="s">
        <v>7208</v>
      </c>
    </row>
    <row r="1752" spans="1:5" s="136" customFormat="1" x14ac:dyDescent="0.2">
      <c r="A1752" s="135" t="s">
        <v>7209</v>
      </c>
      <c r="B1752" s="135" t="s">
        <v>7210</v>
      </c>
      <c r="C1752" s="135" t="s">
        <v>7211</v>
      </c>
      <c r="D1752" s="135" t="s">
        <v>7212</v>
      </c>
      <c r="E1752" s="135" t="s">
        <v>7213</v>
      </c>
    </row>
    <row r="1753" spans="1:5" s="136" customFormat="1" x14ac:dyDescent="0.2">
      <c r="A1753" s="135" t="s">
        <v>7214</v>
      </c>
      <c r="B1753" s="135" t="s">
        <v>7215</v>
      </c>
      <c r="C1753" s="135" t="s">
        <v>1866</v>
      </c>
      <c r="D1753" s="135" t="s">
        <v>7212</v>
      </c>
      <c r="E1753" s="135" t="s">
        <v>7216</v>
      </c>
    </row>
    <row r="1754" spans="1:5" s="136" customFormat="1" x14ac:dyDescent="0.2">
      <c r="A1754" s="135" t="s">
        <v>7217</v>
      </c>
      <c r="B1754" s="135" t="s">
        <v>7218</v>
      </c>
      <c r="C1754" s="135" t="s">
        <v>7219</v>
      </c>
      <c r="D1754" s="135" t="s">
        <v>7190</v>
      </c>
      <c r="E1754" s="135" t="s">
        <v>7220</v>
      </c>
    </row>
    <row r="1755" spans="1:5" s="136" customFormat="1" x14ac:dyDescent="0.2">
      <c r="A1755" s="135" t="s">
        <v>7221</v>
      </c>
      <c r="B1755" s="135" t="s">
        <v>7222</v>
      </c>
      <c r="C1755" s="135" t="s">
        <v>7223</v>
      </c>
      <c r="D1755" s="135" t="s">
        <v>7212</v>
      </c>
      <c r="E1755" s="135" t="s">
        <v>7224</v>
      </c>
    </row>
    <row r="1756" spans="1:5" s="136" customFormat="1" x14ac:dyDescent="0.2">
      <c r="A1756" s="135" t="s">
        <v>7225</v>
      </c>
      <c r="B1756" s="135" t="s">
        <v>7226</v>
      </c>
      <c r="C1756" s="135" t="s">
        <v>7227</v>
      </c>
      <c r="D1756" s="135" t="s">
        <v>7190</v>
      </c>
      <c r="E1756" s="135" t="s">
        <v>7228</v>
      </c>
    </row>
    <row r="1757" spans="1:5" s="136" customFormat="1" x14ac:dyDescent="0.2">
      <c r="A1757" s="135" t="s">
        <v>7229</v>
      </c>
      <c r="B1757" s="135" t="s">
        <v>7230</v>
      </c>
      <c r="C1757" s="135" t="s">
        <v>7231</v>
      </c>
      <c r="D1757" s="135" t="s">
        <v>7190</v>
      </c>
      <c r="E1757" s="135" t="s">
        <v>7232</v>
      </c>
    </row>
    <row r="1758" spans="1:5" s="136" customFormat="1" x14ac:dyDescent="0.2">
      <c r="A1758" s="135" t="s">
        <v>7233</v>
      </c>
      <c r="B1758" s="135" t="s">
        <v>7234</v>
      </c>
      <c r="C1758" s="135" t="s">
        <v>7235</v>
      </c>
      <c r="D1758" s="135" t="s">
        <v>7000</v>
      </c>
      <c r="E1758" s="135" t="s">
        <v>7236</v>
      </c>
    </row>
    <row r="1759" spans="1:5" s="136" customFormat="1" x14ac:dyDescent="0.2">
      <c r="A1759" s="135" t="s">
        <v>7237</v>
      </c>
      <c r="B1759" s="135" t="s">
        <v>7238</v>
      </c>
      <c r="C1759" s="135" t="s">
        <v>7239</v>
      </c>
      <c r="D1759" s="135" t="s">
        <v>7190</v>
      </c>
      <c r="E1759" s="135" t="s">
        <v>7240</v>
      </c>
    </row>
    <row r="1760" spans="1:5" s="136" customFormat="1" x14ac:dyDescent="0.2">
      <c r="A1760" s="135" t="s">
        <v>7241</v>
      </c>
      <c r="B1760" s="135" t="s">
        <v>7242</v>
      </c>
      <c r="C1760" s="135" t="s">
        <v>7243</v>
      </c>
      <c r="D1760" s="135" t="s">
        <v>7000</v>
      </c>
      <c r="E1760" s="135" t="s">
        <v>7244</v>
      </c>
    </row>
    <row r="1761" spans="1:5" s="136" customFormat="1" x14ac:dyDescent="0.2">
      <c r="A1761" s="135" t="s">
        <v>7245</v>
      </c>
      <c r="B1761" s="135" t="s">
        <v>7246</v>
      </c>
      <c r="C1761" s="135" t="s">
        <v>7247</v>
      </c>
      <c r="D1761" s="135" t="s">
        <v>7195</v>
      </c>
      <c r="E1761" s="135" t="s">
        <v>7248</v>
      </c>
    </row>
    <row r="1762" spans="1:5" s="136" customFormat="1" x14ac:dyDescent="0.2">
      <c r="A1762" s="135" t="s">
        <v>7249</v>
      </c>
      <c r="B1762" s="135" t="s">
        <v>7250</v>
      </c>
      <c r="C1762" s="135" t="s">
        <v>7251</v>
      </c>
      <c r="D1762" s="135" t="s">
        <v>7195</v>
      </c>
      <c r="E1762" s="135" t="s">
        <v>7252</v>
      </c>
    </row>
    <row r="1763" spans="1:5" s="136" customFormat="1" x14ac:dyDescent="0.2">
      <c r="A1763" s="135" t="s">
        <v>7253</v>
      </c>
      <c r="B1763" s="135" t="s">
        <v>7254</v>
      </c>
      <c r="C1763" s="135" t="s">
        <v>7255</v>
      </c>
      <c r="D1763" s="135" t="s">
        <v>7190</v>
      </c>
      <c r="E1763" s="135" t="s">
        <v>7256</v>
      </c>
    </row>
    <row r="1764" spans="1:5" s="136" customFormat="1" x14ac:dyDescent="0.2">
      <c r="A1764" s="135" t="s">
        <v>7257</v>
      </c>
      <c r="B1764" s="135" t="s">
        <v>7258</v>
      </c>
      <c r="C1764" s="135" t="s">
        <v>7259</v>
      </c>
      <c r="D1764" s="135" t="s">
        <v>7190</v>
      </c>
      <c r="E1764" s="135" t="s">
        <v>7260</v>
      </c>
    </row>
    <row r="1765" spans="1:5" s="136" customFormat="1" x14ac:dyDescent="0.2">
      <c r="A1765" s="135" t="s">
        <v>7261</v>
      </c>
      <c r="B1765" s="135" t="s">
        <v>7262</v>
      </c>
      <c r="C1765" s="135" t="s">
        <v>7263</v>
      </c>
      <c r="D1765" s="135" t="s">
        <v>7264</v>
      </c>
      <c r="E1765" s="135" t="s">
        <v>7265</v>
      </c>
    </row>
    <row r="1766" spans="1:5" s="136" customFormat="1" x14ac:dyDescent="0.2">
      <c r="A1766" s="135" t="s">
        <v>7266</v>
      </c>
      <c r="B1766" s="135" t="s">
        <v>7267</v>
      </c>
      <c r="C1766" s="135" t="s">
        <v>7268</v>
      </c>
      <c r="D1766" s="135" t="s">
        <v>7212</v>
      </c>
      <c r="E1766" s="135" t="s">
        <v>7269</v>
      </c>
    </row>
    <row r="1767" spans="1:5" s="136" customFormat="1" x14ac:dyDescent="0.2">
      <c r="A1767" s="135" t="s">
        <v>7270</v>
      </c>
      <c r="B1767" s="135" t="s">
        <v>7271</v>
      </c>
      <c r="C1767" s="135" t="s">
        <v>7272</v>
      </c>
      <c r="D1767" s="135" t="s">
        <v>7273</v>
      </c>
      <c r="E1767" s="135" t="s">
        <v>7274</v>
      </c>
    </row>
    <row r="1768" spans="1:5" s="136" customFormat="1" x14ac:dyDescent="0.2">
      <c r="A1768" s="135" t="s">
        <v>7275</v>
      </c>
      <c r="B1768" s="135" t="s">
        <v>7276</v>
      </c>
      <c r="C1768" s="135" t="s">
        <v>7277</v>
      </c>
      <c r="D1768" s="135" t="s">
        <v>7278</v>
      </c>
      <c r="E1768" s="135" t="s">
        <v>7279</v>
      </c>
    </row>
    <row r="1769" spans="1:5" s="136" customFormat="1" x14ac:dyDescent="0.2">
      <c r="A1769" s="135" t="s">
        <v>7280</v>
      </c>
      <c r="B1769" s="135" t="s">
        <v>7281</v>
      </c>
      <c r="C1769" s="135" t="s">
        <v>7282</v>
      </c>
      <c r="D1769" s="135" t="s">
        <v>7283</v>
      </c>
      <c r="E1769" s="135" t="s">
        <v>7284</v>
      </c>
    </row>
    <row r="1770" spans="1:5" s="136" customFormat="1" x14ac:dyDescent="0.2">
      <c r="A1770" s="135" t="s">
        <v>7285</v>
      </c>
      <c r="B1770" s="135" t="s">
        <v>7286</v>
      </c>
      <c r="C1770" s="135" t="s">
        <v>7287</v>
      </c>
      <c r="D1770" s="135" t="s">
        <v>7283</v>
      </c>
      <c r="E1770" s="135" t="s">
        <v>7288</v>
      </c>
    </row>
    <row r="1771" spans="1:5" s="136" customFormat="1" x14ac:dyDescent="0.2">
      <c r="A1771" s="135" t="s">
        <v>7289</v>
      </c>
      <c r="B1771" s="135" t="s">
        <v>7290</v>
      </c>
      <c r="C1771" s="135" t="s">
        <v>7291</v>
      </c>
      <c r="D1771" s="135" t="s">
        <v>7283</v>
      </c>
      <c r="E1771" s="135" t="s">
        <v>7292</v>
      </c>
    </row>
    <row r="1772" spans="1:5" s="136" customFormat="1" x14ac:dyDescent="0.2">
      <c r="A1772" s="135" t="s">
        <v>7293</v>
      </c>
      <c r="B1772" s="135" t="s">
        <v>7294</v>
      </c>
      <c r="C1772" s="135" t="s">
        <v>7295</v>
      </c>
      <c r="D1772" s="135" t="s">
        <v>7296</v>
      </c>
      <c r="E1772" s="135" t="s">
        <v>7297</v>
      </c>
    </row>
    <row r="1773" spans="1:5" s="136" customFormat="1" x14ac:dyDescent="0.2">
      <c r="A1773" s="135" t="s">
        <v>7298</v>
      </c>
      <c r="B1773" s="135" t="s">
        <v>7299</v>
      </c>
      <c r="C1773" s="135" t="s">
        <v>7300</v>
      </c>
      <c r="D1773" s="135" t="s">
        <v>7301</v>
      </c>
      <c r="E1773" s="135" t="s">
        <v>7302</v>
      </c>
    </row>
    <row r="1774" spans="1:5" s="136" customFormat="1" x14ac:dyDescent="0.2">
      <c r="A1774" s="135" t="s">
        <v>7303</v>
      </c>
      <c r="B1774" s="135" t="s">
        <v>7304</v>
      </c>
      <c r="C1774" s="135" t="s">
        <v>4598</v>
      </c>
      <c r="D1774" s="135" t="s">
        <v>7305</v>
      </c>
      <c r="E1774" s="135" t="s">
        <v>7306</v>
      </c>
    </row>
    <row r="1775" spans="1:5" s="136" customFormat="1" x14ac:dyDescent="0.2">
      <c r="A1775" s="135" t="s">
        <v>7307</v>
      </c>
      <c r="B1775" s="135" t="s">
        <v>7308</v>
      </c>
      <c r="C1775" s="135" t="s">
        <v>7309</v>
      </c>
      <c r="D1775" s="135" t="s">
        <v>7305</v>
      </c>
      <c r="E1775" s="135" t="s">
        <v>7310</v>
      </c>
    </row>
    <row r="1776" spans="1:5" s="136" customFormat="1" x14ac:dyDescent="0.2">
      <c r="A1776" s="135" t="s">
        <v>7311</v>
      </c>
      <c r="B1776" s="135" t="s">
        <v>7312</v>
      </c>
      <c r="C1776" s="135" t="s">
        <v>7313</v>
      </c>
      <c r="D1776" s="135" t="s">
        <v>7314</v>
      </c>
      <c r="E1776" s="135" t="s">
        <v>7315</v>
      </c>
    </row>
    <row r="1777" spans="1:5" s="136" customFormat="1" x14ac:dyDescent="0.2">
      <c r="A1777" s="135" t="s">
        <v>7316</v>
      </c>
      <c r="B1777" s="135" t="s">
        <v>7317</v>
      </c>
      <c r="C1777" s="135" t="s">
        <v>7318</v>
      </c>
      <c r="D1777" s="135" t="s">
        <v>7314</v>
      </c>
      <c r="E1777" s="135" t="s">
        <v>7319</v>
      </c>
    </row>
    <row r="1778" spans="1:5" s="136" customFormat="1" x14ac:dyDescent="0.2">
      <c r="A1778" s="135" t="s">
        <v>7320</v>
      </c>
      <c r="B1778" s="135" t="s">
        <v>7321</v>
      </c>
      <c r="C1778" s="135" t="s">
        <v>7322</v>
      </c>
      <c r="D1778" s="135" t="s">
        <v>7283</v>
      </c>
      <c r="E1778" s="135" t="s">
        <v>7323</v>
      </c>
    </row>
    <row r="1779" spans="1:5" s="136" customFormat="1" x14ac:dyDescent="0.2">
      <c r="A1779" s="135" t="s">
        <v>7324</v>
      </c>
      <c r="B1779" s="135" t="s">
        <v>7325</v>
      </c>
      <c r="C1779" s="135" t="s">
        <v>7326</v>
      </c>
      <c r="D1779" s="135" t="s">
        <v>7283</v>
      </c>
      <c r="E1779" s="135" t="s">
        <v>7327</v>
      </c>
    </row>
    <row r="1780" spans="1:5" s="136" customFormat="1" x14ac:dyDescent="0.2">
      <c r="A1780" s="135" t="s">
        <v>7328</v>
      </c>
      <c r="B1780" s="135" t="s">
        <v>7329</v>
      </c>
      <c r="C1780" s="135" t="s">
        <v>7330</v>
      </c>
      <c r="D1780" s="135" t="s">
        <v>7331</v>
      </c>
      <c r="E1780" s="135" t="s">
        <v>7332</v>
      </c>
    </row>
    <row r="1781" spans="1:5" s="136" customFormat="1" x14ac:dyDescent="0.2">
      <c r="A1781" s="135" t="s">
        <v>7333</v>
      </c>
      <c r="B1781" s="135" t="s">
        <v>7334</v>
      </c>
      <c r="C1781" s="135" t="s">
        <v>7335</v>
      </c>
      <c r="D1781" s="135" t="s">
        <v>7331</v>
      </c>
      <c r="E1781" s="135" t="s">
        <v>7332</v>
      </c>
    </row>
    <row r="1782" spans="1:5" s="136" customFormat="1" x14ac:dyDescent="0.2">
      <c r="A1782" s="135" t="s">
        <v>7336</v>
      </c>
      <c r="B1782" s="135" t="s">
        <v>7337</v>
      </c>
      <c r="C1782" s="135" t="s">
        <v>7338</v>
      </c>
      <c r="D1782" s="135" t="s">
        <v>7283</v>
      </c>
      <c r="E1782" s="135" t="s">
        <v>7339</v>
      </c>
    </row>
    <row r="1783" spans="1:5" s="136" customFormat="1" x14ac:dyDescent="0.2">
      <c r="A1783" s="135" t="s">
        <v>7340</v>
      </c>
      <c r="B1783" s="135" t="s">
        <v>7341</v>
      </c>
      <c r="C1783" s="135" t="s">
        <v>7342</v>
      </c>
      <c r="D1783" s="135" t="s">
        <v>7343</v>
      </c>
      <c r="E1783" s="135" t="s">
        <v>7344</v>
      </c>
    </row>
    <row r="1784" spans="1:5" s="136" customFormat="1" x14ac:dyDescent="0.2">
      <c r="A1784" s="135" t="s">
        <v>7345</v>
      </c>
      <c r="B1784" s="135" t="s">
        <v>7346</v>
      </c>
      <c r="C1784" s="135" t="s">
        <v>7347</v>
      </c>
      <c r="D1784" s="135" t="s">
        <v>7343</v>
      </c>
      <c r="E1784" s="135" t="s">
        <v>7348</v>
      </c>
    </row>
    <row r="1785" spans="1:5" s="136" customFormat="1" x14ac:dyDescent="0.2">
      <c r="A1785" s="135" t="s">
        <v>7349</v>
      </c>
      <c r="B1785" s="135" t="s">
        <v>7350</v>
      </c>
      <c r="C1785" s="135" t="s">
        <v>7351</v>
      </c>
      <c r="D1785" s="135" t="s">
        <v>7314</v>
      </c>
      <c r="E1785" s="135" t="s">
        <v>7352</v>
      </c>
    </row>
    <row r="1786" spans="1:5" s="136" customFormat="1" x14ac:dyDescent="0.2">
      <c r="A1786" s="135" t="s">
        <v>7353</v>
      </c>
      <c r="B1786" s="135" t="s">
        <v>7354</v>
      </c>
      <c r="C1786" s="135" t="s">
        <v>7355</v>
      </c>
      <c r="D1786" s="135" t="s">
        <v>7343</v>
      </c>
      <c r="E1786" s="135" t="s">
        <v>7356</v>
      </c>
    </row>
    <row r="1787" spans="1:5" s="136" customFormat="1" x14ac:dyDescent="0.2">
      <c r="A1787" s="135" t="s">
        <v>7357</v>
      </c>
      <c r="B1787" s="135" t="s">
        <v>7358</v>
      </c>
      <c r="C1787" s="135" t="s">
        <v>7359</v>
      </c>
      <c r="D1787" s="135" t="s">
        <v>7314</v>
      </c>
      <c r="E1787" s="135" t="s">
        <v>7360</v>
      </c>
    </row>
    <row r="1788" spans="1:5" s="136" customFormat="1" x14ac:dyDescent="0.2">
      <c r="A1788" s="135" t="s">
        <v>7361</v>
      </c>
      <c r="B1788" s="135" t="s">
        <v>7362</v>
      </c>
      <c r="C1788" s="135" t="s">
        <v>7363</v>
      </c>
    </row>
    <row r="1789" spans="1:5" s="136" customFormat="1" x14ac:dyDescent="0.2">
      <c r="A1789" s="135" t="s">
        <v>7364</v>
      </c>
      <c r="B1789" s="135" t="s">
        <v>7365</v>
      </c>
      <c r="C1789" s="135" t="s">
        <v>7366</v>
      </c>
      <c r="D1789" s="135" t="s">
        <v>7367</v>
      </c>
      <c r="E1789" s="135" t="s">
        <v>7368</v>
      </c>
    </row>
    <row r="1790" spans="1:5" s="136" customFormat="1" x14ac:dyDescent="0.2">
      <c r="A1790" s="135" t="s">
        <v>7369</v>
      </c>
      <c r="B1790" s="135" t="s">
        <v>7370</v>
      </c>
      <c r="C1790" s="135" t="s">
        <v>7371</v>
      </c>
      <c r="D1790" s="135" t="s">
        <v>7367</v>
      </c>
      <c r="E1790" s="135" t="s">
        <v>7372</v>
      </c>
    </row>
    <row r="1791" spans="1:5" s="136" customFormat="1" x14ac:dyDescent="0.2">
      <c r="A1791" s="135" t="s">
        <v>7373</v>
      </c>
      <c r="B1791" s="135" t="s">
        <v>7374</v>
      </c>
      <c r="C1791" s="135" t="s">
        <v>7375</v>
      </c>
      <c r="D1791" s="135" t="s">
        <v>7367</v>
      </c>
      <c r="E1791" s="135" t="s">
        <v>7376</v>
      </c>
    </row>
    <row r="1792" spans="1:5" s="136" customFormat="1" x14ac:dyDescent="0.2">
      <c r="A1792" s="135" t="s">
        <v>7377</v>
      </c>
      <c r="B1792" s="135" t="s">
        <v>7378</v>
      </c>
      <c r="C1792" s="135" t="s">
        <v>7379</v>
      </c>
      <c r="D1792" s="135" t="s">
        <v>7380</v>
      </c>
      <c r="E1792" s="135" t="s">
        <v>7381</v>
      </c>
    </row>
    <row r="1793" spans="1:5" s="136" customFormat="1" x14ac:dyDescent="0.2">
      <c r="A1793" s="135" t="s">
        <v>7382</v>
      </c>
      <c r="B1793" s="135" t="s">
        <v>7383</v>
      </c>
      <c r="C1793" s="135" t="s">
        <v>7384</v>
      </c>
      <c r="D1793" s="135" t="s">
        <v>7367</v>
      </c>
      <c r="E1793" s="135" t="s">
        <v>7385</v>
      </c>
    </row>
    <row r="1794" spans="1:5" s="136" customFormat="1" x14ac:dyDescent="0.2">
      <c r="A1794" s="135" t="s">
        <v>7386</v>
      </c>
      <c r="B1794" s="135" t="s">
        <v>7387</v>
      </c>
      <c r="C1794" s="135" t="s">
        <v>7388</v>
      </c>
      <c r="D1794" s="135" t="s">
        <v>7389</v>
      </c>
      <c r="E1794" s="135" t="s">
        <v>7390</v>
      </c>
    </row>
    <row r="1795" spans="1:5" s="136" customFormat="1" x14ac:dyDescent="0.2">
      <c r="A1795" s="135" t="s">
        <v>7391</v>
      </c>
      <c r="B1795" s="135" t="s">
        <v>7392</v>
      </c>
      <c r="C1795" s="135" t="s">
        <v>7393</v>
      </c>
      <c r="D1795" s="135" t="s">
        <v>7394</v>
      </c>
      <c r="E1795" s="135" t="s">
        <v>7395</v>
      </c>
    </row>
    <row r="1796" spans="1:5" s="136" customFormat="1" x14ac:dyDescent="0.2">
      <c r="A1796" s="135" t="s">
        <v>7396</v>
      </c>
      <c r="B1796" s="135" t="s">
        <v>7397</v>
      </c>
      <c r="C1796" s="135" t="s">
        <v>7398</v>
      </c>
      <c r="D1796" s="135" t="s">
        <v>7399</v>
      </c>
      <c r="E1796" s="135" t="s">
        <v>7400</v>
      </c>
    </row>
    <row r="1797" spans="1:5" s="136" customFormat="1" x14ac:dyDescent="0.2">
      <c r="A1797" s="135" t="s">
        <v>7401</v>
      </c>
      <c r="B1797" s="135" t="s">
        <v>7402</v>
      </c>
      <c r="C1797" s="135" t="s">
        <v>7403</v>
      </c>
      <c r="D1797" s="135" t="s">
        <v>7394</v>
      </c>
      <c r="E1797" s="135" t="s">
        <v>7404</v>
      </c>
    </row>
    <row r="1798" spans="1:5" s="136" customFormat="1" x14ac:dyDescent="0.2">
      <c r="A1798" s="135" t="s">
        <v>7405</v>
      </c>
      <c r="B1798" s="135" t="s">
        <v>7406</v>
      </c>
      <c r="C1798" s="135" t="s">
        <v>7407</v>
      </c>
      <c r="D1798" s="135" t="s">
        <v>7408</v>
      </c>
      <c r="E1798" s="135" t="s">
        <v>7409</v>
      </c>
    </row>
    <row r="1799" spans="1:5" s="136" customFormat="1" x14ac:dyDescent="0.2">
      <c r="A1799" s="135" t="s">
        <v>7410</v>
      </c>
      <c r="B1799" s="135" t="s">
        <v>7411</v>
      </c>
      <c r="C1799" s="135" t="s">
        <v>7412</v>
      </c>
      <c r="D1799" s="135" t="s">
        <v>7408</v>
      </c>
      <c r="E1799" s="135" t="s">
        <v>7413</v>
      </c>
    </row>
    <row r="1800" spans="1:5" s="136" customFormat="1" x14ac:dyDescent="0.2">
      <c r="A1800" s="135" t="s">
        <v>7414</v>
      </c>
      <c r="B1800" s="135" t="s">
        <v>7415</v>
      </c>
      <c r="C1800" s="135" t="s">
        <v>7416</v>
      </c>
      <c r="D1800" s="135" t="s">
        <v>7408</v>
      </c>
      <c r="E1800" s="135" t="s">
        <v>7417</v>
      </c>
    </row>
    <row r="1801" spans="1:5" s="136" customFormat="1" x14ac:dyDescent="0.2">
      <c r="A1801" s="135" t="s">
        <v>7418</v>
      </c>
      <c r="B1801" s="135" t="s">
        <v>7419</v>
      </c>
      <c r="C1801" s="135" t="s">
        <v>7420</v>
      </c>
      <c r="D1801" s="135" t="s">
        <v>7421</v>
      </c>
      <c r="E1801" s="135" t="s">
        <v>7422</v>
      </c>
    </row>
    <row r="1802" spans="1:5" s="136" customFormat="1" x14ac:dyDescent="0.2">
      <c r="A1802" s="135" t="s">
        <v>7423</v>
      </c>
      <c r="B1802" s="135" t="s">
        <v>7424</v>
      </c>
      <c r="C1802" s="135" t="s">
        <v>7425</v>
      </c>
      <c r="D1802" s="135" t="s">
        <v>7426</v>
      </c>
      <c r="E1802" s="135" t="s">
        <v>7427</v>
      </c>
    </row>
    <row r="1803" spans="1:5" s="136" customFormat="1" x14ac:dyDescent="0.2">
      <c r="A1803" s="135" t="s">
        <v>7428</v>
      </c>
      <c r="B1803" s="135" t="s">
        <v>7429</v>
      </c>
      <c r="C1803" s="135" t="s">
        <v>7430</v>
      </c>
      <c r="D1803" s="135" t="s">
        <v>7421</v>
      </c>
      <c r="E1803" s="135" t="s">
        <v>7431</v>
      </c>
    </row>
    <row r="1804" spans="1:5" s="136" customFormat="1" x14ac:dyDescent="0.2">
      <c r="A1804" s="135" t="s">
        <v>7432</v>
      </c>
      <c r="B1804" s="135" t="s">
        <v>7433</v>
      </c>
      <c r="C1804" s="135" t="s">
        <v>7434</v>
      </c>
      <c r="D1804" s="135" t="s">
        <v>7435</v>
      </c>
      <c r="E1804" s="135" t="s">
        <v>7436</v>
      </c>
    </row>
    <row r="1805" spans="1:5" s="136" customFormat="1" x14ac:dyDescent="0.2">
      <c r="A1805" s="135" t="s">
        <v>7437</v>
      </c>
      <c r="B1805" s="135" t="s">
        <v>7438</v>
      </c>
      <c r="C1805" s="135" t="s">
        <v>7439</v>
      </c>
      <c r="D1805" s="135" t="s">
        <v>7440</v>
      </c>
      <c r="E1805" s="135" t="s">
        <v>7441</v>
      </c>
    </row>
    <row r="1806" spans="1:5" s="136" customFormat="1" x14ac:dyDescent="0.2">
      <c r="A1806" s="135" t="s">
        <v>7442</v>
      </c>
      <c r="B1806" s="135" t="s">
        <v>7443</v>
      </c>
      <c r="C1806" s="135" t="s">
        <v>7444</v>
      </c>
      <c r="D1806" s="135" t="s">
        <v>7367</v>
      </c>
      <c r="E1806" s="135" t="s">
        <v>7445</v>
      </c>
    </row>
    <row r="1807" spans="1:5" s="136" customFormat="1" x14ac:dyDescent="0.2">
      <c r="A1807" s="135" t="s">
        <v>7446</v>
      </c>
      <c r="B1807" s="135" t="s">
        <v>7447</v>
      </c>
      <c r="C1807" s="135" t="s">
        <v>7448</v>
      </c>
      <c r="D1807" s="135" t="s">
        <v>7421</v>
      </c>
      <c r="E1807" s="135" t="s">
        <v>7449</v>
      </c>
    </row>
    <row r="1808" spans="1:5" s="136" customFormat="1" x14ac:dyDescent="0.2">
      <c r="A1808" s="135" t="s">
        <v>7450</v>
      </c>
      <c r="B1808" s="135" t="s">
        <v>7451</v>
      </c>
      <c r="C1808" s="135" t="s">
        <v>7452</v>
      </c>
      <c r="D1808" s="135" t="s">
        <v>7408</v>
      </c>
      <c r="E1808" s="135" t="s">
        <v>7453</v>
      </c>
    </row>
    <row r="1809" spans="1:5" s="136" customFormat="1" x14ac:dyDescent="0.2">
      <c r="A1809" s="135" t="s">
        <v>7454</v>
      </c>
      <c r="B1809" s="135" t="s">
        <v>7455</v>
      </c>
      <c r="C1809" s="135" t="s">
        <v>7456</v>
      </c>
      <c r="D1809" s="135" t="s">
        <v>7408</v>
      </c>
      <c r="E1809" s="135" t="s">
        <v>7457</v>
      </c>
    </row>
    <row r="1810" spans="1:5" s="136" customFormat="1" x14ac:dyDescent="0.2">
      <c r="A1810" s="135" t="s">
        <v>7458</v>
      </c>
      <c r="B1810" s="135" t="s">
        <v>7459</v>
      </c>
      <c r="C1810" s="135" t="s">
        <v>7460</v>
      </c>
      <c r="D1810" s="135" t="s">
        <v>7408</v>
      </c>
      <c r="E1810" s="135" t="s">
        <v>7461</v>
      </c>
    </row>
    <row r="1811" spans="1:5" s="136" customFormat="1" x14ac:dyDescent="0.2">
      <c r="A1811" s="135" t="s">
        <v>7462</v>
      </c>
      <c r="B1811" s="135" t="s">
        <v>7463</v>
      </c>
      <c r="C1811" s="135" t="s">
        <v>7464</v>
      </c>
      <c r="D1811" s="135" t="s">
        <v>7408</v>
      </c>
      <c r="E1811" s="135" t="s">
        <v>7465</v>
      </c>
    </row>
    <row r="1812" spans="1:5" s="136" customFormat="1" x14ac:dyDescent="0.2">
      <c r="A1812" s="135" t="s">
        <v>7466</v>
      </c>
      <c r="B1812" s="135" t="s">
        <v>7467</v>
      </c>
      <c r="C1812" s="135" t="s">
        <v>7468</v>
      </c>
      <c r="D1812" s="135" t="s">
        <v>7367</v>
      </c>
      <c r="E1812" s="135" t="s">
        <v>7469</v>
      </c>
    </row>
    <row r="1813" spans="1:5" s="136" customFormat="1" x14ac:dyDescent="0.2">
      <c r="A1813" s="135" t="s">
        <v>7470</v>
      </c>
      <c r="B1813" s="135" t="s">
        <v>7471</v>
      </c>
      <c r="C1813" s="135" t="s">
        <v>7472</v>
      </c>
      <c r="D1813" s="135" t="s">
        <v>7367</v>
      </c>
      <c r="E1813" s="135" t="s">
        <v>7473</v>
      </c>
    </row>
    <row r="1814" spans="1:5" s="136" customFormat="1" x14ac:dyDescent="0.2">
      <c r="A1814" s="135" t="s">
        <v>7474</v>
      </c>
      <c r="B1814" s="135" t="s">
        <v>7475</v>
      </c>
      <c r="C1814" s="135" t="s">
        <v>7476</v>
      </c>
      <c r="D1814" s="135" t="s">
        <v>7435</v>
      </c>
      <c r="E1814" s="135" t="s">
        <v>7477</v>
      </c>
    </row>
    <row r="1815" spans="1:5" s="136" customFormat="1" x14ac:dyDescent="0.2">
      <c r="A1815" s="135" t="s">
        <v>7478</v>
      </c>
      <c r="B1815" s="135" t="s">
        <v>7479</v>
      </c>
      <c r="C1815" s="135" t="s">
        <v>7480</v>
      </c>
      <c r="D1815" s="135" t="s">
        <v>7435</v>
      </c>
      <c r="E1815" s="135" t="s">
        <v>7481</v>
      </c>
    </row>
    <row r="1816" spans="1:5" s="136" customFormat="1" x14ac:dyDescent="0.2">
      <c r="A1816" s="135" t="s">
        <v>7482</v>
      </c>
      <c r="B1816" s="135" t="s">
        <v>7483</v>
      </c>
      <c r="C1816" s="135" t="s">
        <v>7484</v>
      </c>
      <c r="D1816" s="135" t="s">
        <v>7435</v>
      </c>
      <c r="E1816" s="135" t="s">
        <v>7485</v>
      </c>
    </row>
    <row r="1817" spans="1:5" s="136" customFormat="1" x14ac:dyDescent="0.2">
      <c r="A1817" s="135" t="s">
        <v>7486</v>
      </c>
      <c r="B1817" s="135" t="s">
        <v>7487</v>
      </c>
      <c r="C1817" s="135" t="s">
        <v>7488</v>
      </c>
      <c r="D1817" s="135" t="s">
        <v>7435</v>
      </c>
      <c r="E1817" s="135" t="s">
        <v>7489</v>
      </c>
    </row>
    <row r="1818" spans="1:5" s="136" customFormat="1" x14ac:dyDescent="0.2">
      <c r="A1818" s="135" t="s">
        <v>7490</v>
      </c>
      <c r="B1818" s="135" t="s">
        <v>7491</v>
      </c>
      <c r="C1818" s="135" t="s">
        <v>7492</v>
      </c>
      <c r="D1818" s="135" t="s">
        <v>7367</v>
      </c>
      <c r="E1818" s="135" t="s">
        <v>7493</v>
      </c>
    </row>
    <row r="1819" spans="1:5" s="136" customFormat="1" x14ac:dyDescent="0.2">
      <c r="A1819" s="135" t="s">
        <v>7494</v>
      </c>
      <c r="B1819" s="135" t="s">
        <v>7495</v>
      </c>
      <c r="C1819" s="135" t="s">
        <v>7496</v>
      </c>
      <c r="D1819" s="135" t="s">
        <v>7435</v>
      </c>
      <c r="E1819" s="135" t="s">
        <v>7497</v>
      </c>
    </row>
    <row r="1820" spans="1:5" s="136" customFormat="1" x14ac:dyDescent="0.2">
      <c r="A1820" s="135" t="s">
        <v>7498</v>
      </c>
      <c r="B1820" s="135" t="s">
        <v>7499</v>
      </c>
      <c r="C1820" s="135" t="s">
        <v>7500</v>
      </c>
      <c r="D1820" s="135" t="s">
        <v>7367</v>
      </c>
      <c r="E1820" s="135" t="s">
        <v>7501</v>
      </c>
    </row>
    <row r="1821" spans="1:5" s="136" customFormat="1" x14ac:dyDescent="0.2">
      <c r="A1821" s="135" t="s">
        <v>7502</v>
      </c>
      <c r="B1821" s="135" t="s">
        <v>7503</v>
      </c>
      <c r="C1821" s="135" t="s">
        <v>7504</v>
      </c>
      <c r="D1821" s="135" t="s">
        <v>7367</v>
      </c>
      <c r="E1821" s="135" t="s">
        <v>7505</v>
      </c>
    </row>
    <row r="1822" spans="1:5" s="136" customFormat="1" x14ac:dyDescent="0.2">
      <c r="A1822" s="135" t="s">
        <v>7506</v>
      </c>
      <c r="B1822" s="135" t="s">
        <v>7507</v>
      </c>
      <c r="C1822" s="135" t="s">
        <v>7508</v>
      </c>
      <c r="D1822" s="135" t="s">
        <v>7367</v>
      </c>
      <c r="E1822" s="135" t="s">
        <v>7509</v>
      </c>
    </row>
    <row r="1823" spans="1:5" s="136" customFormat="1" x14ac:dyDescent="0.2">
      <c r="A1823" s="135" t="s">
        <v>7510</v>
      </c>
      <c r="B1823" s="135" t="s">
        <v>7511</v>
      </c>
      <c r="C1823" s="135" t="s">
        <v>7512</v>
      </c>
      <c r="D1823" s="135" t="s">
        <v>7367</v>
      </c>
      <c r="E1823" s="135" t="s">
        <v>7513</v>
      </c>
    </row>
    <row r="1824" spans="1:5" s="136" customFormat="1" x14ac:dyDescent="0.2">
      <c r="A1824" s="135" t="s">
        <v>7514</v>
      </c>
      <c r="B1824" s="135" t="s">
        <v>7515</v>
      </c>
      <c r="C1824" s="135" t="s">
        <v>7516</v>
      </c>
      <c r="D1824" s="135" t="s">
        <v>7435</v>
      </c>
      <c r="E1824" s="135" t="s">
        <v>7517</v>
      </c>
    </row>
    <row r="1825" spans="1:5" s="136" customFormat="1" x14ac:dyDescent="0.2">
      <c r="A1825" s="135" t="s">
        <v>7518</v>
      </c>
      <c r="B1825" s="135" t="s">
        <v>7519</v>
      </c>
      <c r="C1825" s="135" t="s">
        <v>7520</v>
      </c>
      <c r="D1825" s="135" t="s">
        <v>7521</v>
      </c>
      <c r="E1825" s="135" t="s">
        <v>7522</v>
      </c>
    </row>
    <row r="1826" spans="1:5" s="136" customFormat="1" x14ac:dyDescent="0.2">
      <c r="A1826" s="135" t="s">
        <v>7523</v>
      </c>
      <c r="B1826" s="135" t="s">
        <v>7524</v>
      </c>
      <c r="C1826" s="135" t="s">
        <v>7525</v>
      </c>
      <c r="D1826" s="135" t="s">
        <v>7394</v>
      </c>
      <c r="E1826" s="135" t="s">
        <v>7526</v>
      </c>
    </row>
    <row r="1827" spans="1:5" s="136" customFormat="1" x14ac:dyDescent="0.2">
      <c r="A1827" s="135" t="s">
        <v>7527</v>
      </c>
      <c r="B1827" s="135" t="s">
        <v>7528</v>
      </c>
      <c r="C1827" s="135" t="s">
        <v>7529</v>
      </c>
      <c r="D1827" s="135" t="s">
        <v>7394</v>
      </c>
      <c r="E1827" s="135" t="s">
        <v>7530</v>
      </c>
    </row>
    <row r="1828" spans="1:5" s="136" customFormat="1" x14ac:dyDescent="0.2">
      <c r="A1828" s="135" t="s">
        <v>7531</v>
      </c>
      <c r="B1828" s="135" t="s">
        <v>7532</v>
      </c>
      <c r="C1828" s="135" t="s">
        <v>7533</v>
      </c>
      <c r="D1828" s="135" t="s">
        <v>7394</v>
      </c>
      <c r="E1828" s="135" t="s">
        <v>7534</v>
      </c>
    </row>
    <row r="1829" spans="1:5" s="136" customFormat="1" x14ac:dyDescent="0.2">
      <c r="A1829" s="135" t="s">
        <v>7535</v>
      </c>
      <c r="B1829" s="135" t="s">
        <v>7536</v>
      </c>
      <c r="C1829" s="135" t="s">
        <v>7537</v>
      </c>
      <c r="D1829" s="135" t="s">
        <v>7394</v>
      </c>
      <c r="E1829" s="135" t="s">
        <v>7538</v>
      </c>
    </row>
    <row r="1830" spans="1:5" s="136" customFormat="1" x14ac:dyDescent="0.2">
      <c r="A1830" s="135" t="s">
        <v>7539</v>
      </c>
      <c r="B1830" s="135" t="s">
        <v>7540</v>
      </c>
      <c r="C1830" s="135" t="s">
        <v>7541</v>
      </c>
      <c r="D1830" s="135" t="s">
        <v>7394</v>
      </c>
      <c r="E1830" s="135" t="s">
        <v>7542</v>
      </c>
    </row>
    <row r="1831" spans="1:5" s="136" customFormat="1" x14ac:dyDescent="0.2">
      <c r="A1831" s="135" t="s">
        <v>7543</v>
      </c>
      <c r="B1831" s="135" t="s">
        <v>7544</v>
      </c>
      <c r="C1831" s="135" t="s">
        <v>7545</v>
      </c>
      <c r="D1831" s="135" t="s">
        <v>7394</v>
      </c>
      <c r="E1831" s="135" t="s">
        <v>7546</v>
      </c>
    </row>
    <row r="1832" spans="1:5" s="136" customFormat="1" x14ac:dyDescent="0.2">
      <c r="A1832" s="135" t="s">
        <v>7547</v>
      </c>
      <c r="B1832" s="135" t="s">
        <v>7548</v>
      </c>
      <c r="C1832" s="135" t="s">
        <v>7549</v>
      </c>
      <c r="D1832" s="135" t="s">
        <v>7394</v>
      </c>
      <c r="E1832" s="135" t="s">
        <v>7550</v>
      </c>
    </row>
    <row r="1833" spans="1:5" s="136" customFormat="1" x14ac:dyDescent="0.2">
      <c r="A1833" s="135" t="s">
        <v>7551</v>
      </c>
      <c r="B1833" s="135" t="s">
        <v>7552</v>
      </c>
      <c r="C1833" s="135" t="s">
        <v>7553</v>
      </c>
      <c r="D1833" s="135" t="s">
        <v>7394</v>
      </c>
      <c r="E1833" s="135" t="s">
        <v>7554</v>
      </c>
    </row>
    <row r="1834" spans="1:5" s="136" customFormat="1" x14ac:dyDescent="0.2">
      <c r="A1834" s="135" t="s">
        <v>7555</v>
      </c>
      <c r="B1834" s="135" t="s">
        <v>7556</v>
      </c>
      <c r="C1834" s="135" t="s">
        <v>7557</v>
      </c>
      <c r="D1834" s="135" t="s">
        <v>7394</v>
      </c>
      <c r="E1834" s="135" t="s">
        <v>7558</v>
      </c>
    </row>
    <row r="1835" spans="1:5" s="136" customFormat="1" x14ac:dyDescent="0.2">
      <c r="A1835" s="135" t="s">
        <v>7559</v>
      </c>
      <c r="B1835" s="135" t="s">
        <v>7560</v>
      </c>
      <c r="C1835" s="135" t="s">
        <v>7561</v>
      </c>
      <c r="D1835" s="135" t="s">
        <v>7394</v>
      </c>
      <c r="E1835" s="135" t="s">
        <v>7562</v>
      </c>
    </row>
    <row r="1836" spans="1:5" s="136" customFormat="1" x14ac:dyDescent="0.2">
      <c r="A1836" s="135" t="s">
        <v>7563</v>
      </c>
      <c r="B1836" s="135" t="s">
        <v>7564</v>
      </c>
      <c r="C1836" s="135" t="s">
        <v>7565</v>
      </c>
      <c r="D1836" s="135" t="s">
        <v>7394</v>
      </c>
      <c r="E1836" s="135" t="s">
        <v>7566</v>
      </c>
    </row>
    <row r="1837" spans="1:5" s="136" customFormat="1" x14ac:dyDescent="0.2">
      <c r="A1837" s="135" t="s">
        <v>7567</v>
      </c>
      <c r="B1837" s="135" t="s">
        <v>7568</v>
      </c>
      <c r="C1837" s="135" t="s">
        <v>7569</v>
      </c>
      <c r="D1837" s="135" t="s">
        <v>7440</v>
      </c>
      <c r="E1837" s="135" t="s">
        <v>7570</v>
      </c>
    </row>
    <row r="1838" spans="1:5" s="136" customFormat="1" x14ac:dyDescent="0.2">
      <c r="A1838" s="135" t="s">
        <v>7571</v>
      </c>
      <c r="B1838" s="135" t="s">
        <v>7572</v>
      </c>
      <c r="C1838" s="135" t="s">
        <v>7573</v>
      </c>
      <c r="D1838" s="135" t="s">
        <v>7574</v>
      </c>
      <c r="E1838" s="135" t="s">
        <v>7575</v>
      </c>
    </row>
    <row r="1839" spans="1:5" s="136" customFormat="1" x14ac:dyDescent="0.2">
      <c r="A1839" s="135" t="s">
        <v>7576</v>
      </c>
      <c r="B1839" s="135" t="s">
        <v>7577</v>
      </c>
      <c r="C1839" s="135" t="s">
        <v>7578</v>
      </c>
      <c r="D1839" s="135" t="s">
        <v>7579</v>
      </c>
      <c r="E1839" s="135" t="s">
        <v>7580</v>
      </c>
    </row>
    <row r="1840" spans="1:5" s="136" customFormat="1" x14ac:dyDescent="0.2">
      <c r="A1840" s="135" t="s">
        <v>7581</v>
      </c>
      <c r="B1840" s="135" t="s">
        <v>7582</v>
      </c>
      <c r="C1840" s="135" t="s">
        <v>7583</v>
      </c>
      <c r="D1840" s="135" t="s">
        <v>6991</v>
      </c>
      <c r="E1840" s="135" t="s">
        <v>7584</v>
      </c>
    </row>
    <row r="1841" spans="1:5" s="136" customFormat="1" x14ac:dyDescent="0.2">
      <c r="A1841" s="135" t="s">
        <v>7585</v>
      </c>
      <c r="B1841" s="135" t="s">
        <v>7586</v>
      </c>
      <c r="C1841" s="135" t="s">
        <v>7587</v>
      </c>
      <c r="D1841" s="135" t="s">
        <v>7588</v>
      </c>
      <c r="E1841" s="135" t="s">
        <v>7589</v>
      </c>
    </row>
    <row r="1842" spans="1:5" s="136" customFormat="1" x14ac:dyDescent="0.2">
      <c r="A1842" s="135" t="s">
        <v>7590</v>
      </c>
      <c r="B1842" s="135" t="s">
        <v>7591</v>
      </c>
      <c r="C1842" s="135" t="s">
        <v>7592</v>
      </c>
      <c r="D1842" s="135" t="s">
        <v>7593</v>
      </c>
      <c r="E1842" s="135" t="s">
        <v>7594</v>
      </c>
    </row>
    <row r="1843" spans="1:5" s="136" customFormat="1" x14ac:dyDescent="0.2">
      <c r="A1843" s="135" t="s">
        <v>7595</v>
      </c>
      <c r="B1843" s="135" t="s">
        <v>7596</v>
      </c>
      <c r="C1843" s="135" t="s">
        <v>7597</v>
      </c>
      <c r="D1843" s="135" t="s">
        <v>7598</v>
      </c>
      <c r="E1843" s="135" t="s">
        <v>7599</v>
      </c>
    </row>
    <row r="1844" spans="1:5" s="136" customFormat="1" x14ac:dyDescent="0.2">
      <c r="A1844" s="135" t="s">
        <v>7600</v>
      </c>
      <c r="B1844" s="135" t="s">
        <v>7601</v>
      </c>
      <c r="C1844" s="135" t="s">
        <v>7602</v>
      </c>
      <c r="D1844" s="135" t="s">
        <v>7593</v>
      </c>
      <c r="E1844" s="135" t="s">
        <v>7603</v>
      </c>
    </row>
    <row r="1845" spans="1:5" s="136" customFormat="1" x14ac:dyDescent="0.2">
      <c r="A1845" s="135" t="s">
        <v>7604</v>
      </c>
      <c r="B1845" s="135" t="s">
        <v>7605</v>
      </c>
      <c r="C1845" s="135" t="s">
        <v>7606</v>
      </c>
      <c r="D1845" s="135" t="s">
        <v>7607</v>
      </c>
      <c r="E1845" s="135" t="s">
        <v>7608</v>
      </c>
    </row>
    <row r="1846" spans="1:5" s="136" customFormat="1" x14ac:dyDescent="0.2">
      <c r="A1846" s="135" t="s">
        <v>7609</v>
      </c>
      <c r="B1846" s="135" t="s">
        <v>7610</v>
      </c>
      <c r="C1846" s="135" t="s">
        <v>7611</v>
      </c>
      <c r="D1846" s="135" t="s">
        <v>7612</v>
      </c>
      <c r="E1846" s="135" t="s">
        <v>7613</v>
      </c>
    </row>
    <row r="1847" spans="1:5" s="136" customFormat="1" x14ac:dyDescent="0.2">
      <c r="A1847" s="135" t="s">
        <v>7614</v>
      </c>
      <c r="B1847" s="135" t="s">
        <v>7615</v>
      </c>
      <c r="C1847" s="135" t="s">
        <v>7616</v>
      </c>
      <c r="D1847" s="135" t="s">
        <v>7617</v>
      </c>
      <c r="E1847" s="135" t="s">
        <v>7618</v>
      </c>
    </row>
    <row r="1848" spans="1:5" s="136" customFormat="1" x14ac:dyDescent="0.2">
      <c r="A1848" s="135" t="s">
        <v>7619</v>
      </c>
      <c r="B1848" s="135" t="s">
        <v>7620</v>
      </c>
      <c r="C1848" s="135" t="s">
        <v>7621</v>
      </c>
      <c r="D1848" s="135" t="s">
        <v>7612</v>
      </c>
      <c r="E1848" s="135" t="s">
        <v>7622</v>
      </c>
    </row>
    <row r="1849" spans="1:5" s="136" customFormat="1" x14ac:dyDescent="0.2">
      <c r="A1849" s="135" t="s">
        <v>7623</v>
      </c>
      <c r="B1849" s="135" t="s">
        <v>7624</v>
      </c>
      <c r="C1849" s="135" t="s">
        <v>7625</v>
      </c>
      <c r="D1849" s="135" t="s">
        <v>7626</v>
      </c>
      <c r="E1849" s="135" t="s">
        <v>7627</v>
      </c>
    </row>
    <row r="1850" spans="1:5" s="136" customFormat="1" x14ac:dyDescent="0.2">
      <c r="A1850" s="135" t="s">
        <v>7628</v>
      </c>
      <c r="B1850" s="135" t="s">
        <v>7629</v>
      </c>
      <c r="C1850" s="135" t="s">
        <v>7630</v>
      </c>
      <c r="D1850" s="135" t="s">
        <v>7631</v>
      </c>
      <c r="E1850" s="135" t="s">
        <v>7632</v>
      </c>
    </row>
    <row r="1851" spans="1:5" s="136" customFormat="1" x14ac:dyDescent="0.2">
      <c r="A1851" s="135" t="s">
        <v>7633</v>
      </c>
      <c r="B1851" s="135" t="s">
        <v>7634</v>
      </c>
      <c r="C1851" s="135" t="s">
        <v>7635</v>
      </c>
      <c r="D1851" s="135" t="s">
        <v>7612</v>
      </c>
      <c r="E1851" s="135" t="s">
        <v>7636</v>
      </c>
    </row>
    <row r="1852" spans="1:5" s="136" customFormat="1" x14ac:dyDescent="0.2">
      <c r="A1852" s="135" t="s">
        <v>7637</v>
      </c>
      <c r="B1852" s="135" t="s">
        <v>7638</v>
      </c>
      <c r="C1852" s="135" t="s">
        <v>7639</v>
      </c>
      <c r="D1852" s="135" t="s">
        <v>7612</v>
      </c>
      <c r="E1852" s="135" t="s">
        <v>7640</v>
      </c>
    </row>
    <row r="1853" spans="1:5" s="136" customFormat="1" x14ac:dyDescent="0.2">
      <c r="A1853" s="135" t="s">
        <v>7641</v>
      </c>
      <c r="B1853" s="135" t="s">
        <v>7642</v>
      </c>
      <c r="C1853" s="135" t="s">
        <v>7643</v>
      </c>
      <c r="D1853" s="135" t="s">
        <v>7579</v>
      </c>
      <c r="E1853" s="135" t="s">
        <v>7644</v>
      </c>
    </row>
    <row r="1854" spans="1:5" s="136" customFormat="1" x14ac:dyDescent="0.2">
      <c r="A1854" s="135" t="s">
        <v>7645</v>
      </c>
      <c r="B1854" s="135" t="s">
        <v>7646</v>
      </c>
      <c r="C1854" s="135" t="s">
        <v>7647</v>
      </c>
      <c r="D1854" s="135" t="s">
        <v>7588</v>
      </c>
      <c r="E1854" s="135" t="s">
        <v>7648</v>
      </c>
    </row>
    <row r="1855" spans="1:5" s="136" customFormat="1" x14ac:dyDescent="0.2">
      <c r="A1855" s="135" t="s">
        <v>7649</v>
      </c>
      <c r="B1855" s="135" t="s">
        <v>7650</v>
      </c>
      <c r="C1855" s="135" t="s">
        <v>7651</v>
      </c>
      <c r="D1855" s="135" t="s">
        <v>7588</v>
      </c>
      <c r="E1855" s="135" t="s">
        <v>7652</v>
      </c>
    </row>
    <row r="1856" spans="1:5" s="136" customFormat="1" x14ac:dyDescent="0.2">
      <c r="A1856" s="135" t="s">
        <v>7653</v>
      </c>
      <c r="B1856" s="135" t="s">
        <v>7654</v>
      </c>
      <c r="C1856" s="135" t="s">
        <v>7655</v>
      </c>
      <c r="D1856" s="135" t="s">
        <v>7656</v>
      </c>
      <c r="E1856" s="135" t="s">
        <v>7657</v>
      </c>
    </row>
    <row r="1857" spans="1:5" s="136" customFormat="1" x14ac:dyDescent="0.2">
      <c r="A1857" s="135" t="s">
        <v>7658</v>
      </c>
      <c r="B1857" s="135" t="s">
        <v>7659</v>
      </c>
      <c r="C1857" s="135" t="s">
        <v>7660</v>
      </c>
      <c r="D1857" s="135" t="s">
        <v>7661</v>
      </c>
      <c r="E1857" s="135" t="s">
        <v>7662</v>
      </c>
    </row>
    <row r="1858" spans="1:5" s="136" customFormat="1" x14ac:dyDescent="0.2">
      <c r="A1858" s="135" t="s">
        <v>7663</v>
      </c>
      <c r="B1858" s="135" t="s">
        <v>7664</v>
      </c>
      <c r="C1858" s="135" t="s">
        <v>7665</v>
      </c>
      <c r="D1858" s="135" t="s">
        <v>7666</v>
      </c>
      <c r="E1858" s="135" t="s">
        <v>7667</v>
      </c>
    </row>
    <row r="1859" spans="1:5" s="136" customFormat="1" x14ac:dyDescent="0.2">
      <c r="A1859" s="135" t="s">
        <v>7668</v>
      </c>
      <c r="B1859" s="135" t="s">
        <v>7669</v>
      </c>
      <c r="C1859" s="135" t="s">
        <v>7670</v>
      </c>
      <c r="D1859" s="135" t="s">
        <v>7671</v>
      </c>
      <c r="E1859" s="135" t="s">
        <v>7672</v>
      </c>
    </row>
    <row r="1860" spans="1:5" s="136" customFormat="1" x14ac:dyDescent="0.2">
      <c r="A1860" s="135" t="s">
        <v>7673</v>
      </c>
      <c r="B1860" s="135" t="s">
        <v>7674</v>
      </c>
      <c r="C1860" s="135" t="s">
        <v>7675</v>
      </c>
      <c r="D1860" s="135" t="s">
        <v>7676</v>
      </c>
      <c r="E1860" s="135" t="s">
        <v>7677</v>
      </c>
    </row>
    <row r="1861" spans="1:5" s="136" customFormat="1" x14ac:dyDescent="0.2">
      <c r="A1861" s="135" t="s">
        <v>7678</v>
      </c>
      <c r="B1861" s="135" t="s">
        <v>7679</v>
      </c>
      <c r="C1861" s="135" t="s">
        <v>7680</v>
      </c>
      <c r="D1861" s="135" t="s">
        <v>7666</v>
      </c>
      <c r="E1861" s="135" t="s">
        <v>7681</v>
      </c>
    </row>
    <row r="1862" spans="1:5" s="136" customFormat="1" x14ac:dyDescent="0.2">
      <c r="A1862" s="135" t="s">
        <v>7682</v>
      </c>
      <c r="B1862" s="135" t="s">
        <v>7683</v>
      </c>
      <c r="C1862" s="135" t="s">
        <v>7684</v>
      </c>
      <c r="D1862" s="135" t="s">
        <v>7671</v>
      </c>
      <c r="E1862" s="135" t="s">
        <v>7685</v>
      </c>
    </row>
    <row r="1863" spans="1:5" s="136" customFormat="1" x14ac:dyDescent="0.2">
      <c r="A1863" s="135" t="s">
        <v>7686</v>
      </c>
      <c r="B1863" s="135" t="s">
        <v>7687</v>
      </c>
      <c r="C1863" s="135" t="s">
        <v>7688</v>
      </c>
      <c r="D1863" s="135" t="s">
        <v>7689</v>
      </c>
      <c r="E1863" s="135" t="s">
        <v>7690</v>
      </c>
    </row>
    <row r="1864" spans="1:5" s="136" customFormat="1" x14ac:dyDescent="0.2">
      <c r="A1864" s="135" t="s">
        <v>7691</v>
      </c>
      <c r="B1864" s="135" t="s">
        <v>7692</v>
      </c>
      <c r="C1864" s="135" t="s">
        <v>7693</v>
      </c>
      <c r="D1864" s="135" t="s">
        <v>7676</v>
      </c>
      <c r="E1864" s="135" t="s">
        <v>7694</v>
      </c>
    </row>
    <row r="1865" spans="1:5" s="136" customFormat="1" x14ac:dyDescent="0.2">
      <c r="A1865" s="135" t="s">
        <v>7695</v>
      </c>
      <c r="B1865" s="135" t="s">
        <v>7696</v>
      </c>
      <c r="C1865" s="135" t="s">
        <v>7697</v>
      </c>
      <c r="D1865" s="135" t="s">
        <v>7661</v>
      </c>
      <c r="E1865" s="135" t="s">
        <v>7698</v>
      </c>
    </row>
    <row r="1866" spans="1:5" s="136" customFormat="1" x14ac:dyDescent="0.2">
      <c r="A1866" s="135" t="s">
        <v>7699</v>
      </c>
      <c r="B1866" s="135" t="s">
        <v>7700</v>
      </c>
      <c r="C1866" s="135" t="s">
        <v>7701</v>
      </c>
      <c r="D1866" s="135" t="s">
        <v>7676</v>
      </c>
      <c r="E1866" s="135" t="s">
        <v>7702</v>
      </c>
    </row>
    <row r="1867" spans="1:5" s="136" customFormat="1" x14ac:dyDescent="0.2">
      <c r="A1867" s="135" t="s">
        <v>7703</v>
      </c>
      <c r="B1867" s="135" t="s">
        <v>7704</v>
      </c>
      <c r="C1867" s="135" t="s">
        <v>7705</v>
      </c>
      <c r="D1867" s="135" t="s">
        <v>7656</v>
      </c>
      <c r="E1867" s="135" t="s">
        <v>7706</v>
      </c>
    </row>
    <row r="1868" spans="1:5" s="136" customFormat="1" x14ac:dyDescent="0.2">
      <c r="A1868" s="135" t="s">
        <v>7707</v>
      </c>
      <c r="B1868" s="135" t="s">
        <v>7708</v>
      </c>
      <c r="C1868" s="135" t="s">
        <v>7709</v>
      </c>
      <c r="D1868" s="135" t="s">
        <v>7656</v>
      </c>
      <c r="E1868" s="135" t="s">
        <v>7710</v>
      </c>
    </row>
    <row r="1869" spans="1:5" s="136" customFormat="1" x14ac:dyDescent="0.2">
      <c r="A1869" s="135" t="s">
        <v>7711</v>
      </c>
      <c r="B1869" s="135" t="s">
        <v>7712</v>
      </c>
      <c r="C1869" s="135" t="s">
        <v>7713</v>
      </c>
      <c r="D1869" s="135" t="s">
        <v>7714</v>
      </c>
      <c r="E1869" s="135" t="s">
        <v>7715</v>
      </c>
    </row>
    <row r="1870" spans="1:5" s="136" customFormat="1" x14ac:dyDescent="0.2">
      <c r="A1870" s="135" t="s">
        <v>7716</v>
      </c>
      <c r="B1870" s="135" t="s">
        <v>7717</v>
      </c>
      <c r="C1870" s="135" t="s">
        <v>7718</v>
      </c>
      <c r="D1870" s="135" t="s">
        <v>7714</v>
      </c>
      <c r="E1870" s="135" t="s">
        <v>7719</v>
      </c>
    </row>
    <row r="1871" spans="1:5" s="136" customFormat="1" x14ac:dyDescent="0.2">
      <c r="A1871" s="135" t="s">
        <v>7720</v>
      </c>
      <c r="B1871" s="135" t="s">
        <v>7721</v>
      </c>
      <c r="C1871" s="135" t="s">
        <v>7722</v>
      </c>
      <c r="D1871" s="135" t="s">
        <v>7714</v>
      </c>
      <c r="E1871" s="135" t="s">
        <v>7723</v>
      </c>
    </row>
    <row r="1872" spans="1:5" s="136" customFormat="1" x14ac:dyDescent="0.2">
      <c r="A1872" s="135" t="s">
        <v>7724</v>
      </c>
      <c r="B1872" s="135" t="s">
        <v>7725</v>
      </c>
      <c r="C1872" s="135" t="s">
        <v>7726</v>
      </c>
      <c r="D1872" s="135" t="s">
        <v>7727</v>
      </c>
      <c r="E1872" s="135" t="s">
        <v>7728</v>
      </c>
    </row>
    <row r="1873" spans="1:5" s="136" customFormat="1" x14ac:dyDescent="0.2">
      <c r="A1873" s="135" t="s">
        <v>7729</v>
      </c>
      <c r="B1873" s="135" t="s">
        <v>7730</v>
      </c>
      <c r="C1873" s="135" t="s">
        <v>7731</v>
      </c>
      <c r="D1873" s="135" t="s">
        <v>7714</v>
      </c>
      <c r="E1873" s="135" t="s">
        <v>7732</v>
      </c>
    </row>
    <row r="1874" spans="1:5" s="136" customFormat="1" x14ac:dyDescent="0.2">
      <c r="A1874" s="135" t="s">
        <v>7733</v>
      </c>
      <c r="B1874" s="135" t="s">
        <v>7734</v>
      </c>
      <c r="C1874" s="135" t="s">
        <v>7735</v>
      </c>
      <c r="D1874" s="135" t="s">
        <v>7714</v>
      </c>
      <c r="E1874" s="135" t="s">
        <v>7736</v>
      </c>
    </row>
    <row r="1875" spans="1:5" s="136" customFormat="1" x14ac:dyDescent="0.2">
      <c r="A1875" s="135" t="s">
        <v>7737</v>
      </c>
      <c r="B1875" s="135" t="s">
        <v>7738</v>
      </c>
      <c r="C1875" s="135" t="s">
        <v>7739</v>
      </c>
      <c r="D1875" s="135" t="s">
        <v>7666</v>
      </c>
      <c r="E1875" s="135" t="s">
        <v>7740</v>
      </c>
    </row>
    <row r="1876" spans="1:5" s="136" customFormat="1" x14ac:dyDescent="0.2">
      <c r="A1876" s="135" t="s">
        <v>7741</v>
      </c>
      <c r="B1876" s="135" t="s">
        <v>7742</v>
      </c>
      <c r="C1876" s="135" t="s">
        <v>7743</v>
      </c>
      <c r="D1876" s="135" t="s">
        <v>7666</v>
      </c>
      <c r="E1876" s="135" t="s">
        <v>7744</v>
      </c>
    </row>
    <row r="1877" spans="1:5" s="136" customFormat="1" x14ac:dyDescent="0.2">
      <c r="A1877" s="135" t="s">
        <v>7745</v>
      </c>
      <c r="B1877" s="135" t="s">
        <v>7746</v>
      </c>
      <c r="C1877" s="135" t="s">
        <v>7747</v>
      </c>
      <c r="D1877" s="135" t="s">
        <v>7748</v>
      </c>
      <c r="E1877" s="135" t="s">
        <v>7749</v>
      </c>
    </row>
    <row r="1878" spans="1:5" s="136" customFormat="1" x14ac:dyDescent="0.2">
      <c r="A1878" s="135" t="s">
        <v>7750</v>
      </c>
      <c r="B1878" s="135" t="s">
        <v>7751</v>
      </c>
      <c r="C1878" s="135" t="s">
        <v>7752</v>
      </c>
      <c r="D1878" s="135" t="s">
        <v>7666</v>
      </c>
      <c r="E1878" s="135" t="s">
        <v>7753</v>
      </c>
    </row>
    <row r="1879" spans="1:5" s="136" customFormat="1" x14ac:dyDescent="0.2">
      <c r="A1879" s="135" t="s">
        <v>7754</v>
      </c>
      <c r="B1879" s="135" t="s">
        <v>7755</v>
      </c>
      <c r="C1879" s="135" t="s">
        <v>7756</v>
      </c>
      <c r="D1879" s="135" t="s">
        <v>7666</v>
      </c>
      <c r="E1879" s="135" t="s">
        <v>7757</v>
      </c>
    </row>
    <row r="1880" spans="1:5" s="136" customFormat="1" x14ac:dyDescent="0.2">
      <c r="A1880" s="135" t="s">
        <v>7758</v>
      </c>
      <c r="B1880" s="135" t="s">
        <v>7759</v>
      </c>
      <c r="C1880" s="135" t="s">
        <v>7760</v>
      </c>
      <c r="D1880" s="135" t="s">
        <v>7666</v>
      </c>
      <c r="E1880" s="135" t="s">
        <v>7761</v>
      </c>
    </row>
    <row r="1881" spans="1:5" s="136" customFormat="1" x14ac:dyDescent="0.2">
      <c r="A1881" s="135" t="s">
        <v>7762</v>
      </c>
      <c r="B1881" s="135" t="s">
        <v>7763</v>
      </c>
      <c r="C1881" s="135" t="s">
        <v>7764</v>
      </c>
      <c r="D1881" s="135" t="s">
        <v>7666</v>
      </c>
      <c r="E1881" s="135" t="s">
        <v>7765</v>
      </c>
    </row>
    <row r="1882" spans="1:5" s="136" customFormat="1" x14ac:dyDescent="0.2">
      <c r="A1882" s="135" t="s">
        <v>7766</v>
      </c>
      <c r="B1882" s="135" t="s">
        <v>7767</v>
      </c>
      <c r="C1882" s="135" t="s">
        <v>7768</v>
      </c>
      <c r="D1882" s="135" t="s">
        <v>7769</v>
      </c>
      <c r="E1882" s="135" t="s">
        <v>7770</v>
      </c>
    </row>
    <row r="1883" spans="1:5" s="136" customFormat="1" x14ac:dyDescent="0.2">
      <c r="A1883" s="135" t="s">
        <v>7771</v>
      </c>
      <c r="B1883" s="135" t="s">
        <v>7772</v>
      </c>
      <c r="C1883" s="135" t="s">
        <v>7773</v>
      </c>
      <c r="D1883" s="135" t="s">
        <v>7774</v>
      </c>
      <c r="E1883" s="135" t="s">
        <v>7775</v>
      </c>
    </row>
    <row r="1884" spans="1:5" s="136" customFormat="1" x14ac:dyDescent="0.2">
      <c r="A1884" s="135" t="s">
        <v>7776</v>
      </c>
      <c r="B1884" s="135" t="s">
        <v>7777</v>
      </c>
      <c r="C1884" s="135" t="s">
        <v>7778</v>
      </c>
      <c r="D1884" s="135" t="s">
        <v>7779</v>
      </c>
      <c r="E1884" s="135" t="s">
        <v>7780</v>
      </c>
    </row>
    <row r="1885" spans="1:5" s="136" customFormat="1" x14ac:dyDescent="0.2">
      <c r="A1885" s="135" t="s">
        <v>7781</v>
      </c>
      <c r="B1885" s="135" t="s">
        <v>7782</v>
      </c>
      <c r="C1885" s="135" t="s">
        <v>7783</v>
      </c>
      <c r="D1885" s="135" t="s">
        <v>7784</v>
      </c>
      <c r="E1885" s="135" t="s">
        <v>7785</v>
      </c>
    </row>
    <row r="1886" spans="1:5" s="136" customFormat="1" x14ac:dyDescent="0.2">
      <c r="A1886" s="135" t="s">
        <v>7786</v>
      </c>
      <c r="B1886" s="135" t="s">
        <v>7787</v>
      </c>
      <c r="C1886" s="135" t="s">
        <v>5359</v>
      </c>
      <c r="D1886" s="135" t="s">
        <v>7784</v>
      </c>
      <c r="E1886" s="135" t="s">
        <v>7788</v>
      </c>
    </row>
    <row r="1887" spans="1:5" s="136" customFormat="1" x14ac:dyDescent="0.2">
      <c r="A1887" s="135" t="s">
        <v>7789</v>
      </c>
      <c r="B1887" s="135" t="s">
        <v>7790</v>
      </c>
      <c r="C1887" s="135" t="s">
        <v>7791</v>
      </c>
      <c r="D1887" s="135" t="s">
        <v>7779</v>
      </c>
      <c r="E1887" s="135" t="s">
        <v>7792</v>
      </c>
    </row>
    <row r="1888" spans="1:5" s="136" customFormat="1" x14ac:dyDescent="0.2">
      <c r="A1888" s="135" t="s">
        <v>7793</v>
      </c>
      <c r="B1888" s="135" t="s">
        <v>7794</v>
      </c>
      <c r="C1888" s="135" t="s">
        <v>7795</v>
      </c>
      <c r="D1888" s="135" t="s">
        <v>7796</v>
      </c>
      <c r="E1888" s="135" t="s">
        <v>7797</v>
      </c>
    </row>
    <row r="1889" spans="1:5" s="136" customFormat="1" x14ac:dyDescent="0.2">
      <c r="A1889" s="135" t="s">
        <v>7798</v>
      </c>
      <c r="B1889" s="135" t="s">
        <v>7799</v>
      </c>
      <c r="C1889" s="135" t="s">
        <v>7800</v>
      </c>
      <c r="D1889" s="135" t="s">
        <v>7801</v>
      </c>
      <c r="E1889" s="135" t="s">
        <v>7802</v>
      </c>
    </row>
    <row r="1890" spans="1:5" s="136" customFormat="1" x14ac:dyDescent="0.2">
      <c r="A1890" s="135" t="s">
        <v>7803</v>
      </c>
      <c r="B1890" s="135" t="s">
        <v>7804</v>
      </c>
      <c r="C1890" s="135" t="s">
        <v>7805</v>
      </c>
      <c r="D1890" s="135" t="s">
        <v>7806</v>
      </c>
      <c r="E1890" s="135" t="s">
        <v>7807</v>
      </c>
    </row>
    <row r="1891" spans="1:5" s="136" customFormat="1" x14ac:dyDescent="0.2">
      <c r="A1891" s="135" t="s">
        <v>7808</v>
      </c>
      <c r="B1891" s="135" t="s">
        <v>7809</v>
      </c>
      <c r="C1891" s="135" t="s">
        <v>7810</v>
      </c>
      <c r="D1891" s="135" t="s">
        <v>7811</v>
      </c>
      <c r="E1891" s="135" t="s">
        <v>7812</v>
      </c>
    </row>
    <row r="1892" spans="1:5" s="136" customFormat="1" x14ac:dyDescent="0.2">
      <c r="A1892" s="135" t="s">
        <v>7813</v>
      </c>
      <c r="B1892" s="135" t="s">
        <v>7814</v>
      </c>
      <c r="C1892" s="135" t="s">
        <v>7815</v>
      </c>
      <c r="D1892" s="135" t="s">
        <v>7816</v>
      </c>
      <c r="E1892" s="135" t="s">
        <v>7817</v>
      </c>
    </row>
    <row r="1893" spans="1:5" s="136" customFormat="1" x14ac:dyDescent="0.2">
      <c r="A1893" s="135" t="s">
        <v>7818</v>
      </c>
      <c r="B1893" s="135" t="s">
        <v>7819</v>
      </c>
      <c r="C1893" s="135" t="s">
        <v>7820</v>
      </c>
      <c r="D1893" s="135" t="s">
        <v>7821</v>
      </c>
      <c r="E1893" s="135" t="s">
        <v>7822</v>
      </c>
    </row>
    <row r="1894" spans="1:5" s="136" customFormat="1" x14ac:dyDescent="0.2">
      <c r="A1894" s="135" t="s">
        <v>7823</v>
      </c>
      <c r="B1894" s="135" t="s">
        <v>7824</v>
      </c>
      <c r="C1894" s="135" t="s">
        <v>7825</v>
      </c>
      <c r="D1894" s="135" t="s">
        <v>7784</v>
      </c>
      <c r="E1894" s="135" t="s">
        <v>7826</v>
      </c>
    </row>
    <row r="1895" spans="1:5" s="136" customFormat="1" x14ac:dyDescent="0.2">
      <c r="A1895" s="135" t="s">
        <v>7827</v>
      </c>
      <c r="B1895" s="135" t="s">
        <v>7828</v>
      </c>
      <c r="C1895" s="135" t="s">
        <v>7829</v>
      </c>
      <c r="D1895" s="135" t="s">
        <v>7779</v>
      </c>
      <c r="E1895" s="135" t="s">
        <v>7830</v>
      </c>
    </row>
    <row r="1896" spans="1:5" s="136" customFormat="1" x14ac:dyDescent="0.2">
      <c r="A1896" s="135" t="s">
        <v>7831</v>
      </c>
      <c r="B1896" s="135" t="s">
        <v>7832</v>
      </c>
      <c r="C1896" s="135" t="s">
        <v>7833</v>
      </c>
      <c r="D1896" s="135" t="s">
        <v>7811</v>
      </c>
      <c r="E1896" s="135" t="s">
        <v>7834</v>
      </c>
    </row>
    <row r="1897" spans="1:5" s="136" customFormat="1" x14ac:dyDescent="0.2">
      <c r="A1897" s="135" t="s">
        <v>7835</v>
      </c>
      <c r="B1897" s="135" t="s">
        <v>7836</v>
      </c>
      <c r="C1897" s="135" t="s">
        <v>7837</v>
      </c>
      <c r="D1897" s="135" t="s">
        <v>7796</v>
      </c>
      <c r="E1897" s="135" t="s">
        <v>7838</v>
      </c>
    </row>
    <row r="1898" spans="1:5" s="136" customFormat="1" x14ac:dyDescent="0.2">
      <c r="A1898" s="135" t="s">
        <v>7839</v>
      </c>
      <c r="B1898" s="135" t="s">
        <v>7840</v>
      </c>
      <c r="C1898" s="135" t="s">
        <v>7841</v>
      </c>
      <c r="D1898" s="135" t="s">
        <v>7779</v>
      </c>
      <c r="E1898" s="135" t="s">
        <v>7842</v>
      </c>
    </row>
    <row r="1899" spans="1:5" s="136" customFormat="1" x14ac:dyDescent="0.2">
      <c r="A1899" s="135" t="s">
        <v>7843</v>
      </c>
      <c r="B1899" s="135" t="s">
        <v>7844</v>
      </c>
      <c r="C1899" s="135" t="s">
        <v>7845</v>
      </c>
      <c r="D1899" s="135" t="s">
        <v>7821</v>
      </c>
      <c r="E1899" s="135" t="s">
        <v>7846</v>
      </c>
    </row>
    <row r="1900" spans="1:5" s="136" customFormat="1" x14ac:dyDescent="0.2">
      <c r="A1900" s="135" t="s">
        <v>7847</v>
      </c>
      <c r="B1900" s="135" t="s">
        <v>7848</v>
      </c>
      <c r="C1900" s="135" t="s">
        <v>7849</v>
      </c>
      <c r="D1900" s="135" t="s">
        <v>7821</v>
      </c>
      <c r="E1900" s="135" t="s">
        <v>7850</v>
      </c>
    </row>
    <row r="1901" spans="1:5" s="136" customFormat="1" x14ac:dyDescent="0.2">
      <c r="A1901" s="135" t="s">
        <v>7851</v>
      </c>
      <c r="B1901" s="135" t="s">
        <v>7852</v>
      </c>
      <c r="C1901" s="135" t="s">
        <v>7853</v>
      </c>
      <c r="D1901" s="135" t="s">
        <v>7854</v>
      </c>
      <c r="E1901" s="135" t="s">
        <v>7855</v>
      </c>
    </row>
    <row r="1902" spans="1:5" s="136" customFormat="1" x14ac:dyDescent="0.2">
      <c r="A1902" s="135" t="s">
        <v>7856</v>
      </c>
      <c r="B1902" s="135" t="s">
        <v>7857</v>
      </c>
      <c r="C1902" s="135" t="s">
        <v>7858</v>
      </c>
      <c r="D1902" s="135" t="s">
        <v>7859</v>
      </c>
      <c r="E1902" s="135" t="s">
        <v>7860</v>
      </c>
    </row>
    <row r="1903" spans="1:5" s="136" customFormat="1" x14ac:dyDescent="0.2">
      <c r="A1903" s="135" t="s">
        <v>7861</v>
      </c>
      <c r="B1903" s="135" t="s">
        <v>7862</v>
      </c>
      <c r="C1903" s="135" t="s">
        <v>7863</v>
      </c>
      <c r="D1903" s="135" t="s">
        <v>7784</v>
      </c>
      <c r="E1903" s="135" t="s">
        <v>7864</v>
      </c>
    </row>
    <row r="1904" spans="1:5" s="136" customFormat="1" x14ac:dyDescent="0.2">
      <c r="A1904" s="135" t="s">
        <v>7865</v>
      </c>
      <c r="B1904" s="135" t="s">
        <v>7866</v>
      </c>
      <c r="C1904" s="135" t="s">
        <v>7867</v>
      </c>
      <c r="D1904" s="135" t="s">
        <v>7784</v>
      </c>
      <c r="E1904" s="135" t="s">
        <v>7868</v>
      </c>
    </row>
    <row r="1905" spans="1:5" s="136" customFormat="1" x14ac:dyDescent="0.2">
      <c r="A1905" s="135" t="s">
        <v>7869</v>
      </c>
      <c r="B1905" s="135" t="s">
        <v>7870</v>
      </c>
      <c r="C1905" s="135" t="s">
        <v>7871</v>
      </c>
      <c r="D1905" s="135" t="s">
        <v>7821</v>
      </c>
      <c r="E1905" s="135" t="s">
        <v>7872</v>
      </c>
    </row>
    <row r="1906" spans="1:5" s="136" customFormat="1" x14ac:dyDescent="0.2">
      <c r="A1906" s="135" t="s">
        <v>7873</v>
      </c>
      <c r="B1906" s="135" t="s">
        <v>7874</v>
      </c>
      <c r="C1906" s="135" t="s">
        <v>7875</v>
      </c>
      <c r="D1906" s="135" t="s">
        <v>7811</v>
      </c>
      <c r="E1906" s="135" t="s">
        <v>7876</v>
      </c>
    </row>
    <row r="1907" spans="1:5" s="136" customFormat="1" x14ac:dyDescent="0.2">
      <c r="A1907" s="135" t="s">
        <v>7877</v>
      </c>
      <c r="B1907" s="135" t="s">
        <v>7878</v>
      </c>
      <c r="C1907" s="135" t="s">
        <v>7879</v>
      </c>
      <c r="D1907" s="135" t="s">
        <v>7801</v>
      </c>
      <c r="E1907" s="135" t="s">
        <v>7880</v>
      </c>
    </row>
    <row r="1908" spans="1:5" s="136" customFormat="1" x14ac:dyDescent="0.2">
      <c r="A1908" s="135" t="s">
        <v>7881</v>
      </c>
      <c r="B1908" s="135" t="s">
        <v>7882</v>
      </c>
      <c r="C1908" s="135" t="s">
        <v>7883</v>
      </c>
      <c r="D1908" s="135" t="s">
        <v>7801</v>
      </c>
      <c r="E1908" s="135" t="s">
        <v>7884</v>
      </c>
    </row>
    <row r="1909" spans="1:5" s="136" customFormat="1" x14ac:dyDescent="0.2">
      <c r="A1909" s="135" t="s">
        <v>7885</v>
      </c>
      <c r="B1909" s="135" t="s">
        <v>7886</v>
      </c>
      <c r="C1909" s="135" t="s">
        <v>7887</v>
      </c>
      <c r="D1909" s="135" t="s">
        <v>7801</v>
      </c>
      <c r="E1909" s="135" t="s">
        <v>7888</v>
      </c>
    </row>
    <row r="1910" spans="1:5" s="136" customFormat="1" x14ac:dyDescent="0.2">
      <c r="A1910" s="135" t="s">
        <v>7889</v>
      </c>
      <c r="B1910" s="135" t="s">
        <v>7890</v>
      </c>
      <c r="C1910" s="135" t="s">
        <v>7891</v>
      </c>
      <c r="D1910" s="135" t="s">
        <v>7801</v>
      </c>
      <c r="E1910" s="135" t="s">
        <v>7892</v>
      </c>
    </row>
    <row r="1911" spans="1:5" s="136" customFormat="1" x14ac:dyDescent="0.2">
      <c r="A1911" s="135" t="s">
        <v>7893</v>
      </c>
      <c r="B1911" s="135" t="s">
        <v>7894</v>
      </c>
      <c r="C1911" s="135" t="s">
        <v>7895</v>
      </c>
      <c r="D1911" s="135" t="s">
        <v>7796</v>
      </c>
      <c r="E1911" s="135" t="s">
        <v>7896</v>
      </c>
    </row>
    <row r="1912" spans="1:5" s="136" customFormat="1" x14ac:dyDescent="0.2">
      <c r="A1912" s="135" t="s">
        <v>7897</v>
      </c>
      <c r="B1912" s="135" t="s">
        <v>7898</v>
      </c>
      <c r="C1912" s="135" t="s">
        <v>7899</v>
      </c>
      <c r="D1912" s="135" t="s">
        <v>7796</v>
      </c>
      <c r="E1912" s="135" t="s">
        <v>7900</v>
      </c>
    </row>
    <row r="1913" spans="1:5" s="136" customFormat="1" x14ac:dyDescent="0.2">
      <c r="A1913" s="135" t="s">
        <v>7901</v>
      </c>
      <c r="B1913" s="135" t="s">
        <v>7902</v>
      </c>
      <c r="C1913" s="135" t="s">
        <v>7903</v>
      </c>
      <c r="D1913" s="135" t="s">
        <v>7796</v>
      </c>
      <c r="E1913" s="135" t="s">
        <v>7904</v>
      </c>
    </row>
    <row r="1914" spans="1:5" s="136" customFormat="1" x14ac:dyDescent="0.2">
      <c r="A1914" s="135" t="s">
        <v>7905</v>
      </c>
      <c r="B1914" s="135" t="s">
        <v>7906</v>
      </c>
      <c r="C1914" s="135" t="s">
        <v>7907</v>
      </c>
      <c r="D1914" s="135" t="s">
        <v>7796</v>
      </c>
      <c r="E1914" s="135" t="s">
        <v>7908</v>
      </c>
    </row>
    <row r="1915" spans="1:5" s="136" customFormat="1" x14ac:dyDescent="0.2">
      <c r="A1915" s="135" t="s">
        <v>7909</v>
      </c>
      <c r="B1915" s="135" t="s">
        <v>7910</v>
      </c>
      <c r="C1915" s="135" t="s">
        <v>7911</v>
      </c>
      <c r="D1915" s="135" t="s">
        <v>7796</v>
      </c>
      <c r="E1915" s="135" t="s">
        <v>7912</v>
      </c>
    </row>
    <row r="1916" spans="1:5" s="136" customFormat="1" x14ac:dyDescent="0.2">
      <c r="A1916" s="135" t="s">
        <v>7913</v>
      </c>
      <c r="B1916" s="135" t="s">
        <v>7914</v>
      </c>
      <c r="C1916" s="135" t="s">
        <v>7915</v>
      </c>
      <c r="D1916" s="135" t="s">
        <v>7796</v>
      </c>
      <c r="E1916" s="135" t="s">
        <v>7916</v>
      </c>
    </row>
    <row r="1917" spans="1:5" s="136" customFormat="1" x14ac:dyDescent="0.2">
      <c r="A1917" s="135" t="s">
        <v>7917</v>
      </c>
      <c r="B1917" s="135" t="s">
        <v>7918</v>
      </c>
      <c r="C1917" s="135" t="s">
        <v>7919</v>
      </c>
      <c r="D1917" s="135" t="s">
        <v>7796</v>
      </c>
      <c r="E1917" s="135" t="s">
        <v>7920</v>
      </c>
    </row>
    <row r="1918" spans="1:5" s="136" customFormat="1" x14ac:dyDescent="0.2">
      <c r="A1918" s="135" t="s">
        <v>7921</v>
      </c>
      <c r="B1918" s="135" t="s">
        <v>7922</v>
      </c>
      <c r="C1918" s="135" t="s">
        <v>7923</v>
      </c>
      <c r="D1918" s="135" t="s">
        <v>7796</v>
      </c>
      <c r="E1918" s="135" t="s">
        <v>7924</v>
      </c>
    </row>
    <row r="1919" spans="1:5" s="136" customFormat="1" x14ac:dyDescent="0.2">
      <c r="A1919" s="135" t="s">
        <v>7925</v>
      </c>
      <c r="B1919" s="135" t="s">
        <v>7926</v>
      </c>
      <c r="C1919" s="135" t="s">
        <v>7927</v>
      </c>
      <c r="D1919" s="135" t="s">
        <v>7796</v>
      </c>
      <c r="E1919" s="135" t="s">
        <v>7928</v>
      </c>
    </row>
    <row r="1920" spans="1:5" s="136" customFormat="1" x14ac:dyDescent="0.2">
      <c r="A1920" s="135" t="s">
        <v>7929</v>
      </c>
      <c r="B1920" s="135" t="s">
        <v>7930</v>
      </c>
      <c r="C1920" s="135" t="s">
        <v>7931</v>
      </c>
      <c r="D1920" s="135" t="s">
        <v>7796</v>
      </c>
      <c r="E1920" s="135" t="s">
        <v>7932</v>
      </c>
    </row>
    <row r="1921" spans="1:5" s="136" customFormat="1" x14ac:dyDescent="0.2">
      <c r="A1921" s="135" t="s">
        <v>7933</v>
      </c>
      <c r="B1921" s="135" t="s">
        <v>7934</v>
      </c>
      <c r="C1921" s="135" t="s">
        <v>7935</v>
      </c>
      <c r="D1921" s="135" t="s">
        <v>7796</v>
      </c>
      <c r="E1921" s="135" t="s">
        <v>7936</v>
      </c>
    </row>
    <row r="1922" spans="1:5" s="136" customFormat="1" x14ac:dyDescent="0.2">
      <c r="A1922" s="135" t="s">
        <v>7937</v>
      </c>
      <c r="B1922" s="135" t="s">
        <v>7938</v>
      </c>
      <c r="C1922" s="135" t="s">
        <v>7939</v>
      </c>
      <c r="D1922" s="135" t="s">
        <v>7796</v>
      </c>
      <c r="E1922" s="135" t="s">
        <v>7940</v>
      </c>
    </row>
    <row r="1923" spans="1:5" s="136" customFormat="1" x14ac:dyDescent="0.2">
      <c r="A1923" s="135" t="s">
        <v>7941</v>
      </c>
      <c r="B1923" s="135" t="s">
        <v>7942</v>
      </c>
      <c r="C1923" s="135" t="s">
        <v>7943</v>
      </c>
      <c r="D1923" s="135" t="s">
        <v>7796</v>
      </c>
      <c r="E1923" s="135" t="s">
        <v>7944</v>
      </c>
    </row>
    <row r="1924" spans="1:5" s="136" customFormat="1" x14ac:dyDescent="0.2">
      <c r="A1924" s="135" t="s">
        <v>7945</v>
      </c>
      <c r="B1924" s="135" t="s">
        <v>7946</v>
      </c>
      <c r="C1924" s="135" t="s">
        <v>7947</v>
      </c>
      <c r="D1924" s="135" t="s">
        <v>7796</v>
      </c>
      <c r="E1924" s="135" t="s">
        <v>7948</v>
      </c>
    </row>
    <row r="1925" spans="1:5" s="136" customFormat="1" x14ac:dyDescent="0.2">
      <c r="A1925" s="135" t="s">
        <v>7949</v>
      </c>
      <c r="B1925" s="135" t="s">
        <v>7950</v>
      </c>
      <c r="C1925" s="135" t="s">
        <v>7951</v>
      </c>
      <c r="D1925" s="135" t="s">
        <v>7952</v>
      </c>
      <c r="E1925" s="135" t="s">
        <v>7953</v>
      </c>
    </row>
    <row r="1926" spans="1:5" s="136" customFormat="1" x14ac:dyDescent="0.2">
      <c r="A1926" s="135" t="s">
        <v>7954</v>
      </c>
      <c r="B1926" s="135" t="s">
        <v>7955</v>
      </c>
      <c r="C1926" s="135" t="s">
        <v>7956</v>
      </c>
      <c r="D1926" s="135" t="s">
        <v>7952</v>
      </c>
      <c r="E1926" s="135" t="s">
        <v>7957</v>
      </c>
    </row>
    <row r="1927" spans="1:5" s="136" customFormat="1" x14ac:dyDescent="0.2">
      <c r="A1927" s="135" t="s">
        <v>7958</v>
      </c>
      <c r="B1927" s="135" t="s">
        <v>7959</v>
      </c>
      <c r="C1927" s="135" t="s">
        <v>7960</v>
      </c>
      <c r="D1927" s="135" t="s">
        <v>7961</v>
      </c>
      <c r="E1927" s="135" t="s">
        <v>7962</v>
      </c>
    </row>
    <row r="1928" spans="1:5" s="136" customFormat="1" x14ac:dyDescent="0.2">
      <c r="A1928" s="135" t="s">
        <v>7963</v>
      </c>
      <c r="B1928" s="135" t="s">
        <v>7964</v>
      </c>
      <c r="C1928" s="135" t="s">
        <v>7965</v>
      </c>
      <c r="D1928" s="135" t="s">
        <v>7952</v>
      </c>
      <c r="E1928" s="135" t="s">
        <v>7966</v>
      </c>
    </row>
    <row r="1929" spans="1:5" s="136" customFormat="1" x14ac:dyDescent="0.2">
      <c r="A1929" s="135" t="s">
        <v>7967</v>
      </c>
      <c r="B1929" s="135" t="s">
        <v>7968</v>
      </c>
      <c r="C1929" s="135" t="s">
        <v>7969</v>
      </c>
      <c r="D1929" s="135" t="s">
        <v>7961</v>
      </c>
      <c r="E1929" s="135" t="s">
        <v>7970</v>
      </c>
    </row>
    <row r="1930" spans="1:5" s="136" customFormat="1" x14ac:dyDescent="0.2">
      <c r="A1930" s="135" t="s">
        <v>7971</v>
      </c>
      <c r="B1930" s="135" t="s">
        <v>7972</v>
      </c>
      <c r="C1930" s="135" t="s">
        <v>7973</v>
      </c>
      <c r="D1930" s="135" t="s">
        <v>7952</v>
      </c>
      <c r="E1930" s="135" t="s">
        <v>7974</v>
      </c>
    </row>
    <row r="1931" spans="1:5" s="136" customFormat="1" x14ac:dyDescent="0.2">
      <c r="A1931" s="135" t="s">
        <v>7975</v>
      </c>
      <c r="B1931" s="135" t="s">
        <v>7976</v>
      </c>
      <c r="C1931" s="135" t="s">
        <v>7977</v>
      </c>
      <c r="D1931" s="135" t="s">
        <v>7952</v>
      </c>
      <c r="E1931" s="135" t="s">
        <v>7978</v>
      </c>
    </row>
    <row r="1932" spans="1:5" s="136" customFormat="1" x14ac:dyDescent="0.2">
      <c r="A1932" s="135" t="s">
        <v>7979</v>
      </c>
      <c r="B1932" s="135" t="s">
        <v>7980</v>
      </c>
      <c r="C1932" s="135" t="s">
        <v>7981</v>
      </c>
      <c r="D1932" s="135" t="s">
        <v>7952</v>
      </c>
      <c r="E1932" s="135" t="s">
        <v>7982</v>
      </c>
    </row>
    <row r="1933" spans="1:5" s="136" customFormat="1" x14ac:dyDescent="0.2">
      <c r="A1933" s="135" t="s">
        <v>7983</v>
      </c>
      <c r="B1933" s="135" t="s">
        <v>7984</v>
      </c>
      <c r="C1933" s="135" t="s">
        <v>7985</v>
      </c>
      <c r="D1933" s="135" t="s">
        <v>7952</v>
      </c>
      <c r="E1933" s="135" t="s">
        <v>7986</v>
      </c>
    </row>
    <row r="1934" spans="1:5" s="136" customFormat="1" x14ac:dyDescent="0.2">
      <c r="A1934" s="135" t="s">
        <v>7987</v>
      </c>
      <c r="B1934" s="135" t="s">
        <v>7988</v>
      </c>
      <c r="C1934" s="135" t="s">
        <v>7989</v>
      </c>
      <c r="D1934" s="135" t="s">
        <v>7961</v>
      </c>
      <c r="E1934" s="135" t="s">
        <v>7990</v>
      </c>
    </row>
    <row r="1935" spans="1:5" s="136" customFormat="1" x14ac:dyDescent="0.2">
      <c r="A1935" s="135" t="s">
        <v>7991</v>
      </c>
      <c r="B1935" s="135" t="s">
        <v>7992</v>
      </c>
      <c r="C1935" s="135" t="s">
        <v>7993</v>
      </c>
      <c r="D1935" s="135" t="s">
        <v>7952</v>
      </c>
      <c r="E1935" s="135" t="s">
        <v>7994</v>
      </c>
    </row>
    <row r="1936" spans="1:5" s="136" customFormat="1" x14ac:dyDescent="0.2">
      <c r="A1936" s="135" t="s">
        <v>7995</v>
      </c>
      <c r="B1936" s="135" t="s">
        <v>7996</v>
      </c>
      <c r="C1936" s="135" t="s">
        <v>7997</v>
      </c>
      <c r="D1936" s="135" t="s">
        <v>7961</v>
      </c>
      <c r="E1936" s="135" t="s">
        <v>7998</v>
      </c>
    </row>
    <row r="1937" spans="1:5" s="136" customFormat="1" x14ac:dyDescent="0.2">
      <c r="A1937" s="135" t="s">
        <v>7999</v>
      </c>
      <c r="B1937" s="135" t="s">
        <v>8000</v>
      </c>
      <c r="C1937" s="135" t="s">
        <v>8001</v>
      </c>
      <c r="D1937" s="135" t="s">
        <v>7961</v>
      </c>
      <c r="E1937" s="135" t="s">
        <v>8002</v>
      </c>
    </row>
    <row r="1938" spans="1:5" s="136" customFormat="1" x14ac:dyDescent="0.2">
      <c r="A1938" s="135" t="s">
        <v>8003</v>
      </c>
      <c r="B1938" s="135" t="s">
        <v>8004</v>
      </c>
      <c r="C1938" s="135" t="s">
        <v>8005</v>
      </c>
      <c r="D1938" s="135" t="s">
        <v>7961</v>
      </c>
      <c r="E1938" s="135" t="s">
        <v>8006</v>
      </c>
    </row>
    <row r="1939" spans="1:5" s="136" customFormat="1" x14ac:dyDescent="0.2">
      <c r="A1939" s="135" t="s">
        <v>8007</v>
      </c>
      <c r="B1939" s="135" t="s">
        <v>8008</v>
      </c>
      <c r="C1939" s="135" t="s">
        <v>8009</v>
      </c>
      <c r="D1939" s="135" t="s">
        <v>7961</v>
      </c>
      <c r="E1939" s="135" t="s">
        <v>8010</v>
      </c>
    </row>
    <row r="1940" spans="1:5" s="136" customFormat="1" x14ac:dyDescent="0.2">
      <c r="A1940" s="135" t="s">
        <v>8011</v>
      </c>
      <c r="B1940" s="135" t="s">
        <v>8012</v>
      </c>
      <c r="C1940" s="135" t="s">
        <v>8013</v>
      </c>
      <c r="D1940" s="135" t="s">
        <v>7961</v>
      </c>
      <c r="E1940" s="135" t="s">
        <v>8014</v>
      </c>
    </row>
    <row r="1941" spans="1:5" s="136" customFormat="1" x14ac:dyDescent="0.2">
      <c r="A1941" s="135" t="s">
        <v>8015</v>
      </c>
      <c r="B1941" s="135" t="s">
        <v>8016</v>
      </c>
      <c r="C1941" s="135" t="s">
        <v>8017</v>
      </c>
      <c r="D1941" s="135" t="s">
        <v>7952</v>
      </c>
      <c r="E1941" s="135" t="s">
        <v>8018</v>
      </c>
    </row>
    <row r="1942" spans="1:5" s="136" customFormat="1" x14ac:dyDescent="0.2">
      <c r="A1942" s="135" t="s">
        <v>8019</v>
      </c>
      <c r="B1942" s="135" t="s">
        <v>8020</v>
      </c>
      <c r="C1942" s="135" t="s">
        <v>8021</v>
      </c>
      <c r="D1942" s="135" t="s">
        <v>7952</v>
      </c>
      <c r="E1942" s="135" t="s">
        <v>8022</v>
      </c>
    </row>
    <row r="1943" spans="1:5" s="136" customFormat="1" x14ac:dyDescent="0.2">
      <c r="A1943" s="135" t="s">
        <v>8023</v>
      </c>
      <c r="B1943" s="135" t="s">
        <v>8024</v>
      </c>
      <c r="C1943" s="135" t="s">
        <v>8025</v>
      </c>
      <c r="D1943" s="135" t="s">
        <v>7952</v>
      </c>
      <c r="E1943" s="135" t="s">
        <v>8026</v>
      </c>
    </row>
    <row r="1944" spans="1:5" s="136" customFormat="1" x14ac:dyDescent="0.2">
      <c r="A1944" s="135" t="s">
        <v>8027</v>
      </c>
      <c r="B1944" s="135" t="s">
        <v>8028</v>
      </c>
      <c r="C1944" s="135" t="s">
        <v>8029</v>
      </c>
      <c r="D1944" s="135" t="s">
        <v>7961</v>
      </c>
      <c r="E1944" s="135" t="s">
        <v>8030</v>
      </c>
    </row>
    <row r="1945" spans="1:5" s="136" customFormat="1" x14ac:dyDescent="0.2">
      <c r="A1945" s="135" t="s">
        <v>8031</v>
      </c>
      <c r="B1945" s="135" t="s">
        <v>8032</v>
      </c>
      <c r="C1945" s="135" t="s">
        <v>8033</v>
      </c>
      <c r="D1945" s="135" t="s">
        <v>7952</v>
      </c>
      <c r="E1945" s="135" t="s">
        <v>8034</v>
      </c>
    </row>
    <row r="1946" spans="1:5" s="136" customFormat="1" x14ac:dyDescent="0.2">
      <c r="A1946" s="135" t="s">
        <v>8035</v>
      </c>
      <c r="B1946" s="135" t="s">
        <v>8036</v>
      </c>
      <c r="C1946" s="135" t="s">
        <v>8037</v>
      </c>
      <c r="D1946" s="135" t="s">
        <v>7952</v>
      </c>
      <c r="E1946" s="135" t="s">
        <v>8038</v>
      </c>
    </row>
    <row r="1947" spans="1:5" s="136" customFormat="1" x14ac:dyDescent="0.2">
      <c r="A1947" s="135" t="s">
        <v>8039</v>
      </c>
      <c r="B1947" s="135" t="s">
        <v>8040</v>
      </c>
      <c r="C1947" s="135" t="s">
        <v>8041</v>
      </c>
      <c r="D1947" s="135" t="s">
        <v>7952</v>
      </c>
      <c r="E1947" s="135" t="s">
        <v>8042</v>
      </c>
    </row>
    <row r="1948" spans="1:5" s="136" customFormat="1" x14ac:dyDescent="0.2">
      <c r="A1948" s="135" t="s">
        <v>8043</v>
      </c>
      <c r="B1948" s="135" t="s">
        <v>8044</v>
      </c>
      <c r="C1948" s="135" t="s">
        <v>8045</v>
      </c>
      <c r="D1948" s="135" t="s">
        <v>7952</v>
      </c>
      <c r="E1948" s="135" t="s">
        <v>8046</v>
      </c>
    </row>
    <row r="1949" spans="1:5" s="136" customFormat="1" x14ac:dyDescent="0.2">
      <c r="A1949" s="135" t="s">
        <v>8047</v>
      </c>
      <c r="B1949" s="135" t="s">
        <v>8048</v>
      </c>
      <c r="C1949" s="135" t="s">
        <v>8049</v>
      </c>
      <c r="D1949" s="135" t="s">
        <v>7952</v>
      </c>
      <c r="E1949" s="135" t="s">
        <v>8050</v>
      </c>
    </row>
    <row r="1950" spans="1:5" s="136" customFormat="1" x14ac:dyDescent="0.2">
      <c r="A1950" s="135" t="s">
        <v>8051</v>
      </c>
      <c r="B1950" s="135" t="s">
        <v>8052</v>
      </c>
      <c r="C1950" s="135" t="s">
        <v>8053</v>
      </c>
      <c r="D1950" s="135" t="s">
        <v>7952</v>
      </c>
      <c r="E1950" s="135" t="s">
        <v>8054</v>
      </c>
    </row>
    <row r="1951" spans="1:5" s="136" customFormat="1" x14ac:dyDescent="0.2">
      <c r="A1951" s="135" t="s">
        <v>8055</v>
      </c>
      <c r="B1951" s="135" t="s">
        <v>8056</v>
      </c>
      <c r="C1951" s="135" t="s">
        <v>8057</v>
      </c>
      <c r="D1951" s="135" t="s">
        <v>7952</v>
      </c>
      <c r="E1951" s="135" t="s">
        <v>8058</v>
      </c>
    </row>
    <row r="1952" spans="1:5" s="136" customFormat="1" x14ac:dyDescent="0.2">
      <c r="A1952" s="135" t="s">
        <v>8059</v>
      </c>
      <c r="B1952" s="135" t="s">
        <v>8060</v>
      </c>
      <c r="C1952" s="135" t="s">
        <v>8061</v>
      </c>
      <c r="D1952" s="135" t="s">
        <v>7952</v>
      </c>
      <c r="E1952" s="135" t="s">
        <v>8062</v>
      </c>
    </row>
    <row r="1953" spans="1:5" s="136" customFormat="1" x14ac:dyDescent="0.2">
      <c r="A1953" s="135" t="s">
        <v>8063</v>
      </c>
      <c r="B1953" s="135" t="s">
        <v>8064</v>
      </c>
      <c r="C1953" s="135" t="s">
        <v>8065</v>
      </c>
      <c r="D1953" s="135" t="s">
        <v>7952</v>
      </c>
      <c r="E1953" s="135" t="s">
        <v>8066</v>
      </c>
    </row>
    <row r="1954" spans="1:5" s="136" customFormat="1" x14ac:dyDescent="0.2">
      <c r="A1954" s="135" t="s">
        <v>8067</v>
      </c>
      <c r="B1954" s="135" t="s">
        <v>8068</v>
      </c>
      <c r="C1954" s="135" t="s">
        <v>8069</v>
      </c>
      <c r="D1954" s="135" t="s">
        <v>7952</v>
      </c>
      <c r="E1954" s="135" t="s">
        <v>8070</v>
      </c>
    </row>
    <row r="1955" spans="1:5" s="136" customFormat="1" x14ac:dyDescent="0.2">
      <c r="A1955" s="135" t="s">
        <v>8071</v>
      </c>
      <c r="B1955" s="135" t="s">
        <v>8072</v>
      </c>
      <c r="C1955" s="135" t="s">
        <v>8073</v>
      </c>
      <c r="D1955" s="135" t="s">
        <v>7952</v>
      </c>
      <c r="E1955" s="135" t="s">
        <v>8074</v>
      </c>
    </row>
    <row r="1956" spans="1:5" s="136" customFormat="1" x14ac:dyDescent="0.2">
      <c r="A1956" s="135" t="s">
        <v>8075</v>
      </c>
      <c r="B1956" s="135" t="s">
        <v>8076</v>
      </c>
      <c r="C1956" s="135" t="s">
        <v>8077</v>
      </c>
      <c r="D1956" s="135" t="s">
        <v>7952</v>
      </c>
      <c r="E1956" s="135" t="s">
        <v>8078</v>
      </c>
    </row>
    <row r="1957" spans="1:5" s="136" customFormat="1" x14ac:dyDescent="0.2">
      <c r="A1957" s="135" t="s">
        <v>8079</v>
      </c>
      <c r="B1957" s="135" t="s">
        <v>8080</v>
      </c>
      <c r="C1957" s="135" t="s">
        <v>8081</v>
      </c>
      <c r="D1957" s="135" t="s">
        <v>8082</v>
      </c>
      <c r="E1957" s="135" t="s">
        <v>8083</v>
      </c>
    </row>
    <row r="1958" spans="1:5" s="136" customFormat="1" x14ac:dyDescent="0.2">
      <c r="A1958" s="135" t="s">
        <v>8084</v>
      </c>
      <c r="B1958" s="135" t="s">
        <v>8085</v>
      </c>
      <c r="C1958" s="135" t="s">
        <v>8086</v>
      </c>
      <c r="D1958" s="135" t="s">
        <v>8082</v>
      </c>
      <c r="E1958" s="135" t="s">
        <v>8087</v>
      </c>
    </row>
    <row r="1959" spans="1:5" s="136" customFormat="1" x14ac:dyDescent="0.2">
      <c r="A1959" s="135" t="s">
        <v>8088</v>
      </c>
      <c r="B1959" s="135" t="s">
        <v>8089</v>
      </c>
      <c r="C1959" s="135" t="s">
        <v>8090</v>
      </c>
      <c r="D1959" s="135" t="s">
        <v>7961</v>
      </c>
      <c r="E1959" s="135" t="s">
        <v>8091</v>
      </c>
    </row>
    <row r="1960" spans="1:5" s="136" customFormat="1" x14ac:dyDescent="0.2">
      <c r="A1960" s="135" t="s">
        <v>8092</v>
      </c>
      <c r="B1960" s="135" t="s">
        <v>8093</v>
      </c>
      <c r="C1960" s="135" t="s">
        <v>8094</v>
      </c>
      <c r="D1960" s="135" t="s">
        <v>7961</v>
      </c>
      <c r="E1960" s="135" t="s">
        <v>8095</v>
      </c>
    </row>
    <row r="1961" spans="1:5" s="136" customFormat="1" x14ac:dyDescent="0.2">
      <c r="A1961" s="135" t="s">
        <v>8096</v>
      </c>
      <c r="B1961" s="135" t="s">
        <v>8097</v>
      </c>
      <c r="C1961" s="135" t="s">
        <v>8098</v>
      </c>
      <c r="D1961" s="135" t="s">
        <v>7952</v>
      </c>
      <c r="E1961" s="135" t="s">
        <v>8099</v>
      </c>
    </row>
    <row r="1962" spans="1:5" s="136" customFormat="1" x14ac:dyDescent="0.2">
      <c r="A1962" s="135" t="s">
        <v>8100</v>
      </c>
      <c r="B1962" s="135" t="s">
        <v>8101</v>
      </c>
      <c r="C1962" s="135" t="s">
        <v>8102</v>
      </c>
      <c r="D1962" s="135" t="s">
        <v>7952</v>
      </c>
      <c r="E1962" s="135" t="s">
        <v>8103</v>
      </c>
    </row>
    <row r="1963" spans="1:5" s="136" customFormat="1" x14ac:dyDescent="0.2">
      <c r="A1963" s="135" t="s">
        <v>8104</v>
      </c>
      <c r="B1963" s="135" t="s">
        <v>8105</v>
      </c>
      <c r="C1963" s="135" t="s">
        <v>8106</v>
      </c>
      <c r="D1963" s="135" t="s">
        <v>7961</v>
      </c>
      <c r="E1963" s="135" t="s">
        <v>8107</v>
      </c>
    </row>
    <row r="1964" spans="1:5" s="136" customFormat="1" x14ac:dyDescent="0.2">
      <c r="A1964" s="135" t="s">
        <v>8108</v>
      </c>
      <c r="B1964" s="135" t="s">
        <v>8109</v>
      </c>
      <c r="C1964" s="135" t="s">
        <v>8110</v>
      </c>
      <c r="D1964" s="135" t="s">
        <v>7961</v>
      </c>
      <c r="E1964" s="135" t="s">
        <v>8111</v>
      </c>
    </row>
    <row r="1965" spans="1:5" s="136" customFormat="1" x14ac:dyDescent="0.2">
      <c r="A1965" s="135" t="s">
        <v>8112</v>
      </c>
      <c r="B1965" s="135" t="s">
        <v>8113</v>
      </c>
      <c r="C1965" s="135" t="s">
        <v>8114</v>
      </c>
      <c r="D1965" s="135" t="s">
        <v>7961</v>
      </c>
      <c r="E1965" s="135" t="s">
        <v>8115</v>
      </c>
    </row>
  </sheetData>
  <phoneticPr fontId="1"/>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N97"/>
  <sheetViews>
    <sheetView workbookViewId="0"/>
  </sheetViews>
  <sheetFormatPr defaultRowHeight="15" customHeight="1" x14ac:dyDescent="0.2"/>
  <cols>
    <col min="1" max="1" width="4.44140625" customWidth="1"/>
    <col min="3" max="3" width="5.109375" customWidth="1"/>
    <col min="4" max="4" width="13.33203125" bestFit="1" customWidth="1"/>
    <col min="5" max="11" width="7.6640625" customWidth="1"/>
    <col min="14" max="14" width="33.109375" customWidth="1"/>
  </cols>
  <sheetData>
    <row r="1" spans="1:11" ht="15" customHeight="1" x14ac:dyDescent="0.2">
      <c r="A1" t="s">
        <v>8268</v>
      </c>
      <c r="C1" s="179" t="s">
        <v>8494</v>
      </c>
    </row>
    <row r="2" spans="1:11" ht="15" customHeight="1" x14ac:dyDescent="0.2">
      <c r="A2" s="200" t="s">
        <v>8272</v>
      </c>
      <c r="B2" s="200"/>
      <c r="C2" s="200" t="s">
        <v>8273</v>
      </c>
      <c r="D2" s="200" t="s">
        <v>8274</v>
      </c>
      <c r="E2" s="62"/>
      <c r="F2" s="63" t="s">
        <v>8275</v>
      </c>
      <c r="G2" s="64"/>
      <c r="H2" s="64"/>
      <c r="I2" s="63" t="s">
        <v>8276</v>
      </c>
      <c r="J2" s="64"/>
      <c r="K2" s="65"/>
    </row>
    <row r="3" spans="1:11" ht="15" customHeight="1" x14ac:dyDescent="0.2">
      <c r="A3" s="200"/>
      <c r="B3" s="200"/>
      <c r="C3" s="200"/>
      <c r="D3" s="200"/>
      <c r="E3" s="70" t="s">
        <v>8287</v>
      </c>
      <c r="F3" s="71" t="s">
        <v>8288</v>
      </c>
      <c r="G3" s="71" t="s">
        <v>8289</v>
      </c>
      <c r="H3" s="71" t="s">
        <v>8290</v>
      </c>
      <c r="I3" s="71" t="s">
        <v>8291</v>
      </c>
      <c r="J3" s="71" t="s">
        <v>8292</v>
      </c>
      <c r="K3" s="71" t="s">
        <v>8485</v>
      </c>
    </row>
    <row r="4" spans="1:11" ht="15" customHeight="1" x14ac:dyDescent="0.2">
      <c r="A4" s="77"/>
      <c r="B4" s="78"/>
      <c r="C4" s="77"/>
      <c r="D4" s="79" t="s">
        <v>8298</v>
      </c>
      <c r="E4" s="80">
        <v>0</v>
      </c>
      <c r="F4" s="80">
        <v>0</v>
      </c>
      <c r="G4" s="80">
        <v>0</v>
      </c>
      <c r="H4" s="80">
        <v>0</v>
      </c>
      <c r="I4" s="80">
        <v>0</v>
      </c>
      <c r="J4" s="80">
        <v>0</v>
      </c>
      <c r="K4" s="80">
        <v>0</v>
      </c>
    </row>
    <row r="5" spans="1:11" ht="15" customHeight="1" x14ac:dyDescent="0.2">
      <c r="A5" s="82"/>
      <c r="B5" s="78" t="s">
        <v>8305</v>
      </c>
      <c r="C5" s="82" t="s">
        <v>8257</v>
      </c>
      <c r="D5" s="83" t="s">
        <v>8306</v>
      </c>
      <c r="E5" s="80">
        <v>8</v>
      </c>
      <c r="F5" s="80">
        <v>16</v>
      </c>
      <c r="G5" s="80">
        <v>17</v>
      </c>
      <c r="H5" s="80">
        <v>22</v>
      </c>
      <c r="I5" s="80">
        <v>27</v>
      </c>
      <c r="J5" s="80">
        <v>25</v>
      </c>
      <c r="K5" s="80">
        <v>20</v>
      </c>
    </row>
    <row r="6" spans="1:11" ht="15" customHeight="1" x14ac:dyDescent="0.2">
      <c r="A6" s="82">
        <v>1</v>
      </c>
      <c r="B6" s="86" t="s">
        <v>8310</v>
      </c>
      <c r="C6" s="82" t="s">
        <v>8311</v>
      </c>
      <c r="D6" s="83" t="s">
        <v>8312</v>
      </c>
      <c r="E6" s="80">
        <v>42</v>
      </c>
      <c r="F6" s="80">
        <v>31</v>
      </c>
      <c r="G6" s="80">
        <v>51</v>
      </c>
      <c r="H6" s="80">
        <v>52</v>
      </c>
      <c r="I6" s="80">
        <v>47</v>
      </c>
      <c r="J6" s="80">
        <v>48</v>
      </c>
      <c r="K6" s="80">
        <v>39</v>
      </c>
    </row>
    <row r="7" spans="1:11" ht="15" customHeight="1" x14ac:dyDescent="0.2">
      <c r="A7" s="89"/>
      <c r="B7" s="86" t="s">
        <v>8317</v>
      </c>
      <c r="C7" s="89"/>
      <c r="D7" s="83" t="s">
        <v>8318</v>
      </c>
      <c r="E7" s="80">
        <v>62</v>
      </c>
      <c r="F7" s="80">
        <v>48</v>
      </c>
      <c r="G7" s="80">
        <v>59</v>
      </c>
      <c r="H7" s="80">
        <v>55</v>
      </c>
      <c r="I7" s="80">
        <v>69</v>
      </c>
      <c r="J7" s="80">
        <v>57</v>
      </c>
      <c r="K7" s="80">
        <v>63</v>
      </c>
    </row>
    <row r="8" spans="1:11" ht="15" customHeight="1" x14ac:dyDescent="0.2">
      <c r="A8" s="89"/>
      <c r="B8" s="92"/>
      <c r="C8" s="89"/>
      <c r="D8" s="83" t="s">
        <v>8325</v>
      </c>
      <c r="E8" s="80">
        <v>70</v>
      </c>
      <c r="F8" s="80">
        <v>56</v>
      </c>
      <c r="G8" s="80">
        <v>51</v>
      </c>
      <c r="H8" s="80">
        <v>60</v>
      </c>
      <c r="I8" s="80">
        <v>59</v>
      </c>
      <c r="J8" s="80">
        <v>44</v>
      </c>
      <c r="K8" s="80">
        <v>71</v>
      </c>
    </row>
    <row r="9" spans="1:11" ht="15" customHeight="1" x14ac:dyDescent="0.2">
      <c r="A9" s="77"/>
      <c r="B9" s="96"/>
      <c r="C9" s="97"/>
      <c r="D9" s="71" t="s">
        <v>8332</v>
      </c>
      <c r="E9" s="80">
        <v>30</v>
      </c>
      <c r="F9" s="80">
        <v>24</v>
      </c>
      <c r="G9" s="80">
        <v>25</v>
      </c>
      <c r="H9" s="80">
        <v>26</v>
      </c>
      <c r="I9" s="80">
        <v>29</v>
      </c>
      <c r="J9" s="80">
        <v>25</v>
      </c>
      <c r="K9" s="80">
        <v>31</v>
      </c>
    </row>
    <row r="10" spans="1:11" ht="15" customHeight="1" x14ac:dyDescent="0.2">
      <c r="A10" s="82">
        <v>2</v>
      </c>
      <c r="B10" s="78" t="s">
        <v>8338</v>
      </c>
      <c r="C10" s="103"/>
      <c r="D10" s="71" t="s">
        <v>8339</v>
      </c>
      <c r="E10" s="80">
        <v>22</v>
      </c>
      <c r="F10" s="80">
        <v>19</v>
      </c>
      <c r="G10" s="80">
        <v>10</v>
      </c>
      <c r="H10" s="80">
        <v>5</v>
      </c>
      <c r="I10" s="80">
        <v>16</v>
      </c>
      <c r="J10" s="80">
        <v>8</v>
      </c>
      <c r="K10" s="80">
        <v>8</v>
      </c>
    </row>
    <row r="11" spans="1:11" ht="15" customHeight="1" x14ac:dyDescent="0.2">
      <c r="A11" s="89"/>
      <c r="B11" s="92"/>
      <c r="C11" s="103"/>
      <c r="D11" s="71" t="s">
        <v>8344</v>
      </c>
      <c r="E11" s="80">
        <v>8</v>
      </c>
      <c r="F11" s="80">
        <v>14</v>
      </c>
      <c r="G11" s="80">
        <v>0</v>
      </c>
      <c r="H11" s="80">
        <v>0</v>
      </c>
      <c r="I11" s="80">
        <v>0</v>
      </c>
      <c r="J11" s="80">
        <v>13</v>
      </c>
      <c r="K11" s="80">
        <v>4</v>
      </c>
    </row>
    <row r="12" spans="1:11" ht="15" customHeight="1" x14ac:dyDescent="0.2">
      <c r="A12" s="109"/>
      <c r="B12" s="110"/>
      <c r="C12" s="111"/>
      <c r="D12" s="71" t="s">
        <v>8351</v>
      </c>
      <c r="E12" s="80">
        <v>0</v>
      </c>
      <c r="F12" s="80">
        <v>0</v>
      </c>
      <c r="G12" s="80">
        <v>5</v>
      </c>
      <c r="H12" s="80">
        <v>5</v>
      </c>
      <c r="I12" s="80">
        <v>6</v>
      </c>
      <c r="J12" s="80">
        <v>0</v>
      </c>
      <c r="K12" s="80">
        <v>0</v>
      </c>
    </row>
    <row r="13" spans="1:11" ht="15" customHeight="1" x14ac:dyDescent="0.2">
      <c r="A13" s="82"/>
      <c r="B13" s="78"/>
      <c r="C13" s="82"/>
      <c r="D13" s="71" t="s">
        <v>8356</v>
      </c>
      <c r="E13" s="80">
        <v>20</v>
      </c>
      <c r="F13" s="80">
        <v>19</v>
      </c>
      <c r="G13" s="80">
        <v>25</v>
      </c>
      <c r="H13" s="80">
        <v>26</v>
      </c>
      <c r="I13" s="80">
        <v>29</v>
      </c>
      <c r="J13" s="80">
        <v>25</v>
      </c>
      <c r="K13" s="80">
        <v>31</v>
      </c>
    </row>
    <row r="14" spans="1:11" ht="15" customHeight="1" x14ac:dyDescent="0.2">
      <c r="A14" s="82">
        <v>3</v>
      </c>
      <c r="B14" s="78" t="s">
        <v>8359</v>
      </c>
      <c r="C14" s="82" t="s">
        <v>8360</v>
      </c>
      <c r="D14" s="83" t="s">
        <v>8361</v>
      </c>
      <c r="E14" s="80">
        <v>30</v>
      </c>
      <c r="F14" s="80">
        <v>24</v>
      </c>
      <c r="G14" s="80">
        <v>20</v>
      </c>
      <c r="H14" s="80">
        <v>14</v>
      </c>
      <c r="I14" s="80">
        <v>25</v>
      </c>
      <c r="J14" s="80">
        <v>13</v>
      </c>
      <c r="K14" s="80">
        <v>16</v>
      </c>
    </row>
    <row r="15" spans="1:11" ht="15" customHeight="1" x14ac:dyDescent="0.2">
      <c r="A15" s="89"/>
      <c r="B15" s="92"/>
      <c r="C15" s="89"/>
      <c r="D15" s="83" t="s">
        <v>8367</v>
      </c>
      <c r="E15" s="80">
        <v>0</v>
      </c>
      <c r="F15" s="80">
        <v>0</v>
      </c>
      <c r="G15" s="80">
        <v>0</v>
      </c>
      <c r="H15" s="80">
        <v>0</v>
      </c>
      <c r="I15" s="80">
        <v>0</v>
      </c>
      <c r="J15" s="80">
        <v>0</v>
      </c>
      <c r="K15" s="80">
        <v>0</v>
      </c>
    </row>
    <row r="16" spans="1:11" ht="15" customHeight="1" x14ac:dyDescent="0.2">
      <c r="A16" s="77"/>
      <c r="B16" s="96"/>
      <c r="C16" s="77"/>
      <c r="D16" s="83" t="s">
        <v>8374</v>
      </c>
      <c r="E16" s="80">
        <v>0</v>
      </c>
      <c r="F16" s="80">
        <v>0</v>
      </c>
      <c r="G16" s="80">
        <v>0</v>
      </c>
      <c r="H16" s="80">
        <v>0</v>
      </c>
      <c r="I16" s="80">
        <v>0</v>
      </c>
      <c r="J16" s="80">
        <v>0</v>
      </c>
      <c r="K16" s="80">
        <v>0</v>
      </c>
    </row>
    <row r="17" spans="1:14" ht="15" customHeight="1" x14ac:dyDescent="0.2">
      <c r="A17" s="82">
        <v>4</v>
      </c>
      <c r="B17" s="78" t="s">
        <v>8378</v>
      </c>
      <c r="C17" s="82" t="s">
        <v>8379</v>
      </c>
      <c r="D17" s="83" t="s">
        <v>8516</v>
      </c>
      <c r="E17" s="80">
        <v>6</v>
      </c>
      <c r="F17" s="80">
        <v>5</v>
      </c>
      <c r="G17" s="80">
        <v>3</v>
      </c>
      <c r="H17" s="80">
        <v>3</v>
      </c>
      <c r="I17" s="80">
        <v>4</v>
      </c>
      <c r="J17" s="80">
        <v>3</v>
      </c>
      <c r="K17" s="80">
        <v>6</v>
      </c>
    </row>
    <row r="18" spans="1:14" ht="15" customHeight="1" x14ac:dyDescent="0.2">
      <c r="A18" s="89"/>
      <c r="B18" s="92"/>
      <c r="C18" s="89"/>
      <c r="D18" s="83" t="s">
        <v>8515</v>
      </c>
      <c r="E18" s="80">
        <v>10</v>
      </c>
      <c r="F18" s="80">
        <v>8</v>
      </c>
      <c r="G18" s="80">
        <v>8</v>
      </c>
      <c r="H18" s="80">
        <v>9</v>
      </c>
      <c r="I18" s="80">
        <v>10</v>
      </c>
      <c r="J18" s="80">
        <v>8</v>
      </c>
      <c r="K18" s="80">
        <v>10</v>
      </c>
    </row>
    <row r="19" spans="1:14" ht="15" customHeight="1" x14ac:dyDescent="0.2">
      <c r="A19" s="109"/>
      <c r="B19" s="110"/>
      <c r="C19" s="109"/>
      <c r="D19" s="83" t="s">
        <v>8514</v>
      </c>
      <c r="E19" s="80">
        <v>20</v>
      </c>
      <c r="F19" s="80">
        <v>16</v>
      </c>
      <c r="G19" s="80">
        <v>17</v>
      </c>
      <c r="H19" s="80">
        <v>17</v>
      </c>
      <c r="I19" s="80">
        <v>20</v>
      </c>
      <c r="J19" s="80">
        <v>16</v>
      </c>
      <c r="K19" s="80">
        <v>20</v>
      </c>
    </row>
    <row r="20" spans="1:14" ht="15" hidden="1" customHeight="1" x14ac:dyDescent="0.2">
      <c r="A20" s="183"/>
      <c r="B20" s="184"/>
      <c r="C20" s="183"/>
      <c r="D20" s="185" t="s">
        <v>8512</v>
      </c>
      <c r="E20" s="186">
        <v>0</v>
      </c>
      <c r="F20" s="186">
        <v>0</v>
      </c>
      <c r="G20" s="186">
        <v>0</v>
      </c>
      <c r="H20" s="186">
        <v>0</v>
      </c>
      <c r="I20" s="186">
        <v>0</v>
      </c>
      <c r="J20" s="186">
        <v>0</v>
      </c>
      <c r="K20" s="186">
        <v>0</v>
      </c>
    </row>
    <row r="21" spans="1:14" ht="15" hidden="1" customHeight="1" x14ac:dyDescent="0.2">
      <c r="A21" s="183"/>
      <c r="B21" s="187" t="s">
        <v>8510</v>
      </c>
      <c r="C21" s="183"/>
      <c r="D21" s="185" t="s">
        <v>8513</v>
      </c>
      <c r="E21" s="186">
        <v>0</v>
      </c>
      <c r="F21" s="186">
        <v>0</v>
      </c>
      <c r="G21" s="186">
        <v>0</v>
      </c>
      <c r="H21" s="186">
        <v>0</v>
      </c>
      <c r="I21" s="186">
        <v>0</v>
      </c>
      <c r="J21" s="186">
        <v>0</v>
      </c>
      <c r="K21" s="186">
        <v>0</v>
      </c>
    </row>
    <row r="22" spans="1:14" ht="15" hidden="1" customHeight="1" x14ac:dyDescent="0.2">
      <c r="A22" s="183"/>
      <c r="B22" s="184"/>
      <c r="C22" s="183"/>
      <c r="D22" s="188" t="s">
        <v>8511</v>
      </c>
      <c r="E22" s="186">
        <v>0</v>
      </c>
      <c r="F22" s="186">
        <v>0</v>
      </c>
      <c r="G22" s="186">
        <v>0</v>
      </c>
      <c r="H22" s="186">
        <v>0</v>
      </c>
      <c r="I22" s="186">
        <v>0</v>
      </c>
      <c r="J22" s="186">
        <v>0</v>
      </c>
      <c r="K22" s="186">
        <v>0</v>
      </c>
    </row>
    <row r="23" spans="1:14" ht="15" customHeight="1" x14ac:dyDescent="0.2">
      <c r="A23" s="77"/>
      <c r="B23" s="96"/>
      <c r="C23" s="97"/>
      <c r="D23" s="83">
        <v>1</v>
      </c>
      <c r="E23" s="80">
        <v>34</v>
      </c>
      <c r="F23" s="80">
        <v>26</v>
      </c>
      <c r="G23" s="80">
        <v>27</v>
      </c>
      <c r="H23" s="80">
        <v>28</v>
      </c>
      <c r="I23" s="80">
        <v>33</v>
      </c>
      <c r="J23" s="80">
        <v>28</v>
      </c>
      <c r="K23" s="80">
        <v>33</v>
      </c>
    </row>
    <row r="24" spans="1:14" ht="15" customHeight="1" x14ac:dyDescent="0.2">
      <c r="A24" s="82"/>
      <c r="B24" s="78"/>
      <c r="C24" s="103"/>
      <c r="D24" s="83" t="s">
        <v>8490</v>
      </c>
      <c r="E24" s="80">
        <v>50</v>
      </c>
      <c r="F24" s="80">
        <v>40</v>
      </c>
      <c r="G24" s="80">
        <v>42</v>
      </c>
      <c r="H24" s="80">
        <v>43</v>
      </c>
      <c r="I24" s="80">
        <v>49</v>
      </c>
      <c r="J24" s="80">
        <v>41</v>
      </c>
      <c r="K24" s="80">
        <v>51</v>
      </c>
      <c r="M24" s="181" t="s">
        <v>8505</v>
      </c>
      <c r="N24" s="181" t="s">
        <v>8506</v>
      </c>
    </row>
    <row r="25" spans="1:14" ht="15" customHeight="1" x14ac:dyDescent="0.2">
      <c r="A25" s="82">
        <v>5</v>
      </c>
      <c r="B25" s="78" t="s">
        <v>8397</v>
      </c>
      <c r="C25" s="103"/>
      <c r="D25" s="83" t="s">
        <v>8491</v>
      </c>
      <c r="E25" s="80">
        <v>36</v>
      </c>
      <c r="F25" s="80">
        <v>31</v>
      </c>
      <c r="G25" s="80">
        <v>30</v>
      </c>
      <c r="H25" s="80">
        <v>31</v>
      </c>
      <c r="I25" s="80">
        <v>37</v>
      </c>
      <c r="J25" s="80">
        <v>30</v>
      </c>
      <c r="K25" s="80">
        <v>37</v>
      </c>
      <c r="M25" s="182" t="s">
        <v>8499</v>
      </c>
      <c r="N25" s="182" t="s">
        <v>8500</v>
      </c>
    </row>
    <row r="26" spans="1:14" ht="15" customHeight="1" x14ac:dyDescent="0.2">
      <c r="A26" s="89"/>
      <c r="B26" s="128" t="s">
        <v>8399</v>
      </c>
      <c r="C26" s="103"/>
      <c r="D26" s="83" t="s">
        <v>8492</v>
      </c>
      <c r="E26" s="80">
        <v>34</v>
      </c>
      <c r="F26" s="80">
        <v>26</v>
      </c>
      <c r="G26" s="80">
        <v>27</v>
      </c>
      <c r="H26" s="80">
        <v>28</v>
      </c>
      <c r="I26" s="80">
        <v>33</v>
      </c>
      <c r="J26" s="80">
        <v>28</v>
      </c>
      <c r="K26" s="80">
        <v>33</v>
      </c>
      <c r="M26" s="182" t="s">
        <v>8501</v>
      </c>
      <c r="N26" s="182" t="s">
        <v>8502</v>
      </c>
    </row>
    <row r="27" spans="1:14" ht="15" customHeight="1" x14ac:dyDescent="0.2">
      <c r="A27" s="109"/>
      <c r="B27" s="110"/>
      <c r="C27" s="111"/>
      <c r="D27" s="83" t="s">
        <v>8493</v>
      </c>
      <c r="E27" s="80">
        <v>30</v>
      </c>
      <c r="F27" s="80">
        <v>24</v>
      </c>
      <c r="G27" s="80">
        <v>25</v>
      </c>
      <c r="H27" s="80">
        <v>26</v>
      </c>
      <c r="I27" s="80">
        <v>29</v>
      </c>
      <c r="J27" s="80">
        <v>25</v>
      </c>
      <c r="K27" s="80">
        <v>31</v>
      </c>
      <c r="M27" s="182" t="s">
        <v>8503</v>
      </c>
      <c r="N27" s="182" t="s">
        <v>8504</v>
      </c>
    </row>
    <row r="29" spans="1:14" ht="15" customHeight="1" x14ac:dyDescent="0.2">
      <c r="A29" t="s">
        <v>8268</v>
      </c>
      <c r="C29" s="179" t="s">
        <v>8495</v>
      </c>
    </row>
    <row r="30" spans="1:14" ht="15" customHeight="1" x14ac:dyDescent="0.2">
      <c r="A30" s="200" t="s">
        <v>8272</v>
      </c>
      <c r="B30" s="200"/>
      <c r="C30" s="200" t="s">
        <v>8273</v>
      </c>
      <c r="D30" s="200" t="s">
        <v>8274</v>
      </c>
      <c r="E30" s="62"/>
      <c r="F30" s="63" t="s">
        <v>8275</v>
      </c>
      <c r="G30" s="64"/>
      <c r="H30" s="64"/>
      <c r="I30" s="63" t="s">
        <v>8276</v>
      </c>
      <c r="J30" s="64"/>
      <c r="K30" s="65"/>
    </row>
    <row r="31" spans="1:14" ht="15" customHeight="1" x14ac:dyDescent="0.2">
      <c r="A31" s="200"/>
      <c r="B31" s="200"/>
      <c r="C31" s="200"/>
      <c r="D31" s="200"/>
      <c r="E31" s="70" t="s">
        <v>8287</v>
      </c>
      <c r="F31" s="71" t="s">
        <v>8288</v>
      </c>
      <c r="G31" s="71" t="s">
        <v>8289</v>
      </c>
      <c r="H31" s="71" t="s">
        <v>8290</v>
      </c>
      <c r="I31" s="71" t="s">
        <v>8291</v>
      </c>
      <c r="J31" s="71" t="s">
        <v>8292</v>
      </c>
      <c r="K31" s="71" t="s">
        <v>8485</v>
      </c>
    </row>
    <row r="32" spans="1:14" ht="15" customHeight="1" x14ac:dyDescent="0.2">
      <c r="A32" s="77"/>
      <c r="B32" s="78"/>
      <c r="C32" s="77"/>
      <c r="D32" s="79" t="s">
        <v>8298</v>
      </c>
      <c r="E32" s="80">
        <v>0</v>
      </c>
      <c r="F32" s="80">
        <v>0</v>
      </c>
      <c r="G32" s="80">
        <v>0</v>
      </c>
      <c r="H32" s="80">
        <v>0</v>
      </c>
      <c r="I32" s="80">
        <v>0</v>
      </c>
      <c r="J32" s="80">
        <v>0</v>
      </c>
      <c r="K32" s="80">
        <v>0</v>
      </c>
    </row>
    <row r="33" spans="1:11" ht="15" customHeight="1" x14ac:dyDescent="0.2">
      <c r="A33" s="82"/>
      <c r="B33" s="78" t="s">
        <v>8305</v>
      </c>
      <c r="C33" s="82" t="s">
        <v>8257</v>
      </c>
      <c r="D33" s="83" t="s">
        <v>8306</v>
      </c>
      <c r="E33" s="80">
        <v>6</v>
      </c>
      <c r="F33" s="80">
        <v>22</v>
      </c>
      <c r="G33" s="80">
        <v>13</v>
      </c>
      <c r="H33" s="80">
        <v>12</v>
      </c>
      <c r="I33" s="80">
        <v>31</v>
      </c>
      <c r="J33" s="80">
        <v>23</v>
      </c>
      <c r="K33" s="80">
        <v>14</v>
      </c>
    </row>
    <row r="34" spans="1:11" ht="15" customHeight="1" x14ac:dyDescent="0.2">
      <c r="A34" s="82">
        <v>1</v>
      </c>
      <c r="B34" s="86" t="s">
        <v>8310</v>
      </c>
      <c r="C34" s="82" t="s">
        <v>8311</v>
      </c>
      <c r="D34" s="83" t="s">
        <v>8312</v>
      </c>
      <c r="E34" s="80">
        <v>32</v>
      </c>
      <c r="F34" s="80">
        <v>47</v>
      </c>
      <c r="G34" s="80">
        <v>46</v>
      </c>
      <c r="H34" s="80">
        <v>30</v>
      </c>
      <c r="I34" s="80">
        <v>61</v>
      </c>
      <c r="J34" s="80">
        <v>49</v>
      </c>
      <c r="K34" s="80">
        <v>36</v>
      </c>
    </row>
    <row r="35" spans="1:11" ht="15" customHeight="1" x14ac:dyDescent="0.2">
      <c r="A35" s="89"/>
      <c r="B35" s="86" t="s">
        <v>8317</v>
      </c>
      <c r="C35" s="89"/>
      <c r="D35" s="83" t="s">
        <v>8318</v>
      </c>
      <c r="E35" s="80">
        <v>49</v>
      </c>
      <c r="F35" s="80">
        <v>60</v>
      </c>
      <c r="G35" s="80">
        <v>51</v>
      </c>
      <c r="H35" s="80">
        <v>42</v>
      </c>
      <c r="I35" s="80">
        <v>71</v>
      </c>
      <c r="J35" s="80">
        <v>66</v>
      </c>
      <c r="K35" s="80">
        <v>60</v>
      </c>
    </row>
    <row r="36" spans="1:11" ht="15" customHeight="1" x14ac:dyDescent="0.2">
      <c r="A36" s="89"/>
      <c r="B36" s="92"/>
      <c r="C36" s="89"/>
      <c r="D36" s="83" t="s">
        <v>8325</v>
      </c>
      <c r="E36" s="80">
        <v>54</v>
      </c>
      <c r="F36" s="80">
        <v>64</v>
      </c>
      <c r="G36" s="80">
        <v>46</v>
      </c>
      <c r="H36" s="80">
        <v>52</v>
      </c>
      <c r="I36" s="80">
        <v>61</v>
      </c>
      <c r="J36" s="80">
        <v>57</v>
      </c>
      <c r="K36" s="80">
        <v>70</v>
      </c>
    </row>
    <row r="37" spans="1:11" ht="15" customHeight="1" x14ac:dyDescent="0.2">
      <c r="A37" s="77"/>
      <c r="B37" s="96"/>
      <c r="C37" s="97"/>
      <c r="D37" s="71" t="s">
        <v>8332</v>
      </c>
      <c r="E37" s="80">
        <v>23</v>
      </c>
      <c r="F37" s="80">
        <v>27</v>
      </c>
      <c r="G37" s="80">
        <v>22</v>
      </c>
      <c r="H37" s="80">
        <v>22</v>
      </c>
      <c r="I37" s="80">
        <v>31</v>
      </c>
      <c r="J37" s="80">
        <v>28</v>
      </c>
      <c r="K37" s="80">
        <v>30</v>
      </c>
    </row>
    <row r="38" spans="1:11" ht="15" customHeight="1" x14ac:dyDescent="0.2">
      <c r="A38" s="82">
        <v>2</v>
      </c>
      <c r="B38" s="78" t="s">
        <v>8338</v>
      </c>
      <c r="C38" s="103"/>
      <c r="D38" s="71" t="s">
        <v>8339</v>
      </c>
      <c r="E38" s="80">
        <v>8</v>
      </c>
      <c r="F38" s="80">
        <v>18</v>
      </c>
      <c r="G38" s="80">
        <v>16</v>
      </c>
      <c r="H38" s="80">
        <v>12</v>
      </c>
      <c r="I38" s="80">
        <v>18</v>
      </c>
      <c r="J38" s="80">
        <v>17</v>
      </c>
      <c r="K38" s="80">
        <v>8</v>
      </c>
    </row>
    <row r="39" spans="1:11" ht="15" customHeight="1" x14ac:dyDescent="0.2">
      <c r="A39" s="89"/>
      <c r="B39" s="92"/>
      <c r="C39" s="103"/>
      <c r="D39" s="71" t="s">
        <v>8344</v>
      </c>
      <c r="E39" s="80">
        <v>0</v>
      </c>
      <c r="F39" s="80">
        <v>15</v>
      </c>
      <c r="G39" s="80">
        <v>0</v>
      </c>
      <c r="H39" s="80">
        <v>0</v>
      </c>
      <c r="I39" s="80">
        <v>0</v>
      </c>
      <c r="J39" s="80">
        <v>21</v>
      </c>
      <c r="K39" s="80">
        <v>0</v>
      </c>
    </row>
    <row r="40" spans="1:11" ht="15" customHeight="1" x14ac:dyDescent="0.2">
      <c r="A40" s="109"/>
      <c r="B40" s="110"/>
      <c r="C40" s="111"/>
      <c r="D40" s="71" t="s">
        <v>8351</v>
      </c>
      <c r="E40" s="80">
        <v>0</v>
      </c>
      <c r="F40" s="80">
        <v>0</v>
      </c>
      <c r="G40" s="80">
        <v>4</v>
      </c>
      <c r="H40" s="80">
        <v>4</v>
      </c>
      <c r="I40" s="80">
        <v>16</v>
      </c>
      <c r="J40" s="80">
        <v>0</v>
      </c>
      <c r="K40" s="80">
        <v>4</v>
      </c>
    </row>
    <row r="41" spans="1:11" ht="15" customHeight="1" x14ac:dyDescent="0.2">
      <c r="A41" s="82"/>
      <c r="B41" s="78"/>
      <c r="C41" s="82"/>
      <c r="D41" s="71" t="s">
        <v>8356</v>
      </c>
      <c r="E41" s="80">
        <v>12</v>
      </c>
      <c r="F41" s="80">
        <v>4</v>
      </c>
      <c r="G41" s="80">
        <v>22</v>
      </c>
      <c r="H41" s="80">
        <v>22</v>
      </c>
      <c r="I41" s="80">
        <v>31</v>
      </c>
      <c r="J41" s="80">
        <v>28</v>
      </c>
      <c r="K41" s="80">
        <v>30</v>
      </c>
    </row>
    <row r="42" spans="1:11" ht="15" customHeight="1" x14ac:dyDescent="0.2">
      <c r="A42" s="82">
        <v>3</v>
      </c>
      <c r="B42" s="78" t="s">
        <v>8359</v>
      </c>
      <c r="C42" s="82" t="s">
        <v>8360</v>
      </c>
      <c r="D42" s="83" t="s">
        <v>8361</v>
      </c>
      <c r="E42" s="80">
        <v>23</v>
      </c>
      <c r="F42" s="80">
        <v>27</v>
      </c>
      <c r="G42" s="80">
        <v>19</v>
      </c>
      <c r="H42" s="80">
        <v>12</v>
      </c>
      <c r="I42" s="80">
        <v>12</v>
      </c>
      <c r="J42" s="80">
        <v>15</v>
      </c>
      <c r="K42" s="80">
        <v>20</v>
      </c>
    </row>
    <row r="43" spans="1:11" ht="15" customHeight="1" x14ac:dyDescent="0.2">
      <c r="A43" s="89"/>
      <c r="B43" s="92"/>
      <c r="C43" s="89"/>
      <c r="D43" s="83" t="s">
        <v>8367</v>
      </c>
      <c r="E43" s="80">
        <v>0</v>
      </c>
      <c r="F43" s="80">
        <v>0</v>
      </c>
      <c r="G43" s="80">
        <v>0</v>
      </c>
      <c r="H43" s="80">
        <v>0</v>
      </c>
      <c r="I43" s="80">
        <v>0</v>
      </c>
      <c r="J43" s="80">
        <v>0</v>
      </c>
      <c r="K43" s="80">
        <v>0</v>
      </c>
    </row>
    <row r="44" spans="1:11" ht="15" customHeight="1" x14ac:dyDescent="0.2">
      <c r="A44" s="77"/>
      <c r="B44" s="96"/>
      <c r="C44" s="77"/>
      <c r="D44" s="83" t="s">
        <v>8374</v>
      </c>
      <c r="E44" s="80">
        <v>0</v>
      </c>
      <c r="F44" s="80">
        <v>0</v>
      </c>
      <c r="G44" s="80">
        <v>0</v>
      </c>
      <c r="H44" s="80">
        <v>0</v>
      </c>
      <c r="I44" s="80">
        <v>0</v>
      </c>
      <c r="J44" s="80">
        <v>0</v>
      </c>
      <c r="K44" s="80">
        <v>0</v>
      </c>
    </row>
    <row r="45" spans="1:11" ht="15" customHeight="1" x14ac:dyDescent="0.2">
      <c r="A45" s="82">
        <v>4</v>
      </c>
      <c r="B45" s="78" t="s">
        <v>8378</v>
      </c>
      <c r="C45" s="82" t="s">
        <v>8379</v>
      </c>
      <c r="D45" s="83" t="s">
        <v>8516</v>
      </c>
      <c r="E45" s="80">
        <v>5</v>
      </c>
      <c r="F45" s="80">
        <v>5</v>
      </c>
      <c r="G45" s="80">
        <v>3</v>
      </c>
      <c r="H45" s="80">
        <v>3</v>
      </c>
      <c r="I45" s="80">
        <v>4</v>
      </c>
      <c r="J45" s="80">
        <v>4</v>
      </c>
      <c r="K45" s="80">
        <v>6</v>
      </c>
    </row>
    <row r="46" spans="1:11" ht="15" customHeight="1" x14ac:dyDescent="0.2">
      <c r="A46" s="89"/>
      <c r="B46" s="92"/>
      <c r="C46" s="89"/>
      <c r="D46" s="83" t="s">
        <v>8515</v>
      </c>
      <c r="E46" s="80">
        <v>8</v>
      </c>
      <c r="F46" s="80">
        <v>9</v>
      </c>
      <c r="G46" s="80">
        <v>7</v>
      </c>
      <c r="H46" s="80">
        <v>7</v>
      </c>
      <c r="I46" s="80">
        <v>10</v>
      </c>
      <c r="J46" s="80">
        <v>9</v>
      </c>
      <c r="K46" s="80">
        <v>10</v>
      </c>
    </row>
    <row r="47" spans="1:11" ht="15" customHeight="1" x14ac:dyDescent="0.2">
      <c r="A47" s="109"/>
      <c r="B47" s="110"/>
      <c r="C47" s="109"/>
      <c r="D47" s="83" t="s">
        <v>8514</v>
      </c>
      <c r="E47" s="80">
        <v>15</v>
      </c>
      <c r="F47" s="80">
        <v>18</v>
      </c>
      <c r="G47" s="80">
        <v>15</v>
      </c>
      <c r="H47" s="80">
        <v>15</v>
      </c>
      <c r="I47" s="80">
        <v>20</v>
      </c>
      <c r="J47" s="80">
        <v>19</v>
      </c>
      <c r="K47" s="80">
        <v>20</v>
      </c>
    </row>
    <row r="48" spans="1:11" ht="15" hidden="1" customHeight="1" x14ac:dyDescent="0.2">
      <c r="A48" s="183"/>
      <c r="B48" s="184"/>
      <c r="C48" s="183"/>
      <c r="D48" s="185" t="s">
        <v>8512</v>
      </c>
      <c r="E48" s="186">
        <v>0</v>
      </c>
      <c r="F48" s="186">
        <v>0</v>
      </c>
      <c r="G48" s="186">
        <v>0</v>
      </c>
      <c r="H48" s="186">
        <v>0</v>
      </c>
      <c r="I48" s="186">
        <v>0</v>
      </c>
      <c r="J48" s="186">
        <v>0</v>
      </c>
      <c r="K48" s="186">
        <v>0</v>
      </c>
    </row>
    <row r="49" spans="1:14" ht="15" hidden="1" customHeight="1" x14ac:dyDescent="0.2">
      <c r="A49" s="183"/>
      <c r="B49" s="187" t="s">
        <v>8510</v>
      </c>
      <c r="C49" s="183"/>
      <c r="D49" s="185" t="s">
        <v>8513</v>
      </c>
      <c r="E49" s="186">
        <v>0</v>
      </c>
      <c r="F49" s="186">
        <v>0</v>
      </c>
      <c r="G49" s="186">
        <v>0</v>
      </c>
      <c r="H49" s="186">
        <v>0</v>
      </c>
      <c r="I49" s="186">
        <v>0</v>
      </c>
      <c r="J49" s="186">
        <v>0</v>
      </c>
      <c r="K49" s="186">
        <v>0</v>
      </c>
    </row>
    <row r="50" spans="1:14" ht="15" hidden="1" customHeight="1" x14ac:dyDescent="0.2">
      <c r="A50" s="183"/>
      <c r="B50" s="184"/>
      <c r="C50" s="183"/>
      <c r="D50" s="188" t="s">
        <v>8511</v>
      </c>
      <c r="E50" s="186">
        <v>0</v>
      </c>
      <c r="F50" s="186">
        <v>0</v>
      </c>
      <c r="G50" s="186">
        <v>0</v>
      </c>
      <c r="H50" s="186">
        <v>0</v>
      </c>
      <c r="I50" s="186">
        <v>0</v>
      </c>
      <c r="J50" s="186">
        <v>0</v>
      </c>
      <c r="K50" s="186">
        <v>0</v>
      </c>
    </row>
    <row r="51" spans="1:14" ht="15" customHeight="1" x14ac:dyDescent="0.2">
      <c r="A51" s="77"/>
      <c r="B51" s="96"/>
      <c r="C51" s="97"/>
      <c r="D51" s="83">
        <v>1</v>
      </c>
      <c r="E51" s="80">
        <v>26</v>
      </c>
      <c r="F51" s="80">
        <v>31</v>
      </c>
      <c r="G51" s="80">
        <v>25</v>
      </c>
      <c r="H51" s="80">
        <v>25</v>
      </c>
      <c r="I51" s="80">
        <v>35</v>
      </c>
      <c r="J51" s="80">
        <v>32</v>
      </c>
      <c r="K51" s="80">
        <v>34</v>
      </c>
    </row>
    <row r="52" spans="1:14" ht="15" customHeight="1" x14ac:dyDescent="0.2">
      <c r="A52" s="82"/>
      <c r="B52" s="78"/>
      <c r="C52" s="103"/>
      <c r="D52" s="83" t="s">
        <v>8490</v>
      </c>
      <c r="E52" s="80">
        <v>39</v>
      </c>
      <c r="F52" s="80">
        <v>46</v>
      </c>
      <c r="G52" s="80">
        <v>36</v>
      </c>
      <c r="H52" s="80">
        <v>37</v>
      </c>
      <c r="I52" s="80">
        <v>51</v>
      </c>
      <c r="J52" s="80">
        <v>47</v>
      </c>
      <c r="K52" s="80">
        <v>50</v>
      </c>
      <c r="M52" s="181" t="s">
        <v>8505</v>
      </c>
      <c r="N52" s="181" t="s">
        <v>8506</v>
      </c>
    </row>
    <row r="53" spans="1:14" ht="15" customHeight="1" x14ac:dyDescent="0.2">
      <c r="A53" s="82">
        <v>5</v>
      </c>
      <c r="B53" s="78" t="s">
        <v>8397</v>
      </c>
      <c r="C53" s="103"/>
      <c r="D53" s="83" t="s">
        <v>8491</v>
      </c>
      <c r="E53" s="80">
        <v>28</v>
      </c>
      <c r="F53" s="80">
        <v>33</v>
      </c>
      <c r="G53" s="80">
        <v>28</v>
      </c>
      <c r="H53" s="80">
        <v>28</v>
      </c>
      <c r="I53" s="80">
        <v>37</v>
      </c>
      <c r="J53" s="80">
        <v>34</v>
      </c>
      <c r="K53" s="80">
        <v>36</v>
      </c>
      <c r="M53" s="182" t="s">
        <v>8499</v>
      </c>
      <c r="N53" s="182" t="s">
        <v>8507</v>
      </c>
    </row>
    <row r="54" spans="1:14" ht="15" customHeight="1" x14ac:dyDescent="0.2">
      <c r="A54" s="89"/>
      <c r="B54" s="128" t="s">
        <v>8399</v>
      </c>
      <c r="C54" s="103"/>
      <c r="D54" s="83" t="s">
        <v>8492</v>
      </c>
      <c r="E54" s="80">
        <v>26</v>
      </c>
      <c r="F54" s="80">
        <v>31</v>
      </c>
      <c r="G54" s="80">
        <v>25</v>
      </c>
      <c r="H54" s="80">
        <v>25</v>
      </c>
      <c r="I54" s="80">
        <v>35</v>
      </c>
      <c r="J54" s="80">
        <v>32</v>
      </c>
      <c r="K54" s="80">
        <v>34</v>
      </c>
      <c r="M54" s="182" t="s">
        <v>8501</v>
      </c>
      <c r="N54" s="182" t="s">
        <v>8508</v>
      </c>
    </row>
    <row r="55" spans="1:14" ht="15" customHeight="1" x14ac:dyDescent="0.2">
      <c r="A55" s="109"/>
      <c r="B55" s="110"/>
      <c r="C55" s="111"/>
      <c r="D55" s="83" t="s">
        <v>8493</v>
      </c>
      <c r="E55" s="80">
        <v>23</v>
      </c>
      <c r="F55" s="80">
        <v>27</v>
      </c>
      <c r="G55" s="80">
        <v>22</v>
      </c>
      <c r="H55" s="80">
        <v>22</v>
      </c>
      <c r="I55" s="80">
        <v>31</v>
      </c>
      <c r="J55" s="80">
        <v>28</v>
      </c>
      <c r="K55" s="80">
        <v>30</v>
      </c>
      <c r="M55" s="182" t="s">
        <v>8503</v>
      </c>
      <c r="N55" s="182" t="s">
        <v>8509</v>
      </c>
    </row>
    <row r="58" spans="1:14" ht="15" customHeight="1" x14ac:dyDescent="0.2">
      <c r="A58" t="s">
        <v>8429</v>
      </c>
    </row>
    <row r="59" spans="1:14" ht="15" customHeight="1" x14ac:dyDescent="0.2">
      <c r="B59" t="s">
        <v>8435</v>
      </c>
      <c r="C59" t="s">
        <v>8430</v>
      </c>
      <c r="D59" t="s">
        <v>8473</v>
      </c>
      <c r="E59" t="s">
        <v>8457</v>
      </c>
    </row>
    <row r="60" spans="1:14" ht="15" customHeight="1" x14ac:dyDescent="0.2">
      <c r="C60" t="s">
        <v>8431</v>
      </c>
      <c r="E60" t="s">
        <v>8458</v>
      </c>
    </row>
    <row r="61" spans="1:14" ht="15" customHeight="1" x14ac:dyDescent="0.2">
      <c r="C61" t="s">
        <v>8432</v>
      </c>
      <c r="E61" t="s">
        <v>8459</v>
      </c>
    </row>
    <row r="62" spans="1:14" ht="15" customHeight="1" x14ac:dyDescent="0.2">
      <c r="C62" t="s">
        <v>8433</v>
      </c>
      <c r="E62" t="s">
        <v>8460</v>
      </c>
    </row>
    <row r="63" spans="1:14" ht="15" customHeight="1" x14ac:dyDescent="0.2">
      <c r="B63" t="s">
        <v>8434</v>
      </c>
      <c r="C63" t="s">
        <v>8427</v>
      </c>
      <c r="E63" t="s">
        <v>8461</v>
      </c>
    </row>
    <row r="64" spans="1:14" ht="15" customHeight="1" x14ac:dyDescent="0.2">
      <c r="C64" t="s">
        <v>8488</v>
      </c>
      <c r="E64" t="s">
        <v>8462</v>
      </c>
    </row>
    <row r="65" spans="2:5" ht="15" customHeight="1" x14ac:dyDescent="0.2">
      <c r="C65" t="s">
        <v>8489</v>
      </c>
      <c r="E65" t="s">
        <v>8463</v>
      </c>
    </row>
    <row r="66" spans="2:5" ht="15" customHeight="1" x14ac:dyDescent="0.2">
      <c r="C66" t="s">
        <v>8436</v>
      </c>
      <c r="E66" t="s">
        <v>8464</v>
      </c>
    </row>
    <row r="67" spans="2:5" ht="15" customHeight="1" x14ac:dyDescent="0.2">
      <c r="B67" t="s">
        <v>8437</v>
      </c>
      <c r="C67" t="s">
        <v>8420</v>
      </c>
      <c r="D67" t="s">
        <v>8474</v>
      </c>
      <c r="E67" t="s">
        <v>8465</v>
      </c>
    </row>
    <row r="68" spans="2:5" ht="15" customHeight="1" x14ac:dyDescent="0.2">
      <c r="C68" t="s">
        <v>8417</v>
      </c>
      <c r="D68" s="177" t="s">
        <v>8467</v>
      </c>
      <c r="E68" t="s">
        <v>8466</v>
      </c>
    </row>
    <row r="69" spans="2:5" ht="15" customHeight="1" x14ac:dyDescent="0.2">
      <c r="C69" t="s">
        <v>8421</v>
      </c>
      <c r="E69" t="s">
        <v>8464</v>
      </c>
    </row>
    <row r="70" spans="2:5" ht="15" customHeight="1" x14ac:dyDescent="0.2">
      <c r="C70" t="s">
        <v>8422</v>
      </c>
      <c r="D70" t="s">
        <v>8474</v>
      </c>
      <c r="E70" t="s">
        <v>8469</v>
      </c>
    </row>
    <row r="71" spans="2:5" ht="15" customHeight="1" x14ac:dyDescent="0.2">
      <c r="C71" t="s">
        <v>8416</v>
      </c>
      <c r="D71" t="s">
        <v>8468</v>
      </c>
      <c r="E71" t="s">
        <v>8470</v>
      </c>
    </row>
    <row r="72" spans="2:5" ht="15" customHeight="1" x14ac:dyDescent="0.2">
      <c r="C72" t="s">
        <v>8423</v>
      </c>
      <c r="E72" t="s">
        <v>8471</v>
      </c>
    </row>
    <row r="73" spans="2:5" ht="15" customHeight="1" x14ac:dyDescent="0.2">
      <c r="C73" t="s">
        <v>8419</v>
      </c>
      <c r="E73" t="s">
        <v>8464</v>
      </c>
    </row>
    <row r="74" spans="2:5" ht="15" customHeight="1" x14ac:dyDescent="0.2">
      <c r="C74" t="s">
        <v>8418</v>
      </c>
      <c r="D74" t="s">
        <v>8472</v>
      </c>
      <c r="E74" t="s">
        <v>8475</v>
      </c>
    </row>
    <row r="75" spans="2:5" ht="15" customHeight="1" x14ac:dyDescent="0.2">
      <c r="C75" t="s">
        <v>8424</v>
      </c>
      <c r="E75" t="s">
        <v>8476</v>
      </c>
    </row>
    <row r="76" spans="2:5" ht="15" customHeight="1" x14ac:dyDescent="0.2">
      <c r="C76" t="s">
        <v>8425</v>
      </c>
      <c r="E76" t="s">
        <v>8477</v>
      </c>
    </row>
    <row r="77" spans="2:5" ht="15" customHeight="1" x14ac:dyDescent="0.2">
      <c r="C77" t="s">
        <v>8426</v>
      </c>
      <c r="E77" t="s">
        <v>8478</v>
      </c>
    </row>
    <row r="78" spans="2:5" ht="15" customHeight="1" x14ac:dyDescent="0.2">
      <c r="C78" t="s">
        <v>8428</v>
      </c>
      <c r="E78" t="s">
        <v>8479</v>
      </c>
    </row>
    <row r="79" spans="2:5" ht="15" customHeight="1" x14ac:dyDescent="0.2">
      <c r="B79" t="s">
        <v>8439</v>
      </c>
      <c r="C79" t="s">
        <v>8438</v>
      </c>
      <c r="E79" t="s">
        <v>8480</v>
      </c>
    </row>
    <row r="80" spans="2:5" ht="15" customHeight="1" x14ac:dyDescent="0.2">
      <c r="C80" t="s">
        <v>8440</v>
      </c>
      <c r="D80" t="s">
        <v>8481</v>
      </c>
      <c r="E80" t="s">
        <v>8482</v>
      </c>
    </row>
    <row r="81" spans="2:5" ht="15" customHeight="1" x14ac:dyDescent="0.2">
      <c r="C81" t="s">
        <v>8498</v>
      </c>
      <c r="E81" t="s">
        <v>8483</v>
      </c>
    </row>
    <row r="82" spans="2:5" ht="15" customHeight="1" x14ac:dyDescent="0.2">
      <c r="C82" t="s">
        <v>8441</v>
      </c>
      <c r="E82" t="s">
        <v>8484</v>
      </c>
    </row>
    <row r="83" spans="2:5" ht="15" customHeight="1" x14ac:dyDescent="0.2">
      <c r="C83" t="s">
        <v>8442</v>
      </c>
    </row>
    <row r="84" spans="2:5" ht="15" customHeight="1" x14ac:dyDescent="0.2">
      <c r="C84" t="s">
        <v>8443</v>
      </c>
    </row>
    <row r="85" spans="2:5" ht="15" customHeight="1" x14ac:dyDescent="0.2">
      <c r="C85" t="s">
        <v>8444</v>
      </c>
    </row>
    <row r="86" spans="2:5" ht="15" customHeight="1" x14ac:dyDescent="0.2">
      <c r="C86" t="s">
        <v>8445</v>
      </c>
    </row>
    <row r="87" spans="2:5" ht="15" customHeight="1" x14ac:dyDescent="0.2">
      <c r="C87" t="s">
        <v>8446</v>
      </c>
    </row>
    <row r="88" spans="2:5" ht="15" customHeight="1" x14ac:dyDescent="0.2">
      <c r="C88" t="s">
        <v>8447</v>
      </c>
    </row>
    <row r="89" spans="2:5" ht="15" customHeight="1" x14ac:dyDescent="0.2">
      <c r="C89" t="s">
        <v>8448</v>
      </c>
    </row>
    <row r="90" spans="2:5" ht="15" customHeight="1" x14ac:dyDescent="0.2">
      <c r="C90" t="s">
        <v>8449</v>
      </c>
    </row>
    <row r="91" spans="2:5" ht="15" customHeight="1" x14ac:dyDescent="0.2">
      <c r="C91" t="s">
        <v>8450</v>
      </c>
    </row>
    <row r="92" spans="2:5" ht="15" customHeight="1" x14ac:dyDescent="0.2">
      <c r="C92" t="s">
        <v>8451</v>
      </c>
    </row>
    <row r="93" spans="2:5" ht="15" customHeight="1" x14ac:dyDescent="0.2">
      <c r="C93" t="s">
        <v>8452</v>
      </c>
    </row>
    <row r="94" spans="2:5" ht="15" customHeight="1" x14ac:dyDescent="0.2">
      <c r="C94" t="s">
        <v>8453</v>
      </c>
    </row>
    <row r="95" spans="2:5" ht="15" customHeight="1" x14ac:dyDescent="0.2">
      <c r="C95" t="s">
        <v>8454</v>
      </c>
    </row>
    <row r="96" spans="2:5" ht="15" customHeight="1" x14ac:dyDescent="0.2">
      <c r="B96" t="s">
        <v>8456</v>
      </c>
    </row>
    <row r="97" spans="3:3" ht="15" customHeight="1" x14ac:dyDescent="0.2">
      <c r="C97" t="s">
        <v>8455</v>
      </c>
    </row>
  </sheetData>
  <mergeCells count="6">
    <mergeCell ref="A2:B3"/>
    <mergeCell ref="C2:C3"/>
    <mergeCell ref="D2:D3"/>
    <mergeCell ref="A30:B31"/>
    <mergeCell ref="C30:C31"/>
    <mergeCell ref="D30:D31"/>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N29"/>
  <sheetViews>
    <sheetView workbookViewId="0"/>
  </sheetViews>
  <sheetFormatPr defaultRowHeight="15" customHeight="1" x14ac:dyDescent="0.2"/>
  <cols>
    <col min="1" max="1" width="22.6640625" customWidth="1"/>
    <col min="2" max="2" width="5.77734375" customWidth="1"/>
    <col min="3" max="3" width="23.88671875" customWidth="1"/>
    <col min="4" max="4" width="6.88671875" customWidth="1"/>
    <col min="6" max="6" width="13.6640625" customWidth="1"/>
    <col min="7" max="7" width="24.21875" customWidth="1"/>
    <col min="8" max="8" width="13.88671875" customWidth="1"/>
    <col min="9" max="9" width="9.44140625" customWidth="1"/>
    <col min="10" max="10" width="7.21875" customWidth="1"/>
    <col min="12" max="12" width="24.44140625" customWidth="1"/>
    <col min="13" max="13" width="18.6640625" customWidth="1"/>
    <col min="14" max="14" width="7.21875" customWidth="1"/>
  </cols>
  <sheetData>
    <row r="1" spans="1:14" ht="15" customHeight="1" x14ac:dyDescent="0.2">
      <c r="A1" t="s">
        <v>8269</v>
      </c>
      <c r="F1" t="s">
        <v>8270</v>
      </c>
      <c r="L1" t="s">
        <v>8271</v>
      </c>
    </row>
    <row r="2" spans="1:14" ht="15" customHeight="1" x14ac:dyDescent="0.2">
      <c r="A2" s="66" t="s">
        <v>8277</v>
      </c>
      <c r="B2" s="67" t="s">
        <v>8278</v>
      </c>
      <c r="C2" s="66" t="s">
        <v>8279</v>
      </c>
      <c r="D2" s="66" t="s">
        <v>8280</v>
      </c>
      <c r="E2" s="68"/>
      <c r="F2" s="205" t="s">
        <v>8281</v>
      </c>
      <c r="G2" s="205" t="s">
        <v>8282</v>
      </c>
      <c r="H2" s="205"/>
      <c r="I2" s="205"/>
      <c r="J2" s="206" t="s">
        <v>8283</v>
      </c>
      <c r="K2" s="68"/>
      <c r="L2" s="69" t="s">
        <v>8284</v>
      </c>
      <c r="M2" s="69" t="s">
        <v>8285</v>
      </c>
      <c r="N2" s="69" t="s">
        <v>8286</v>
      </c>
    </row>
    <row r="3" spans="1:14" ht="15" customHeight="1" x14ac:dyDescent="0.2">
      <c r="A3" s="72"/>
      <c r="B3" s="73"/>
      <c r="C3" s="74" t="s">
        <v>8293</v>
      </c>
      <c r="D3" s="66">
        <v>9</v>
      </c>
      <c r="E3" s="68"/>
      <c r="F3" s="205"/>
      <c r="G3" s="75" t="s">
        <v>8294</v>
      </c>
      <c r="H3" s="205" t="s">
        <v>8295</v>
      </c>
      <c r="I3" s="205"/>
      <c r="J3" s="212"/>
      <c r="K3" s="68"/>
      <c r="L3" s="201" t="s">
        <v>8296</v>
      </c>
      <c r="M3" s="76" t="s">
        <v>8297</v>
      </c>
      <c r="N3" s="76">
        <v>56</v>
      </c>
    </row>
    <row r="4" spans="1:14" ht="15" customHeight="1" x14ac:dyDescent="0.2">
      <c r="A4" s="72" t="s">
        <v>8299</v>
      </c>
      <c r="B4" s="73" t="s">
        <v>8300</v>
      </c>
      <c r="C4" s="74" t="s">
        <v>8301</v>
      </c>
      <c r="D4" s="66">
        <v>5</v>
      </c>
      <c r="E4" s="68"/>
      <c r="F4" s="202" t="s">
        <v>8302</v>
      </c>
      <c r="G4" s="81" t="s">
        <v>8303</v>
      </c>
      <c r="H4" s="203" t="s">
        <v>8303</v>
      </c>
      <c r="I4" s="203"/>
      <c r="J4" s="75">
        <v>2</v>
      </c>
      <c r="K4" s="68"/>
      <c r="L4" s="201"/>
      <c r="M4" s="76" t="s">
        <v>8304</v>
      </c>
      <c r="N4" s="76">
        <v>48</v>
      </c>
    </row>
    <row r="5" spans="1:14" ht="15" customHeight="1" x14ac:dyDescent="0.2">
      <c r="A5" s="84"/>
      <c r="B5" s="85"/>
      <c r="C5" s="74" t="s">
        <v>8307</v>
      </c>
      <c r="D5" s="66">
        <v>1</v>
      </c>
      <c r="E5" s="68"/>
      <c r="F5" s="203"/>
      <c r="G5" s="81" t="s">
        <v>8308</v>
      </c>
      <c r="H5" s="203" t="s">
        <v>8308</v>
      </c>
      <c r="I5" s="203"/>
      <c r="J5" s="75">
        <v>1</v>
      </c>
      <c r="K5" s="68"/>
      <c r="L5" s="201"/>
      <c r="M5" s="76" t="s">
        <v>8309</v>
      </c>
      <c r="N5" s="76">
        <v>40</v>
      </c>
    </row>
    <row r="6" spans="1:14" ht="15" customHeight="1" x14ac:dyDescent="0.2">
      <c r="A6" s="87"/>
      <c r="B6" s="88"/>
      <c r="C6" s="74" t="s">
        <v>8313</v>
      </c>
      <c r="D6" s="66">
        <v>0</v>
      </c>
      <c r="E6" s="68"/>
      <c r="F6" s="203" t="s">
        <v>8314</v>
      </c>
      <c r="G6" s="205" t="s">
        <v>8315</v>
      </c>
      <c r="H6" s="205"/>
      <c r="I6" s="205"/>
      <c r="J6" s="75">
        <v>2</v>
      </c>
      <c r="K6" s="68"/>
      <c r="L6" s="201"/>
      <c r="M6" s="76" t="s">
        <v>8316</v>
      </c>
      <c r="N6" s="76">
        <v>0</v>
      </c>
    </row>
    <row r="7" spans="1:14" ht="15" customHeight="1" x14ac:dyDescent="0.2">
      <c r="A7" s="72" t="s">
        <v>8319</v>
      </c>
      <c r="B7" s="90" t="s">
        <v>8320</v>
      </c>
      <c r="C7" s="74" t="s">
        <v>8321</v>
      </c>
      <c r="D7" s="66">
        <v>1</v>
      </c>
      <c r="E7" s="68"/>
      <c r="F7" s="204"/>
      <c r="G7" s="206" t="s">
        <v>8322</v>
      </c>
      <c r="H7" s="206"/>
      <c r="I7" s="206"/>
      <c r="J7" s="91">
        <v>1</v>
      </c>
      <c r="K7" s="68"/>
      <c r="L7" s="207" t="s">
        <v>8323</v>
      </c>
      <c r="M7" s="76" t="s">
        <v>8324</v>
      </c>
      <c r="N7" s="76">
        <v>0</v>
      </c>
    </row>
    <row r="8" spans="1:14" ht="15" customHeight="1" x14ac:dyDescent="0.2">
      <c r="A8" s="72" t="s">
        <v>8326</v>
      </c>
      <c r="B8" s="90" t="s">
        <v>8327</v>
      </c>
      <c r="C8" s="74" t="s">
        <v>8328</v>
      </c>
      <c r="D8" s="66">
        <v>4</v>
      </c>
      <c r="E8" s="68"/>
      <c r="F8" s="93"/>
      <c r="G8" s="94" t="s">
        <v>8329</v>
      </c>
      <c r="H8" s="208" t="s">
        <v>8330</v>
      </c>
      <c r="I8" s="209"/>
      <c r="J8" s="95"/>
      <c r="K8" s="68"/>
      <c r="L8" s="207"/>
      <c r="M8" s="76" t="s">
        <v>8331</v>
      </c>
      <c r="N8" s="76">
        <v>5</v>
      </c>
    </row>
    <row r="9" spans="1:14" ht="15" customHeight="1" x14ac:dyDescent="0.2">
      <c r="A9" s="98"/>
      <c r="B9" s="99"/>
      <c r="C9" s="74" t="s">
        <v>8333</v>
      </c>
      <c r="D9" s="66">
        <v>8</v>
      </c>
      <c r="E9" s="68"/>
      <c r="F9" s="100" t="s">
        <v>8334</v>
      </c>
      <c r="G9" s="101" t="s">
        <v>8335</v>
      </c>
      <c r="H9" s="210" t="s">
        <v>8336</v>
      </c>
      <c r="I9" s="211"/>
      <c r="J9" s="102">
        <v>2</v>
      </c>
      <c r="K9" s="68"/>
      <c r="L9" s="207"/>
      <c r="M9" s="76" t="s">
        <v>8337</v>
      </c>
      <c r="N9" s="76">
        <v>20</v>
      </c>
    </row>
    <row r="10" spans="1:14" ht="15" customHeight="1" x14ac:dyDescent="0.2">
      <c r="A10" s="72"/>
      <c r="B10" s="73"/>
      <c r="C10" s="74" t="s">
        <v>8340</v>
      </c>
      <c r="D10" s="66">
        <v>2</v>
      </c>
      <c r="E10" s="68"/>
      <c r="F10" s="100" t="s">
        <v>8341</v>
      </c>
      <c r="G10" s="104"/>
      <c r="H10" s="216" t="s">
        <v>8342</v>
      </c>
      <c r="I10" s="217"/>
      <c r="J10" s="105"/>
      <c r="K10" s="68"/>
      <c r="L10" s="207"/>
      <c r="M10" s="76" t="s">
        <v>8343</v>
      </c>
      <c r="N10" s="76">
        <v>9</v>
      </c>
    </row>
    <row r="11" spans="1:14" ht="15" customHeight="1" x14ac:dyDescent="0.2">
      <c r="A11" s="72" t="s">
        <v>8345</v>
      </c>
      <c r="B11" s="73" t="s">
        <v>8346</v>
      </c>
      <c r="C11" s="74" t="s">
        <v>8347</v>
      </c>
      <c r="D11" s="66">
        <v>3</v>
      </c>
      <c r="E11" s="68"/>
      <c r="F11" s="106"/>
      <c r="G11" s="107" t="s">
        <v>8348</v>
      </c>
      <c r="H11" s="212" t="s">
        <v>8348</v>
      </c>
      <c r="I11" s="212"/>
      <c r="J11" s="108">
        <v>1</v>
      </c>
      <c r="K11" s="68"/>
      <c r="L11" s="207" t="s">
        <v>8349</v>
      </c>
      <c r="M11" s="76" t="s">
        <v>8350</v>
      </c>
      <c r="N11" s="76">
        <v>0</v>
      </c>
    </row>
    <row r="12" spans="1:14" ht="15" customHeight="1" x14ac:dyDescent="0.2">
      <c r="A12" s="84"/>
      <c r="B12" s="85"/>
      <c r="C12" s="74" t="s">
        <v>8352</v>
      </c>
      <c r="D12" s="66">
        <v>0</v>
      </c>
      <c r="E12" s="68"/>
      <c r="F12" s="218" t="s">
        <v>8353</v>
      </c>
      <c r="G12" s="203" t="s">
        <v>8354</v>
      </c>
      <c r="H12" s="203"/>
      <c r="I12" s="203"/>
      <c r="J12" s="75">
        <v>2</v>
      </c>
      <c r="K12" s="68"/>
      <c r="L12" s="207"/>
      <c r="M12" s="76" t="s">
        <v>8355</v>
      </c>
      <c r="N12" s="76">
        <v>5</v>
      </c>
    </row>
    <row r="13" spans="1:14" ht="15" customHeight="1" x14ac:dyDescent="0.2">
      <c r="A13" s="87"/>
      <c r="B13" s="112"/>
      <c r="C13" s="74" t="s">
        <v>8357</v>
      </c>
      <c r="D13" s="66">
        <v>5</v>
      </c>
      <c r="E13" s="68"/>
      <c r="F13" s="204"/>
      <c r="G13" s="206" t="s">
        <v>8348</v>
      </c>
      <c r="H13" s="206"/>
      <c r="I13" s="205"/>
      <c r="J13" s="75">
        <v>1</v>
      </c>
      <c r="K13" s="68"/>
      <c r="L13" s="207"/>
      <c r="M13" s="76" t="s">
        <v>8358</v>
      </c>
      <c r="N13" s="76">
        <v>14</v>
      </c>
    </row>
    <row r="14" spans="1:14" ht="15" customHeight="1" x14ac:dyDescent="0.2">
      <c r="A14" s="72" t="s">
        <v>8362</v>
      </c>
      <c r="B14" s="90" t="s">
        <v>8363</v>
      </c>
      <c r="C14" s="74" t="s">
        <v>8364</v>
      </c>
      <c r="D14" s="66">
        <v>4</v>
      </c>
      <c r="E14" s="68"/>
      <c r="F14" s="113"/>
      <c r="G14" s="113"/>
      <c r="H14" s="114"/>
      <c r="I14" s="115" t="s">
        <v>8365</v>
      </c>
      <c r="J14" s="75">
        <v>2</v>
      </c>
      <c r="K14" s="68"/>
      <c r="L14" s="207"/>
      <c r="M14" s="76" t="s">
        <v>8366</v>
      </c>
      <c r="N14" s="76">
        <v>27</v>
      </c>
    </row>
    <row r="15" spans="1:14" ht="15" customHeight="1" x14ac:dyDescent="0.2">
      <c r="A15" s="84"/>
      <c r="B15" s="116"/>
      <c r="C15" s="74" t="s">
        <v>8368</v>
      </c>
      <c r="D15" s="66">
        <v>2</v>
      </c>
      <c r="E15" s="68"/>
      <c r="F15" s="117" t="s">
        <v>8369</v>
      </c>
      <c r="G15" s="117" t="s">
        <v>8370</v>
      </c>
      <c r="H15" s="118"/>
      <c r="I15" s="119" t="s">
        <v>8371</v>
      </c>
      <c r="J15" s="91">
        <v>1</v>
      </c>
      <c r="K15" s="68"/>
      <c r="L15" s="207" t="s">
        <v>8372</v>
      </c>
      <c r="M15" s="76" t="s">
        <v>8373</v>
      </c>
      <c r="N15" s="76">
        <v>0</v>
      </c>
    </row>
    <row r="16" spans="1:14" ht="15" customHeight="1" x14ac:dyDescent="0.2">
      <c r="A16" s="98"/>
      <c r="B16" s="99"/>
      <c r="C16" s="74" t="s">
        <v>8375</v>
      </c>
      <c r="D16" s="66">
        <v>0</v>
      </c>
      <c r="E16" s="68"/>
      <c r="F16" s="120"/>
      <c r="G16" s="120"/>
      <c r="H16" s="121"/>
      <c r="I16" s="122" t="s">
        <v>8376</v>
      </c>
      <c r="J16" s="105"/>
      <c r="K16" s="68"/>
      <c r="L16" s="207"/>
      <c r="M16" s="76" t="s">
        <v>8377</v>
      </c>
      <c r="N16" s="76">
        <v>14</v>
      </c>
    </row>
    <row r="17" spans="1:14" ht="15" customHeight="1" x14ac:dyDescent="0.2">
      <c r="A17" s="72"/>
      <c r="B17" s="73"/>
      <c r="C17" s="74" t="s">
        <v>8380</v>
      </c>
      <c r="D17" s="66">
        <v>3</v>
      </c>
      <c r="E17" s="68"/>
      <c r="F17" s="68"/>
      <c r="G17" s="68"/>
      <c r="H17" s="68"/>
      <c r="I17" s="68"/>
      <c r="J17" s="68"/>
      <c r="K17" s="68"/>
      <c r="L17" s="207"/>
      <c r="M17" s="76" t="s">
        <v>8381</v>
      </c>
      <c r="N17" s="76">
        <v>37</v>
      </c>
    </row>
    <row r="18" spans="1:14" ht="15" customHeight="1" x14ac:dyDescent="0.2">
      <c r="A18" s="72" t="s">
        <v>8382</v>
      </c>
      <c r="B18" s="73" t="s">
        <v>8320</v>
      </c>
      <c r="C18" s="74" t="s">
        <v>8383</v>
      </c>
      <c r="D18" s="66">
        <v>0</v>
      </c>
      <c r="E18" s="68"/>
      <c r="F18" s="68"/>
      <c r="G18" s="68"/>
      <c r="H18" s="68"/>
      <c r="I18" s="68"/>
      <c r="J18" s="68"/>
      <c r="K18" s="68"/>
      <c r="L18" s="207" t="s">
        <v>8384</v>
      </c>
      <c r="M18" s="76" t="s">
        <v>8385</v>
      </c>
      <c r="N18" s="76">
        <v>0</v>
      </c>
    </row>
    <row r="19" spans="1:14" ht="15" customHeight="1" x14ac:dyDescent="0.2">
      <c r="A19" s="84"/>
      <c r="B19" s="85"/>
      <c r="C19" s="74" t="s">
        <v>8386</v>
      </c>
      <c r="D19" s="66">
        <v>3</v>
      </c>
      <c r="E19" s="68"/>
      <c r="F19" s="68"/>
      <c r="G19" s="68"/>
      <c r="H19" s="68"/>
      <c r="I19" s="68"/>
      <c r="J19" s="68"/>
      <c r="K19" s="68"/>
      <c r="L19" s="207"/>
      <c r="M19" s="76" t="s">
        <v>8387</v>
      </c>
      <c r="N19" s="76">
        <v>8</v>
      </c>
    </row>
    <row r="20" spans="1:14" ht="15" customHeight="1" x14ac:dyDescent="0.2">
      <c r="A20" s="87"/>
      <c r="B20" s="87"/>
      <c r="C20" s="123" t="s">
        <v>8388</v>
      </c>
      <c r="D20" s="124"/>
      <c r="E20" s="68"/>
      <c r="F20" s="68"/>
      <c r="G20" s="68"/>
      <c r="H20" s="68"/>
      <c r="I20" s="68"/>
      <c r="J20" s="68"/>
      <c r="K20" s="68"/>
      <c r="L20" s="207"/>
      <c r="M20" s="76" t="s">
        <v>8389</v>
      </c>
      <c r="N20" s="76">
        <v>16</v>
      </c>
    </row>
    <row r="21" spans="1:14" ht="15" customHeight="1" x14ac:dyDescent="0.2">
      <c r="A21" s="72"/>
      <c r="B21" s="72"/>
      <c r="C21" s="87" t="s">
        <v>8390</v>
      </c>
      <c r="D21" s="125">
        <v>3</v>
      </c>
      <c r="E21" s="68"/>
      <c r="F21" s="68"/>
      <c r="G21" s="68"/>
      <c r="H21" s="68"/>
      <c r="I21" s="68"/>
      <c r="J21" s="68"/>
      <c r="K21" s="68"/>
      <c r="L21" s="207"/>
      <c r="M21" s="76" t="s">
        <v>8391</v>
      </c>
      <c r="N21" s="76">
        <v>24</v>
      </c>
    </row>
    <row r="22" spans="1:14" ht="15" customHeight="1" x14ac:dyDescent="0.2">
      <c r="A22" s="72"/>
      <c r="B22" s="72"/>
      <c r="C22" s="72" t="s">
        <v>8392</v>
      </c>
      <c r="D22" s="125"/>
      <c r="E22" s="68"/>
      <c r="F22" s="68"/>
      <c r="G22" s="68"/>
      <c r="H22" s="68"/>
      <c r="I22" s="68"/>
      <c r="J22" s="68"/>
      <c r="K22" s="68"/>
      <c r="L22" s="207"/>
      <c r="M22" s="76" t="s">
        <v>8393</v>
      </c>
      <c r="N22" s="76">
        <v>30</v>
      </c>
    </row>
    <row r="23" spans="1:14" ht="15" customHeight="1" x14ac:dyDescent="0.2">
      <c r="A23" s="72" t="s">
        <v>8394</v>
      </c>
      <c r="B23" s="72"/>
      <c r="C23" s="126" t="s">
        <v>8395</v>
      </c>
      <c r="D23" s="127"/>
      <c r="E23" s="68"/>
      <c r="F23" s="68"/>
      <c r="G23" s="68"/>
      <c r="H23" s="68"/>
      <c r="I23" s="68"/>
      <c r="J23" s="68"/>
      <c r="K23" s="68"/>
      <c r="L23" s="68"/>
      <c r="M23" s="68"/>
      <c r="N23" s="68"/>
    </row>
    <row r="24" spans="1:14" ht="15" customHeight="1" x14ac:dyDescent="0.2">
      <c r="A24" s="84"/>
      <c r="B24" s="72"/>
      <c r="C24" s="123" t="s">
        <v>8396</v>
      </c>
      <c r="D24" s="124"/>
      <c r="E24" s="68"/>
      <c r="F24" s="68"/>
      <c r="G24" s="68"/>
      <c r="H24" s="68"/>
      <c r="I24" s="68"/>
      <c r="J24" s="68"/>
      <c r="K24" s="68"/>
      <c r="L24" s="68"/>
      <c r="M24" s="68"/>
      <c r="N24" s="68"/>
    </row>
    <row r="25" spans="1:14" ht="15" customHeight="1" x14ac:dyDescent="0.2">
      <c r="A25" s="84"/>
      <c r="B25" s="72"/>
      <c r="C25" s="123" t="s">
        <v>8398</v>
      </c>
      <c r="D25" s="125">
        <v>2</v>
      </c>
      <c r="E25" s="68"/>
      <c r="F25" s="68"/>
      <c r="G25" s="68"/>
      <c r="H25" s="68"/>
      <c r="I25" s="68"/>
      <c r="J25" s="68"/>
      <c r="K25" s="68"/>
      <c r="L25" s="68"/>
      <c r="M25" s="68"/>
      <c r="N25" s="68"/>
    </row>
    <row r="26" spans="1:14" ht="15" customHeight="1" x14ac:dyDescent="0.2">
      <c r="A26" s="84"/>
      <c r="B26" s="72"/>
      <c r="C26" s="123" t="s">
        <v>8400</v>
      </c>
      <c r="D26" s="127"/>
      <c r="E26" s="68"/>
      <c r="F26" s="68"/>
      <c r="G26" s="68"/>
      <c r="H26" s="68"/>
      <c r="I26" s="68"/>
      <c r="J26" s="68"/>
      <c r="K26" s="68"/>
      <c r="L26" s="68"/>
      <c r="M26" s="68"/>
      <c r="N26" s="68"/>
    </row>
    <row r="27" spans="1:14" ht="15" customHeight="1" x14ac:dyDescent="0.2">
      <c r="A27" s="84"/>
      <c r="B27" s="126"/>
      <c r="C27" s="129" t="s">
        <v>8401</v>
      </c>
      <c r="D27" s="66">
        <v>1</v>
      </c>
      <c r="E27" s="68"/>
      <c r="F27" s="68"/>
      <c r="G27" s="68"/>
      <c r="H27" s="68"/>
      <c r="I27" s="68"/>
      <c r="J27" s="68"/>
      <c r="K27" s="68"/>
      <c r="L27" s="68"/>
      <c r="M27" s="68"/>
      <c r="N27" s="68"/>
    </row>
    <row r="28" spans="1:14" ht="15" customHeight="1" x14ac:dyDescent="0.2">
      <c r="A28" s="213" t="s">
        <v>8402</v>
      </c>
      <c r="B28" s="214" t="s">
        <v>8363</v>
      </c>
      <c r="C28" s="74" t="s">
        <v>8403</v>
      </c>
      <c r="D28" s="66">
        <v>4</v>
      </c>
    </row>
    <row r="29" spans="1:14" ht="15" customHeight="1" x14ac:dyDescent="0.2">
      <c r="A29" s="213"/>
      <c r="B29" s="215"/>
      <c r="C29" s="74" t="s">
        <v>8404</v>
      </c>
      <c r="D29" s="66">
        <v>1</v>
      </c>
    </row>
  </sheetData>
  <mergeCells count="24">
    <mergeCell ref="L15:L17"/>
    <mergeCell ref="L18:L22"/>
    <mergeCell ref="A28:A29"/>
    <mergeCell ref="B28:B29"/>
    <mergeCell ref="H10:I10"/>
    <mergeCell ref="H11:I11"/>
    <mergeCell ref="L11:L14"/>
    <mergeCell ref="F12:F13"/>
    <mergeCell ref="G12:I12"/>
    <mergeCell ref="G13:I13"/>
    <mergeCell ref="L3:L6"/>
    <mergeCell ref="F4:F5"/>
    <mergeCell ref="H4:I4"/>
    <mergeCell ref="H5:I5"/>
    <mergeCell ref="F6:F7"/>
    <mergeCell ref="G6:I6"/>
    <mergeCell ref="G7:I7"/>
    <mergeCell ref="L7:L10"/>
    <mergeCell ref="H8:I8"/>
    <mergeCell ref="H9:I9"/>
    <mergeCell ref="F2:F3"/>
    <mergeCell ref="G2:I2"/>
    <mergeCell ref="J2:J3"/>
    <mergeCell ref="H3:I3"/>
  </mergeCells>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heetViews>
  <sheetFormatPr defaultRowHeight="13.2" x14ac:dyDescent="0.2"/>
  <cols>
    <col min="1" max="1" width="8.77734375" customWidth="1"/>
  </cols>
  <sheetData>
    <row r="1" spans="1:1" x14ac:dyDescent="0.2">
      <c r="A1" t="s">
        <v>8663</v>
      </c>
    </row>
    <row r="2" spans="1:1" ht="12.9" x14ac:dyDescent="0.2">
      <c r="A2" s="180">
        <v>24</v>
      </c>
    </row>
  </sheetData>
  <sheetProtection sheet="1" objects="1" scenarios="1"/>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3.2" x14ac:dyDescent="0.2"/>
  <cols>
    <col min="1" max="1" width="8.77734375" customWidth="1"/>
  </cols>
  <sheetData>
    <row r="1" spans="1:1" x14ac:dyDescent="0.2">
      <c r="A1">
        <f>32475/25</f>
        <v>1299</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調査表データ</vt:lpstr>
      <vt:lpstr>メッシュデータ入力</vt:lpstr>
      <vt:lpstr>市町村コード</vt:lpstr>
      <vt:lpstr>点数表</vt:lpstr>
      <vt:lpstr>点数表２</vt:lpstr>
      <vt:lpstr>メモリ</vt:lpstr>
      <vt:lpstr>Sheet1</vt:lpstr>
      <vt:lpstr>山崩表１</vt:lpstr>
      <vt:lpstr>山崩表１非</vt:lpstr>
      <vt:lpstr>山崩表２</vt:lpstr>
      <vt:lpstr>山崩表３</vt:lpstr>
      <vt:lpstr>市町村リスト</vt:lpstr>
      <vt:lpstr>都道府県リスト</vt:lpstr>
      <vt:lpstr>崩土表１</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soumu</dc:creator>
  <cp:lastModifiedBy>竹内</cp:lastModifiedBy>
  <cp:lastPrinted>2016-03-11T02:04:18Z</cp:lastPrinted>
  <dcterms:created xsi:type="dcterms:W3CDTF">2015-07-27T06:59:38Z</dcterms:created>
  <dcterms:modified xsi:type="dcterms:W3CDTF">2017-04-12T04:09:15Z</dcterms:modified>
</cp:coreProperties>
</file>